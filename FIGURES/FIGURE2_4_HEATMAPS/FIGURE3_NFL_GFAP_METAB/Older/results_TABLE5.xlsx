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May Baydoun_folder\UK_BIOBANK_PROJECT\UKB_PAPER11_NFLGFAPDEMPDMORT_METAB\MANUSCRIPT\GITHUB\FIGURES\FIGURE2_3_HEATMAPS\NFL_GFAP_METAB\"/>
    </mc:Choice>
  </mc:AlternateContent>
  <xr:revisionPtr revIDLastSave="0" documentId="8_{AC7C091C-1C35-4647-9394-31FF822A3A1D}" xr6:coauthVersionLast="47" xr6:coauthVersionMax="47" xr10:uidLastSave="{00000000-0000-0000-0000-000000000000}"/>
  <bookViews>
    <workbookView xWindow="-108" yWindow="492" windowWidth="23256" windowHeight="12576" xr2:uid="{D4372F03-7625-4B87-B06A-F5A1190781CD}"/>
  </bookViews>
  <sheets>
    <sheet name="results_TABLE5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A184" i="1"/>
</calcChain>
</file>

<file path=xl/sharedStrings.xml><?xml version="1.0" encoding="utf-8"?>
<sst xmlns="http://schemas.openxmlformats.org/spreadsheetml/2006/main" count="3" uniqueCount="3">
  <si>
    <t>="* p&lt;0.05</t>
  </si>
  <si>
    <t xml:space="preserve"> ** p&lt;0.01</t>
  </si>
  <si>
    <t xml:space="preserve"> *** p&lt;0.001"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</si>
</sst>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914A-16A9-4074-BC8C-B344CF5FABCE}">
  <dimension ref="A2:CM185"/>
  <sheetViews>
    <sheetView tabSelected="1" workbookViewId="0"/>
  </sheetViews>
  <sheetFormatPr defaultRowHeight="14.4" x14ac:dyDescent="0.3"/>
  <sheetData>
    <row r="2" spans="1:91" x14ac:dyDescent="0.3">
      <c r="A2" t="str">
        <f>""</f>
        <v/>
      </c>
      <c r="B2" t="str">
        <f>"(1)"</f>
        <v>(1)</v>
      </c>
      <c r="C2" t="str">
        <f>"(2)"</f>
        <v>(2)</v>
      </c>
      <c r="D2" t="str">
        <f>"(3)"</f>
        <v>(3)</v>
      </c>
      <c r="E2" t="str">
        <f>"(4)"</f>
        <v>(4)</v>
      </c>
      <c r="F2" t="str">
        <f>"(5)"</f>
        <v>(5)</v>
      </c>
      <c r="G2" t="str">
        <f>"(6)"</f>
        <v>(6)</v>
      </c>
      <c r="H2" t="str">
        <f>"(7)"</f>
        <v>(7)</v>
      </c>
      <c r="I2" t="str">
        <f>"(8)"</f>
        <v>(8)</v>
      </c>
      <c r="J2" t="str">
        <f>"(9)"</f>
        <v>(9)</v>
      </c>
      <c r="K2" t="str">
        <f>"(10)"</f>
        <v>(10)</v>
      </c>
      <c r="L2" t="str">
        <f>"(11)"</f>
        <v>(11)</v>
      </c>
      <c r="M2" t="str">
        <f>"(12)"</f>
        <v>(12)</v>
      </c>
      <c r="N2" t="str">
        <f>"(13)"</f>
        <v>(13)</v>
      </c>
      <c r="O2" t="str">
        <f>"(14)"</f>
        <v>(14)</v>
      </c>
      <c r="P2" t="str">
        <f>"(15)"</f>
        <v>(15)</v>
      </c>
      <c r="Q2" t="str">
        <f>"(16)"</f>
        <v>(16)</v>
      </c>
      <c r="R2" t="str">
        <f>"(17)"</f>
        <v>(17)</v>
      </c>
      <c r="S2" t="str">
        <f>"(18)"</f>
        <v>(18)</v>
      </c>
      <c r="T2" t="str">
        <f>"(19)"</f>
        <v>(19)</v>
      </c>
      <c r="U2" t="str">
        <f>"(20)"</f>
        <v>(20)</v>
      </c>
      <c r="V2" t="str">
        <f>"(21)"</f>
        <v>(21)</v>
      </c>
      <c r="W2" t="str">
        <f>"(22)"</f>
        <v>(22)</v>
      </c>
      <c r="X2" t="str">
        <f>"(23)"</f>
        <v>(23)</v>
      </c>
      <c r="Y2" t="str">
        <f>"(24)"</f>
        <v>(24)</v>
      </c>
      <c r="Z2" t="str">
        <f>"(25)"</f>
        <v>(25)</v>
      </c>
      <c r="AA2" t="str">
        <f>"(26)"</f>
        <v>(26)</v>
      </c>
      <c r="AB2" t="str">
        <f>"(27)"</f>
        <v>(27)</v>
      </c>
      <c r="AC2" t="str">
        <f>"(28)"</f>
        <v>(28)</v>
      </c>
      <c r="AD2" t="str">
        <f>"(29)"</f>
        <v>(29)</v>
      </c>
      <c r="AE2" t="str">
        <f>"(30)"</f>
        <v>(30)</v>
      </c>
      <c r="AF2" t="str">
        <f>"(31)"</f>
        <v>(31)</v>
      </c>
      <c r="AG2" t="str">
        <f>"(32)"</f>
        <v>(32)</v>
      </c>
      <c r="AH2" t="str">
        <f>"(33)"</f>
        <v>(33)</v>
      </c>
      <c r="AI2" t="str">
        <f>"(34)"</f>
        <v>(34)</v>
      </c>
      <c r="AJ2" t="str">
        <f>"(35)"</f>
        <v>(35)</v>
      </c>
      <c r="AK2" t="str">
        <f>"(36)"</f>
        <v>(36)</v>
      </c>
      <c r="AL2" t="str">
        <f>"(37)"</f>
        <v>(37)</v>
      </c>
      <c r="AM2" t="str">
        <f>"(38)"</f>
        <v>(38)</v>
      </c>
      <c r="AN2" t="str">
        <f>"(39)"</f>
        <v>(39)</v>
      </c>
      <c r="AO2" t="str">
        <f>"(40)"</f>
        <v>(40)</v>
      </c>
      <c r="AP2" t="str">
        <f>"(41)"</f>
        <v>(41)</v>
      </c>
      <c r="AQ2" t="str">
        <f>"(42)"</f>
        <v>(42)</v>
      </c>
      <c r="AR2" t="str">
        <f>"(43)"</f>
        <v>(43)</v>
      </c>
      <c r="AS2" t="str">
        <f>"(44)"</f>
        <v>(44)</v>
      </c>
      <c r="AT2" t="str">
        <f>"(45)"</f>
        <v>(45)</v>
      </c>
      <c r="AU2" t="str">
        <f>"(46)"</f>
        <v>(46)</v>
      </c>
      <c r="AV2" t="str">
        <f>"(47)"</f>
        <v>(47)</v>
      </c>
      <c r="AW2" t="str">
        <f>"(48)"</f>
        <v>(48)</v>
      </c>
      <c r="AX2" t="str">
        <f>"(49)"</f>
        <v>(49)</v>
      </c>
      <c r="AY2" t="str">
        <f>"(50)"</f>
        <v>(50)</v>
      </c>
      <c r="AZ2" t="str">
        <f>"(51)"</f>
        <v>(51)</v>
      </c>
      <c r="BA2" t="str">
        <f>"(52)"</f>
        <v>(52)</v>
      </c>
      <c r="BB2" t="str">
        <f>"(53)"</f>
        <v>(53)</v>
      </c>
      <c r="BC2" t="str">
        <f>"(54)"</f>
        <v>(54)</v>
      </c>
      <c r="BD2" t="str">
        <f>"(55)"</f>
        <v>(55)</v>
      </c>
      <c r="BE2" t="str">
        <f>"(56)"</f>
        <v>(56)</v>
      </c>
      <c r="BF2" t="str">
        <f>"(57)"</f>
        <v>(57)</v>
      </c>
      <c r="BG2" t="str">
        <f>"(58)"</f>
        <v>(58)</v>
      </c>
      <c r="BH2" t="str">
        <f>"(59)"</f>
        <v>(59)</v>
      </c>
      <c r="BI2" t="str">
        <f>"(60)"</f>
        <v>(60)</v>
      </c>
      <c r="BJ2" t="str">
        <f>"(61)"</f>
        <v>(61)</v>
      </c>
      <c r="BK2" t="str">
        <f>"(62)"</f>
        <v>(62)</v>
      </c>
      <c r="BL2" t="str">
        <f>"(63)"</f>
        <v>(63)</v>
      </c>
      <c r="BM2" t="str">
        <f>"(64)"</f>
        <v>(64)</v>
      </c>
      <c r="BN2" t="str">
        <f>"(65)"</f>
        <v>(65)</v>
      </c>
      <c r="BO2" t="str">
        <f>"(66)"</f>
        <v>(66)</v>
      </c>
      <c r="BP2" t="str">
        <f>"(67)"</f>
        <v>(67)</v>
      </c>
      <c r="BQ2" t="str">
        <f>"(68)"</f>
        <v>(68)</v>
      </c>
      <c r="BR2" t="str">
        <f>"(69)"</f>
        <v>(69)</v>
      </c>
      <c r="BS2" t="str">
        <f>"(70)"</f>
        <v>(70)</v>
      </c>
      <c r="BT2" t="str">
        <f>"(71)"</f>
        <v>(71)</v>
      </c>
      <c r="BU2" t="str">
        <f>"(72)"</f>
        <v>(72)</v>
      </c>
      <c r="BV2" t="str">
        <f>"(73)"</f>
        <v>(73)</v>
      </c>
      <c r="BW2" t="str">
        <f>"(74)"</f>
        <v>(74)</v>
      </c>
      <c r="BX2" t="str">
        <f>"(75)"</f>
        <v>(75)</v>
      </c>
      <c r="BY2" t="str">
        <f>"(76)"</f>
        <v>(76)</v>
      </c>
      <c r="BZ2" t="str">
        <f>"(77)"</f>
        <v>(77)</v>
      </c>
      <c r="CA2" t="str">
        <f>"(78)"</f>
        <v>(78)</v>
      </c>
      <c r="CB2" t="str">
        <f>"(79)"</f>
        <v>(79)</v>
      </c>
      <c r="CC2" t="str">
        <f>"(80)"</f>
        <v>(80)</v>
      </c>
      <c r="CD2" t="str">
        <f>"(81)"</f>
        <v>(81)</v>
      </c>
      <c r="CE2" t="str">
        <f>"(82)"</f>
        <v>(82)</v>
      </c>
      <c r="CF2" t="str">
        <f>"(83)"</f>
        <v>(83)</v>
      </c>
      <c r="CG2" t="str">
        <f>"(84)"</f>
        <v>(84)</v>
      </c>
      <c r="CH2" t="str">
        <f>"(85)"</f>
        <v>(85)</v>
      </c>
      <c r="CI2" t="str">
        <f>"(86)"</f>
        <v>(86)</v>
      </c>
      <c r="CJ2" t="str">
        <f>"(87)"</f>
        <v>(87)</v>
      </c>
      <c r="CK2" t="str">
        <f>"(88)"</f>
        <v>(88)</v>
      </c>
      <c r="CL2" t="str">
        <f>"(89)"</f>
        <v>(89)</v>
      </c>
      <c r="CM2" t="str">
        <f>"(90)"</f>
        <v>(90)</v>
      </c>
    </row>
    <row r="3" spans="1:91" x14ac:dyDescent="0.3">
      <c r="A3" t="str">
        <f>""</f>
        <v/>
      </c>
      <c r="B3" t="str">
        <f t="shared" ref="B3:AG3" si="0">"_t"</f>
        <v>_t</v>
      </c>
      <c r="C3" t="str">
        <f t="shared" si="0"/>
        <v>_t</v>
      </c>
      <c r="D3" t="str">
        <f t="shared" si="0"/>
        <v>_t</v>
      </c>
      <c r="E3" t="str">
        <f t="shared" si="0"/>
        <v>_t</v>
      </c>
      <c r="F3" t="str">
        <f t="shared" si="0"/>
        <v>_t</v>
      </c>
      <c r="G3" t="str">
        <f t="shared" si="0"/>
        <v>_t</v>
      </c>
      <c r="H3" t="str">
        <f t="shared" si="0"/>
        <v>_t</v>
      </c>
      <c r="I3" t="str">
        <f t="shared" si="0"/>
        <v>_t</v>
      </c>
      <c r="J3" t="str">
        <f t="shared" si="0"/>
        <v>_t</v>
      </c>
      <c r="K3" t="str">
        <f t="shared" si="0"/>
        <v>_t</v>
      </c>
      <c r="L3" t="str">
        <f t="shared" si="0"/>
        <v>_t</v>
      </c>
      <c r="M3" t="str">
        <f t="shared" si="0"/>
        <v>_t</v>
      </c>
      <c r="N3" t="str">
        <f t="shared" si="0"/>
        <v>_t</v>
      </c>
      <c r="O3" t="str">
        <f t="shared" si="0"/>
        <v>_t</v>
      </c>
      <c r="P3" t="str">
        <f t="shared" si="0"/>
        <v>_t</v>
      </c>
      <c r="Q3" t="str">
        <f t="shared" si="0"/>
        <v>_t</v>
      </c>
      <c r="R3" t="str">
        <f t="shared" si="0"/>
        <v>_t</v>
      </c>
      <c r="S3" t="str">
        <f t="shared" si="0"/>
        <v>_t</v>
      </c>
      <c r="T3" t="str">
        <f t="shared" si="0"/>
        <v>_t</v>
      </c>
      <c r="U3" t="str">
        <f t="shared" si="0"/>
        <v>_t</v>
      </c>
      <c r="V3" t="str">
        <f t="shared" si="0"/>
        <v>_t</v>
      </c>
      <c r="W3" t="str">
        <f t="shared" si="0"/>
        <v>_t</v>
      </c>
      <c r="X3" t="str">
        <f t="shared" si="0"/>
        <v>_t</v>
      </c>
      <c r="Y3" t="str">
        <f t="shared" si="0"/>
        <v>_t</v>
      </c>
      <c r="Z3" t="str">
        <f t="shared" si="0"/>
        <v>_t</v>
      </c>
      <c r="AA3" t="str">
        <f t="shared" si="0"/>
        <v>_t</v>
      </c>
      <c r="AB3" t="str">
        <f t="shared" si="0"/>
        <v>_t</v>
      </c>
      <c r="AC3" t="str">
        <f t="shared" si="0"/>
        <v>_t</v>
      </c>
      <c r="AD3" t="str">
        <f t="shared" si="0"/>
        <v>_t</v>
      </c>
      <c r="AE3" t="str">
        <f t="shared" si="0"/>
        <v>_t</v>
      </c>
      <c r="AF3" t="str">
        <f t="shared" si="0"/>
        <v>_t</v>
      </c>
      <c r="AG3" t="str">
        <f t="shared" si="0"/>
        <v>_t</v>
      </c>
      <c r="AH3" t="str">
        <f t="shared" ref="AH3:BM3" si="1">"_t"</f>
        <v>_t</v>
      </c>
      <c r="AI3" t="str">
        <f t="shared" si="1"/>
        <v>_t</v>
      </c>
      <c r="AJ3" t="str">
        <f t="shared" si="1"/>
        <v>_t</v>
      </c>
      <c r="AK3" t="str">
        <f t="shared" si="1"/>
        <v>_t</v>
      </c>
      <c r="AL3" t="str">
        <f t="shared" si="1"/>
        <v>_t</v>
      </c>
      <c r="AM3" t="str">
        <f t="shared" si="1"/>
        <v>_t</v>
      </c>
      <c r="AN3" t="str">
        <f t="shared" si="1"/>
        <v>_t</v>
      </c>
      <c r="AO3" t="str">
        <f t="shared" si="1"/>
        <v>_t</v>
      </c>
      <c r="AP3" t="str">
        <f t="shared" si="1"/>
        <v>_t</v>
      </c>
      <c r="AQ3" t="str">
        <f t="shared" si="1"/>
        <v>_t</v>
      </c>
      <c r="AR3" t="str">
        <f t="shared" si="1"/>
        <v>_t</v>
      </c>
      <c r="AS3" t="str">
        <f t="shared" si="1"/>
        <v>_t</v>
      </c>
      <c r="AT3" t="str">
        <f t="shared" si="1"/>
        <v>_t</v>
      </c>
      <c r="AU3" t="str">
        <f t="shared" si="1"/>
        <v>_t</v>
      </c>
      <c r="AV3" t="str">
        <f t="shared" si="1"/>
        <v>_t</v>
      </c>
      <c r="AW3" t="str">
        <f t="shared" si="1"/>
        <v>_t</v>
      </c>
      <c r="AX3" t="str">
        <f t="shared" si="1"/>
        <v>_t</v>
      </c>
      <c r="AY3" t="str">
        <f t="shared" si="1"/>
        <v>_t</v>
      </c>
      <c r="AZ3" t="str">
        <f t="shared" si="1"/>
        <v>_t</v>
      </c>
      <c r="BA3" t="str">
        <f t="shared" si="1"/>
        <v>_t</v>
      </c>
      <c r="BB3" t="str">
        <f t="shared" si="1"/>
        <v>_t</v>
      </c>
      <c r="BC3" t="str">
        <f t="shared" si="1"/>
        <v>_t</v>
      </c>
      <c r="BD3" t="str">
        <f t="shared" si="1"/>
        <v>_t</v>
      </c>
      <c r="BE3" t="str">
        <f t="shared" si="1"/>
        <v>_t</v>
      </c>
      <c r="BF3" t="str">
        <f t="shared" si="1"/>
        <v>_t</v>
      </c>
      <c r="BG3" t="str">
        <f t="shared" si="1"/>
        <v>_t</v>
      </c>
      <c r="BH3" t="str">
        <f t="shared" si="1"/>
        <v>_t</v>
      </c>
      <c r="BI3" t="str">
        <f t="shared" si="1"/>
        <v>_t</v>
      </c>
      <c r="BJ3" t="str">
        <f t="shared" si="1"/>
        <v>_t</v>
      </c>
      <c r="BK3" t="str">
        <f t="shared" si="1"/>
        <v>_t</v>
      </c>
      <c r="BL3" t="str">
        <f t="shared" si="1"/>
        <v>_t</v>
      </c>
      <c r="BM3" t="str">
        <f t="shared" si="1"/>
        <v>_t</v>
      </c>
      <c r="BN3" t="str">
        <f t="shared" ref="BN3:CM3" si="2">"_t"</f>
        <v>_t</v>
      </c>
      <c r="BO3" t="str">
        <f t="shared" si="2"/>
        <v>_t</v>
      </c>
      <c r="BP3" t="str">
        <f t="shared" si="2"/>
        <v>_t</v>
      </c>
      <c r="BQ3" t="str">
        <f t="shared" si="2"/>
        <v>_t</v>
      </c>
      <c r="BR3" t="str">
        <f t="shared" si="2"/>
        <v>_t</v>
      </c>
      <c r="BS3" t="str">
        <f t="shared" si="2"/>
        <v>_t</v>
      </c>
      <c r="BT3" t="str">
        <f t="shared" si="2"/>
        <v>_t</v>
      </c>
      <c r="BU3" t="str">
        <f t="shared" si="2"/>
        <v>_t</v>
      </c>
      <c r="BV3" t="str">
        <f t="shared" si="2"/>
        <v>_t</v>
      </c>
      <c r="BW3" t="str">
        <f t="shared" si="2"/>
        <v>_t</v>
      </c>
      <c r="BX3" t="str">
        <f t="shared" si="2"/>
        <v>_t</v>
      </c>
      <c r="BY3" t="str">
        <f t="shared" si="2"/>
        <v>_t</v>
      </c>
      <c r="BZ3" t="str">
        <f t="shared" si="2"/>
        <v>_t</v>
      </c>
      <c r="CA3" t="str">
        <f t="shared" si="2"/>
        <v>_t</v>
      </c>
      <c r="CB3" t="str">
        <f t="shared" si="2"/>
        <v>_t</v>
      </c>
      <c r="CC3" t="str">
        <f t="shared" si="2"/>
        <v>_t</v>
      </c>
      <c r="CD3" t="str">
        <f t="shared" si="2"/>
        <v>_t</v>
      </c>
      <c r="CE3" t="str">
        <f t="shared" si="2"/>
        <v>_t</v>
      </c>
      <c r="CF3" t="str">
        <f t="shared" si="2"/>
        <v>_t</v>
      </c>
      <c r="CG3" t="str">
        <f t="shared" si="2"/>
        <v>_t</v>
      </c>
      <c r="CH3" t="str">
        <f t="shared" si="2"/>
        <v>_t</v>
      </c>
      <c r="CI3" t="str">
        <f t="shared" si="2"/>
        <v>_t</v>
      </c>
      <c r="CJ3" t="str">
        <f t="shared" si="2"/>
        <v>_t</v>
      </c>
      <c r="CK3" t="str">
        <f t="shared" si="2"/>
        <v>_t</v>
      </c>
      <c r="CL3" t="str">
        <f t="shared" si="2"/>
        <v>_t</v>
      </c>
      <c r="CM3" t="str">
        <f t="shared" si="2"/>
        <v>_t</v>
      </c>
    </row>
    <row r="5" spans="1:91" x14ac:dyDescent="0.3">
      <c r="A5" t="str">
        <f>"_t"</f>
        <v>_t</v>
      </c>
      <c r="B5" t="str">
        <f>""</f>
        <v/>
      </c>
      <c r="C5" t="str">
        <f>""</f>
        <v/>
      </c>
      <c r="D5" t="str">
        <f>""</f>
        <v/>
      </c>
      <c r="E5" t="str">
        <f>""</f>
        <v/>
      </c>
      <c r="F5" t="str">
        <f>""</f>
        <v/>
      </c>
      <c r="G5" t="str">
        <f>""</f>
        <v/>
      </c>
      <c r="H5" t="str">
        <f>""</f>
        <v/>
      </c>
      <c r="I5" t="str">
        <f>""</f>
        <v/>
      </c>
      <c r="J5" t="str">
        <f>""</f>
        <v/>
      </c>
      <c r="K5" t="str">
        <f>""</f>
        <v/>
      </c>
      <c r="L5" t="str">
        <f>""</f>
        <v/>
      </c>
      <c r="M5" t="str">
        <f>""</f>
        <v/>
      </c>
      <c r="N5" t="str">
        <f>""</f>
        <v/>
      </c>
      <c r="O5" t="str">
        <f>""</f>
        <v/>
      </c>
      <c r="P5" t="str">
        <f>""</f>
        <v/>
      </c>
      <c r="Q5" t="str">
        <f>""</f>
        <v/>
      </c>
      <c r="R5" t="str">
        <f>""</f>
        <v/>
      </c>
      <c r="S5" t="str">
        <f>""</f>
        <v/>
      </c>
      <c r="T5" t="str">
        <f>""</f>
        <v/>
      </c>
      <c r="U5" t="str">
        <f>""</f>
        <v/>
      </c>
      <c r="V5" t="str">
        <f>""</f>
        <v/>
      </c>
      <c r="W5" t="str">
        <f>""</f>
        <v/>
      </c>
      <c r="X5" t="str">
        <f>""</f>
        <v/>
      </c>
      <c r="Y5" t="str">
        <f>""</f>
        <v/>
      </c>
      <c r="Z5" t="str">
        <f>""</f>
        <v/>
      </c>
      <c r="AA5" t="str">
        <f>""</f>
        <v/>
      </c>
      <c r="AB5" t="str">
        <f>""</f>
        <v/>
      </c>
      <c r="AC5" t="str">
        <f>""</f>
        <v/>
      </c>
      <c r="AD5" t="str">
        <f>""</f>
        <v/>
      </c>
      <c r="AE5" t="str">
        <f>""</f>
        <v/>
      </c>
      <c r="AF5" t="str">
        <f>""</f>
        <v/>
      </c>
      <c r="AG5" t="str">
        <f>""</f>
        <v/>
      </c>
      <c r="AH5" t="str">
        <f>""</f>
        <v/>
      </c>
      <c r="AI5" t="str">
        <f>""</f>
        <v/>
      </c>
      <c r="AJ5" t="str">
        <f>""</f>
        <v/>
      </c>
      <c r="AK5" t="str">
        <f>""</f>
        <v/>
      </c>
      <c r="AL5" t="str">
        <f>""</f>
        <v/>
      </c>
      <c r="AM5" t="str">
        <f>""</f>
        <v/>
      </c>
      <c r="AN5" t="str">
        <f>""</f>
        <v/>
      </c>
      <c r="AO5" t="str">
        <f>""</f>
        <v/>
      </c>
      <c r="AP5" t="str">
        <f>""</f>
        <v/>
      </c>
      <c r="AQ5" t="str">
        <f>""</f>
        <v/>
      </c>
      <c r="AR5" t="str">
        <f>""</f>
        <v/>
      </c>
      <c r="AS5" t="str">
        <f>""</f>
        <v/>
      </c>
      <c r="AT5" t="str">
        <f>""</f>
        <v/>
      </c>
      <c r="AU5" t="str">
        <f>""</f>
        <v/>
      </c>
      <c r="AV5" t="str">
        <f>""</f>
        <v/>
      </c>
      <c r="AW5" t="str">
        <f>""</f>
        <v/>
      </c>
      <c r="AX5" t="str">
        <f>""</f>
        <v/>
      </c>
      <c r="AY5" t="str">
        <f>""</f>
        <v/>
      </c>
      <c r="AZ5" t="str">
        <f>""</f>
        <v/>
      </c>
      <c r="BA5" t="str">
        <f>""</f>
        <v/>
      </c>
      <c r="BB5" t="str">
        <f>""</f>
        <v/>
      </c>
      <c r="BC5" t="str">
        <f>""</f>
        <v/>
      </c>
      <c r="BD5" t="str">
        <f>""</f>
        <v/>
      </c>
      <c r="BE5" t="str">
        <f>""</f>
        <v/>
      </c>
      <c r="BF5" t="str">
        <f>""</f>
        <v/>
      </c>
      <c r="BG5" t="str">
        <f>""</f>
        <v/>
      </c>
      <c r="BH5" t="str">
        <f>""</f>
        <v/>
      </c>
      <c r="BI5" t="str">
        <f>""</f>
        <v/>
      </c>
      <c r="BJ5" t="str">
        <f>""</f>
        <v/>
      </c>
      <c r="BK5" t="str">
        <f>""</f>
        <v/>
      </c>
      <c r="BL5" t="str">
        <f>""</f>
        <v/>
      </c>
      <c r="BM5" t="str">
        <f>""</f>
        <v/>
      </c>
      <c r="BN5" t="str">
        <f>""</f>
        <v/>
      </c>
      <c r="BO5" t="str">
        <f>""</f>
        <v/>
      </c>
      <c r="BP5" t="str">
        <f>""</f>
        <v/>
      </c>
      <c r="BQ5" t="str">
        <f>""</f>
        <v/>
      </c>
      <c r="BR5" t="str">
        <f>""</f>
        <v/>
      </c>
      <c r="BS5" t="str">
        <f>""</f>
        <v/>
      </c>
      <c r="BT5" t="str">
        <f>""</f>
        <v/>
      </c>
      <c r="BU5" t="str">
        <f>""</f>
        <v/>
      </c>
      <c r="BV5" t="str">
        <f>""</f>
        <v/>
      </c>
      <c r="BW5" t="str">
        <f>""</f>
        <v/>
      </c>
      <c r="BX5" t="str">
        <f>""</f>
        <v/>
      </c>
      <c r="BY5" t="str">
        <f>""</f>
        <v/>
      </c>
      <c r="BZ5" t="str">
        <f>""</f>
        <v/>
      </c>
      <c r="CA5" t="str">
        <f>""</f>
        <v/>
      </c>
      <c r="CB5" t="str">
        <f>""</f>
        <v/>
      </c>
      <c r="CC5" t="str">
        <f>""</f>
        <v/>
      </c>
      <c r="CD5" t="str">
        <f>""</f>
        <v/>
      </c>
      <c r="CE5" t="str">
        <f>""</f>
        <v/>
      </c>
      <c r="CF5" t="str">
        <f>""</f>
        <v/>
      </c>
      <c r="CG5" t="str">
        <f>""</f>
        <v/>
      </c>
      <c r="CH5" t="str">
        <f>""</f>
        <v/>
      </c>
      <c r="CI5" t="str">
        <f>""</f>
        <v/>
      </c>
      <c r="CJ5" t="str">
        <f>""</f>
        <v/>
      </c>
      <c r="CK5" t="str">
        <f>""</f>
        <v/>
      </c>
      <c r="CL5" t="str">
        <f>""</f>
        <v/>
      </c>
      <c r="CM5" t="str">
        <f>""</f>
        <v/>
      </c>
    </row>
    <row r="6" spans="1:91" x14ac:dyDescent="0.3">
      <c r="A6" t="str">
        <f>"zMETAB1"</f>
        <v>zMETAB1</v>
      </c>
      <c r="B6" t="str">
        <f>"-0.0238"</f>
        <v>-0.0238</v>
      </c>
      <c r="C6" t="str">
        <f>"-0.0506"</f>
        <v>-0.0506</v>
      </c>
      <c r="D6" t="str">
        <f>"-0.131***"</f>
        <v>-0.131***</v>
      </c>
      <c r="E6" t="str">
        <f>""</f>
        <v/>
      </c>
      <c r="F6" t="str">
        <f>""</f>
        <v/>
      </c>
      <c r="G6" t="str">
        <f>""</f>
        <v/>
      </c>
      <c r="H6" t="str">
        <f>""</f>
        <v/>
      </c>
      <c r="I6" t="str">
        <f>""</f>
        <v/>
      </c>
      <c r="J6" t="str">
        <f>""</f>
        <v/>
      </c>
      <c r="K6" t="str">
        <f>""</f>
        <v/>
      </c>
      <c r="L6" t="str">
        <f>""</f>
        <v/>
      </c>
      <c r="M6" t="str">
        <f>""</f>
        <v/>
      </c>
      <c r="N6" t="str">
        <f>""</f>
        <v/>
      </c>
      <c r="O6" t="str">
        <f>""</f>
        <v/>
      </c>
      <c r="P6" t="str">
        <f>""</f>
        <v/>
      </c>
      <c r="Q6" t="str">
        <f>""</f>
        <v/>
      </c>
      <c r="R6" t="str">
        <f>""</f>
        <v/>
      </c>
      <c r="S6" t="str">
        <f>""</f>
        <v/>
      </c>
      <c r="T6" t="str">
        <f>""</f>
        <v/>
      </c>
      <c r="U6" t="str">
        <f>""</f>
        <v/>
      </c>
      <c r="V6" t="str">
        <f>""</f>
        <v/>
      </c>
      <c r="W6" t="str">
        <f>""</f>
        <v/>
      </c>
      <c r="X6" t="str">
        <f>""</f>
        <v/>
      </c>
      <c r="Y6" t="str">
        <f>""</f>
        <v/>
      </c>
      <c r="Z6" t="str">
        <f>""</f>
        <v/>
      </c>
      <c r="AA6" t="str">
        <f>""</f>
        <v/>
      </c>
      <c r="AB6" t="str">
        <f>""</f>
        <v/>
      </c>
      <c r="AC6" t="str">
        <f>""</f>
        <v/>
      </c>
      <c r="AD6" t="str">
        <f>""</f>
        <v/>
      </c>
      <c r="AE6" t="str">
        <f>""</f>
        <v/>
      </c>
      <c r="AF6" t="str">
        <f>""</f>
        <v/>
      </c>
      <c r="AG6" t="str">
        <f>""</f>
        <v/>
      </c>
      <c r="AH6" t="str">
        <f>""</f>
        <v/>
      </c>
      <c r="AI6" t="str">
        <f>""</f>
        <v/>
      </c>
      <c r="AJ6" t="str">
        <f>""</f>
        <v/>
      </c>
      <c r="AK6" t="str">
        <f>""</f>
        <v/>
      </c>
      <c r="AL6" t="str">
        <f>""</f>
        <v/>
      </c>
      <c r="AM6" t="str">
        <f>""</f>
        <v/>
      </c>
      <c r="AN6" t="str">
        <f>""</f>
        <v/>
      </c>
      <c r="AO6" t="str">
        <f>""</f>
        <v/>
      </c>
      <c r="AP6" t="str">
        <f>""</f>
        <v/>
      </c>
      <c r="AQ6" t="str">
        <f>""</f>
        <v/>
      </c>
      <c r="AR6" t="str">
        <f>""</f>
        <v/>
      </c>
      <c r="AS6" t="str">
        <f>""</f>
        <v/>
      </c>
      <c r="AT6" t="str">
        <f>""</f>
        <v/>
      </c>
      <c r="AU6" t="str">
        <f>"0.00718"</f>
        <v>0.00718</v>
      </c>
      <c r="AV6" t="str">
        <f>"-0.0684"</f>
        <v>-0.0684</v>
      </c>
      <c r="AW6" t="str">
        <f>"-0.157***"</f>
        <v>-0.157***</v>
      </c>
      <c r="AX6" t="str">
        <f>""</f>
        <v/>
      </c>
      <c r="AY6" t="str">
        <f>""</f>
        <v/>
      </c>
      <c r="AZ6" t="str">
        <f>""</f>
        <v/>
      </c>
      <c r="BA6" t="str">
        <f>""</f>
        <v/>
      </c>
      <c r="BB6" t="str">
        <f>""</f>
        <v/>
      </c>
      <c r="BC6" t="str">
        <f>""</f>
        <v/>
      </c>
      <c r="BD6" t="str">
        <f>""</f>
        <v/>
      </c>
      <c r="BE6" t="str">
        <f>""</f>
        <v/>
      </c>
      <c r="BF6" t="str">
        <f>""</f>
        <v/>
      </c>
      <c r="BG6" t="str">
        <f>""</f>
        <v/>
      </c>
      <c r="BH6" t="str">
        <f>""</f>
        <v/>
      </c>
      <c r="BI6" t="str">
        <f>""</f>
        <v/>
      </c>
      <c r="BJ6" t="str">
        <f>""</f>
        <v/>
      </c>
      <c r="BK6" t="str">
        <f>""</f>
        <v/>
      </c>
      <c r="BL6" t="str">
        <f>""</f>
        <v/>
      </c>
      <c r="BM6" t="str">
        <f>""</f>
        <v/>
      </c>
      <c r="BN6" t="str">
        <f>""</f>
        <v/>
      </c>
      <c r="BO6" t="str">
        <f>""</f>
        <v/>
      </c>
      <c r="BP6" t="str">
        <f>""</f>
        <v/>
      </c>
      <c r="BQ6" t="str">
        <f>""</f>
        <v/>
      </c>
      <c r="BR6" t="str">
        <f>""</f>
        <v/>
      </c>
      <c r="BS6" t="str">
        <f>""</f>
        <v/>
      </c>
      <c r="BT6" t="str">
        <f>""</f>
        <v/>
      </c>
      <c r="BU6" t="str">
        <f>""</f>
        <v/>
      </c>
      <c r="BV6" t="str">
        <f>""</f>
        <v/>
      </c>
      <c r="BW6" t="str">
        <f>""</f>
        <v/>
      </c>
      <c r="BX6" t="str">
        <f>""</f>
        <v/>
      </c>
      <c r="BY6" t="str">
        <f>""</f>
        <v/>
      </c>
      <c r="BZ6" t="str">
        <f>""</f>
        <v/>
      </c>
      <c r="CA6" t="str">
        <f>""</f>
        <v/>
      </c>
      <c r="CB6" t="str">
        <f>""</f>
        <v/>
      </c>
      <c r="CC6" t="str">
        <f>""</f>
        <v/>
      </c>
      <c r="CD6" t="str">
        <f>""</f>
        <v/>
      </c>
      <c r="CE6" t="str">
        <f>""</f>
        <v/>
      </c>
      <c r="CF6" t="str">
        <f>""</f>
        <v/>
      </c>
      <c r="CG6" t="str">
        <f>""</f>
        <v/>
      </c>
      <c r="CH6" t="str">
        <f>""</f>
        <v/>
      </c>
      <c r="CI6" t="str">
        <f>""</f>
        <v/>
      </c>
      <c r="CJ6" t="str">
        <f>""</f>
        <v/>
      </c>
      <c r="CK6" t="str">
        <f>""</f>
        <v/>
      </c>
      <c r="CL6" t="str">
        <f>""</f>
        <v/>
      </c>
      <c r="CM6" t="str">
        <f>""</f>
        <v/>
      </c>
    </row>
    <row r="7" spans="1:91" x14ac:dyDescent="0.3">
      <c r="A7" t="str">
        <f>""</f>
        <v/>
      </c>
      <c r="B7" t="str">
        <f>"(0.0967)"</f>
        <v>(0.0967)</v>
      </c>
      <c r="C7" t="str">
        <f>"(0.0896)"</f>
        <v>(0.0896)</v>
      </c>
      <c r="D7" t="str">
        <f>"(0.0388)"</f>
        <v>(0.0388)</v>
      </c>
      <c r="E7" t="str">
        <f>""</f>
        <v/>
      </c>
      <c r="F7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t="str">
        <f>""</f>
        <v/>
      </c>
      <c r="L7" t="str">
        <f>""</f>
        <v/>
      </c>
      <c r="M7" t="str">
        <f>""</f>
        <v/>
      </c>
      <c r="N7" t="str">
        <f>""</f>
        <v/>
      </c>
      <c r="O7" t="str">
        <f>""</f>
        <v/>
      </c>
      <c r="P7" t="str">
        <f>""</f>
        <v/>
      </c>
      <c r="Q7" t="str">
        <f>""</f>
        <v/>
      </c>
      <c r="R7" t="str">
        <f>""</f>
        <v/>
      </c>
      <c r="S7" t="str">
        <f>""</f>
        <v/>
      </c>
      <c r="T7" t="str">
        <f>""</f>
        <v/>
      </c>
      <c r="U7" t="str">
        <f>""</f>
        <v/>
      </c>
      <c r="V7" t="str">
        <f>""</f>
        <v/>
      </c>
      <c r="W7" t="str">
        <f>""</f>
        <v/>
      </c>
      <c r="X7" t="str">
        <f>""</f>
        <v/>
      </c>
      <c r="Y7" t="str">
        <f>""</f>
        <v/>
      </c>
      <c r="Z7" t="str">
        <f>""</f>
        <v/>
      </c>
      <c r="AA7" t="str">
        <f>""</f>
        <v/>
      </c>
      <c r="AB7" t="str">
        <f>""</f>
        <v/>
      </c>
      <c r="AC7" t="str">
        <f>""</f>
        <v/>
      </c>
      <c r="AD7" t="str">
        <f>""</f>
        <v/>
      </c>
      <c r="AE7" t="str">
        <f>""</f>
        <v/>
      </c>
      <c r="AF7" t="str">
        <f>""</f>
        <v/>
      </c>
      <c r="AG7" t="str">
        <f>""</f>
        <v/>
      </c>
      <c r="AH7" t="str">
        <f>""</f>
        <v/>
      </c>
      <c r="AI7" t="str">
        <f>""</f>
        <v/>
      </c>
      <c r="AJ7" t="str">
        <f>""</f>
        <v/>
      </c>
      <c r="AK7" t="str">
        <f>""</f>
        <v/>
      </c>
      <c r="AL7" t="str">
        <f>""</f>
        <v/>
      </c>
      <c r="AM7" t="str">
        <f>""</f>
        <v/>
      </c>
      <c r="AN7" t="str">
        <f>""</f>
        <v/>
      </c>
      <c r="AO7" t="str">
        <f>""</f>
        <v/>
      </c>
      <c r="AP7" t="str">
        <f>""</f>
        <v/>
      </c>
      <c r="AQ7" t="str">
        <f>""</f>
        <v/>
      </c>
      <c r="AR7" t="str">
        <f>""</f>
        <v/>
      </c>
      <c r="AS7" t="str">
        <f>""</f>
        <v/>
      </c>
      <c r="AT7" t="str">
        <f>""</f>
        <v/>
      </c>
      <c r="AU7" t="str">
        <f>"(0.0802)"</f>
        <v>(0.0802)</v>
      </c>
      <c r="AV7" t="str">
        <f>"(0.0923)"</f>
        <v>(0.0923)</v>
      </c>
      <c r="AW7" t="str">
        <f>"(0.0334)"</f>
        <v>(0.0334)</v>
      </c>
      <c r="AX7" t="str">
        <f>""</f>
        <v/>
      </c>
      <c r="AY7" t="str">
        <f>""</f>
        <v/>
      </c>
      <c r="AZ7" t="str">
        <f>""</f>
        <v/>
      </c>
      <c r="BA7" t="str">
        <f>""</f>
        <v/>
      </c>
      <c r="BB7" t="str">
        <f>""</f>
        <v/>
      </c>
      <c r="BC7" t="str">
        <f>""</f>
        <v/>
      </c>
      <c r="BD7" t="str">
        <f>""</f>
        <v/>
      </c>
      <c r="BE7" t="str">
        <f>""</f>
        <v/>
      </c>
      <c r="BF7" t="str">
        <f>""</f>
        <v/>
      </c>
      <c r="BG7" t="str">
        <f>""</f>
        <v/>
      </c>
      <c r="BH7" t="str">
        <f>""</f>
        <v/>
      </c>
      <c r="BI7" t="str">
        <f>""</f>
        <v/>
      </c>
      <c r="BJ7" t="str">
        <f>""</f>
        <v/>
      </c>
      <c r="BK7" t="str">
        <f>""</f>
        <v/>
      </c>
      <c r="BL7" t="str">
        <f>""</f>
        <v/>
      </c>
      <c r="BM7" t="str">
        <f>""</f>
        <v/>
      </c>
      <c r="BN7" t="str">
        <f>""</f>
        <v/>
      </c>
      <c r="BO7" t="str">
        <f>""</f>
        <v/>
      </c>
      <c r="BP7" t="str">
        <f>""</f>
        <v/>
      </c>
      <c r="BQ7" t="str">
        <f>""</f>
        <v/>
      </c>
      <c r="BR7" t="str">
        <f>""</f>
        <v/>
      </c>
      <c r="BS7" t="str">
        <f>""</f>
        <v/>
      </c>
      <c r="BT7" t="str">
        <f>""</f>
        <v/>
      </c>
      <c r="BU7" t="str">
        <f>""</f>
        <v/>
      </c>
      <c r="BV7" t="str">
        <f>""</f>
        <v/>
      </c>
      <c r="BW7" t="str">
        <f>""</f>
        <v/>
      </c>
      <c r="BX7" t="str">
        <f>""</f>
        <v/>
      </c>
      <c r="BY7" t="str">
        <f>""</f>
        <v/>
      </c>
      <c r="BZ7" t="str">
        <f>""</f>
        <v/>
      </c>
      <c r="CA7" t="str">
        <f>""</f>
        <v/>
      </c>
      <c r="CB7" t="str">
        <f>""</f>
        <v/>
      </c>
      <c r="CC7" t="str">
        <f>""</f>
        <v/>
      </c>
      <c r="CD7" t="str">
        <f>""</f>
        <v/>
      </c>
      <c r="CE7" t="str">
        <f>""</f>
        <v/>
      </c>
      <c r="CF7" t="str">
        <f>""</f>
        <v/>
      </c>
      <c r="CG7" t="str">
        <f>""</f>
        <v/>
      </c>
      <c r="CH7" t="str">
        <f>""</f>
        <v/>
      </c>
      <c r="CI7" t="str">
        <f>""</f>
        <v/>
      </c>
      <c r="CJ7" t="str">
        <f>""</f>
        <v/>
      </c>
      <c r="CK7" t="str">
        <f>""</f>
        <v/>
      </c>
      <c r="CL7" t="str">
        <f>""</f>
        <v/>
      </c>
      <c r="CM7" t="str">
        <f>""</f>
        <v/>
      </c>
    </row>
    <row r="9" spans="1:91" x14ac:dyDescent="0.3">
      <c r="A9" t="str">
        <f>"neflbr"</f>
        <v>neflbr</v>
      </c>
      <c r="B9" t="str">
        <f>"0.464***"</f>
        <v>0.464***</v>
      </c>
      <c r="C9" t="str">
        <f>"0.745***"</f>
        <v>0.745***</v>
      </c>
      <c r="D9" t="str">
        <f>"0.419***"</f>
        <v>0.419***</v>
      </c>
      <c r="E9" t="str">
        <f>"0.486***"</f>
        <v>0.486***</v>
      </c>
      <c r="F9" t="str">
        <f>"0.753***"</f>
        <v>0.753***</v>
      </c>
      <c r="G9" t="str">
        <f>"0.405***"</f>
        <v>0.405***</v>
      </c>
      <c r="H9" t="str">
        <f>"0.478***"</f>
        <v>0.478***</v>
      </c>
      <c r="I9" t="str">
        <f>"0.760***"</f>
        <v>0.760***</v>
      </c>
      <c r="J9" t="str">
        <f>"0.401***"</f>
        <v>0.401***</v>
      </c>
      <c r="K9" t="str">
        <f>"0.491***"</f>
        <v>0.491***</v>
      </c>
      <c r="L9" t="str">
        <f>"0.744***"</f>
        <v>0.744***</v>
      </c>
      <c r="M9" t="str">
        <f>"0.399***"</f>
        <v>0.399***</v>
      </c>
      <c r="N9" t="str">
        <f>"0.470***"</f>
        <v>0.470***</v>
      </c>
      <c r="O9" t="str">
        <f>"0.743***"</f>
        <v>0.743***</v>
      </c>
      <c r="P9" t="str">
        <f>"0.401***"</f>
        <v>0.401***</v>
      </c>
      <c r="Q9" t="str">
        <f>"0.463***"</f>
        <v>0.463***</v>
      </c>
      <c r="R9" t="str">
        <f>"0.769***"</f>
        <v>0.769***</v>
      </c>
      <c r="S9" t="str">
        <f>"0.403***"</f>
        <v>0.403***</v>
      </c>
      <c r="T9" t="str">
        <f>"0.476***"</f>
        <v>0.476***</v>
      </c>
      <c r="U9" t="str">
        <f>"0.746***"</f>
        <v>0.746***</v>
      </c>
      <c r="V9" t="str">
        <f>"0.404***"</f>
        <v>0.404***</v>
      </c>
      <c r="W9" t="str">
        <f>"0.477***"</f>
        <v>0.477***</v>
      </c>
      <c r="X9" t="str">
        <f>"0.741***"</f>
        <v>0.741***</v>
      </c>
      <c r="Y9" t="str">
        <f>"0.416***"</f>
        <v>0.416***</v>
      </c>
      <c r="Z9" t="str">
        <f>"0.471***"</f>
        <v>0.471***</v>
      </c>
      <c r="AA9" t="str">
        <f>"0.749***"</f>
        <v>0.749***</v>
      </c>
      <c r="AB9" t="str">
        <f>"0.418***"</f>
        <v>0.418***</v>
      </c>
      <c r="AC9" t="str">
        <f>"0.470***"</f>
        <v>0.470***</v>
      </c>
      <c r="AD9" t="str">
        <f>"0.762***"</f>
        <v>0.762***</v>
      </c>
      <c r="AE9" t="str">
        <f>"0.411***"</f>
        <v>0.411***</v>
      </c>
      <c r="AF9" t="str">
        <f>"0.474***"</f>
        <v>0.474***</v>
      </c>
      <c r="AG9" t="str">
        <f>"0.772***"</f>
        <v>0.772***</v>
      </c>
      <c r="AH9" t="str">
        <f>"0.426***"</f>
        <v>0.426***</v>
      </c>
      <c r="AI9" t="str">
        <f>"0.473***"</f>
        <v>0.473***</v>
      </c>
      <c r="AJ9" t="str">
        <f>"0.749***"</f>
        <v>0.749***</v>
      </c>
      <c r="AK9" t="str">
        <f>"0.426***"</f>
        <v>0.426***</v>
      </c>
      <c r="AL9" t="str">
        <f>"0.475***"</f>
        <v>0.475***</v>
      </c>
      <c r="AM9" t="str">
        <f>"0.748***"</f>
        <v>0.748***</v>
      </c>
      <c r="AN9" t="str">
        <f>"0.413***"</f>
        <v>0.413***</v>
      </c>
      <c r="AO9" t="str">
        <f>"0.473***"</f>
        <v>0.473***</v>
      </c>
      <c r="AP9" t="str">
        <f>"0.745***"</f>
        <v>0.745***</v>
      </c>
      <c r="AQ9" t="str">
        <f>"0.432***"</f>
        <v>0.432***</v>
      </c>
      <c r="AR9" t="str">
        <f>"0.497***"</f>
        <v>0.497***</v>
      </c>
      <c r="AS9" t="str">
        <f>"0.751***"</f>
        <v>0.751***</v>
      </c>
      <c r="AT9" t="str">
        <f>"0.417***"</f>
        <v>0.417***</v>
      </c>
      <c r="AU9" t="str">
        <f>""</f>
        <v/>
      </c>
      <c r="AV9" t="str">
        <f>""</f>
        <v/>
      </c>
      <c r="AW9" t="str">
        <f>""</f>
        <v/>
      </c>
      <c r="AX9" t="str">
        <f>""</f>
        <v/>
      </c>
      <c r="AY9" t="str">
        <f>""</f>
        <v/>
      </c>
      <c r="AZ9" t="str">
        <f>""</f>
        <v/>
      </c>
      <c r="BA9" t="str">
        <f>""</f>
        <v/>
      </c>
      <c r="BB9" t="str">
        <f>""</f>
        <v/>
      </c>
      <c r="BC9" t="str">
        <f>""</f>
        <v/>
      </c>
      <c r="BD9" t="str">
        <f>""</f>
        <v/>
      </c>
      <c r="BE9" t="str">
        <f>""</f>
        <v/>
      </c>
      <c r="BF9" t="str">
        <f>""</f>
        <v/>
      </c>
      <c r="BG9" t="str">
        <f>""</f>
        <v/>
      </c>
      <c r="BH9" t="str">
        <f>""</f>
        <v/>
      </c>
      <c r="BI9" t="str">
        <f>""</f>
        <v/>
      </c>
      <c r="BJ9" t="str">
        <f>""</f>
        <v/>
      </c>
      <c r="BK9" t="str">
        <f>""</f>
        <v/>
      </c>
      <c r="BL9" t="str">
        <f>""</f>
        <v/>
      </c>
      <c r="BM9" t="str">
        <f>""</f>
        <v/>
      </c>
      <c r="BN9" t="str">
        <f>""</f>
        <v/>
      </c>
      <c r="BO9" t="str">
        <f>""</f>
        <v/>
      </c>
      <c r="BP9" t="str">
        <f>""</f>
        <v/>
      </c>
      <c r="BQ9" t="str">
        <f>""</f>
        <v/>
      </c>
      <c r="BR9" t="str">
        <f>""</f>
        <v/>
      </c>
      <c r="BS9" t="str">
        <f>""</f>
        <v/>
      </c>
      <c r="BT9" t="str">
        <f>""</f>
        <v/>
      </c>
      <c r="BU9" t="str">
        <f>""</f>
        <v/>
      </c>
      <c r="BV9" t="str">
        <f>""</f>
        <v/>
      </c>
      <c r="BW9" t="str">
        <f>""</f>
        <v/>
      </c>
      <c r="BX9" t="str">
        <f>""</f>
        <v/>
      </c>
      <c r="BY9" t="str">
        <f>""</f>
        <v/>
      </c>
      <c r="BZ9" t="str">
        <f>""</f>
        <v/>
      </c>
      <c r="CA9" t="str">
        <f>""</f>
        <v/>
      </c>
      <c r="CB9" t="str">
        <f>""</f>
        <v/>
      </c>
      <c r="CC9" t="str">
        <f>""</f>
        <v/>
      </c>
      <c r="CD9" t="str">
        <f>""</f>
        <v/>
      </c>
      <c r="CE9" t="str">
        <f>""</f>
        <v/>
      </c>
      <c r="CF9" t="str">
        <f>""</f>
        <v/>
      </c>
      <c r="CG9" t="str">
        <f>""</f>
        <v/>
      </c>
      <c r="CH9" t="str">
        <f>""</f>
        <v/>
      </c>
      <c r="CI9" t="str">
        <f>""</f>
        <v/>
      </c>
      <c r="CJ9" t="str">
        <f>""</f>
        <v/>
      </c>
      <c r="CK9" t="str">
        <f>""</f>
        <v/>
      </c>
      <c r="CL9" t="str">
        <f>""</f>
        <v/>
      </c>
      <c r="CM9" t="str">
        <f>""</f>
        <v/>
      </c>
    </row>
    <row r="10" spans="1:91" x14ac:dyDescent="0.3">
      <c r="A10" t="str">
        <f>""</f>
        <v/>
      </c>
      <c r="B10" t="str">
        <f>"(0.120)"</f>
        <v>(0.120)</v>
      </c>
      <c r="C10" t="str">
        <f>"(0.103)"</f>
        <v>(0.103)</v>
      </c>
      <c r="D10" t="str">
        <f>"(0.0498)"</f>
        <v>(0.0498)</v>
      </c>
      <c r="E10" t="str">
        <f>"(0.120)"</f>
        <v>(0.120)</v>
      </c>
      <c r="F10" t="str">
        <f>"(0.104)"</f>
        <v>(0.104)</v>
      </c>
      <c r="G10" t="str">
        <f>"(0.0503)"</f>
        <v>(0.0503)</v>
      </c>
      <c r="H10" t="str">
        <f>"(0.118)"</f>
        <v>(0.118)</v>
      </c>
      <c r="I10" t="str">
        <f>"(0.103)"</f>
        <v>(0.103)</v>
      </c>
      <c r="J10" t="str">
        <f>"(0.0507)"</f>
        <v>(0.0507)</v>
      </c>
      <c r="K10" t="str">
        <f>"(0.121)"</f>
        <v>(0.121)</v>
      </c>
      <c r="L10" t="str">
        <f>"(0.103)"</f>
        <v>(0.103)</v>
      </c>
      <c r="M10" t="str">
        <f>"(0.0505)"</f>
        <v>(0.0505)</v>
      </c>
      <c r="N10" t="str">
        <f>"(0.119)"</f>
        <v>(0.119)</v>
      </c>
      <c r="O10" t="str">
        <f>"(0.103)"</f>
        <v>(0.103)</v>
      </c>
      <c r="P10" t="str">
        <f>"(0.0505)"</f>
        <v>(0.0505)</v>
      </c>
      <c r="Q10" t="str">
        <f>"(0.118)"</f>
        <v>(0.118)</v>
      </c>
      <c r="R10" t="str">
        <f>"(0.105)"</f>
        <v>(0.105)</v>
      </c>
      <c r="S10" t="str">
        <f>"(0.0497)"</f>
        <v>(0.0497)</v>
      </c>
      <c r="T10" t="str">
        <f>"(0.118)"</f>
        <v>(0.118)</v>
      </c>
      <c r="U10" t="str">
        <f>"(0.103)"</f>
        <v>(0.103)</v>
      </c>
      <c r="V10" t="str">
        <f>"(0.0502)"</f>
        <v>(0.0502)</v>
      </c>
      <c r="W10" t="str">
        <f>"(0.119)"</f>
        <v>(0.119)</v>
      </c>
      <c r="X10" t="str">
        <f>"(0.104)"</f>
        <v>(0.104)</v>
      </c>
      <c r="Y10" t="str">
        <f>"(0.0495)"</f>
        <v>(0.0495)</v>
      </c>
      <c r="Z10" t="str">
        <f>"(0.118)"</f>
        <v>(0.118)</v>
      </c>
      <c r="AA10" t="str">
        <f>"(0.103)"</f>
        <v>(0.103)</v>
      </c>
      <c r="AB10" t="str">
        <f>"(0.0493)"</f>
        <v>(0.0493)</v>
      </c>
      <c r="AC10" t="str">
        <f>"(0.118)"</f>
        <v>(0.118)</v>
      </c>
      <c r="AD10" t="str">
        <f>"(0.104)"</f>
        <v>(0.104)</v>
      </c>
      <c r="AE10" t="str">
        <f>"(0.0493)"</f>
        <v>(0.0493)</v>
      </c>
      <c r="AF10" t="str">
        <f>"(0.118)"</f>
        <v>(0.118)</v>
      </c>
      <c r="AG10" t="str">
        <f>"(0.105)"</f>
        <v>(0.105)</v>
      </c>
      <c r="AH10" t="str">
        <f>"(0.0505)"</f>
        <v>(0.0505)</v>
      </c>
      <c r="AI10" t="str">
        <f>"(0.118)"</f>
        <v>(0.118)</v>
      </c>
      <c r="AJ10" t="str">
        <f>"(0.103)"</f>
        <v>(0.103)</v>
      </c>
      <c r="AK10" t="str">
        <f>"(0.0493)"</f>
        <v>(0.0493)</v>
      </c>
      <c r="AL10" t="str">
        <f>"(0.119)"</f>
        <v>(0.119)</v>
      </c>
      <c r="AM10" t="str">
        <f>"(0.103)"</f>
        <v>(0.103)</v>
      </c>
      <c r="AN10" t="str">
        <f>"(0.0497)"</f>
        <v>(0.0497)</v>
      </c>
      <c r="AO10" t="str">
        <f>"(0.118)"</f>
        <v>(0.118)</v>
      </c>
      <c r="AP10" t="str">
        <f>"(0.102)"</f>
        <v>(0.102)</v>
      </c>
      <c r="AQ10" t="str">
        <f>"(0.0498)"</f>
        <v>(0.0498)</v>
      </c>
      <c r="AR10" t="str">
        <f>"(0.120)"</f>
        <v>(0.120)</v>
      </c>
      <c r="AS10" t="str">
        <f>"(0.103)"</f>
        <v>(0.103)</v>
      </c>
      <c r="AT10" t="str">
        <f>"(0.0494)"</f>
        <v>(0.0494)</v>
      </c>
      <c r="AU10" t="str">
        <f>""</f>
        <v/>
      </c>
      <c r="AV10" t="str">
        <f>""</f>
        <v/>
      </c>
      <c r="AW10" t="str">
        <f>""</f>
        <v/>
      </c>
      <c r="AX10" t="str">
        <f>""</f>
        <v/>
      </c>
      <c r="AY10" t="str">
        <f>""</f>
        <v/>
      </c>
      <c r="AZ10" t="str">
        <f>""</f>
        <v/>
      </c>
      <c r="BA10" t="str">
        <f>""</f>
        <v/>
      </c>
      <c r="BB10" t="str">
        <f>""</f>
        <v/>
      </c>
      <c r="BC10" t="str">
        <f>""</f>
        <v/>
      </c>
      <c r="BD10" t="str">
        <f>""</f>
        <v/>
      </c>
      <c r="BE10" t="str">
        <f>""</f>
        <v/>
      </c>
      <c r="BF10" t="str">
        <f>""</f>
        <v/>
      </c>
      <c r="BG10" t="str">
        <f>""</f>
        <v/>
      </c>
      <c r="BH10" t="str">
        <f>""</f>
        <v/>
      </c>
      <c r="BI10" t="str">
        <f>""</f>
        <v/>
      </c>
      <c r="BJ10" t="str">
        <f>""</f>
        <v/>
      </c>
      <c r="BK10" t="str">
        <f>""</f>
        <v/>
      </c>
      <c r="BL10" t="str">
        <f>""</f>
        <v/>
      </c>
      <c r="BM10" t="str">
        <f>""</f>
        <v/>
      </c>
      <c r="BN10" t="str">
        <f>""</f>
        <v/>
      </c>
      <c r="BO10" t="str">
        <f>""</f>
        <v/>
      </c>
      <c r="BP10" t="str">
        <f>""</f>
        <v/>
      </c>
      <c r="BQ10" t="str">
        <f>""</f>
        <v/>
      </c>
      <c r="BR10" t="str">
        <f>""</f>
        <v/>
      </c>
      <c r="BS10" t="str">
        <f>""</f>
        <v/>
      </c>
      <c r="BT10" t="str">
        <f>""</f>
        <v/>
      </c>
      <c r="BU10" t="str">
        <f>""</f>
        <v/>
      </c>
      <c r="BV10" t="str">
        <f>""</f>
        <v/>
      </c>
      <c r="BW10" t="str">
        <f>""</f>
        <v/>
      </c>
      <c r="BX10" t="str">
        <f>""</f>
        <v/>
      </c>
      <c r="BY10" t="str">
        <f>""</f>
        <v/>
      </c>
      <c r="BZ10" t="str">
        <f>""</f>
        <v/>
      </c>
      <c r="CA10" t="str">
        <f>""</f>
        <v/>
      </c>
      <c r="CB10" t="str">
        <f>""</f>
        <v/>
      </c>
      <c r="CC10" t="str">
        <f>""</f>
        <v/>
      </c>
      <c r="CD10" t="str">
        <f>""</f>
        <v/>
      </c>
      <c r="CE10" t="str">
        <f>""</f>
        <v/>
      </c>
      <c r="CF10" t="str">
        <f>""</f>
        <v/>
      </c>
      <c r="CG10" t="str">
        <f>""</f>
        <v/>
      </c>
      <c r="CH10" t="str">
        <f>""</f>
        <v/>
      </c>
      <c r="CI10" t="str">
        <f>""</f>
        <v/>
      </c>
      <c r="CJ10" t="str">
        <f>""</f>
        <v/>
      </c>
      <c r="CK10" t="str">
        <f>""</f>
        <v/>
      </c>
      <c r="CL10" t="str">
        <f>""</f>
        <v/>
      </c>
      <c r="CM10" t="str">
        <f>""</f>
        <v/>
      </c>
    </row>
    <row r="12" spans="1:91" x14ac:dyDescent="0.3">
      <c r="A12" t="str">
        <f>"c.zMETAB1#c.neflbr"</f>
        <v>c.zMETAB1#c.neflbr</v>
      </c>
      <c r="B12" t="str">
        <f>"-0.0917"</f>
        <v>-0.0917</v>
      </c>
      <c r="C12" t="str">
        <f>"-0.0851"</f>
        <v>-0.0851</v>
      </c>
      <c r="D12" t="str">
        <f>"-0.0543"</f>
        <v>-0.0543</v>
      </c>
      <c r="E12" t="str">
        <f>""</f>
        <v/>
      </c>
      <c r="F12" t="str">
        <f>""</f>
        <v/>
      </c>
      <c r="G12" t="str">
        <f>""</f>
        <v/>
      </c>
      <c r="H12" t="str">
        <f>""</f>
        <v/>
      </c>
      <c r="I12" t="str">
        <f>""</f>
        <v/>
      </c>
      <c r="J12" t="str">
        <f>""</f>
        <v/>
      </c>
      <c r="K12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""</f>
        <v/>
      </c>
      <c r="X12" t="str">
        <f>""</f>
        <v/>
      </c>
      <c r="Y12" t="str">
        <f>""</f>
        <v/>
      </c>
      <c r="Z12" t="str">
        <f>""</f>
        <v/>
      </c>
      <c r="AA12" t="str">
        <f>""</f>
        <v/>
      </c>
      <c r="AB12" t="str">
        <f>""</f>
        <v/>
      </c>
      <c r="AC12" t="str">
        <f>""</f>
        <v/>
      </c>
      <c r="AD12" t="str">
        <f>""</f>
        <v/>
      </c>
      <c r="AE12" t="str">
        <f>""</f>
        <v/>
      </c>
      <c r="AF12" t="str">
        <f>""</f>
        <v/>
      </c>
      <c r="AG12" t="str">
        <f>""</f>
        <v/>
      </c>
      <c r="AH12" t="str">
        <f>""</f>
        <v/>
      </c>
      <c r="AI12" t="str">
        <f>""</f>
        <v/>
      </c>
      <c r="AJ12" t="str">
        <f>""</f>
        <v/>
      </c>
      <c r="AK12" t="str">
        <f>""</f>
        <v/>
      </c>
      <c r="AL12" t="str">
        <f>""</f>
        <v/>
      </c>
      <c r="AM12" t="str">
        <f>""</f>
        <v/>
      </c>
      <c r="AN12" t="str">
        <f>""</f>
        <v/>
      </c>
      <c r="AO12" t="str">
        <f>""</f>
        <v/>
      </c>
      <c r="AP12" t="str">
        <f>""</f>
        <v/>
      </c>
      <c r="AQ12" t="str">
        <f>""</f>
        <v/>
      </c>
      <c r="AR12" t="str">
        <f>""</f>
        <v/>
      </c>
      <c r="AS12" t="str">
        <f>""</f>
        <v/>
      </c>
      <c r="AT12" t="str">
        <f>""</f>
        <v/>
      </c>
      <c r="AU12" t="str">
        <f>""</f>
        <v/>
      </c>
      <c r="AV12" t="str">
        <f>""</f>
        <v/>
      </c>
      <c r="AW12" t="str">
        <f>""</f>
        <v/>
      </c>
      <c r="AX12" t="str">
        <f>""</f>
        <v/>
      </c>
      <c r="AY12" t="str">
        <f>""</f>
        <v/>
      </c>
      <c r="AZ12" t="str">
        <f>""</f>
        <v/>
      </c>
      <c r="BA12" t="str">
        <f>""</f>
        <v/>
      </c>
      <c r="BB12" t="str">
        <f>""</f>
        <v/>
      </c>
      <c r="BC12" t="str">
        <f>""</f>
        <v/>
      </c>
      <c r="BD12" t="str">
        <f>""</f>
        <v/>
      </c>
      <c r="BE12" t="str">
        <f>""</f>
        <v/>
      </c>
      <c r="BF12" t="str">
        <f>""</f>
        <v/>
      </c>
      <c r="BG12" t="str">
        <f>""</f>
        <v/>
      </c>
      <c r="BH12" t="str">
        <f>""</f>
        <v/>
      </c>
      <c r="BI12" t="str">
        <f>""</f>
        <v/>
      </c>
      <c r="BJ12" t="str">
        <f>""</f>
        <v/>
      </c>
      <c r="BK12" t="str">
        <f>""</f>
        <v/>
      </c>
      <c r="BL12" t="str">
        <f>""</f>
        <v/>
      </c>
      <c r="BM12" t="str">
        <f>""</f>
        <v/>
      </c>
      <c r="BN12" t="str">
        <f>""</f>
        <v/>
      </c>
      <c r="BO12" t="str">
        <f>""</f>
        <v/>
      </c>
      <c r="BP12" t="str">
        <f>""</f>
        <v/>
      </c>
      <c r="BQ12" t="str">
        <f>""</f>
        <v/>
      </c>
      <c r="BR12" t="str">
        <f>""</f>
        <v/>
      </c>
      <c r="BS12" t="str">
        <f>""</f>
        <v/>
      </c>
      <c r="BT12" t="str">
        <f>""</f>
        <v/>
      </c>
      <c r="BU12" t="str">
        <f>""</f>
        <v/>
      </c>
      <c r="BV12" t="str">
        <f>""</f>
        <v/>
      </c>
      <c r="BW12" t="str">
        <f>""</f>
        <v/>
      </c>
      <c r="BX12" t="str">
        <f>""</f>
        <v/>
      </c>
      <c r="BY12" t="str">
        <f>""</f>
        <v/>
      </c>
      <c r="BZ12" t="str">
        <f>""</f>
        <v/>
      </c>
      <c r="CA12" t="str">
        <f>""</f>
        <v/>
      </c>
      <c r="CB12" t="str">
        <f>""</f>
        <v/>
      </c>
      <c r="CC12" t="str">
        <f>""</f>
        <v/>
      </c>
      <c r="CD12" t="str">
        <f>""</f>
        <v/>
      </c>
      <c r="CE12" t="str">
        <f>""</f>
        <v/>
      </c>
      <c r="CF12" t="str">
        <f>""</f>
        <v/>
      </c>
      <c r="CG12" t="str">
        <f>""</f>
        <v/>
      </c>
      <c r="CH12" t="str">
        <f>""</f>
        <v/>
      </c>
      <c r="CI12" t="str">
        <f>""</f>
        <v/>
      </c>
      <c r="CJ12" t="str">
        <f>""</f>
        <v/>
      </c>
      <c r="CK12" t="str">
        <f>""</f>
        <v/>
      </c>
      <c r="CL12" t="str">
        <f>""</f>
        <v/>
      </c>
      <c r="CM12" t="str">
        <f>""</f>
        <v/>
      </c>
    </row>
    <row r="13" spans="1:91" x14ac:dyDescent="0.3">
      <c r="A13" t="str">
        <f>""</f>
        <v/>
      </c>
      <c r="B13" t="str">
        <f>"(0.113)"</f>
        <v>(0.113)</v>
      </c>
      <c r="C13" t="str">
        <f>"(0.0990)"</f>
        <v>(0.0990)</v>
      </c>
      <c r="D13" t="str">
        <f>"(0.0464)"</f>
        <v>(0.0464)</v>
      </c>
      <c r="E13" t="str">
        <f>""</f>
        <v/>
      </c>
      <c r="F13" t="str">
        <f>""</f>
        <v/>
      </c>
      <c r="G13" t="str">
        <f>""</f>
        <v/>
      </c>
      <c r="H13" t="str">
        <f>""</f>
        <v/>
      </c>
      <c r="I13" t="str">
        <f>""</f>
        <v/>
      </c>
      <c r="J13" t="str">
        <f>""</f>
        <v/>
      </c>
      <c r="K13" t="str">
        <f>""</f>
        <v/>
      </c>
      <c r="L13" t="str">
        <f>""</f>
        <v/>
      </c>
      <c r="M13" t="str">
        <f>""</f>
        <v/>
      </c>
      <c r="N13" t="str">
        <f>""</f>
        <v/>
      </c>
      <c r="O13" t="str">
        <f>""</f>
        <v/>
      </c>
      <c r="P13" t="str">
        <f>""</f>
        <v/>
      </c>
      <c r="Q13" t="str">
        <f>""</f>
        <v/>
      </c>
      <c r="R13" t="str">
        <f>""</f>
        <v/>
      </c>
      <c r="S13" t="str">
        <f>""</f>
        <v/>
      </c>
      <c r="T13" t="str">
        <f>""</f>
        <v/>
      </c>
      <c r="U13" t="str">
        <f>""</f>
        <v/>
      </c>
      <c r="V13" t="str">
        <f>""</f>
        <v/>
      </c>
      <c r="W13" t="str">
        <f>""</f>
        <v/>
      </c>
      <c r="X13" t="str">
        <f>""</f>
        <v/>
      </c>
      <c r="Y13" t="str">
        <f>""</f>
        <v/>
      </c>
      <c r="Z13" t="str">
        <f>""</f>
        <v/>
      </c>
      <c r="AA13" t="str">
        <f>""</f>
        <v/>
      </c>
      <c r="AB13" t="str">
        <f>""</f>
        <v/>
      </c>
      <c r="AC13" t="str">
        <f>""</f>
        <v/>
      </c>
      <c r="AD13" t="str">
        <f>""</f>
        <v/>
      </c>
      <c r="AE13" t="str">
        <f>""</f>
        <v/>
      </c>
      <c r="AF13" t="str">
        <f>""</f>
        <v/>
      </c>
      <c r="AG13" t="str">
        <f>""</f>
        <v/>
      </c>
      <c r="AH13" t="str">
        <f>""</f>
        <v/>
      </c>
      <c r="AI13" t="str">
        <f>""</f>
        <v/>
      </c>
      <c r="AJ13" t="str">
        <f>""</f>
        <v/>
      </c>
      <c r="AK13" t="str">
        <f>""</f>
        <v/>
      </c>
      <c r="AL13" t="str">
        <f>""</f>
        <v/>
      </c>
      <c r="AM13" t="str">
        <f>""</f>
        <v/>
      </c>
      <c r="AN13" t="str">
        <f>""</f>
        <v/>
      </c>
      <c r="AO13" t="str">
        <f>""</f>
        <v/>
      </c>
      <c r="AP13" t="str">
        <f>""</f>
        <v/>
      </c>
      <c r="AQ13" t="str">
        <f>""</f>
        <v/>
      </c>
      <c r="AR13" t="str">
        <f>""</f>
        <v/>
      </c>
      <c r="AS13" t="str">
        <f>""</f>
        <v/>
      </c>
      <c r="AT13" t="str">
        <f>""</f>
        <v/>
      </c>
      <c r="AU13" t="str">
        <f>""</f>
        <v/>
      </c>
      <c r="AV13" t="str">
        <f>""</f>
        <v/>
      </c>
      <c r="AW13" t="str">
        <f>""</f>
        <v/>
      </c>
      <c r="AX13" t="str">
        <f>""</f>
        <v/>
      </c>
      <c r="AY13" t="str">
        <f>""</f>
        <v/>
      </c>
      <c r="AZ13" t="str">
        <f>""</f>
        <v/>
      </c>
      <c r="BA13" t="str">
        <f>""</f>
        <v/>
      </c>
      <c r="BB13" t="str">
        <f>""</f>
        <v/>
      </c>
      <c r="BC13" t="str">
        <f>""</f>
        <v/>
      </c>
      <c r="BD13" t="str">
        <f>""</f>
        <v/>
      </c>
      <c r="BE13" t="str">
        <f>""</f>
        <v/>
      </c>
      <c r="BF13" t="str">
        <f>""</f>
        <v/>
      </c>
      <c r="BG13" t="str">
        <f>""</f>
        <v/>
      </c>
      <c r="BH13" t="str">
        <f>""</f>
        <v/>
      </c>
      <c r="BI13" t="str">
        <f>""</f>
        <v/>
      </c>
      <c r="BJ13" t="str">
        <f>""</f>
        <v/>
      </c>
      <c r="BK13" t="str">
        <f>""</f>
        <v/>
      </c>
      <c r="BL13" t="str">
        <f>""</f>
        <v/>
      </c>
      <c r="BM13" t="str">
        <f>""</f>
        <v/>
      </c>
      <c r="BN13" t="str">
        <f>""</f>
        <v/>
      </c>
      <c r="BO13" t="str">
        <f>""</f>
        <v/>
      </c>
      <c r="BP13" t="str">
        <f>""</f>
        <v/>
      </c>
      <c r="BQ13" t="str">
        <f>""</f>
        <v/>
      </c>
      <c r="BR13" t="str">
        <f>""</f>
        <v/>
      </c>
      <c r="BS13" t="str">
        <f>""</f>
        <v/>
      </c>
      <c r="BT13" t="str">
        <f>""</f>
        <v/>
      </c>
      <c r="BU13" t="str">
        <f>""</f>
        <v/>
      </c>
      <c r="BV13" t="str">
        <f>""</f>
        <v/>
      </c>
      <c r="BW13" t="str">
        <f>""</f>
        <v/>
      </c>
      <c r="BX13" t="str">
        <f>""</f>
        <v/>
      </c>
      <c r="BY13" t="str">
        <f>""</f>
        <v/>
      </c>
      <c r="BZ13" t="str">
        <f>""</f>
        <v/>
      </c>
      <c r="CA13" t="str">
        <f>""</f>
        <v/>
      </c>
      <c r="CB13" t="str">
        <f>""</f>
        <v/>
      </c>
      <c r="CC13" t="str">
        <f>""</f>
        <v/>
      </c>
      <c r="CD13" t="str">
        <f>""</f>
        <v/>
      </c>
      <c r="CE13" t="str">
        <f>""</f>
        <v/>
      </c>
      <c r="CF13" t="str">
        <f>""</f>
        <v/>
      </c>
      <c r="CG13" t="str">
        <f>""</f>
        <v/>
      </c>
      <c r="CH13" t="str">
        <f>""</f>
        <v/>
      </c>
      <c r="CI13" t="str">
        <f>""</f>
        <v/>
      </c>
      <c r="CJ13" t="str">
        <f>""</f>
        <v/>
      </c>
      <c r="CK13" t="str">
        <f>""</f>
        <v/>
      </c>
      <c r="CL13" t="str">
        <f>""</f>
        <v/>
      </c>
      <c r="CM13" t="str">
        <f>""</f>
        <v/>
      </c>
    </row>
    <row r="15" spans="1:91" x14ac:dyDescent="0.3">
      <c r="A15" t="str">
        <f>"zLE8_TOTALSCOREinv"</f>
        <v>zLE8_TOTALSCOREinv</v>
      </c>
      <c r="B15" t="str">
        <f>"-0.119*"</f>
        <v>-0.119*</v>
      </c>
      <c r="C15" t="str">
        <f>"0.0327"</f>
        <v>0.0327</v>
      </c>
      <c r="D15" t="str">
        <f>"0.226***"</f>
        <v>0.226***</v>
      </c>
      <c r="E15" t="str">
        <f>"-0.123*"</f>
        <v>-0.123*</v>
      </c>
      <c r="F15" t="str">
        <f>"0.00778"</f>
        <v>0.00778</v>
      </c>
      <c r="G15" t="str">
        <f>"0.193***"</f>
        <v>0.193***</v>
      </c>
      <c r="H15" t="str">
        <f>"-0.114*"</f>
        <v>-0.114*</v>
      </c>
      <c r="I15" t="str">
        <f>"0.0149"</f>
        <v>0.0149</v>
      </c>
      <c r="J15" t="str">
        <f>"0.161***"</f>
        <v>0.161***</v>
      </c>
      <c r="K15" t="str">
        <f>"-0.147*"</f>
        <v>-0.147*</v>
      </c>
      <c r="L15" t="str">
        <f>"-0.00595"</f>
        <v>-0.00595</v>
      </c>
      <c r="M15" t="str">
        <f>"0.173***"</f>
        <v>0.173***</v>
      </c>
      <c r="N15" t="str">
        <f>"-0.148**"</f>
        <v>-0.148**</v>
      </c>
      <c r="O15" t="str">
        <f>"-0.00669"</f>
        <v>-0.00669</v>
      </c>
      <c r="P15" t="str">
        <f>"0.175***"</f>
        <v>0.175***</v>
      </c>
      <c r="Q15" t="str">
        <f>"-0.132*"</f>
        <v>-0.132*</v>
      </c>
      <c r="R15" t="str">
        <f>"-0.000332"</f>
        <v>-0.000332</v>
      </c>
      <c r="S15" t="str">
        <f>"0.179***"</f>
        <v>0.179***</v>
      </c>
      <c r="T15" t="str">
        <f>"-0.144*"</f>
        <v>-0.144*</v>
      </c>
      <c r="U15" t="str">
        <f>"-0.0195"</f>
        <v>-0.0195</v>
      </c>
      <c r="V15" t="str">
        <f>"0.149***"</f>
        <v>0.149***</v>
      </c>
      <c r="W15" t="str">
        <f>"-0.137*"</f>
        <v>-0.137*</v>
      </c>
      <c r="X15" t="str">
        <f>"0.00804"</f>
        <v>0.00804</v>
      </c>
      <c r="Y15" t="str">
        <f>"0.177***"</f>
        <v>0.177***</v>
      </c>
      <c r="Z15" t="str">
        <f>"-0.129*"</f>
        <v>-0.129*</v>
      </c>
      <c r="AA15" t="str">
        <f>"0.00923"</f>
        <v>0.00923</v>
      </c>
      <c r="AB15" t="str">
        <f>"0.193***"</f>
        <v>0.193***</v>
      </c>
      <c r="AC15" t="str">
        <f>"-0.138*"</f>
        <v>-0.138*</v>
      </c>
      <c r="AD15" t="str">
        <f>"-0.00817"</f>
        <v>-0.00817</v>
      </c>
      <c r="AE15" t="str">
        <f>"0.183***"</f>
        <v>0.183***</v>
      </c>
      <c r="AF15" t="str">
        <f>"-0.143*"</f>
        <v>-0.143*</v>
      </c>
      <c r="AG15" t="str">
        <f>"-0.00982"</f>
        <v>-0.00982</v>
      </c>
      <c r="AH15" t="str">
        <f>"0.159***"</f>
        <v>0.159***</v>
      </c>
      <c r="AI15" t="str">
        <f>"-0.139*"</f>
        <v>-0.139*</v>
      </c>
      <c r="AJ15" t="str">
        <f>"0.00121"</f>
        <v>0.00121</v>
      </c>
      <c r="AK15" t="str">
        <f>"0.182***"</f>
        <v>0.182***</v>
      </c>
      <c r="AL15" t="str">
        <f>"-0.151**"</f>
        <v>-0.151**</v>
      </c>
      <c r="AM15" t="str">
        <f>"-0.00639"</f>
        <v>-0.00639</v>
      </c>
      <c r="AN15" t="str">
        <f>"0.168***"</f>
        <v>0.168***</v>
      </c>
      <c r="AO15" t="str">
        <f>"-0.141*"</f>
        <v>-0.141*</v>
      </c>
      <c r="AP15" t="str">
        <f>"-0.00230"</f>
        <v>-0.00230</v>
      </c>
      <c r="AQ15" t="str">
        <f>"0.172***"</f>
        <v>0.172***</v>
      </c>
      <c r="AR15" t="str">
        <f>"-0.137*"</f>
        <v>-0.137*</v>
      </c>
      <c r="AS15" t="str">
        <f>"-0.000379"</f>
        <v>-0.000379</v>
      </c>
      <c r="AT15" t="str">
        <f>"0.163***"</f>
        <v>0.163***</v>
      </c>
      <c r="AU15" t="str">
        <f>"-0.134*"</f>
        <v>-0.134*</v>
      </c>
      <c r="AV15" t="str">
        <f>"0.0399"</f>
        <v>0.0399</v>
      </c>
      <c r="AW15" t="str">
        <f>"0.217***"</f>
        <v>0.217***</v>
      </c>
      <c r="AX15" t="str">
        <f>"-0.132*"</f>
        <v>-0.132*</v>
      </c>
      <c r="AY15" t="str">
        <f>"0.00641"</f>
        <v>0.00641</v>
      </c>
      <c r="AZ15" t="str">
        <f>"0.188***"</f>
        <v>0.188***</v>
      </c>
      <c r="BA15" t="str">
        <f>"-0.130*"</f>
        <v>-0.130*</v>
      </c>
      <c r="BB15" t="str">
        <f>"0.00896"</f>
        <v>0.00896</v>
      </c>
      <c r="BC15" t="str">
        <f>"0.152***"</f>
        <v>0.152***</v>
      </c>
      <c r="BD15" t="str">
        <f>"-0.160**"</f>
        <v>-0.160**</v>
      </c>
      <c r="BE15" t="str">
        <f>"-0.00668"</f>
        <v>-0.00668</v>
      </c>
      <c r="BF15" t="str">
        <f>"0.164***"</f>
        <v>0.164***</v>
      </c>
      <c r="BG15" t="str">
        <f>"-0.162**"</f>
        <v>-0.162**</v>
      </c>
      <c r="BH15" t="str">
        <f>"-0.00793"</f>
        <v>-0.00793</v>
      </c>
      <c r="BI15" t="str">
        <f>"0.168***"</f>
        <v>0.168***</v>
      </c>
      <c r="BJ15" t="str">
        <f>"-0.142*"</f>
        <v>-0.142*</v>
      </c>
      <c r="BK15" t="str">
        <f>"-0.00378"</f>
        <v>-0.00378</v>
      </c>
      <c r="BL15" t="str">
        <f>"0.172***"</f>
        <v>0.172***</v>
      </c>
      <c r="BM15" t="str">
        <f>"-0.159**"</f>
        <v>-0.159**</v>
      </c>
      <c r="BN15" t="str">
        <f>"-0.0200"</f>
        <v>-0.0200</v>
      </c>
      <c r="BO15" t="str">
        <f>"0.140***"</f>
        <v>0.140***</v>
      </c>
      <c r="BP15" t="str">
        <f>"-0.148**"</f>
        <v>-0.148**</v>
      </c>
      <c r="BQ15" t="str">
        <f>"0.00790"</f>
        <v>0.00790</v>
      </c>
      <c r="BR15" t="str">
        <f>"0.170***"</f>
        <v>0.170***</v>
      </c>
      <c r="BS15" t="str">
        <f>"-0.143*"</f>
        <v>-0.143*</v>
      </c>
      <c r="BT15" t="str">
        <f>"0.0111"</f>
        <v>0.0111</v>
      </c>
      <c r="BU15" t="str">
        <f>"0.185***"</f>
        <v>0.185***</v>
      </c>
      <c r="BV15" t="str">
        <f>"-0.148**"</f>
        <v>-0.148**</v>
      </c>
      <c r="BW15" t="str">
        <f>"-0.00889"</f>
        <v>-0.00889</v>
      </c>
      <c r="BX15" t="str">
        <f>"0.176***"</f>
        <v>0.176***</v>
      </c>
      <c r="BY15" t="str">
        <f>"-0.154**"</f>
        <v>-0.154**</v>
      </c>
      <c r="BZ15" t="str">
        <f>"-0.0110"</f>
        <v>-0.0110</v>
      </c>
      <c r="CA15" t="str">
        <f>"0.153***"</f>
        <v>0.153***</v>
      </c>
      <c r="CB15" t="str">
        <f>"-0.154**"</f>
        <v>-0.154**</v>
      </c>
      <c r="CC15" t="str">
        <f>"-0.000366"</f>
        <v>-0.000366</v>
      </c>
      <c r="CD15" t="str">
        <f>"0.172***"</f>
        <v>0.172***</v>
      </c>
      <c r="CE15" t="str">
        <f>"-0.164**"</f>
        <v>-0.164**</v>
      </c>
      <c r="CF15" t="str">
        <f>"-0.00668"</f>
        <v>-0.00668</v>
      </c>
      <c r="CG15" t="str">
        <f>"0.159***"</f>
        <v>0.159***</v>
      </c>
      <c r="CH15" t="str">
        <f>"-0.154**"</f>
        <v>-0.154**</v>
      </c>
      <c r="CI15" t="str">
        <f>"0.000231"</f>
        <v>0.000231</v>
      </c>
      <c r="CJ15" t="str">
        <f>"0.165***"</f>
        <v>0.165***</v>
      </c>
      <c r="CK15" t="str">
        <f>"-0.151**"</f>
        <v>-0.151**</v>
      </c>
      <c r="CL15" t="str">
        <f>"-0.00136"</f>
        <v>-0.00136</v>
      </c>
      <c r="CM15" t="str">
        <f>"0.155***"</f>
        <v>0.155***</v>
      </c>
    </row>
    <row r="16" spans="1:91" x14ac:dyDescent="0.3">
      <c r="A16" t="str">
        <f>""</f>
        <v/>
      </c>
      <c r="B16" t="str">
        <f>"(0.0596)"</f>
        <v>(0.0596)</v>
      </c>
      <c r="C16" t="str">
        <f>"(0.0466)"</f>
        <v>(0.0466)</v>
      </c>
      <c r="D16" t="str">
        <f>"(0.0245)"</f>
        <v>(0.0245)</v>
      </c>
      <c r="E16" t="str">
        <f>"(0.0583)"</f>
        <v>(0.0583)</v>
      </c>
      <c r="F16" t="str">
        <f>"(0.0456)"</f>
        <v>(0.0456)</v>
      </c>
      <c r="G16" t="str">
        <f>"(0.0240)"</f>
        <v>(0.0240)</v>
      </c>
      <c r="H16" t="str">
        <f>"(0.0582)"</f>
        <v>(0.0582)</v>
      </c>
      <c r="I16" t="str">
        <f>"(0.0454)"</f>
        <v>(0.0454)</v>
      </c>
      <c r="J16" t="str">
        <f>"(0.0240)"</f>
        <v>(0.0240)</v>
      </c>
      <c r="K16" t="str">
        <f>"(0.0569)"</f>
        <v>(0.0569)</v>
      </c>
      <c r="L16" t="str">
        <f>"(0.0444)"</f>
        <v>(0.0444)</v>
      </c>
      <c r="M16" t="str">
        <f>"(0.0234)"</f>
        <v>(0.0234)</v>
      </c>
      <c r="N16" t="str">
        <f>"(0.0570)"</f>
        <v>(0.0570)</v>
      </c>
      <c r="O16" t="str">
        <f>"(0.0445)"</f>
        <v>(0.0445)</v>
      </c>
      <c r="P16" t="str">
        <f>"(0.0234)"</f>
        <v>(0.0234)</v>
      </c>
      <c r="Q16" t="str">
        <f>"(0.0573)"</f>
        <v>(0.0573)</v>
      </c>
      <c r="R16" t="str">
        <f>"(0.0447)"</f>
        <v>(0.0447)</v>
      </c>
      <c r="S16" t="str">
        <f>"(0.0236)"</f>
        <v>(0.0236)</v>
      </c>
      <c r="T16" t="str">
        <f>"(0.0575)"</f>
        <v>(0.0575)</v>
      </c>
      <c r="U16" t="str">
        <f>"(0.0450)"</f>
        <v>(0.0450)</v>
      </c>
      <c r="V16" t="str">
        <f>"(0.0237)"</f>
        <v>(0.0237)</v>
      </c>
      <c r="W16" t="str">
        <f>"(0.0574)"</f>
        <v>(0.0574)</v>
      </c>
      <c r="X16" t="str">
        <f>"(0.0448)"</f>
        <v>(0.0448)</v>
      </c>
      <c r="Y16" t="str">
        <f>"(0.0237)"</f>
        <v>(0.0237)</v>
      </c>
      <c r="Z16" t="str">
        <f>"(0.0577)"</f>
        <v>(0.0577)</v>
      </c>
      <c r="AA16" t="str">
        <f>"(0.0450)"</f>
        <v>(0.0450)</v>
      </c>
      <c r="AB16" t="str">
        <f>"(0.0238)"</f>
        <v>(0.0238)</v>
      </c>
      <c r="AC16" t="str">
        <f>"(0.0574)"</f>
        <v>(0.0574)</v>
      </c>
      <c r="AD16" t="str">
        <f>"(0.0448)"</f>
        <v>(0.0448)</v>
      </c>
      <c r="AE16" t="str">
        <f>"(0.0237)"</f>
        <v>(0.0237)</v>
      </c>
      <c r="AF16" t="str">
        <f>"(0.0586)"</f>
        <v>(0.0586)</v>
      </c>
      <c r="AG16" t="str">
        <f>"(0.0457)"</f>
        <v>(0.0457)</v>
      </c>
      <c r="AH16" t="str">
        <f>"(0.0242)"</f>
        <v>(0.0242)</v>
      </c>
      <c r="AI16" t="str">
        <f>"(0.0571)"</f>
        <v>(0.0571)</v>
      </c>
      <c r="AJ16" t="str">
        <f>"(0.0446)"</f>
        <v>(0.0446)</v>
      </c>
      <c r="AK16" t="str">
        <f>"(0.0236)"</f>
        <v>(0.0236)</v>
      </c>
      <c r="AL16" t="str">
        <f>"(0.0570)"</f>
        <v>(0.0570)</v>
      </c>
      <c r="AM16" t="str">
        <f>"(0.0445)"</f>
        <v>(0.0445)</v>
      </c>
      <c r="AN16" t="str">
        <f>"(0.0235)"</f>
        <v>(0.0235)</v>
      </c>
      <c r="AO16" t="str">
        <f>"(0.0572)"</f>
        <v>(0.0572)</v>
      </c>
      <c r="AP16" t="str">
        <f>"(0.0446)"</f>
        <v>(0.0446)</v>
      </c>
      <c r="AQ16" t="str">
        <f>"(0.0236)"</f>
        <v>(0.0236)</v>
      </c>
      <c r="AR16" t="str">
        <f>"(0.0574)"</f>
        <v>(0.0574)</v>
      </c>
      <c r="AS16" t="str">
        <f>"(0.0448)"</f>
        <v>(0.0448)</v>
      </c>
      <c r="AT16" t="str">
        <f>"(0.0237)"</f>
        <v>(0.0237)</v>
      </c>
      <c r="AU16" t="str">
        <f>"(0.0596)"</f>
        <v>(0.0596)</v>
      </c>
      <c r="AV16" t="str">
        <f>"(0.0468)"</f>
        <v>(0.0468)</v>
      </c>
      <c r="AW16" t="str">
        <f>"(0.0246)"</f>
        <v>(0.0246)</v>
      </c>
      <c r="AX16" t="str">
        <f>"(0.0583)"</f>
        <v>(0.0583)</v>
      </c>
      <c r="AY16" t="str">
        <f>"(0.0458)"</f>
        <v>(0.0458)</v>
      </c>
      <c r="AZ16" t="str">
        <f>"(0.0240)"</f>
        <v>(0.0240)</v>
      </c>
      <c r="BA16" t="str">
        <f>"(0.0582)"</f>
        <v>(0.0582)</v>
      </c>
      <c r="BB16" t="str">
        <f>"(0.0456)"</f>
        <v>(0.0456)</v>
      </c>
      <c r="BC16" t="str">
        <f>"(0.0241)"</f>
        <v>(0.0241)</v>
      </c>
      <c r="BD16" t="str">
        <f>"(0.0569)"</f>
        <v>(0.0569)</v>
      </c>
      <c r="BE16" t="str">
        <f>"(0.0446)"</f>
        <v>(0.0446)</v>
      </c>
      <c r="BF16" t="str">
        <f>"(0.0235)"</f>
        <v>(0.0235)</v>
      </c>
      <c r="BG16" t="str">
        <f>"(0.0570)"</f>
        <v>(0.0570)</v>
      </c>
      <c r="BH16" t="str">
        <f>"(0.0447)"</f>
        <v>(0.0447)</v>
      </c>
      <c r="BI16" t="str">
        <f>"(0.0235)"</f>
        <v>(0.0235)</v>
      </c>
      <c r="BJ16" t="str">
        <f>"(0.0572)"</f>
        <v>(0.0572)</v>
      </c>
      <c r="BK16" t="str">
        <f>"(0.0449)"</f>
        <v>(0.0449)</v>
      </c>
      <c r="BL16" t="str">
        <f>"(0.0236)"</f>
        <v>(0.0236)</v>
      </c>
      <c r="BM16" t="str">
        <f>"(0.0575)"</f>
        <v>(0.0575)</v>
      </c>
      <c r="BN16" t="str">
        <f>"(0.0452)"</f>
        <v>(0.0452)</v>
      </c>
      <c r="BO16" t="str">
        <f>"(0.0238)"</f>
        <v>(0.0238)</v>
      </c>
      <c r="BP16" t="str">
        <f>"(0.0573)"</f>
        <v>(0.0573)</v>
      </c>
      <c r="BQ16" t="str">
        <f>"(0.0450)"</f>
        <v>(0.0450)</v>
      </c>
      <c r="BR16" t="str">
        <f>"(0.0237)"</f>
        <v>(0.0237)</v>
      </c>
      <c r="BS16" t="str">
        <f>"(0.0577)"</f>
        <v>(0.0577)</v>
      </c>
      <c r="BT16" t="str">
        <f>"(0.0452)"</f>
        <v>(0.0452)</v>
      </c>
      <c r="BU16" t="str">
        <f>"(0.0238)"</f>
        <v>(0.0238)</v>
      </c>
      <c r="BV16" t="str">
        <f>"(0.0574)"</f>
        <v>(0.0574)</v>
      </c>
      <c r="BW16" t="str">
        <f>"(0.0450)"</f>
        <v>(0.0450)</v>
      </c>
      <c r="BX16" t="str">
        <f>"(0.0238)"</f>
        <v>(0.0238)</v>
      </c>
      <c r="BY16" t="str">
        <f>"(0.0586)"</f>
        <v>(0.0586)</v>
      </c>
      <c r="BZ16" t="str">
        <f>"(0.0459)"</f>
        <v>(0.0459)</v>
      </c>
      <c r="CA16" t="str">
        <f>"(0.0242)"</f>
        <v>(0.0242)</v>
      </c>
      <c r="CB16" t="str">
        <f>"(0.0570)"</f>
        <v>(0.0570)</v>
      </c>
      <c r="CC16" t="str">
        <f>"(0.0448)"</f>
        <v>(0.0448)</v>
      </c>
      <c r="CD16" t="str">
        <f>"(0.0236)"</f>
        <v>(0.0236)</v>
      </c>
      <c r="CE16" t="str">
        <f>"(0.0570)"</f>
        <v>(0.0570)</v>
      </c>
      <c r="CF16" t="str">
        <f>"(0.0447)"</f>
        <v>(0.0447)</v>
      </c>
      <c r="CG16" t="str">
        <f>"(0.0236)"</f>
        <v>(0.0236)</v>
      </c>
      <c r="CH16" t="str">
        <f>"(0.0572)"</f>
        <v>(0.0572)</v>
      </c>
      <c r="CI16" t="str">
        <f>"(0.0449)"</f>
        <v>(0.0449)</v>
      </c>
      <c r="CJ16" t="str">
        <f>"(0.0236)"</f>
        <v>(0.0236)</v>
      </c>
      <c r="CK16" t="str">
        <f>"(0.0574)"</f>
        <v>(0.0574)</v>
      </c>
      <c r="CL16" t="str">
        <f>"(0.0450)"</f>
        <v>(0.0450)</v>
      </c>
      <c r="CM16" t="str">
        <f>"(0.0237)"</f>
        <v>(0.0237)</v>
      </c>
    </row>
    <row r="18" spans="1:91" x14ac:dyDescent="0.3">
      <c r="A18" t="str">
        <f>"SEX"</f>
        <v>SEX</v>
      </c>
      <c r="B18" t="str">
        <f>"-0.737***"</f>
        <v>-0.737***</v>
      </c>
      <c r="C18" t="str">
        <f>"-0.0472"</f>
        <v>-0.0472</v>
      </c>
      <c r="D18" t="str">
        <f>"-0.449***"</f>
        <v>-0.449***</v>
      </c>
      <c r="E18" t="str">
        <f>"-0.855***"</f>
        <v>-0.855***</v>
      </c>
      <c r="F18" t="str">
        <f>"-0.140"</f>
        <v>-0.140</v>
      </c>
      <c r="G18" t="str">
        <f>"-0.585***"</f>
        <v>-0.585***</v>
      </c>
      <c r="H18" t="str">
        <f>"-0.817***"</f>
        <v>-0.817***</v>
      </c>
      <c r="I18" t="str">
        <f>"-0.124"</f>
        <v>-0.124</v>
      </c>
      <c r="J18" t="str">
        <f>"-0.493***"</f>
        <v>-0.493***</v>
      </c>
      <c r="K18" t="str">
        <f>"-0.745***"</f>
        <v>-0.745***</v>
      </c>
      <c r="L18" t="str">
        <f>"-0.0530"</f>
        <v>-0.0530</v>
      </c>
      <c r="M18" t="str">
        <f>"-0.422***"</f>
        <v>-0.422***</v>
      </c>
      <c r="N18" t="str">
        <f>"-0.772***"</f>
        <v>-0.772***</v>
      </c>
      <c r="O18" t="str">
        <f>"-0.0990"</f>
        <v>-0.0990</v>
      </c>
      <c r="P18" t="str">
        <f>"-0.491***"</f>
        <v>-0.491***</v>
      </c>
      <c r="Q18" t="str">
        <f>"-0.832***"</f>
        <v>-0.832***</v>
      </c>
      <c r="R18" t="str">
        <f>"-0.113"</f>
        <v>-0.113</v>
      </c>
      <c r="S18" t="str">
        <f>"-0.535***"</f>
        <v>-0.535***</v>
      </c>
      <c r="T18" t="str">
        <f>"-0.776***"</f>
        <v>-0.776***</v>
      </c>
      <c r="U18" t="str">
        <f>"-0.0601"</f>
        <v>-0.0601</v>
      </c>
      <c r="V18" t="str">
        <f>"-0.447***"</f>
        <v>-0.447***</v>
      </c>
      <c r="W18" t="str">
        <f>"-0.800***"</f>
        <v>-0.800***</v>
      </c>
      <c r="X18" t="str">
        <f>"-0.139"</f>
        <v>-0.139</v>
      </c>
      <c r="Y18" t="str">
        <f>"-0.517***"</f>
        <v>-0.517***</v>
      </c>
      <c r="Z18" t="str">
        <f>"-0.780***"</f>
        <v>-0.780***</v>
      </c>
      <c r="AA18" t="str">
        <f>"-0.0984"</f>
        <v>-0.0984</v>
      </c>
      <c r="AB18" t="str">
        <f>"-0.525***"</f>
        <v>-0.525***</v>
      </c>
      <c r="AC18" t="str">
        <f>"-0.784***"</f>
        <v>-0.784***</v>
      </c>
      <c r="AD18" t="str">
        <f>"-0.0882"</f>
        <v>-0.0882</v>
      </c>
      <c r="AE18" t="str">
        <f>"-0.530***"</f>
        <v>-0.530***</v>
      </c>
      <c r="AF18" t="str">
        <f>"-0.770***"</f>
        <v>-0.770***</v>
      </c>
      <c r="AG18" t="str">
        <f>"-0.0901"</f>
        <v>-0.0901</v>
      </c>
      <c r="AH18" t="str">
        <f>"-0.500***"</f>
        <v>-0.500***</v>
      </c>
      <c r="AI18" t="str">
        <f>"-0.776***"</f>
        <v>-0.776***</v>
      </c>
      <c r="AJ18" t="str">
        <f>"-0.0997"</f>
        <v>-0.0997</v>
      </c>
      <c r="AK18" t="str">
        <f>"-0.519***"</f>
        <v>-0.519***</v>
      </c>
      <c r="AL18" t="str">
        <f>"-0.765***"</f>
        <v>-0.765***</v>
      </c>
      <c r="AM18" t="str">
        <f>"-0.0936"</f>
        <v>-0.0936</v>
      </c>
      <c r="AN18" t="str">
        <f>"-0.505***"</f>
        <v>-0.505***</v>
      </c>
      <c r="AO18" t="str">
        <f>"-0.774***"</f>
        <v>-0.774***</v>
      </c>
      <c r="AP18" t="str">
        <f>"-0.0968"</f>
        <v>-0.0968</v>
      </c>
      <c r="AQ18" t="str">
        <f>"-0.508***"</f>
        <v>-0.508***</v>
      </c>
      <c r="AR18" t="str">
        <f>"-0.764***"</f>
        <v>-0.764***</v>
      </c>
      <c r="AS18" t="str">
        <f>"-0.0918"</f>
        <v>-0.0918</v>
      </c>
      <c r="AT18" t="str">
        <f>"-0.513***"</f>
        <v>-0.513***</v>
      </c>
      <c r="AU18" t="str">
        <f>"-0.735***"</f>
        <v>-0.735***</v>
      </c>
      <c r="AV18" t="str">
        <f>"-0.167*"</f>
        <v>-0.167*</v>
      </c>
      <c r="AW18" t="str">
        <f>"-0.454***"</f>
        <v>-0.454***</v>
      </c>
      <c r="AX18" t="str">
        <f>"-0.862***"</f>
        <v>-0.862***</v>
      </c>
      <c r="AY18" t="str">
        <f>"-0.268**"</f>
        <v>-0.268**</v>
      </c>
      <c r="AZ18" t="str">
        <f>"-0.591***"</f>
        <v>-0.591***</v>
      </c>
      <c r="BA18" t="str">
        <f>"-0.812***"</f>
        <v>-0.812***</v>
      </c>
      <c r="BB18" t="str">
        <f>"-0.241**"</f>
        <v>-0.241**</v>
      </c>
      <c r="BC18" t="str">
        <f>"-0.490***"</f>
        <v>-0.490***</v>
      </c>
      <c r="BD18" t="str">
        <f>"-0.743***"</f>
        <v>-0.743***</v>
      </c>
      <c r="BE18" t="str">
        <f>"-0.170"</f>
        <v>-0.170</v>
      </c>
      <c r="BF18" t="str">
        <f>"-0.421***"</f>
        <v>-0.421***</v>
      </c>
      <c r="BG18" t="str">
        <f>"-0.767***"</f>
        <v>-0.767***</v>
      </c>
      <c r="BH18" t="str">
        <f>"-0.216**"</f>
        <v>-0.216**</v>
      </c>
      <c r="BI18" t="str">
        <f>"-0.492***"</f>
        <v>-0.492***</v>
      </c>
      <c r="BJ18" t="str">
        <f>"-0.827***"</f>
        <v>-0.827***</v>
      </c>
      <c r="BK18" t="str">
        <f>"-0.230**"</f>
        <v>-0.230**</v>
      </c>
      <c r="BL18" t="str">
        <f>"-0.534***"</f>
        <v>-0.534***</v>
      </c>
      <c r="BM18" t="str">
        <f>"-0.769***"</f>
        <v>-0.769***</v>
      </c>
      <c r="BN18" t="str">
        <f>"-0.180*"</f>
        <v>-0.180*</v>
      </c>
      <c r="BO18" t="str">
        <f>"-0.445***"</f>
        <v>-0.445***</v>
      </c>
      <c r="BP18" t="str">
        <f>"-0.795***"</f>
        <v>-0.795***</v>
      </c>
      <c r="BQ18" t="str">
        <f>"-0.269**"</f>
        <v>-0.269**</v>
      </c>
      <c r="BR18" t="str">
        <f>"-0.520***"</f>
        <v>-0.520***</v>
      </c>
      <c r="BS18" t="str">
        <f>"-0.778***"</f>
        <v>-0.778***</v>
      </c>
      <c r="BT18" t="str">
        <f>"-0.228**"</f>
        <v>-0.228**</v>
      </c>
      <c r="BU18" t="str">
        <f>"-0.526***"</f>
        <v>-0.526***</v>
      </c>
      <c r="BV18" t="str">
        <f>"-0.779***"</f>
        <v>-0.779***</v>
      </c>
      <c r="BW18" t="str">
        <f>"-0.211*"</f>
        <v>-0.211*</v>
      </c>
      <c r="BX18" t="str">
        <f>"-0.529***"</f>
        <v>-0.529***</v>
      </c>
      <c r="BY18" t="str">
        <f>"-0.765***"</f>
        <v>-0.765***</v>
      </c>
      <c r="BZ18" t="str">
        <f>"-0.214*"</f>
        <v>-0.214*</v>
      </c>
      <c r="CA18" t="str">
        <f>"-0.502***"</f>
        <v>-0.502***</v>
      </c>
      <c r="CB18" t="str">
        <f>"-0.770***"</f>
        <v>-0.770***</v>
      </c>
      <c r="CC18" t="str">
        <f>"-0.218**"</f>
        <v>-0.218**</v>
      </c>
      <c r="CD18" t="str">
        <f>"-0.518***"</f>
        <v>-0.518***</v>
      </c>
      <c r="CE18" t="str">
        <f>"-0.760***"</f>
        <v>-0.760***</v>
      </c>
      <c r="CF18" t="str">
        <f>"-0.215**"</f>
        <v>-0.215**</v>
      </c>
      <c r="CG18" t="str">
        <f>"-0.502***"</f>
        <v>-0.502***</v>
      </c>
      <c r="CH18" t="str">
        <f>"-0.767***"</f>
        <v>-0.767***</v>
      </c>
      <c r="CI18" t="str">
        <f>"-0.221**"</f>
        <v>-0.221**</v>
      </c>
      <c r="CJ18" t="str">
        <f>"-0.510***"</f>
        <v>-0.510***</v>
      </c>
      <c r="CK18" t="str">
        <f>"-0.758***"</f>
        <v>-0.758***</v>
      </c>
      <c r="CL18" t="str">
        <f>"-0.213*"</f>
        <v>-0.213*</v>
      </c>
      <c r="CM18" t="str">
        <f>"-0.514***"</f>
        <v>-0.514***</v>
      </c>
    </row>
    <row r="19" spans="1:91" x14ac:dyDescent="0.3">
      <c r="A19" t="str">
        <f>""</f>
        <v/>
      </c>
      <c r="B19" t="str">
        <f>"(0.112)"</f>
        <v>(0.112)</v>
      </c>
      <c r="C19" t="str">
        <f>"(0.0844)"</f>
        <v>(0.0844)</v>
      </c>
      <c r="D19" t="str">
        <f>"(0.0465)"</f>
        <v>(0.0465)</v>
      </c>
      <c r="E19" t="str">
        <f>"(0.120)"</f>
        <v>(0.120)</v>
      </c>
      <c r="F19" t="str">
        <f>"(0.0899)"</f>
        <v>(0.0899)</v>
      </c>
      <c r="G19" t="str">
        <f>"(0.0498)"</f>
        <v>(0.0498)</v>
      </c>
      <c r="H19" t="str">
        <f>"(0.111)"</f>
        <v>(0.111)</v>
      </c>
      <c r="I19" t="str">
        <f>"(0.0838)"</f>
        <v>(0.0838)</v>
      </c>
      <c r="J19" t="str">
        <f>"(0.0464)"</f>
        <v>(0.0464)</v>
      </c>
      <c r="K19" t="str">
        <f>"(0.119)"</f>
        <v>(0.119)</v>
      </c>
      <c r="L19" t="str">
        <f>"(0.0901)"</f>
        <v>(0.0901)</v>
      </c>
      <c r="M19" t="str">
        <f>"(0.0493)"</f>
        <v>(0.0493)</v>
      </c>
      <c r="N19" t="str">
        <f>"(0.110)"</f>
        <v>(0.110)</v>
      </c>
      <c r="O19" t="str">
        <f>"(0.0829)"</f>
        <v>(0.0829)</v>
      </c>
      <c r="P19" t="str">
        <f>"(0.0459)"</f>
        <v>(0.0459)</v>
      </c>
      <c r="Q19" t="str">
        <f>"(0.113)"</f>
        <v>(0.113)</v>
      </c>
      <c r="R19" t="str">
        <f>"(0.0850)"</f>
        <v>(0.0850)</v>
      </c>
      <c r="S19" t="str">
        <f>"(0.0471)"</f>
        <v>(0.0471)</v>
      </c>
      <c r="T19" t="str">
        <f>"(0.112)"</f>
        <v>(0.112)</v>
      </c>
      <c r="U19" t="str">
        <f>"(0.0848)"</f>
        <v>(0.0848)</v>
      </c>
      <c r="V19" t="str">
        <f>"(0.0467)"</f>
        <v>(0.0467)</v>
      </c>
      <c r="W19" t="str">
        <f>"(0.112)"</f>
        <v>(0.112)</v>
      </c>
      <c r="X19" t="str">
        <f>"(0.0844)"</f>
        <v>(0.0844)</v>
      </c>
      <c r="Y19" t="str">
        <f>"(0.0466)"</f>
        <v>(0.0466)</v>
      </c>
      <c r="Z19" t="str">
        <f>"(0.110)"</f>
        <v>(0.110)</v>
      </c>
      <c r="AA19" t="str">
        <f>"(0.0828)"</f>
        <v>(0.0828)</v>
      </c>
      <c r="AB19" t="str">
        <f>"(0.0459)"</f>
        <v>(0.0459)</v>
      </c>
      <c r="AC19" t="str">
        <f>"(0.111)"</f>
        <v>(0.111)</v>
      </c>
      <c r="AD19" t="str">
        <f>"(0.0833)"</f>
        <v>(0.0833)</v>
      </c>
      <c r="AE19" t="str">
        <f>"(0.0462)"</f>
        <v>(0.0462)</v>
      </c>
      <c r="AF19" t="str">
        <f>"(0.110)"</f>
        <v>(0.110)</v>
      </c>
      <c r="AG19" t="str">
        <f>"(0.0829)"</f>
        <v>(0.0829)</v>
      </c>
      <c r="AH19" t="str">
        <f>"(0.0459)"</f>
        <v>(0.0459)</v>
      </c>
      <c r="AI19" t="str">
        <f>"(0.110)"</f>
        <v>(0.110)</v>
      </c>
      <c r="AJ19" t="str">
        <f>"(0.0827)"</f>
        <v>(0.0827)</v>
      </c>
      <c r="AK19" t="str">
        <f>"(0.0458)"</f>
        <v>(0.0458)</v>
      </c>
      <c r="AL19" t="str">
        <f>"(0.110)"</f>
        <v>(0.110)</v>
      </c>
      <c r="AM19" t="str">
        <f>"(0.0827)"</f>
        <v>(0.0827)</v>
      </c>
      <c r="AN19" t="str">
        <f>"(0.0458)"</f>
        <v>(0.0458)</v>
      </c>
      <c r="AO19" t="str">
        <f>"(0.110)"</f>
        <v>(0.110)</v>
      </c>
      <c r="AP19" t="str">
        <f>"(0.0827)"</f>
        <v>(0.0827)</v>
      </c>
      <c r="AQ19" t="str">
        <f>"(0.0458)"</f>
        <v>(0.0458)</v>
      </c>
      <c r="AR19" t="str">
        <f>"(0.110)"</f>
        <v>(0.110)</v>
      </c>
      <c r="AS19" t="str">
        <f>"(0.0827)"</f>
        <v>(0.0827)</v>
      </c>
      <c r="AT19" t="str">
        <f>"(0.0457)"</f>
        <v>(0.0457)</v>
      </c>
      <c r="AU19" t="str">
        <f>"(0.112)"</f>
        <v>(0.112)</v>
      </c>
      <c r="AV19" t="str">
        <f>"(0.0848)"</f>
        <v>(0.0848)</v>
      </c>
      <c r="AW19" t="str">
        <f>"(0.0470)"</f>
        <v>(0.0470)</v>
      </c>
      <c r="AX19" t="str">
        <f>"(0.121)"</f>
        <v>(0.121)</v>
      </c>
      <c r="AY19" t="str">
        <f>"(0.0908)"</f>
        <v>(0.0908)</v>
      </c>
      <c r="AZ19" t="str">
        <f>"(0.0501)"</f>
        <v>(0.0501)</v>
      </c>
      <c r="BA19" t="str">
        <f>"(0.113)"</f>
        <v>(0.113)</v>
      </c>
      <c r="BB19" t="str">
        <f>"(0.0846)"</f>
        <v>(0.0846)</v>
      </c>
      <c r="BC19" t="str">
        <f>"(0.0468)"</f>
        <v>(0.0468)</v>
      </c>
      <c r="BD19" t="str">
        <f>"(0.120)"</f>
        <v>(0.120)</v>
      </c>
      <c r="BE19" t="str">
        <f>"(0.0909)"</f>
        <v>(0.0909)</v>
      </c>
      <c r="BF19" t="str">
        <f>"(0.0498)"</f>
        <v>(0.0498)</v>
      </c>
      <c r="BG19" t="str">
        <f>"(0.111)"</f>
        <v>(0.111)</v>
      </c>
      <c r="BH19" t="str">
        <f>"(0.0836)"</f>
        <v>(0.0836)</v>
      </c>
      <c r="BI19" t="str">
        <f>"(0.0464)"</f>
        <v>(0.0464)</v>
      </c>
      <c r="BJ19" t="str">
        <f>"(0.114)"</f>
        <v>(0.114)</v>
      </c>
      <c r="BK19" t="str">
        <f>"(0.0858)"</f>
        <v>(0.0858)</v>
      </c>
      <c r="BL19" t="str">
        <f>"(0.0474)"</f>
        <v>(0.0474)</v>
      </c>
      <c r="BM19" t="str">
        <f>"(0.114)"</f>
        <v>(0.114)</v>
      </c>
      <c r="BN19" t="str">
        <f>"(0.0854)"</f>
        <v>(0.0854)</v>
      </c>
      <c r="BO19" t="str">
        <f>"(0.0472)"</f>
        <v>(0.0472)</v>
      </c>
      <c r="BP19" t="str">
        <f>"(0.113)"</f>
        <v>(0.113)</v>
      </c>
      <c r="BQ19" t="str">
        <f>"(0.0854)"</f>
        <v>(0.0854)</v>
      </c>
      <c r="BR19" t="str">
        <f>"(0.0470)"</f>
        <v>(0.0470)</v>
      </c>
      <c r="BS19" t="str">
        <f>"(0.112)"</f>
        <v>(0.112)</v>
      </c>
      <c r="BT19" t="str">
        <f>"(0.0836)"</f>
        <v>(0.0836)</v>
      </c>
      <c r="BU19" t="str">
        <f>"(0.0464)"</f>
        <v>(0.0464)</v>
      </c>
      <c r="BV19" t="str">
        <f>"(0.112)"</f>
        <v>(0.112)</v>
      </c>
      <c r="BW19" t="str">
        <f>"(0.0840)"</f>
        <v>(0.0840)</v>
      </c>
      <c r="BX19" t="str">
        <f>"(0.0466)"</f>
        <v>(0.0466)</v>
      </c>
      <c r="BY19" t="str">
        <f>"(0.111)"</f>
        <v>(0.111)</v>
      </c>
      <c r="BZ19" t="str">
        <f>"(0.0836)"</f>
        <v>(0.0836)</v>
      </c>
      <c r="CA19" t="str">
        <f>"(0.0464)"</f>
        <v>(0.0464)</v>
      </c>
      <c r="CB19" t="str">
        <f>"(0.111)"</f>
        <v>(0.111)</v>
      </c>
      <c r="CC19" t="str">
        <f>"(0.0834)"</f>
        <v>(0.0834)</v>
      </c>
      <c r="CD19" t="str">
        <f>"(0.0463)"</f>
        <v>(0.0463)</v>
      </c>
      <c r="CE19" t="str">
        <f>"(0.111)"</f>
        <v>(0.111)</v>
      </c>
      <c r="CF19" t="str">
        <f>"(0.0834)"</f>
        <v>(0.0834)</v>
      </c>
      <c r="CG19" t="str">
        <f>"(0.0463)"</f>
        <v>(0.0463)</v>
      </c>
      <c r="CH19" t="str">
        <f>"(0.111)"</f>
        <v>(0.111)</v>
      </c>
      <c r="CI19" t="str">
        <f>"(0.0834)"</f>
        <v>(0.0834)</v>
      </c>
      <c r="CJ19" t="str">
        <f>"(0.0463)"</f>
        <v>(0.0463)</v>
      </c>
      <c r="CK19" t="str">
        <f>"(0.111)"</f>
        <v>(0.111)</v>
      </c>
      <c r="CL19" t="str">
        <f>"(0.0834)"</f>
        <v>(0.0834)</v>
      </c>
      <c r="CM19" t="str">
        <f>"(0.0463)"</f>
        <v>(0.0463)</v>
      </c>
    </row>
    <row r="21" spans="1:91" x14ac:dyDescent="0.3">
      <c r="A21" t="str">
        <f>"AGE"</f>
        <v>AGE</v>
      </c>
      <c r="B21" t="str">
        <f>"-0.0193"</f>
        <v>-0.0193</v>
      </c>
      <c r="C21" t="str">
        <f>"0.0125"</f>
        <v>0.0125</v>
      </c>
      <c r="D21" t="str">
        <f>"-0.0850***"</f>
        <v>-0.0850***</v>
      </c>
      <c r="E21" t="str">
        <f>"-0.0183"</f>
        <v>-0.0183</v>
      </c>
      <c r="F21" t="str">
        <f>"0.0145"</f>
        <v>0.0145</v>
      </c>
      <c r="G21" t="str">
        <f>"-0.0820***"</f>
        <v>-0.0820***</v>
      </c>
      <c r="H21" t="str">
        <f>"-0.0164"</f>
        <v>-0.0164</v>
      </c>
      <c r="I21" t="str">
        <f>"0.0155"</f>
        <v>0.0155</v>
      </c>
      <c r="J21" t="str">
        <f>"-0.0823***"</f>
        <v>-0.0823***</v>
      </c>
      <c r="K21" t="str">
        <f>"-0.0179"</f>
        <v>-0.0179</v>
      </c>
      <c r="L21" t="str">
        <f>"0.0143"</f>
        <v>0.0143</v>
      </c>
      <c r="M21" t="str">
        <f>"-0.0828***"</f>
        <v>-0.0828***</v>
      </c>
      <c r="N21" t="str">
        <f>"-0.0168"</f>
        <v>-0.0168</v>
      </c>
      <c r="O21" t="str">
        <f>"0.0156"</f>
        <v>0.0156</v>
      </c>
      <c r="P21" t="str">
        <f>"-0.0843***"</f>
        <v>-0.0843***</v>
      </c>
      <c r="Q21" t="str">
        <f>"-0.0171"</f>
        <v>-0.0171</v>
      </c>
      <c r="R21" t="str">
        <f>"0.0145"</f>
        <v>0.0145</v>
      </c>
      <c r="S21" t="str">
        <f>"-0.0815***"</f>
        <v>-0.0815***</v>
      </c>
      <c r="T21" t="str">
        <f>"-0.0181"</f>
        <v>-0.0181</v>
      </c>
      <c r="U21" t="str">
        <f>"0.0162"</f>
        <v>0.0162</v>
      </c>
      <c r="V21" t="str">
        <f>"-0.0784***"</f>
        <v>-0.0784***</v>
      </c>
      <c r="W21" t="str">
        <f>"-0.0175"</f>
        <v>-0.0175</v>
      </c>
      <c r="X21" t="str">
        <f>"0.0153"</f>
        <v>0.0153</v>
      </c>
      <c r="Y21" t="str">
        <f>"-0.0817***"</f>
        <v>-0.0817***</v>
      </c>
      <c r="Z21" t="str">
        <f>"-0.0182"</f>
        <v>-0.0182</v>
      </c>
      <c r="AA21" t="str">
        <f>"0.0144"</f>
        <v>0.0144</v>
      </c>
      <c r="AB21" t="str">
        <f>"-0.0822***"</f>
        <v>-0.0822***</v>
      </c>
      <c r="AC21" t="str">
        <f>"-0.0179"</f>
        <v>-0.0179</v>
      </c>
      <c r="AD21" t="str">
        <f>"0.0147"</f>
        <v>0.0147</v>
      </c>
      <c r="AE21" t="str">
        <f>"-0.0820***"</f>
        <v>-0.0820***</v>
      </c>
      <c r="AF21" t="str">
        <f>"-0.0176"</f>
        <v>-0.0176</v>
      </c>
      <c r="AG21" t="str">
        <f>"0.0144"</f>
        <v>0.0144</v>
      </c>
      <c r="AH21" t="str">
        <f>"-0.0821***"</f>
        <v>-0.0821***</v>
      </c>
      <c r="AI21" t="str">
        <f>"-0.0183"</f>
        <v>-0.0183</v>
      </c>
      <c r="AJ21" t="str">
        <f>"0.0140"</f>
        <v>0.0140</v>
      </c>
      <c r="AK21" t="str">
        <f>"-0.0827***"</f>
        <v>-0.0827***</v>
      </c>
      <c r="AL21" t="str">
        <f>"-0.0188"</f>
        <v>-0.0188</v>
      </c>
      <c r="AM21" t="str">
        <f>"0.0144"</f>
        <v>0.0144</v>
      </c>
      <c r="AN21" t="str">
        <f>"-0.0834***"</f>
        <v>-0.0834***</v>
      </c>
      <c r="AO21" t="str">
        <f>"-0.0176"</f>
        <v>-0.0176</v>
      </c>
      <c r="AP21" t="str">
        <f>"0.0148"</f>
        <v>0.0148</v>
      </c>
      <c r="AQ21" t="str">
        <f>"-0.0818***"</f>
        <v>-0.0818***</v>
      </c>
      <c r="AR21" t="str">
        <f>"-0.0176"</f>
        <v>-0.0176</v>
      </c>
      <c r="AS21" t="str">
        <f>"0.0147"</f>
        <v>0.0147</v>
      </c>
      <c r="AT21" t="str">
        <f>"-0.0817***"</f>
        <v>-0.0817***</v>
      </c>
      <c r="AU21" t="str">
        <f>"-0.00278"</f>
        <v>-0.00278</v>
      </c>
      <c r="AV21" t="str">
        <f>"0.0128"</f>
        <v>0.0128</v>
      </c>
      <c r="AW21" t="str">
        <f>"-0.0719***"</f>
        <v>-0.0719***</v>
      </c>
      <c r="AX21" t="str">
        <f>"-0.00236"</f>
        <v>-0.00236</v>
      </c>
      <c r="AY21" t="str">
        <f>"0.0153"</f>
        <v>0.0153</v>
      </c>
      <c r="AZ21" t="str">
        <f>"-0.0690***"</f>
        <v>-0.0690***</v>
      </c>
      <c r="BA21" t="str">
        <f>"0.0000497"</f>
        <v>0.0000497</v>
      </c>
      <c r="BB21" t="str">
        <f>"0.0168"</f>
        <v>0.0168</v>
      </c>
      <c r="BC21" t="str">
        <f>"-0.0693***"</f>
        <v>-0.0693***</v>
      </c>
      <c r="BD21" t="str">
        <f>"-0.00194"</f>
        <v>-0.00194</v>
      </c>
      <c r="BE21" t="str">
        <f>"0.0145"</f>
        <v>0.0145</v>
      </c>
      <c r="BF21" t="str">
        <f>"-0.0695***"</f>
        <v>-0.0695***</v>
      </c>
      <c r="BG21" t="str">
        <f>"-0.000945"</f>
        <v>-0.000945</v>
      </c>
      <c r="BH21" t="str">
        <f>"0.0153"</f>
        <v>0.0153</v>
      </c>
      <c r="BI21" t="str">
        <f>"-0.0715***"</f>
        <v>-0.0715***</v>
      </c>
      <c r="BJ21" t="str">
        <f>"-0.000808"</f>
        <v>-0.000808</v>
      </c>
      <c r="BK21" t="str">
        <f>"0.0154"</f>
        <v>0.0154</v>
      </c>
      <c r="BL21" t="str">
        <f>"-0.0683***"</f>
        <v>-0.0683***</v>
      </c>
      <c r="BM21" t="str">
        <f>"-0.00181"</f>
        <v>-0.00181</v>
      </c>
      <c r="BN21" t="str">
        <f>"0.0172"</f>
        <v>0.0172</v>
      </c>
      <c r="BO21" t="str">
        <f>"-0.0650***"</f>
        <v>-0.0650***</v>
      </c>
      <c r="BP21" t="str">
        <f>"-0.00123"</f>
        <v>-0.00123</v>
      </c>
      <c r="BQ21" t="str">
        <f>"0.0165"</f>
        <v>0.0165</v>
      </c>
      <c r="BR21" t="str">
        <f>"-0.0684***"</f>
        <v>-0.0684***</v>
      </c>
      <c r="BS21" t="str">
        <f>"-0.00209"</f>
        <v>-0.00209</v>
      </c>
      <c r="BT21" t="str">
        <f>"0.0152"</f>
        <v>0.0152</v>
      </c>
      <c r="BU21" t="str">
        <f>"-0.0692***"</f>
        <v>-0.0692***</v>
      </c>
      <c r="BV21" t="str">
        <f>"-0.00187"</f>
        <v>-0.00187</v>
      </c>
      <c r="BW21" t="str">
        <f>"0.0153"</f>
        <v>0.0153</v>
      </c>
      <c r="BX21" t="str">
        <f>"-0.0688***"</f>
        <v>-0.0688***</v>
      </c>
      <c r="BY21" t="str">
        <f>"-0.00152"</f>
        <v>-0.00152</v>
      </c>
      <c r="BZ21" t="str">
        <f>"0.0152"</f>
        <v>0.0152</v>
      </c>
      <c r="CA21" t="str">
        <f>"-0.0687***"</f>
        <v>-0.0687***</v>
      </c>
      <c r="CB21" t="str">
        <f>"-0.00211"</f>
        <v>-0.00211</v>
      </c>
      <c r="CC21" t="str">
        <f>"0.0152"</f>
        <v>0.0152</v>
      </c>
      <c r="CD21" t="str">
        <f>"-0.0692***"</f>
        <v>-0.0692***</v>
      </c>
      <c r="CE21" t="str">
        <f>"-0.00284"</f>
        <v>-0.00284</v>
      </c>
      <c r="CF21" t="str">
        <f>"0.0149"</f>
        <v>0.0149</v>
      </c>
      <c r="CG21" t="str">
        <f>"-0.0704***"</f>
        <v>-0.0704***</v>
      </c>
      <c r="CH21" t="str">
        <f>"-0.00184"</f>
        <v>-0.00184</v>
      </c>
      <c r="CI21" t="str">
        <f>"0.0150"</f>
        <v>0.0150</v>
      </c>
      <c r="CJ21" t="str">
        <f>"-0.0685***"</f>
        <v>-0.0685***</v>
      </c>
      <c r="CK21" t="str">
        <f>"-0.00173"</f>
        <v>-0.00173</v>
      </c>
      <c r="CL21" t="str">
        <f>"0.0152"</f>
        <v>0.0152</v>
      </c>
      <c r="CM21" t="str">
        <f>"-0.0686***"</f>
        <v>-0.0686***</v>
      </c>
    </row>
    <row r="22" spans="1:91" x14ac:dyDescent="0.3">
      <c r="A22" t="str">
        <f>""</f>
        <v/>
      </c>
      <c r="B22" t="str">
        <f>"(0.0138)"</f>
        <v>(0.0138)</v>
      </c>
      <c r="C22" t="str">
        <f>"(0.0135)"</f>
        <v>(0.0135)</v>
      </c>
      <c r="D22" t="str">
        <f>"(0.00599)"</f>
        <v>(0.00599)</v>
      </c>
      <c r="E22" t="str">
        <f>"(0.0138)"</f>
        <v>(0.0138)</v>
      </c>
      <c r="F22" t="str">
        <f>"(0.0135)"</f>
        <v>(0.0135)</v>
      </c>
      <c r="G22" t="str">
        <f>"(0.00598)"</f>
        <v>(0.00598)</v>
      </c>
      <c r="H22" t="str">
        <f>"(0.0138)"</f>
        <v>(0.0138)</v>
      </c>
      <c r="I22" t="str">
        <f>"(0.0135)"</f>
        <v>(0.0135)</v>
      </c>
      <c r="J22" t="str">
        <f>"(0.00599)"</f>
        <v>(0.00599)</v>
      </c>
      <c r="K22" t="str">
        <f>"(0.0138)"</f>
        <v>(0.0138)</v>
      </c>
      <c r="L22" t="str">
        <f>"(0.0135)"</f>
        <v>(0.0135)</v>
      </c>
      <c r="M22" t="str">
        <f>"(0.00599)"</f>
        <v>(0.00599)</v>
      </c>
      <c r="N22" t="str">
        <f>"(0.0138)"</f>
        <v>(0.0138)</v>
      </c>
      <c r="O22" t="str">
        <f>"(0.0135)"</f>
        <v>(0.0135)</v>
      </c>
      <c r="P22" t="str">
        <f>"(0.00599)"</f>
        <v>(0.00599)</v>
      </c>
      <c r="Q22" t="str">
        <f>"(0.0138)"</f>
        <v>(0.0138)</v>
      </c>
      <c r="R22" t="str">
        <f>"(0.0135)"</f>
        <v>(0.0135)</v>
      </c>
      <c r="S22" t="str">
        <f>"(0.00599)"</f>
        <v>(0.00599)</v>
      </c>
      <c r="T22" t="str">
        <f>"(0.0138)"</f>
        <v>(0.0138)</v>
      </c>
      <c r="U22" t="str">
        <f>"(0.0135)"</f>
        <v>(0.0135)</v>
      </c>
      <c r="V22" t="str">
        <f>"(0.00600)"</f>
        <v>(0.00600)</v>
      </c>
      <c r="W22" t="str">
        <f>"(0.0138)"</f>
        <v>(0.0138)</v>
      </c>
      <c r="X22" t="str">
        <f>"(0.0135)"</f>
        <v>(0.0135)</v>
      </c>
      <c r="Y22" t="str">
        <f>"(0.00598)"</f>
        <v>(0.00598)</v>
      </c>
      <c r="Z22" t="str">
        <f>"(0.0138)"</f>
        <v>(0.0138)</v>
      </c>
      <c r="AA22" t="str">
        <f>"(0.0135)"</f>
        <v>(0.0135)</v>
      </c>
      <c r="AB22" t="str">
        <f>"(0.00598)"</f>
        <v>(0.00598)</v>
      </c>
      <c r="AC22" t="str">
        <f>"(0.0138)"</f>
        <v>(0.0138)</v>
      </c>
      <c r="AD22" t="str">
        <f>"(0.0135)"</f>
        <v>(0.0135)</v>
      </c>
      <c r="AE22" t="str">
        <f>"(0.00599)"</f>
        <v>(0.00599)</v>
      </c>
      <c r="AF22" t="str">
        <f>"(0.0138)"</f>
        <v>(0.0138)</v>
      </c>
      <c r="AG22" t="str">
        <f>"(0.0135)"</f>
        <v>(0.0135)</v>
      </c>
      <c r="AH22" t="str">
        <f>"(0.00598)"</f>
        <v>(0.00598)</v>
      </c>
      <c r="AI22" t="str">
        <f>"(0.0138)"</f>
        <v>(0.0138)</v>
      </c>
      <c r="AJ22" t="str">
        <f>"(0.0135)"</f>
        <v>(0.0135)</v>
      </c>
      <c r="AK22" t="str">
        <f>"(0.00598)"</f>
        <v>(0.00598)</v>
      </c>
      <c r="AL22" t="str">
        <f>"(0.0138)"</f>
        <v>(0.0138)</v>
      </c>
      <c r="AM22" t="str">
        <f>"(0.0135)"</f>
        <v>(0.0135)</v>
      </c>
      <c r="AN22" t="str">
        <f>"(0.00599)"</f>
        <v>(0.00599)</v>
      </c>
      <c r="AO22" t="str">
        <f>"(0.0138)"</f>
        <v>(0.0138)</v>
      </c>
      <c r="AP22" t="str">
        <f>"(0.0135)"</f>
        <v>(0.0135)</v>
      </c>
      <c r="AQ22" t="str">
        <f>"(0.00598)"</f>
        <v>(0.00598)</v>
      </c>
      <c r="AR22" t="str">
        <f>"(0.0138)"</f>
        <v>(0.0138)</v>
      </c>
      <c r="AS22" t="str">
        <f>"(0.0135)"</f>
        <v>(0.0135)</v>
      </c>
      <c r="AT22" t="str">
        <f>"(0.00599)"</f>
        <v>(0.00599)</v>
      </c>
      <c r="AU22" t="str">
        <f>"(0.0137)"</f>
        <v>(0.0137)</v>
      </c>
      <c r="AV22" t="str">
        <f>"(0.0133)"</f>
        <v>(0.0133)</v>
      </c>
      <c r="AW22" t="str">
        <f>"(0.00591)"</f>
        <v>(0.00591)</v>
      </c>
      <c r="AX22" t="str">
        <f>"(0.0136)"</f>
        <v>(0.0136)</v>
      </c>
      <c r="AY22" t="str">
        <f>"(0.0133)"</f>
        <v>(0.0133)</v>
      </c>
      <c r="AZ22" t="str">
        <f>"(0.00590)"</f>
        <v>(0.00590)</v>
      </c>
      <c r="BA22" t="str">
        <f>"(0.0136)"</f>
        <v>(0.0136)</v>
      </c>
      <c r="BB22" t="str">
        <f>"(0.0133)"</f>
        <v>(0.0133)</v>
      </c>
      <c r="BC22" t="str">
        <f>"(0.00591)"</f>
        <v>(0.00591)</v>
      </c>
      <c r="BD22" t="str">
        <f>"(0.0136)"</f>
        <v>(0.0136)</v>
      </c>
      <c r="BE22" t="str">
        <f>"(0.0133)"</f>
        <v>(0.0133)</v>
      </c>
      <c r="BF22" t="str">
        <f>"(0.00590)"</f>
        <v>(0.00590)</v>
      </c>
      <c r="BG22" t="str">
        <f>"(0.0137)"</f>
        <v>(0.0137)</v>
      </c>
      <c r="BH22" t="str">
        <f>"(0.0133)"</f>
        <v>(0.0133)</v>
      </c>
      <c r="BI22" t="str">
        <f>"(0.00592)"</f>
        <v>(0.00592)</v>
      </c>
      <c r="BJ22" t="str">
        <f>"(0.0136)"</f>
        <v>(0.0136)</v>
      </c>
      <c r="BK22" t="str">
        <f>"(0.0133)"</f>
        <v>(0.0133)</v>
      </c>
      <c r="BL22" t="str">
        <f>"(0.00591)"</f>
        <v>(0.00591)</v>
      </c>
      <c r="BM22" t="str">
        <f>"(0.0137)"</f>
        <v>(0.0137)</v>
      </c>
      <c r="BN22" t="str">
        <f>"(0.0133)"</f>
        <v>(0.0133)</v>
      </c>
      <c r="BO22" t="str">
        <f>"(0.00591)"</f>
        <v>(0.00591)</v>
      </c>
      <c r="BP22" t="str">
        <f>"(0.0136)"</f>
        <v>(0.0136)</v>
      </c>
      <c r="BQ22" t="str">
        <f>"(0.0133)"</f>
        <v>(0.0133)</v>
      </c>
      <c r="BR22" t="str">
        <f>"(0.00590)"</f>
        <v>(0.00590)</v>
      </c>
      <c r="BS22" t="str">
        <f>"(0.0136)"</f>
        <v>(0.0136)</v>
      </c>
      <c r="BT22" t="str">
        <f>"(0.0133)"</f>
        <v>(0.0133)</v>
      </c>
      <c r="BU22" t="str">
        <f>"(0.00590)"</f>
        <v>(0.00590)</v>
      </c>
      <c r="BV22" t="str">
        <f>"(0.0136)"</f>
        <v>(0.0136)</v>
      </c>
      <c r="BW22" t="str">
        <f>"(0.0133)"</f>
        <v>(0.0133)</v>
      </c>
      <c r="BX22" t="str">
        <f>"(0.00591)"</f>
        <v>(0.00591)</v>
      </c>
      <c r="BY22" t="str">
        <f>"(0.0136)"</f>
        <v>(0.0136)</v>
      </c>
      <c r="BZ22" t="str">
        <f>"(0.0133)"</f>
        <v>(0.0133)</v>
      </c>
      <c r="CA22" t="str">
        <f>"(0.00591)"</f>
        <v>(0.00591)</v>
      </c>
      <c r="CB22" t="str">
        <f>"(0.0136)"</f>
        <v>(0.0136)</v>
      </c>
      <c r="CC22" t="str">
        <f>"(0.0133)"</f>
        <v>(0.0133)</v>
      </c>
      <c r="CD22" t="str">
        <f>"(0.00590)"</f>
        <v>(0.00590)</v>
      </c>
      <c r="CE22" t="str">
        <f>"(0.0136)"</f>
        <v>(0.0136)</v>
      </c>
      <c r="CF22" t="str">
        <f>"(0.0133)"</f>
        <v>(0.0133)</v>
      </c>
      <c r="CG22" t="str">
        <f>"(0.00592)"</f>
        <v>(0.00592)</v>
      </c>
      <c r="CH22" t="str">
        <f>"(0.0136)"</f>
        <v>(0.0136)</v>
      </c>
      <c r="CI22" t="str">
        <f>"(0.0133)"</f>
        <v>(0.0133)</v>
      </c>
      <c r="CJ22" t="str">
        <f>"(0.00591)"</f>
        <v>(0.00591)</v>
      </c>
      <c r="CK22" t="str">
        <f>"(0.0136)"</f>
        <v>(0.0136)</v>
      </c>
      <c r="CL22" t="str">
        <f>"(0.0133)"</f>
        <v>(0.0133)</v>
      </c>
      <c r="CM22" t="str">
        <f>"(0.00591)"</f>
        <v>(0.00591)</v>
      </c>
    </row>
    <row r="24" spans="1:91" x14ac:dyDescent="0.3">
      <c r="A24" t="str">
        <f>"NonWhite"</f>
        <v>NonWhite</v>
      </c>
      <c r="B24" t="str">
        <f>"0.140"</f>
        <v>0.140</v>
      </c>
      <c r="C24" t="str">
        <f>"-0.245"</f>
        <v>-0.245</v>
      </c>
      <c r="D24" t="str">
        <f>"-0.0848"</f>
        <v>-0.0848</v>
      </c>
      <c r="E24" t="str">
        <f>"0.163"</f>
        <v>0.163</v>
      </c>
      <c r="F24" t="str">
        <f>"-0.213"</f>
        <v>-0.213</v>
      </c>
      <c r="G24" t="str">
        <f>"-0.0454"</f>
        <v>-0.0454</v>
      </c>
      <c r="H24" t="str">
        <f>"0.132"</f>
        <v>0.132</v>
      </c>
      <c r="I24" t="str">
        <f>"-0.239"</f>
        <v>-0.239</v>
      </c>
      <c r="J24" t="str">
        <f>"-0.0175"</f>
        <v>-0.0175</v>
      </c>
      <c r="K24" t="str">
        <f>"0.167"</f>
        <v>0.167</v>
      </c>
      <c r="L24" t="str">
        <f>"-0.210"</f>
        <v>-0.210</v>
      </c>
      <c r="M24" t="str">
        <f>"-0.0404"</f>
        <v>-0.0404</v>
      </c>
      <c r="N24" t="str">
        <f>"0.161"</f>
        <v>0.161</v>
      </c>
      <c r="O24" t="str">
        <f>"-0.216"</f>
        <v>-0.216</v>
      </c>
      <c r="P24" t="str">
        <f>"-0.00286"</f>
        <v>-0.00286</v>
      </c>
      <c r="Q24" t="str">
        <f>"0.134"</f>
        <v>0.134</v>
      </c>
      <c r="R24" t="str">
        <f>"-0.216"</f>
        <v>-0.216</v>
      </c>
      <c r="S24" t="str">
        <f>"-0.0497"</f>
        <v>-0.0497</v>
      </c>
      <c r="T24" t="str">
        <f>"0.164"</f>
        <v>0.164</v>
      </c>
      <c r="U24" t="str">
        <f>"-0.188"</f>
        <v>-0.188</v>
      </c>
      <c r="V24" t="str">
        <f>"0.0144"</f>
        <v>0.0144</v>
      </c>
      <c r="W24" t="str">
        <f>"0.169"</f>
        <v>0.169</v>
      </c>
      <c r="X24" t="str">
        <f>"-0.211"</f>
        <v>-0.211</v>
      </c>
      <c r="Y24" t="str">
        <f>"-0.0298"</f>
        <v>-0.0298</v>
      </c>
      <c r="Z24" t="str">
        <f>"0.141"</f>
        <v>0.141</v>
      </c>
      <c r="AA24" t="str">
        <f>"-0.228"</f>
        <v>-0.228</v>
      </c>
      <c r="AB24" t="str">
        <f>"-0.0687"</f>
        <v>-0.0687</v>
      </c>
      <c r="AC24" t="str">
        <f>"0.156"</f>
        <v>0.156</v>
      </c>
      <c r="AD24" t="str">
        <f>"-0.203"</f>
        <v>-0.203</v>
      </c>
      <c r="AE24" t="str">
        <f>"-0.0523"</f>
        <v>-0.0523</v>
      </c>
      <c r="AF24" t="str">
        <f>"0.159"</f>
        <v>0.159</v>
      </c>
      <c r="AG24" t="str">
        <f>"-0.195"</f>
        <v>-0.195</v>
      </c>
      <c r="AH24" t="str">
        <f>"0.000370"</f>
        <v>0.000370</v>
      </c>
      <c r="AI24" t="str">
        <f>"0.159"</f>
        <v>0.159</v>
      </c>
      <c r="AJ24" t="str">
        <f>"-0.218"</f>
        <v>-0.218</v>
      </c>
      <c r="AK24" t="str">
        <f>"-0.0516"</f>
        <v>-0.0516</v>
      </c>
      <c r="AL24" t="str">
        <f>"0.171"</f>
        <v>0.171</v>
      </c>
      <c r="AM24" t="str">
        <f>"-0.207"</f>
        <v>-0.207</v>
      </c>
      <c r="AN24" t="str">
        <f>"-0.0277"</f>
        <v>-0.0277</v>
      </c>
      <c r="AO24" t="str">
        <f>"0.168"</f>
        <v>0.168</v>
      </c>
      <c r="AP24" t="str">
        <f>"-0.205"</f>
        <v>-0.205</v>
      </c>
      <c r="AQ24" t="str">
        <f>"-0.0309"</f>
        <v>-0.0309</v>
      </c>
      <c r="AR24" t="str">
        <f>"0.160"</f>
        <v>0.160</v>
      </c>
      <c r="AS24" t="str">
        <f>"-0.211"</f>
        <v>-0.211</v>
      </c>
      <c r="AT24" t="str">
        <f>"-0.0234"</f>
        <v>-0.0234</v>
      </c>
      <c r="AU24" t="str">
        <f>"0.122"</f>
        <v>0.122</v>
      </c>
      <c r="AV24" t="str">
        <f>"-0.325"</f>
        <v>-0.325</v>
      </c>
      <c r="AW24" t="str">
        <f>"-0.109"</f>
        <v>-0.109</v>
      </c>
      <c r="AX24" t="str">
        <f>"0.141"</f>
        <v>0.141</v>
      </c>
      <c r="AY24" t="str">
        <f>"-0.279"</f>
        <v>-0.279</v>
      </c>
      <c r="AZ24" t="str">
        <f>"-0.0673"</f>
        <v>-0.0673</v>
      </c>
      <c r="BA24" t="str">
        <f>"0.112"</f>
        <v>0.112</v>
      </c>
      <c r="BB24" t="str">
        <f>"-0.305"</f>
        <v>-0.305</v>
      </c>
      <c r="BC24" t="str">
        <f>"-0.0358"</f>
        <v>-0.0358</v>
      </c>
      <c r="BD24" t="str">
        <f>"0.149"</f>
        <v>0.149</v>
      </c>
      <c r="BE24" t="str">
        <f>"-0.271"</f>
        <v>-0.271</v>
      </c>
      <c r="BF24" t="str">
        <f>"-0.0600"</f>
        <v>-0.0600</v>
      </c>
      <c r="BG24" t="str">
        <f>"0.144"</f>
        <v>0.144</v>
      </c>
      <c r="BH24" t="str">
        <f>"-0.273"</f>
        <v>-0.273</v>
      </c>
      <c r="BI24" t="str">
        <f>"-0.0236"</f>
        <v>-0.0236</v>
      </c>
      <c r="BJ24" t="str">
        <f>"0.115"</f>
        <v>0.115</v>
      </c>
      <c r="BK24" t="str">
        <f>"-0.286"</f>
        <v>-0.286</v>
      </c>
      <c r="BL24" t="str">
        <f>"-0.0705"</f>
        <v>-0.0705</v>
      </c>
      <c r="BM24" t="str">
        <f>"0.150"</f>
        <v>0.150</v>
      </c>
      <c r="BN24" t="str">
        <f>"-0.239"</f>
        <v>-0.239</v>
      </c>
      <c r="BO24" t="str">
        <f>"0.00347"</f>
        <v>0.00347</v>
      </c>
      <c r="BP24" t="str">
        <f>"0.161"</f>
        <v>0.161</v>
      </c>
      <c r="BQ24" t="str">
        <f>"-0.294"</f>
        <v>-0.294</v>
      </c>
      <c r="BR24" t="str">
        <f>"-0.0470"</f>
        <v>-0.0470</v>
      </c>
      <c r="BS24" t="str">
        <f>"0.120"</f>
        <v>0.120</v>
      </c>
      <c r="BT24" t="str">
        <f>"-0.311"</f>
        <v>-0.311</v>
      </c>
      <c r="BU24" t="str">
        <f>"-0.0913"</f>
        <v>-0.0913</v>
      </c>
      <c r="BV24" t="str">
        <f>"0.138"</f>
        <v>0.138</v>
      </c>
      <c r="BW24" t="str">
        <f>"-0.266"</f>
        <v>-0.266</v>
      </c>
      <c r="BX24" t="str">
        <f>"-0.0711"</f>
        <v>-0.0711</v>
      </c>
      <c r="BY24" t="str">
        <f>"0.136"</f>
        <v>0.136</v>
      </c>
      <c r="BZ24" t="str">
        <f>"-0.258"</f>
        <v>-0.258</v>
      </c>
      <c r="CA24" t="str">
        <f>"-0.0266"</f>
        <v>-0.0266</v>
      </c>
      <c r="CB24" t="str">
        <f>"0.138"</f>
        <v>0.138</v>
      </c>
      <c r="CC24" t="str">
        <f>"-0.289"</f>
        <v>-0.289</v>
      </c>
      <c r="CD24" t="str">
        <f>"-0.0732"</f>
        <v>-0.0732</v>
      </c>
      <c r="CE24" t="str">
        <f>"0.155"</f>
        <v>0.155</v>
      </c>
      <c r="CF24" t="str">
        <f>"-0.270"</f>
        <v>-0.270</v>
      </c>
      <c r="CG24" t="str">
        <f>"-0.0488"</f>
        <v>-0.0488</v>
      </c>
      <c r="CH24" t="str">
        <f>"0.156"</f>
        <v>0.156</v>
      </c>
      <c r="CI24" t="str">
        <f>"-0.265"</f>
        <v>-0.265</v>
      </c>
      <c r="CJ24" t="str">
        <f>"-0.0541"</f>
        <v>-0.0541</v>
      </c>
      <c r="CK24" t="str">
        <f>"0.142"</f>
        <v>0.142</v>
      </c>
      <c r="CL24" t="str">
        <f>"-0.280"</f>
        <v>-0.280</v>
      </c>
      <c r="CM24" t="str">
        <f>"-0.0437"</f>
        <v>-0.0437</v>
      </c>
    </row>
    <row r="25" spans="1:91" x14ac:dyDescent="0.3">
      <c r="A25" t="str">
        <f>""</f>
        <v/>
      </c>
      <c r="B25" t="str">
        <f>"(0.271)"</f>
        <v>(0.271)</v>
      </c>
      <c r="C25" t="str">
        <f>"(0.251)"</f>
        <v>(0.251)</v>
      </c>
      <c r="D25" t="str">
        <f>"(0.117)"</f>
        <v>(0.117)</v>
      </c>
      <c r="E25" t="str">
        <f>"(0.271)"</f>
        <v>(0.271)</v>
      </c>
      <c r="F25" t="str">
        <f>"(0.251)"</f>
        <v>(0.251)</v>
      </c>
      <c r="G25" t="str">
        <f>"(0.117)"</f>
        <v>(0.117)</v>
      </c>
      <c r="H25" t="str">
        <f>"(0.271)"</f>
        <v>(0.271)</v>
      </c>
      <c r="I25" t="str">
        <f>"(0.251)"</f>
        <v>(0.251)</v>
      </c>
      <c r="J25" t="str">
        <f>"(0.117)"</f>
        <v>(0.117)</v>
      </c>
      <c r="K25" t="str">
        <f>"(0.271)"</f>
        <v>(0.271)</v>
      </c>
      <c r="L25" t="str">
        <f>"(0.251)"</f>
        <v>(0.251)</v>
      </c>
      <c r="M25" t="str">
        <f>"(0.117)"</f>
        <v>(0.117)</v>
      </c>
      <c r="N25" t="str">
        <f>"(0.271)"</f>
        <v>(0.271)</v>
      </c>
      <c r="O25" t="str">
        <f>"(0.251)"</f>
        <v>(0.251)</v>
      </c>
      <c r="P25" t="str">
        <f>"(0.117)"</f>
        <v>(0.117)</v>
      </c>
      <c r="Q25" t="str">
        <f>"(0.271)"</f>
        <v>(0.271)</v>
      </c>
      <c r="R25" t="str">
        <f>"(0.251)"</f>
        <v>(0.251)</v>
      </c>
      <c r="S25" t="str">
        <f>"(0.117)"</f>
        <v>(0.117)</v>
      </c>
      <c r="T25" t="str">
        <f>"(0.271)"</f>
        <v>(0.271)</v>
      </c>
      <c r="U25" t="str">
        <f>"(0.251)"</f>
        <v>(0.251)</v>
      </c>
      <c r="V25" t="str">
        <f>"(0.117)"</f>
        <v>(0.117)</v>
      </c>
      <c r="W25" t="str">
        <f>"(0.271)"</f>
        <v>(0.271)</v>
      </c>
      <c r="X25" t="str">
        <f>"(0.251)"</f>
        <v>(0.251)</v>
      </c>
      <c r="Y25" t="str">
        <f>"(0.117)"</f>
        <v>(0.117)</v>
      </c>
      <c r="Z25" t="str">
        <f>"(0.271)"</f>
        <v>(0.271)</v>
      </c>
      <c r="AA25" t="str">
        <f>"(0.251)"</f>
        <v>(0.251)</v>
      </c>
      <c r="AB25" t="str">
        <f>"(0.117)"</f>
        <v>(0.117)</v>
      </c>
      <c r="AC25" t="str">
        <f>"(0.271)"</f>
        <v>(0.271)</v>
      </c>
      <c r="AD25" t="str">
        <f>"(0.251)"</f>
        <v>(0.251)</v>
      </c>
      <c r="AE25" t="str">
        <f>"(0.117)"</f>
        <v>(0.117)</v>
      </c>
      <c r="AF25" t="str">
        <f>"(0.272)"</f>
        <v>(0.272)</v>
      </c>
      <c r="AG25" t="str">
        <f>"(0.252)"</f>
        <v>(0.252)</v>
      </c>
      <c r="AH25" t="str">
        <f>"(0.117)"</f>
        <v>(0.117)</v>
      </c>
      <c r="AI25" t="str">
        <f>"(0.271)"</f>
        <v>(0.271)</v>
      </c>
      <c r="AJ25" t="str">
        <f>"(0.251)"</f>
        <v>(0.251)</v>
      </c>
      <c r="AK25" t="str">
        <f>"(0.117)"</f>
        <v>(0.117)</v>
      </c>
      <c r="AL25" t="str">
        <f>"(0.270)"</f>
        <v>(0.270)</v>
      </c>
      <c r="AM25" t="str">
        <f>"(0.251)"</f>
        <v>(0.251)</v>
      </c>
      <c r="AN25" t="str">
        <f>"(0.117)"</f>
        <v>(0.117)</v>
      </c>
      <c r="AO25" t="str">
        <f>"(0.271)"</f>
        <v>(0.271)</v>
      </c>
      <c r="AP25" t="str">
        <f>"(0.251)"</f>
        <v>(0.251)</v>
      </c>
      <c r="AQ25" t="str">
        <f>"(0.117)"</f>
        <v>(0.117)</v>
      </c>
      <c r="AR25" t="str">
        <f>"(0.271)"</f>
        <v>(0.271)</v>
      </c>
      <c r="AS25" t="str">
        <f>"(0.251)"</f>
        <v>(0.251)</v>
      </c>
      <c r="AT25" t="str">
        <f>"(0.117)"</f>
        <v>(0.117)</v>
      </c>
      <c r="AU25" t="str">
        <f>"(0.271)"</f>
        <v>(0.271)</v>
      </c>
      <c r="AV25" t="str">
        <f>"(0.252)"</f>
        <v>(0.252)</v>
      </c>
      <c r="AW25" t="str">
        <f>"(0.117)"</f>
        <v>(0.117)</v>
      </c>
      <c r="AX25" t="str">
        <f>"(0.271)"</f>
        <v>(0.271)</v>
      </c>
      <c r="AY25" t="str">
        <f>"(0.251)"</f>
        <v>(0.251)</v>
      </c>
      <c r="AZ25" t="str">
        <f>"(0.117)"</f>
        <v>(0.117)</v>
      </c>
      <c r="BA25" t="str">
        <f>"(0.271)"</f>
        <v>(0.271)</v>
      </c>
      <c r="BB25" t="str">
        <f>"(0.252)"</f>
        <v>(0.252)</v>
      </c>
      <c r="BC25" t="str">
        <f>"(0.117)"</f>
        <v>(0.117)</v>
      </c>
      <c r="BD25" t="str">
        <f>"(0.271)"</f>
        <v>(0.271)</v>
      </c>
      <c r="BE25" t="str">
        <f>"(0.252)"</f>
        <v>(0.252)</v>
      </c>
      <c r="BF25" t="str">
        <f>"(0.117)"</f>
        <v>(0.117)</v>
      </c>
      <c r="BG25" t="str">
        <f>"(0.271)"</f>
        <v>(0.271)</v>
      </c>
      <c r="BH25" t="str">
        <f>"(0.252)"</f>
        <v>(0.252)</v>
      </c>
      <c r="BI25" t="str">
        <f>"(0.117)"</f>
        <v>(0.117)</v>
      </c>
      <c r="BJ25" t="str">
        <f>"(0.271)"</f>
        <v>(0.271)</v>
      </c>
      <c r="BK25" t="str">
        <f>"(0.252)"</f>
        <v>(0.252)</v>
      </c>
      <c r="BL25" t="str">
        <f>"(0.117)"</f>
        <v>(0.117)</v>
      </c>
      <c r="BM25" t="str">
        <f>"(0.271)"</f>
        <v>(0.271)</v>
      </c>
      <c r="BN25" t="str">
        <f>"(0.252)"</f>
        <v>(0.252)</v>
      </c>
      <c r="BO25" t="str">
        <f>"(0.117)"</f>
        <v>(0.117)</v>
      </c>
      <c r="BP25" t="str">
        <f>"(0.271)"</f>
        <v>(0.271)</v>
      </c>
      <c r="BQ25" t="str">
        <f>"(0.252)"</f>
        <v>(0.252)</v>
      </c>
      <c r="BR25" t="str">
        <f>"(0.117)"</f>
        <v>(0.117)</v>
      </c>
      <c r="BS25" t="str">
        <f>"(0.271)"</f>
        <v>(0.271)</v>
      </c>
      <c r="BT25" t="str">
        <f>"(0.252)"</f>
        <v>(0.252)</v>
      </c>
      <c r="BU25" t="str">
        <f>"(0.117)"</f>
        <v>(0.117)</v>
      </c>
      <c r="BV25" t="str">
        <f>"(0.271)"</f>
        <v>(0.271)</v>
      </c>
      <c r="BW25" t="str">
        <f>"(0.252)"</f>
        <v>(0.252)</v>
      </c>
      <c r="BX25" t="str">
        <f>"(0.117)"</f>
        <v>(0.117)</v>
      </c>
      <c r="BY25" t="str">
        <f>"(0.272)"</f>
        <v>(0.272)</v>
      </c>
      <c r="BZ25" t="str">
        <f>"(0.252)"</f>
        <v>(0.252)</v>
      </c>
      <c r="CA25" t="str">
        <f>"(0.117)"</f>
        <v>(0.117)</v>
      </c>
      <c r="CB25" t="str">
        <f>"(0.271)"</f>
        <v>(0.271)</v>
      </c>
      <c r="CC25" t="str">
        <f>"(0.252)"</f>
        <v>(0.252)</v>
      </c>
      <c r="CD25" t="str">
        <f>"(0.117)"</f>
        <v>(0.117)</v>
      </c>
      <c r="CE25" t="str">
        <f>"(0.270)"</f>
        <v>(0.270)</v>
      </c>
      <c r="CF25" t="str">
        <f>"(0.251)"</f>
        <v>(0.251)</v>
      </c>
      <c r="CG25" t="str">
        <f>"(0.117)"</f>
        <v>(0.117)</v>
      </c>
      <c r="CH25" t="str">
        <f>"(0.271)"</f>
        <v>(0.271)</v>
      </c>
      <c r="CI25" t="str">
        <f>"(0.252)"</f>
        <v>(0.252)</v>
      </c>
      <c r="CJ25" t="str">
        <f>"(0.117)"</f>
        <v>(0.117)</v>
      </c>
      <c r="CK25" t="str">
        <f>"(0.271)"</f>
        <v>(0.271)</v>
      </c>
      <c r="CL25" t="str">
        <f>"(0.252)"</f>
        <v>(0.252)</v>
      </c>
      <c r="CM25" t="str">
        <f>"(0.117)"</f>
        <v>(0.117)</v>
      </c>
    </row>
    <row r="27" spans="1:91" x14ac:dyDescent="0.3">
      <c r="A27" t="str">
        <f>"householdsize"</f>
        <v>householdsize</v>
      </c>
      <c r="B27" t="str">
        <f>"-0.0369"</f>
        <v>-0.0369</v>
      </c>
      <c r="C27" t="str">
        <f>"0.0121"</f>
        <v>0.0121</v>
      </c>
      <c r="D27" t="str">
        <f>"-0.0459"</f>
        <v>-0.0459</v>
      </c>
      <c r="E27" t="str">
        <f>"-0.0350"</f>
        <v>-0.0350</v>
      </c>
      <c r="F27" t="str">
        <f>"0.0159"</f>
        <v>0.0159</v>
      </c>
      <c r="G27" t="str">
        <f>"-0.0419"</f>
        <v>-0.0419</v>
      </c>
      <c r="H27" t="str">
        <f>"-0.0360"</f>
        <v>-0.0360</v>
      </c>
      <c r="I27" t="str">
        <f>"0.0152"</f>
        <v>0.0152</v>
      </c>
      <c r="J27" t="str">
        <f>"-0.0449"</f>
        <v>-0.0449</v>
      </c>
      <c r="K27" t="str">
        <f>"-0.0359"</f>
        <v>-0.0359</v>
      </c>
      <c r="L27" t="str">
        <f>"0.0145"</f>
        <v>0.0145</v>
      </c>
      <c r="M27" t="str">
        <f>"-0.0463"</f>
        <v>-0.0463</v>
      </c>
      <c r="N27" t="str">
        <f>"-0.0361"</f>
        <v>-0.0361</v>
      </c>
      <c r="O27" t="str">
        <f>"0.0161"</f>
        <v>0.0161</v>
      </c>
      <c r="P27" t="str">
        <f>"-0.0468"</f>
        <v>-0.0468</v>
      </c>
      <c r="Q27" t="str">
        <f>"-0.0341"</f>
        <v>-0.0341</v>
      </c>
      <c r="R27" t="str">
        <f>"0.0154"</f>
        <v>0.0154</v>
      </c>
      <c r="S27" t="str">
        <f>"-0.0429"</f>
        <v>-0.0429</v>
      </c>
      <c r="T27" t="str">
        <f>"-0.0354"</f>
        <v>-0.0354</v>
      </c>
      <c r="U27" t="str">
        <f>"0.0143"</f>
        <v>0.0143</v>
      </c>
      <c r="V27" t="str">
        <f>"-0.0490"</f>
        <v>-0.0490</v>
      </c>
      <c r="W27" t="str">
        <f>"-0.0350"</f>
        <v>-0.0350</v>
      </c>
      <c r="X27" t="str">
        <f>"0.0166"</f>
        <v>0.0166</v>
      </c>
      <c r="Y27" t="str">
        <f>"-0.0443"</f>
        <v>-0.0443</v>
      </c>
      <c r="Z27" t="str">
        <f>"-0.0350"</f>
        <v>-0.0350</v>
      </c>
      <c r="AA27" t="str">
        <f>"0.0158"</f>
        <v>0.0158</v>
      </c>
      <c r="AB27" t="str">
        <f>"-0.0435"</f>
        <v>-0.0435</v>
      </c>
      <c r="AC27" t="str">
        <f>"-0.0360"</f>
        <v>-0.0360</v>
      </c>
      <c r="AD27" t="str">
        <f>"0.0147"</f>
        <v>0.0147</v>
      </c>
      <c r="AE27" t="str">
        <f>"-0.0440"</f>
        <v>-0.0440</v>
      </c>
      <c r="AF27" t="str">
        <f>"-0.0361"</f>
        <v>-0.0361</v>
      </c>
      <c r="AG27" t="str">
        <f>"0.0149"</f>
        <v>0.0149</v>
      </c>
      <c r="AH27" t="str">
        <f>"-0.0437"</f>
        <v>-0.0437</v>
      </c>
      <c r="AI27" t="str">
        <f>"-0.0362"</f>
        <v>-0.0362</v>
      </c>
      <c r="AJ27" t="str">
        <f>"0.0137"</f>
        <v>0.0137</v>
      </c>
      <c r="AK27" t="str">
        <f>"-0.0434"</f>
        <v>-0.0434</v>
      </c>
      <c r="AL27" t="str">
        <f>"-0.0342"</f>
        <v>-0.0342</v>
      </c>
      <c r="AM27" t="str">
        <f>"0.0152"</f>
        <v>0.0152</v>
      </c>
      <c r="AN27" t="str">
        <f>"-0.0418"</f>
        <v>-0.0418</v>
      </c>
      <c r="AO27" t="str">
        <f>"-0.0359"</f>
        <v>-0.0359</v>
      </c>
      <c r="AP27" t="str">
        <f>"0.0155"</f>
        <v>0.0155</v>
      </c>
      <c r="AQ27" t="str">
        <f>"-0.0440"</f>
        <v>-0.0440</v>
      </c>
      <c r="AR27" t="str">
        <f>"-0.0363"</f>
        <v>-0.0363</v>
      </c>
      <c r="AS27" t="str">
        <f>"0.0148"</f>
        <v>0.0148</v>
      </c>
      <c r="AT27" t="str">
        <f>"-0.0432"</f>
        <v>-0.0432</v>
      </c>
      <c r="AU27" t="str">
        <f>"-0.0402"</f>
        <v>-0.0402</v>
      </c>
      <c r="AV27" t="str">
        <f>"0.00426"</f>
        <v>0.00426</v>
      </c>
      <c r="AW27" t="str">
        <f>"-0.0496"</f>
        <v>-0.0496</v>
      </c>
      <c r="AX27" t="str">
        <f>"-0.0365"</f>
        <v>-0.0365</v>
      </c>
      <c r="AY27" t="str">
        <f>"0.0116"</f>
        <v>0.0116</v>
      </c>
      <c r="AZ27" t="str">
        <f>"-0.0456"</f>
        <v>-0.0456</v>
      </c>
      <c r="BA27" t="str">
        <f>"-0.0385"</f>
        <v>-0.0385</v>
      </c>
      <c r="BB27" t="str">
        <f>"0.0112"</f>
        <v>0.0112</v>
      </c>
      <c r="BC27" t="str">
        <f>"-0.0490"</f>
        <v>-0.0490</v>
      </c>
      <c r="BD27" t="str">
        <f>"-0.0395"</f>
        <v>-0.0395</v>
      </c>
      <c r="BE27" t="str">
        <f>"0.00758"</f>
        <v>0.00758</v>
      </c>
      <c r="BF27" t="str">
        <f>"-0.0489"</f>
        <v>-0.0489</v>
      </c>
      <c r="BG27" t="str">
        <f>"-0.0385"</f>
        <v>-0.0385</v>
      </c>
      <c r="BH27" t="str">
        <f>"0.00940"</f>
        <v>0.00940</v>
      </c>
      <c r="BI27" t="str">
        <f>"-0.0506*"</f>
        <v>-0.0506*</v>
      </c>
      <c r="BJ27" t="str">
        <f>"-0.0363"</f>
        <v>-0.0363</v>
      </c>
      <c r="BK27" t="str">
        <f>"0.00999"</f>
        <v>0.00999</v>
      </c>
      <c r="BL27" t="str">
        <f>"-0.0470"</f>
        <v>-0.0470</v>
      </c>
      <c r="BM27" t="str">
        <f>"-0.0386"</f>
        <v>-0.0386</v>
      </c>
      <c r="BN27" t="str">
        <f>"0.00738"</f>
        <v>0.00738</v>
      </c>
      <c r="BO27" t="str">
        <f>"-0.0534*"</f>
        <v>-0.0534*</v>
      </c>
      <c r="BP27" t="str">
        <f>"-0.0388"</f>
        <v>-0.0388</v>
      </c>
      <c r="BQ27" t="str">
        <f>"0.0116"</f>
        <v>0.0116</v>
      </c>
      <c r="BR27" t="str">
        <f>"-0.0480"</f>
        <v>-0.0480</v>
      </c>
      <c r="BS27" t="str">
        <f>"-0.0386"</f>
        <v>-0.0386</v>
      </c>
      <c r="BT27" t="str">
        <f>"0.00795"</f>
        <v>0.00795</v>
      </c>
      <c r="BU27" t="str">
        <f>"-0.0469"</f>
        <v>-0.0469</v>
      </c>
      <c r="BV27" t="str">
        <f>"-0.0386"</f>
        <v>-0.0386</v>
      </c>
      <c r="BW27" t="str">
        <f>"0.00838"</f>
        <v>0.00838</v>
      </c>
      <c r="BX27" t="str">
        <f>"-0.0478"</f>
        <v>-0.0478</v>
      </c>
      <c r="BY27" t="str">
        <f>"-0.0390"</f>
        <v>-0.0390</v>
      </c>
      <c r="BZ27" t="str">
        <f>"0.00840"</f>
        <v>0.00840</v>
      </c>
      <c r="CA27" t="str">
        <f>"-0.0477"</f>
        <v>-0.0477</v>
      </c>
      <c r="CB27" t="str">
        <f>"-0.0384"</f>
        <v>-0.0384</v>
      </c>
      <c r="CC27" t="str">
        <f>"0.00816"</f>
        <v>0.00816</v>
      </c>
      <c r="CD27" t="str">
        <f>"-0.0472"</f>
        <v>-0.0472</v>
      </c>
      <c r="CE27" t="str">
        <f>"-0.0377"</f>
        <v>-0.0377</v>
      </c>
      <c r="CF27" t="str">
        <f>"0.00887"</f>
        <v>0.00887</v>
      </c>
      <c r="CG27" t="str">
        <f>"-0.0446"</f>
        <v>-0.0446</v>
      </c>
      <c r="CH27" t="str">
        <f>"-0.0383"</f>
        <v>-0.0383</v>
      </c>
      <c r="CI27" t="str">
        <f>"0.00925"</f>
        <v>0.00925</v>
      </c>
      <c r="CJ27" t="str">
        <f>"-0.0482"</f>
        <v>-0.0482</v>
      </c>
      <c r="CK27" t="str">
        <f>"-0.0393"</f>
        <v>-0.0393</v>
      </c>
      <c r="CL27" t="str">
        <f>"0.00865"</f>
        <v>0.00865</v>
      </c>
      <c r="CM27" t="str">
        <f>"-0.0470"</f>
        <v>-0.0470</v>
      </c>
    </row>
    <row r="28" spans="1:91" x14ac:dyDescent="0.3">
      <c r="A28" t="str">
        <f>""</f>
        <v/>
      </c>
      <c r="B28" t="str">
        <f>"(0.0615)"</f>
        <v>(0.0615)</v>
      </c>
      <c r="C28" t="str">
        <f>"(0.0354)"</f>
        <v>(0.0354)</v>
      </c>
      <c r="D28" t="str">
        <f>"(0.0257)"</f>
        <v>(0.0257)</v>
      </c>
      <c r="E28" t="str">
        <f>"(0.0615)"</f>
        <v>(0.0615)</v>
      </c>
      <c r="F28" t="str">
        <f>"(0.0358)"</f>
        <v>(0.0358)</v>
      </c>
      <c r="G28" t="str">
        <f>"(0.0259)"</f>
        <v>(0.0259)</v>
      </c>
      <c r="H28" t="str">
        <f>"(0.0618)"</f>
        <v>(0.0618)</v>
      </c>
      <c r="I28" t="str">
        <f>"(0.0360)"</f>
        <v>(0.0360)</v>
      </c>
      <c r="J28" t="str">
        <f>"(0.0259)"</f>
        <v>(0.0259)</v>
      </c>
      <c r="K28" t="str">
        <f>"(0.0614)"</f>
        <v>(0.0614)</v>
      </c>
      <c r="L28" t="str">
        <f>"(0.0357)"</f>
        <v>(0.0357)</v>
      </c>
      <c r="M28" t="str">
        <f>"(0.0259)"</f>
        <v>(0.0259)</v>
      </c>
      <c r="N28" t="str">
        <f>"(0.0619)"</f>
        <v>(0.0619)</v>
      </c>
      <c r="O28" t="str">
        <f>"(0.0359)"</f>
        <v>(0.0359)</v>
      </c>
      <c r="P28" t="str">
        <f>"(0.0258)"</f>
        <v>(0.0258)</v>
      </c>
      <c r="Q28" t="str">
        <f>"(0.0616)"</f>
        <v>(0.0616)</v>
      </c>
      <c r="R28" t="str">
        <f>"(0.0358)"</f>
        <v>(0.0358)</v>
      </c>
      <c r="S28" t="str">
        <f>"(0.0258)"</f>
        <v>(0.0258)</v>
      </c>
      <c r="T28" t="str">
        <f>"(0.0616)"</f>
        <v>(0.0616)</v>
      </c>
      <c r="U28" t="str">
        <f>"(0.0363)"</f>
        <v>(0.0363)</v>
      </c>
      <c r="V28" t="str">
        <f>"(0.0260)"</f>
        <v>(0.0260)</v>
      </c>
      <c r="W28" t="str">
        <f>"(0.0616)"</f>
        <v>(0.0616)</v>
      </c>
      <c r="X28" t="str">
        <f>"(0.0355)"</f>
        <v>(0.0355)</v>
      </c>
      <c r="Y28" t="str">
        <f>"(0.0258)"</f>
        <v>(0.0258)</v>
      </c>
      <c r="Z28" t="str">
        <f>"(0.0615)"</f>
        <v>(0.0615)</v>
      </c>
      <c r="AA28" t="str">
        <f>"(0.0355)"</f>
        <v>(0.0355)</v>
      </c>
      <c r="AB28" t="str">
        <f>"(0.0257)"</f>
        <v>(0.0257)</v>
      </c>
      <c r="AC28" t="str">
        <f>"(0.0616)"</f>
        <v>(0.0616)</v>
      </c>
      <c r="AD28" t="str">
        <f>"(0.0356)"</f>
        <v>(0.0356)</v>
      </c>
      <c r="AE28" t="str">
        <f>"(0.0258)"</f>
        <v>(0.0258)</v>
      </c>
      <c r="AF28" t="str">
        <f>"(0.0616)"</f>
        <v>(0.0616)</v>
      </c>
      <c r="AG28" t="str">
        <f>"(0.0356)"</f>
        <v>(0.0356)</v>
      </c>
      <c r="AH28" t="str">
        <f>"(0.0258)"</f>
        <v>(0.0258)</v>
      </c>
      <c r="AI28" t="str">
        <f>"(0.0615)"</f>
        <v>(0.0615)</v>
      </c>
      <c r="AJ28" t="str">
        <f>"(0.0355)"</f>
        <v>(0.0355)</v>
      </c>
      <c r="AK28" t="str">
        <f>"(0.0258)"</f>
        <v>(0.0258)</v>
      </c>
      <c r="AL28" t="str">
        <f>"(0.0614)"</f>
        <v>(0.0614)</v>
      </c>
      <c r="AM28" t="str">
        <f>"(0.0357)"</f>
        <v>(0.0357)</v>
      </c>
      <c r="AN28" t="str">
        <f>"(0.0258)"</f>
        <v>(0.0258)</v>
      </c>
      <c r="AO28" t="str">
        <f>"(0.0617)"</f>
        <v>(0.0617)</v>
      </c>
      <c r="AP28" t="str">
        <f>"(0.0358)"</f>
        <v>(0.0358)</v>
      </c>
      <c r="AQ28" t="str">
        <f>"(0.0259)"</f>
        <v>(0.0259)</v>
      </c>
      <c r="AR28" t="str">
        <f>"(0.0618)"</f>
        <v>(0.0618)</v>
      </c>
      <c r="AS28" t="str">
        <f>"(0.0357)"</f>
        <v>(0.0357)</v>
      </c>
      <c r="AT28" t="str">
        <f>"(0.0258)"</f>
        <v>(0.0258)</v>
      </c>
      <c r="AU28" t="str">
        <f>"(0.0613)"</f>
        <v>(0.0613)</v>
      </c>
      <c r="AV28" t="str">
        <f>"(0.0346)"</f>
        <v>(0.0346)</v>
      </c>
      <c r="AW28" t="str">
        <f>"(0.0257)"</f>
        <v>(0.0257)</v>
      </c>
      <c r="AX28" t="str">
        <f>"(0.0617)"</f>
        <v>(0.0617)</v>
      </c>
      <c r="AY28" t="str">
        <f>"(0.0355)"</f>
        <v>(0.0355)</v>
      </c>
      <c r="AZ28" t="str">
        <f>"(0.0259)"</f>
        <v>(0.0259)</v>
      </c>
      <c r="BA28" t="str">
        <f>"(0.0622)"</f>
        <v>(0.0622)</v>
      </c>
      <c r="BB28" t="str">
        <f>"(0.0360)"</f>
        <v>(0.0360)</v>
      </c>
      <c r="BC28" t="str">
        <f>"(0.0259)"</f>
        <v>(0.0259)</v>
      </c>
      <c r="BD28" t="str">
        <f>"(0.0618)"</f>
        <v>(0.0618)</v>
      </c>
      <c r="BE28" t="str">
        <f>"(0.0351)"</f>
        <v>(0.0351)</v>
      </c>
      <c r="BF28" t="str">
        <f>"(0.0258)"</f>
        <v>(0.0258)</v>
      </c>
      <c r="BG28" t="str">
        <f>"(0.0619)"</f>
        <v>(0.0619)</v>
      </c>
      <c r="BH28" t="str">
        <f>"(0.0356)"</f>
        <v>(0.0356)</v>
      </c>
      <c r="BI28" t="str">
        <f>"(0.0257)"</f>
        <v>(0.0257)</v>
      </c>
      <c r="BJ28" t="str">
        <f>"(0.0615)"</f>
        <v>(0.0615)</v>
      </c>
      <c r="BK28" t="str">
        <f>"(0.0355)"</f>
        <v>(0.0355)</v>
      </c>
      <c r="BL28" t="str">
        <f>"(0.0259)"</f>
        <v>(0.0259)</v>
      </c>
      <c r="BM28" t="str">
        <f>"(0.0615)"</f>
        <v>(0.0615)</v>
      </c>
      <c r="BN28" t="str">
        <f>"(0.0358)"</f>
        <v>(0.0358)</v>
      </c>
      <c r="BO28" t="str">
        <f>"(0.0260)"</f>
        <v>(0.0260)</v>
      </c>
      <c r="BP28" t="str">
        <f>"(0.0616)"</f>
        <v>(0.0616)</v>
      </c>
      <c r="BQ28" t="str">
        <f>"(0.0346)"</f>
        <v>(0.0346)</v>
      </c>
      <c r="BR28" t="str">
        <f>"(0.0259)"</f>
        <v>(0.0259)</v>
      </c>
      <c r="BS28" t="str">
        <f>"(0.0615)"</f>
        <v>(0.0615)</v>
      </c>
      <c r="BT28" t="str">
        <f>"(0.0351)"</f>
        <v>(0.0351)</v>
      </c>
      <c r="BU28" t="str">
        <f>"(0.0258)"</f>
        <v>(0.0258)</v>
      </c>
      <c r="BV28" t="str">
        <f>"(0.0616)"</f>
        <v>(0.0616)</v>
      </c>
      <c r="BW28" t="str">
        <f>"(0.0352)"</f>
        <v>(0.0352)</v>
      </c>
      <c r="BX28" t="str">
        <f>"(0.0259)"</f>
        <v>(0.0259)</v>
      </c>
      <c r="BY28" t="str">
        <f>"(0.0618)"</f>
        <v>(0.0618)</v>
      </c>
      <c r="BZ28" t="str">
        <f>"(0.0351)"</f>
        <v>(0.0351)</v>
      </c>
      <c r="CA28" t="str">
        <f>"(0.0259)"</f>
        <v>(0.0259)</v>
      </c>
      <c r="CB28" t="str">
        <f>"(0.0616)"</f>
        <v>(0.0616)</v>
      </c>
      <c r="CC28" t="str">
        <f>"(0.0352)"</f>
        <v>(0.0352)</v>
      </c>
      <c r="CD28" t="str">
        <f>"(0.0259)"</f>
        <v>(0.0259)</v>
      </c>
      <c r="CE28" t="str">
        <f>"(0.0616)"</f>
        <v>(0.0616)</v>
      </c>
      <c r="CF28" t="str">
        <f>"(0.0350)"</f>
        <v>(0.0350)</v>
      </c>
      <c r="CG28" t="str">
        <f>"(0.0257)"</f>
        <v>(0.0257)</v>
      </c>
      <c r="CH28" t="str">
        <f>"(0.0618)"</f>
        <v>(0.0618)</v>
      </c>
      <c r="CI28" t="str">
        <f>"(0.0352)"</f>
        <v>(0.0352)</v>
      </c>
      <c r="CJ28" t="str">
        <f>"(0.0259)"</f>
        <v>(0.0259)</v>
      </c>
      <c r="CK28" t="str">
        <f>"(0.0618)"</f>
        <v>(0.0618)</v>
      </c>
      <c r="CL28" t="str">
        <f>"(0.0351)"</f>
        <v>(0.0351)</v>
      </c>
      <c r="CM28" t="str">
        <f>"(0.0258)"</f>
        <v>(0.0258)</v>
      </c>
    </row>
    <row r="30" spans="1:91" x14ac:dyDescent="0.3">
      <c r="A30" t="str">
        <f>"SESres"</f>
        <v>SESres</v>
      </c>
      <c r="B30" t="str">
        <f>"0.0839"</f>
        <v>0.0839</v>
      </c>
      <c r="C30" t="str">
        <f>"-0.198*"</f>
        <v>-0.198*</v>
      </c>
      <c r="D30" t="str">
        <f>"-0.175***"</f>
        <v>-0.175***</v>
      </c>
      <c r="E30" t="str">
        <f>"0.0697"</f>
        <v>0.0697</v>
      </c>
      <c r="F30" t="str">
        <f>"-0.210*"</f>
        <v>-0.210*</v>
      </c>
      <c r="G30" t="str">
        <f>"-0.189***"</f>
        <v>-0.189***</v>
      </c>
      <c r="H30" t="str">
        <f>"0.0708"</f>
        <v>0.0708</v>
      </c>
      <c r="I30" t="str">
        <f>"-0.210*"</f>
        <v>-0.210*</v>
      </c>
      <c r="J30" t="str">
        <f>"-0.176***"</f>
        <v>-0.176***</v>
      </c>
      <c r="K30" t="str">
        <f>"0.0831"</f>
        <v>0.0831</v>
      </c>
      <c r="L30" t="str">
        <f>"-0.195*"</f>
        <v>-0.195*</v>
      </c>
      <c r="M30" t="str">
        <f>"-0.173***"</f>
        <v>-0.173***</v>
      </c>
      <c r="N30" t="str">
        <f>"0.0813"</f>
        <v>0.0813</v>
      </c>
      <c r="O30" t="str">
        <f>"-0.203*"</f>
        <v>-0.203*</v>
      </c>
      <c r="P30" t="str">
        <f>"-0.169***"</f>
        <v>-0.169***</v>
      </c>
      <c r="Q30" t="str">
        <f>"0.0771"</f>
        <v>0.0771</v>
      </c>
      <c r="R30" t="str">
        <f>"-0.203*"</f>
        <v>-0.203*</v>
      </c>
      <c r="S30" t="str">
        <f>"-0.182***"</f>
        <v>-0.182***</v>
      </c>
      <c r="T30" t="str">
        <f>"0.0794"</f>
        <v>0.0794</v>
      </c>
      <c r="U30" t="str">
        <f>"-0.188*"</f>
        <v>-0.188*</v>
      </c>
      <c r="V30" t="str">
        <f>"-0.151***"</f>
        <v>-0.151***</v>
      </c>
      <c r="W30" t="str">
        <f>"0.0866"</f>
        <v>0.0866</v>
      </c>
      <c r="X30" t="str">
        <f>"-0.193*"</f>
        <v>-0.193*</v>
      </c>
      <c r="Y30" t="str">
        <f>"-0.179***"</f>
        <v>-0.179***</v>
      </c>
      <c r="Z30" t="str">
        <f>"0.0793"</f>
        <v>0.0793</v>
      </c>
      <c r="AA30" t="str">
        <f>"-0.203*"</f>
        <v>-0.203*</v>
      </c>
      <c r="AB30" t="str">
        <f>"-0.183***"</f>
        <v>-0.183***</v>
      </c>
      <c r="AC30" t="str">
        <f>"0.0825"</f>
        <v>0.0825</v>
      </c>
      <c r="AD30" t="str">
        <f>"-0.199*"</f>
        <v>-0.199*</v>
      </c>
      <c r="AE30" t="str">
        <f>"-0.180***"</f>
        <v>-0.180***</v>
      </c>
      <c r="AF30" t="str">
        <f>"0.0816"</f>
        <v>0.0816</v>
      </c>
      <c r="AG30" t="str">
        <f>"-0.201*"</f>
        <v>-0.201*</v>
      </c>
      <c r="AH30" t="str">
        <f>"-0.178***"</f>
        <v>-0.178***</v>
      </c>
      <c r="AI30" t="str">
        <f>"0.0838"</f>
        <v>0.0838</v>
      </c>
      <c r="AJ30" t="str">
        <f>"-0.200*"</f>
        <v>-0.200*</v>
      </c>
      <c r="AK30" t="str">
        <f>"-0.181***"</f>
        <v>-0.181***</v>
      </c>
      <c r="AL30" t="str">
        <f>"0.0828"</f>
        <v>0.0828</v>
      </c>
      <c r="AM30" t="str">
        <f>"-0.200*"</f>
        <v>-0.200*</v>
      </c>
      <c r="AN30" t="str">
        <f>"-0.178***"</f>
        <v>-0.178***</v>
      </c>
      <c r="AO30" t="str">
        <f>"0.0828"</f>
        <v>0.0828</v>
      </c>
      <c r="AP30" t="str">
        <f>"-0.200*"</f>
        <v>-0.200*</v>
      </c>
      <c r="AQ30" t="str">
        <f>"-0.180***"</f>
        <v>-0.180***</v>
      </c>
      <c r="AR30" t="str">
        <f>"0.0810"</f>
        <v>0.0810</v>
      </c>
      <c r="AS30" t="str">
        <f>"-0.201*"</f>
        <v>-0.201*</v>
      </c>
      <c r="AT30" t="str">
        <f>"-0.178***"</f>
        <v>-0.178***</v>
      </c>
      <c r="AU30" t="str">
        <f>"0.0892"</f>
        <v>0.0892</v>
      </c>
      <c r="AV30" t="str">
        <f>"-0.210*"</f>
        <v>-0.210*</v>
      </c>
      <c r="AW30" t="str">
        <f>"-0.174***"</f>
        <v>-0.174***</v>
      </c>
      <c r="AX30" t="str">
        <f>"0.0740"</f>
        <v>0.0740</v>
      </c>
      <c r="AY30" t="str">
        <f>"-0.220*"</f>
        <v>-0.220*</v>
      </c>
      <c r="AZ30" t="str">
        <f>"-0.188***"</f>
        <v>-0.188***</v>
      </c>
      <c r="BA30" t="str">
        <f>"0.0775"</f>
        <v>0.0775</v>
      </c>
      <c r="BB30" t="str">
        <f>"-0.221*"</f>
        <v>-0.221*</v>
      </c>
      <c r="BC30" t="str">
        <f>"-0.172***"</f>
        <v>-0.172***</v>
      </c>
      <c r="BD30" t="str">
        <f>"0.0902"</f>
        <v>0.0902</v>
      </c>
      <c r="BE30" t="str">
        <f>"-0.206*"</f>
        <v>-0.206*</v>
      </c>
      <c r="BF30" t="str">
        <f>"-0.171***"</f>
        <v>-0.171***</v>
      </c>
      <c r="BG30" t="str">
        <f>"0.0862"</f>
        <v>0.0862</v>
      </c>
      <c r="BH30" t="str">
        <f>"-0.213*"</f>
        <v>-0.213*</v>
      </c>
      <c r="BI30" t="str">
        <f>"-0.166***"</f>
        <v>-0.166***</v>
      </c>
      <c r="BJ30" t="str">
        <f>"0.0830"</f>
        <v>0.0830</v>
      </c>
      <c r="BK30" t="str">
        <f>"-0.214*"</f>
        <v>-0.214*</v>
      </c>
      <c r="BL30" t="str">
        <f>"-0.179***"</f>
        <v>-0.179***</v>
      </c>
      <c r="BM30" t="str">
        <f>"0.0872"</f>
        <v>0.0872</v>
      </c>
      <c r="BN30" t="str">
        <f>"-0.198*"</f>
        <v>-0.198*</v>
      </c>
      <c r="BO30" t="str">
        <f>"-0.146**"</f>
        <v>-0.146**</v>
      </c>
      <c r="BP30" t="str">
        <f>"0.0927"</f>
        <v>0.0927</v>
      </c>
      <c r="BQ30" t="str">
        <f>"-0.203*"</f>
        <v>-0.203*</v>
      </c>
      <c r="BR30" t="str">
        <f>"-0.175***"</f>
        <v>-0.175***</v>
      </c>
      <c r="BS30" t="str">
        <f>"0.0845"</f>
        <v>0.0845</v>
      </c>
      <c r="BT30" t="str">
        <f>"-0.217*"</f>
        <v>-0.217*</v>
      </c>
      <c r="BU30" t="str">
        <f>"-0.181***"</f>
        <v>-0.181***</v>
      </c>
      <c r="BV30" t="str">
        <f>"0.0878"</f>
        <v>0.0878</v>
      </c>
      <c r="BW30" t="str">
        <f>"-0.211*"</f>
        <v>-0.211*</v>
      </c>
      <c r="BX30" t="str">
        <f>"-0.177***"</f>
        <v>-0.177***</v>
      </c>
      <c r="BY30" t="str">
        <f>"0.0865"</f>
        <v>0.0865</v>
      </c>
      <c r="BZ30" t="str">
        <f>"-0.211*"</f>
        <v>-0.211*</v>
      </c>
      <c r="CA30" t="str">
        <f>"-0.175***"</f>
        <v>-0.175***</v>
      </c>
      <c r="CB30" t="str">
        <f>"0.0876"</f>
        <v>0.0876</v>
      </c>
      <c r="CC30" t="str">
        <f>"-0.214*"</f>
        <v>-0.214*</v>
      </c>
      <c r="CD30" t="str">
        <f>"-0.178***"</f>
        <v>-0.178***</v>
      </c>
      <c r="CE30" t="str">
        <f>"0.0897"</f>
        <v>0.0897</v>
      </c>
      <c r="CF30" t="str">
        <f>"-0.211*"</f>
        <v>-0.211*</v>
      </c>
      <c r="CG30" t="str">
        <f>"-0.176***"</f>
        <v>-0.176***</v>
      </c>
      <c r="CH30" t="str">
        <f>"0.0885"</f>
        <v>0.0885</v>
      </c>
      <c r="CI30" t="str">
        <f>"-0.213*"</f>
        <v>-0.213*</v>
      </c>
      <c r="CJ30" t="str">
        <f>"-0.176***"</f>
        <v>-0.176***</v>
      </c>
      <c r="CK30" t="str">
        <f>"0.0862"</f>
        <v>0.0862</v>
      </c>
      <c r="CL30" t="str">
        <f>"-0.214*"</f>
        <v>-0.214*</v>
      </c>
      <c r="CM30" t="str">
        <f>"-0.175***"</f>
        <v>-0.175***</v>
      </c>
    </row>
    <row r="31" spans="1:91" x14ac:dyDescent="0.3">
      <c r="A31" t="str">
        <f>""</f>
        <v/>
      </c>
      <c r="B31" t="str">
        <f>"(0.103)"</f>
        <v>(0.103)</v>
      </c>
      <c r="C31" t="str">
        <f>"(0.0860)"</f>
        <v>(0.0860)</v>
      </c>
      <c r="D31" t="str">
        <f>"(0.0454)"</f>
        <v>(0.0454)</v>
      </c>
      <c r="E31" t="str">
        <f>"(0.103)"</f>
        <v>(0.103)</v>
      </c>
      <c r="F31" t="str">
        <f>"(0.0864)"</f>
        <v>(0.0864)</v>
      </c>
      <c r="G31" t="str">
        <f>"(0.0455)"</f>
        <v>(0.0455)</v>
      </c>
      <c r="H31" t="str">
        <f>"(0.103)"</f>
        <v>(0.103)</v>
      </c>
      <c r="I31" t="str">
        <f>"(0.0861)"</f>
        <v>(0.0861)</v>
      </c>
      <c r="J31" t="str">
        <f>"(0.0455)"</f>
        <v>(0.0455)</v>
      </c>
      <c r="K31" t="str">
        <f>"(0.103)"</f>
        <v>(0.103)</v>
      </c>
      <c r="L31" t="str">
        <f>"(0.0862)"</f>
        <v>(0.0862)</v>
      </c>
      <c r="M31" t="str">
        <f>"(0.0455)"</f>
        <v>(0.0455)</v>
      </c>
      <c r="N31" t="str">
        <f>"(0.103)"</f>
        <v>(0.103)</v>
      </c>
      <c r="O31" t="str">
        <f>"(0.0862)"</f>
        <v>(0.0862)</v>
      </c>
      <c r="P31" t="str">
        <f>"(0.0456)"</f>
        <v>(0.0456)</v>
      </c>
      <c r="Q31" t="str">
        <f>"(0.103)"</f>
        <v>(0.103)</v>
      </c>
      <c r="R31" t="str">
        <f>"(0.0861)"</f>
        <v>(0.0861)</v>
      </c>
      <c r="S31" t="str">
        <f>"(0.0455)"</f>
        <v>(0.0455)</v>
      </c>
      <c r="T31" t="str">
        <f>"(0.103)"</f>
        <v>(0.103)</v>
      </c>
      <c r="U31" t="str">
        <f>"(0.0865)"</f>
        <v>(0.0865)</v>
      </c>
      <c r="V31" t="str">
        <f>"(0.0457)"</f>
        <v>(0.0457)</v>
      </c>
      <c r="W31" t="str">
        <f>"(0.103)"</f>
        <v>(0.103)</v>
      </c>
      <c r="X31" t="str">
        <f>"(0.0861)"</f>
        <v>(0.0861)</v>
      </c>
      <c r="Y31" t="str">
        <f>"(0.0455)"</f>
        <v>(0.0455)</v>
      </c>
      <c r="Z31" t="str">
        <f>"(0.103)"</f>
        <v>(0.103)</v>
      </c>
      <c r="AA31" t="str">
        <f>"(0.0861)"</f>
        <v>(0.0861)</v>
      </c>
      <c r="AB31" t="str">
        <f>"(0.0454)"</f>
        <v>(0.0454)</v>
      </c>
      <c r="AC31" t="str">
        <f>"(0.103)"</f>
        <v>(0.103)</v>
      </c>
      <c r="AD31" t="str">
        <f>"(0.0862)"</f>
        <v>(0.0862)</v>
      </c>
      <c r="AE31" t="str">
        <f>"(0.0454)"</f>
        <v>(0.0454)</v>
      </c>
      <c r="AF31" t="str">
        <f>"(0.103)"</f>
        <v>(0.103)</v>
      </c>
      <c r="AG31" t="str">
        <f>"(0.0862)"</f>
        <v>(0.0862)</v>
      </c>
      <c r="AH31" t="str">
        <f>"(0.0455)"</f>
        <v>(0.0455)</v>
      </c>
      <c r="AI31" t="str">
        <f>"(0.103)"</f>
        <v>(0.103)</v>
      </c>
      <c r="AJ31" t="str">
        <f>"(0.0861)"</f>
        <v>(0.0861)</v>
      </c>
      <c r="AK31" t="str">
        <f>"(0.0455)"</f>
        <v>(0.0455)</v>
      </c>
      <c r="AL31" t="str">
        <f>"(0.103)"</f>
        <v>(0.103)</v>
      </c>
      <c r="AM31" t="str">
        <f>"(0.0861)"</f>
        <v>(0.0861)</v>
      </c>
      <c r="AN31" t="str">
        <f>"(0.0454)"</f>
        <v>(0.0454)</v>
      </c>
      <c r="AO31" t="str">
        <f>"(0.103)"</f>
        <v>(0.103)</v>
      </c>
      <c r="AP31" t="str">
        <f>"(0.0861)"</f>
        <v>(0.0861)</v>
      </c>
      <c r="AQ31" t="str">
        <f>"(0.0455)"</f>
        <v>(0.0455)</v>
      </c>
      <c r="AR31" t="str">
        <f>"(0.103)"</f>
        <v>(0.103)</v>
      </c>
      <c r="AS31" t="str">
        <f>"(0.0861)"</f>
        <v>(0.0861)</v>
      </c>
      <c r="AT31" t="str">
        <f>"(0.0455)"</f>
        <v>(0.0455)</v>
      </c>
      <c r="AU31" t="str">
        <f>"(0.103)"</f>
        <v>(0.103)</v>
      </c>
      <c r="AV31" t="str">
        <f>"(0.0859)"</f>
        <v>(0.0859)</v>
      </c>
      <c r="AW31" t="str">
        <f>"(0.0454)"</f>
        <v>(0.0454)</v>
      </c>
      <c r="AX31" t="str">
        <f>"(0.103)"</f>
        <v>(0.103)</v>
      </c>
      <c r="AY31" t="str">
        <f>"(0.0863)"</f>
        <v>(0.0863)</v>
      </c>
      <c r="AZ31" t="str">
        <f>"(0.0455)"</f>
        <v>(0.0455)</v>
      </c>
      <c r="BA31" t="str">
        <f>"(0.103)"</f>
        <v>(0.103)</v>
      </c>
      <c r="BB31" t="str">
        <f>"(0.0862)"</f>
        <v>(0.0862)</v>
      </c>
      <c r="BC31" t="str">
        <f>"(0.0455)"</f>
        <v>(0.0455)</v>
      </c>
      <c r="BD31" t="str">
        <f>"(0.103)"</f>
        <v>(0.103)</v>
      </c>
      <c r="BE31" t="str">
        <f>"(0.0862)"</f>
        <v>(0.0862)</v>
      </c>
      <c r="BF31" t="str">
        <f>"(0.0455)"</f>
        <v>(0.0455)</v>
      </c>
      <c r="BG31" t="str">
        <f>"(0.103)"</f>
        <v>(0.103)</v>
      </c>
      <c r="BH31" t="str">
        <f>"(0.0862)"</f>
        <v>(0.0862)</v>
      </c>
      <c r="BI31" t="str">
        <f>"(0.0456)"</f>
        <v>(0.0456)</v>
      </c>
      <c r="BJ31" t="str">
        <f>"(0.103)"</f>
        <v>(0.103)</v>
      </c>
      <c r="BK31" t="str">
        <f>"(0.0861)"</f>
        <v>(0.0861)</v>
      </c>
      <c r="BL31" t="str">
        <f>"(0.0455)"</f>
        <v>(0.0455)</v>
      </c>
      <c r="BM31" t="str">
        <f>"(0.103)"</f>
        <v>(0.103)</v>
      </c>
      <c r="BN31" t="str">
        <f>"(0.0864)"</f>
        <v>(0.0864)</v>
      </c>
      <c r="BO31" t="str">
        <f>"(0.0457)"</f>
        <v>(0.0457)</v>
      </c>
      <c r="BP31" t="str">
        <f>"(0.103)"</f>
        <v>(0.103)</v>
      </c>
      <c r="BQ31" t="str">
        <f>"(0.0861)"</f>
        <v>(0.0861)</v>
      </c>
      <c r="BR31" t="str">
        <f>"(0.0455)"</f>
        <v>(0.0455)</v>
      </c>
      <c r="BS31" t="str">
        <f>"(0.103)"</f>
        <v>(0.103)</v>
      </c>
      <c r="BT31" t="str">
        <f>"(0.0860)"</f>
        <v>(0.0860)</v>
      </c>
      <c r="BU31" t="str">
        <f>"(0.0454)"</f>
        <v>(0.0454)</v>
      </c>
      <c r="BV31" t="str">
        <f>"(0.103)"</f>
        <v>(0.103)</v>
      </c>
      <c r="BW31" t="str">
        <f>"(0.0861)"</f>
        <v>(0.0861)</v>
      </c>
      <c r="BX31" t="str">
        <f>"(0.0454)"</f>
        <v>(0.0454)</v>
      </c>
      <c r="BY31" t="str">
        <f>"(0.103)"</f>
        <v>(0.103)</v>
      </c>
      <c r="BZ31" t="str">
        <f>"(0.0862)"</f>
        <v>(0.0862)</v>
      </c>
      <c r="CA31" t="str">
        <f>"(0.0455)"</f>
        <v>(0.0455)</v>
      </c>
      <c r="CB31" t="str">
        <f>"(0.103)"</f>
        <v>(0.103)</v>
      </c>
      <c r="CC31" t="str">
        <f>"(0.0861)"</f>
        <v>(0.0861)</v>
      </c>
      <c r="CD31" t="str">
        <f>"(0.0455)"</f>
        <v>(0.0455)</v>
      </c>
      <c r="CE31" t="str">
        <f>"(0.103)"</f>
        <v>(0.103)</v>
      </c>
      <c r="CF31" t="str">
        <f>"(0.0861)"</f>
        <v>(0.0861)</v>
      </c>
      <c r="CG31" t="str">
        <f>"(0.0454)"</f>
        <v>(0.0454)</v>
      </c>
      <c r="CH31" t="str">
        <f>"(0.103)"</f>
        <v>(0.103)</v>
      </c>
      <c r="CI31" t="str">
        <f>"(0.0861)"</f>
        <v>(0.0861)</v>
      </c>
      <c r="CJ31" t="str">
        <f>"(0.0455)"</f>
        <v>(0.0455)</v>
      </c>
      <c r="CK31" t="str">
        <f>"(0.103)"</f>
        <v>(0.103)</v>
      </c>
      <c r="CL31" t="str">
        <f>"(0.0861)"</f>
        <v>(0.0861)</v>
      </c>
      <c r="CM31" t="str">
        <f>"(0.0455)"</f>
        <v>(0.0455)</v>
      </c>
    </row>
    <row r="33" spans="1:91" x14ac:dyDescent="0.3">
      <c r="A33" t="str">
        <f>"ztownsend"</f>
        <v>ztownsend</v>
      </c>
      <c r="B33" t="str">
        <f>"0.0143"</f>
        <v>0.0143</v>
      </c>
      <c r="C33" t="str">
        <f>"0.120**"</f>
        <v>0.120**</v>
      </c>
      <c r="D33" t="str">
        <f>"0.109***"</f>
        <v>0.109***</v>
      </c>
      <c r="E33" t="str">
        <f>"0.0200"</f>
        <v>0.0200</v>
      </c>
      <c r="F33" t="str">
        <f>"0.128**"</f>
        <v>0.128**</v>
      </c>
      <c r="G33" t="str">
        <f>"0.121***"</f>
        <v>0.121***</v>
      </c>
      <c r="H33" t="str">
        <f>"0.0198"</f>
        <v>0.0198</v>
      </c>
      <c r="I33" t="str">
        <f>"0.129**"</f>
        <v>0.129**</v>
      </c>
      <c r="J33" t="str">
        <f>"0.119***"</f>
        <v>0.119***</v>
      </c>
      <c r="K33" t="str">
        <f>"0.0187"</f>
        <v>0.0187</v>
      </c>
      <c r="L33" t="str">
        <f>"0.126**"</f>
        <v>0.126**</v>
      </c>
      <c r="M33" t="str">
        <f>"0.117***"</f>
        <v>0.117***</v>
      </c>
      <c r="N33" t="str">
        <f>"0.0205"</f>
        <v>0.0205</v>
      </c>
      <c r="O33" t="str">
        <f>"0.128**"</f>
        <v>0.128**</v>
      </c>
      <c r="P33" t="str">
        <f>"0.116***"</f>
        <v>0.116***</v>
      </c>
      <c r="Q33" t="str">
        <f>"0.0178"</f>
        <v>0.0178</v>
      </c>
      <c r="R33" t="str">
        <f>"0.128**"</f>
        <v>0.128**</v>
      </c>
      <c r="S33" t="str">
        <f>"0.119***"</f>
        <v>0.119***</v>
      </c>
      <c r="T33" t="str">
        <f>"0.0207"</f>
        <v>0.0207</v>
      </c>
      <c r="U33" t="str">
        <f>"0.121**"</f>
        <v>0.121**</v>
      </c>
      <c r="V33" t="str">
        <f>"0.108***"</f>
        <v>0.108***</v>
      </c>
      <c r="W33" t="str">
        <f>"0.0178"</f>
        <v>0.0178</v>
      </c>
      <c r="X33" t="str">
        <f>"0.128**"</f>
        <v>0.128**</v>
      </c>
      <c r="Y33" t="str">
        <f>"0.120***"</f>
        <v>0.120***</v>
      </c>
      <c r="Z33" t="str">
        <f>"0.0163"</f>
        <v>0.0163</v>
      </c>
      <c r="AA33" t="str">
        <f>"0.125**"</f>
        <v>0.125**</v>
      </c>
      <c r="AB33" t="str">
        <f>"0.117***"</f>
        <v>0.117***</v>
      </c>
      <c r="AC33" t="str">
        <f>"0.0188"</f>
        <v>0.0188</v>
      </c>
      <c r="AD33" t="str">
        <f>"0.127**"</f>
        <v>0.127**</v>
      </c>
      <c r="AE33" t="str">
        <f>"0.120***"</f>
        <v>0.120***</v>
      </c>
      <c r="AF33" t="str">
        <f>"0.0194"</f>
        <v>0.0194</v>
      </c>
      <c r="AG33" t="str">
        <f>"0.127**"</f>
        <v>0.127**</v>
      </c>
      <c r="AH33" t="str">
        <f>"0.120***"</f>
        <v>0.120***</v>
      </c>
      <c r="AI33" t="str">
        <f>"0.0155"</f>
        <v>0.0155</v>
      </c>
      <c r="AJ33" t="str">
        <f>"0.124**"</f>
        <v>0.124**</v>
      </c>
      <c r="AK33" t="str">
        <f>"0.116***"</f>
        <v>0.116***</v>
      </c>
      <c r="AL33" t="str">
        <f>"0.0169"</f>
        <v>0.0169</v>
      </c>
      <c r="AM33" t="str">
        <f>"0.126**"</f>
        <v>0.126**</v>
      </c>
      <c r="AN33" t="str">
        <f>"0.116***"</f>
        <v>0.116***</v>
      </c>
      <c r="AO33" t="str">
        <f>"0.0206"</f>
        <v>0.0206</v>
      </c>
      <c r="AP33" t="str">
        <f>"0.127**"</f>
        <v>0.127**</v>
      </c>
      <c r="AQ33" t="str">
        <f>"0.119***"</f>
        <v>0.119***</v>
      </c>
      <c r="AR33" t="str">
        <f>"0.0167"</f>
        <v>0.0167</v>
      </c>
      <c r="AS33" t="str">
        <f>"0.126**"</f>
        <v>0.126**</v>
      </c>
      <c r="AT33" t="str">
        <f>"0.121***"</f>
        <v>0.121***</v>
      </c>
      <c r="AU33" t="str">
        <f>"0.0124"</f>
        <v>0.0124</v>
      </c>
      <c r="AV33" t="str">
        <f>"0.110**"</f>
        <v>0.110**</v>
      </c>
      <c r="AW33" t="str">
        <f>"0.107***"</f>
        <v>0.107***</v>
      </c>
      <c r="AX33" t="str">
        <f>"0.0188"</f>
        <v>0.0188</v>
      </c>
      <c r="AY33" t="str">
        <f>"0.122**"</f>
        <v>0.122**</v>
      </c>
      <c r="AZ33" t="str">
        <f>"0.120***"</f>
        <v>0.120***</v>
      </c>
      <c r="BA33" t="str">
        <f>"0.0186"</f>
        <v>0.0186</v>
      </c>
      <c r="BB33" t="str">
        <f>"0.122**"</f>
        <v>0.122**</v>
      </c>
      <c r="BC33" t="str">
        <f>"0.119***"</f>
        <v>0.119***</v>
      </c>
      <c r="BD33" t="str">
        <f>"0.0171"</f>
        <v>0.0171</v>
      </c>
      <c r="BE33" t="str">
        <f>"0.118**"</f>
        <v>0.118**</v>
      </c>
      <c r="BF33" t="str">
        <f>"0.116***"</f>
        <v>0.116***</v>
      </c>
      <c r="BG33" t="str">
        <f>"0.0196"</f>
        <v>0.0196</v>
      </c>
      <c r="BH33" t="str">
        <f>"0.121**"</f>
        <v>0.121**</v>
      </c>
      <c r="BI33" t="str">
        <f>"0.114***"</f>
        <v>0.114***</v>
      </c>
      <c r="BJ33" t="str">
        <f>"0.0155"</f>
        <v>0.0155</v>
      </c>
      <c r="BK33" t="str">
        <f>"0.122**"</f>
        <v>0.122**</v>
      </c>
      <c r="BL33" t="str">
        <f>"0.118***"</f>
        <v>0.118***</v>
      </c>
      <c r="BM33" t="str">
        <f>"0.0177"</f>
        <v>0.0177</v>
      </c>
      <c r="BN33" t="str">
        <f>"0.114**"</f>
        <v>0.114**</v>
      </c>
      <c r="BO33" t="str">
        <f>"0.106***"</f>
        <v>0.106***</v>
      </c>
      <c r="BP33" t="str">
        <f>"0.0153"</f>
        <v>0.0153</v>
      </c>
      <c r="BQ33" t="str">
        <f>"0.122**"</f>
        <v>0.122**</v>
      </c>
      <c r="BR33" t="str">
        <f>"0.118***"</f>
        <v>0.118***</v>
      </c>
      <c r="BS33" t="str">
        <f>"0.0142"</f>
        <v>0.0142</v>
      </c>
      <c r="BT33" t="str">
        <f>"0.116**"</f>
        <v>0.116**</v>
      </c>
      <c r="BU33" t="str">
        <f>"0.116***"</f>
        <v>0.116***</v>
      </c>
      <c r="BV33" t="str">
        <f>"0.0165"</f>
        <v>0.0165</v>
      </c>
      <c r="BW33" t="str">
        <f>"0.120**"</f>
        <v>0.120**</v>
      </c>
      <c r="BX33" t="str">
        <f>"0.118***"</f>
        <v>0.118***</v>
      </c>
      <c r="BY33" t="str">
        <f>"0.0188"</f>
        <v>0.0188</v>
      </c>
      <c r="BZ33" t="str">
        <f>"0.120**"</f>
        <v>0.120**</v>
      </c>
      <c r="CA33" t="str">
        <f>"0.119***"</f>
        <v>0.119***</v>
      </c>
      <c r="CB33" t="str">
        <f>"0.0136"</f>
        <v>0.0136</v>
      </c>
      <c r="CC33" t="str">
        <f>"0.115**"</f>
        <v>0.115**</v>
      </c>
      <c r="CD33" t="str">
        <f>"0.115***"</f>
        <v>0.115***</v>
      </c>
      <c r="CE33" t="str">
        <f>"0.0157"</f>
        <v>0.0157</v>
      </c>
      <c r="CF33" t="str">
        <f>"0.119**"</f>
        <v>0.119**</v>
      </c>
      <c r="CG33" t="str">
        <f>"0.115***"</f>
        <v>0.115***</v>
      </c>
      <c r="CH33" t="str">
        <f>"0.0180"</f>
        <v>0.0180</v>
      </c>
      <c r="CI33" t="str">
        <f>"0.120**"</f>
        <v>0.120**</v>
      </c>
      <c r="CJ33" t="str">
        <f>"0.119***"</f>
        <v>0.119***</v>
      </c>
      <c r="CK33" t="str">
        <f>"0.0155"</f>
        <v>0.0155</v>
      </c>
      <c r="CL33" t="str">
        <f>"0.118**"</f>
        <v>0.118**</v>
      </c>
      <c r="CM33" t="str">
        <f>"0.120***"</f>
        <v>0.120***</v>
      </c>
    </row>
    <row r="34" spans="1:91" x14ac:dyDescent="0.3">
      <c r="A34" t="str">
        <f>""</f>
        <v/>
      </c>
      <c r="B34" t="str">
        <f>"(0.0538)"</f>
        <v>(0.0538)</v>
      </c>
      <c r="C34" t="str">
        <f>"(0.0409)"</f>
        <v>(0.0409)</v>
      </c>
      <c r="D34" t="str">
        <f>"(0.0216)"</f>
        <v>(0.0216)</v>
      </c>
      <c r="E34" t="str">
        <f>"(0.0537)"</f>
        <v>(0.0537)</v>
      </c>
      <c r="F34" t="str">
        <f>"(0.0408)"</f>
        <v>(0.0408)</v>
      </c>
      <c r="G34" t="str">
        <f>"(0.0216)"</f>
        <v>(0.0216)</v>
      </c>
      <c r="H34" t="str">
        <f>"(0.0538)"</f>
        <v>(0.0538)</v>
      </c>
      <c r="I34" t="str">
        <f>"(0.0408)"</f>
        <v>(0.0408)</v>
      </c>
      <c r="J34" t="str">
        <f>"(0.0216)"</f>
        <v>(0.0216)</v>
      </c>
      <c r="K34" t="str">
        <f>"(0.0537)"</f>
        <v>(0.0537)</v>
      </c>
      <c r="L34" t="str">
        <f>"(0.0408)"</f>
        <v>(0.0408)</v>
      </c>
      <c r="M34" t="str">
        <f>"(0.0216)"</f>
        <v>(0.0216)</v>
      </c>
      <c r="N34" t="str">
        <f>"(0.0537)"</f>
        <v>(0.0537)</v>
      </c>
      <c r="O34" t="str">
        <f>"(0.0408)"</f>
        <v>(0.0408)</v>
      </c>
      <c r="P34" t="str">
        <f>"(0.0216)"</f>
        <v>(0.0216)</v>
      </c>
      <c r="Q34" t="str">
        <f>"(0.0537)"</f>
        <v>(0.0537)</v>
      </c>
      <c r="R34" t="str">
        <f>"(0.0408)"</f>
        <v>(0.0408)</v>
      </c>
      <c r="S34" t="str">
        <f>"(0.0216)"</f>
        <v>(0.0216)</v>
      </c>
      <c r="T34" t="str">
        <f>"(0.0538)"</f>
        <v>(0.0538)</v>
      </c>
      <c r="U34" t="str">
        <f>"(0.0410)"</f>
        <v>(0.0410)</v>
      </c>
      <c r="V34" t="str">
        <f>"(0.0217)"</f>
        <v>(0.0217)</v>
      </c>
      <c r="W34" t="str">
        <f>"(0.0537)"</f>
        <v>(0.0537)</v>
      </c>
      <c r="X34" t="str">
        <f>"(0.0408)"</f>
        <v>(0.0408)</v>
      </c>
      <c r="Y34" t="str">
        <f>"(0.0216)"</f>
        <v>(0.0216)</v>
      </c>
      <c r="Z34" t="str">
        <f>"(0.0537)"</f>
        <v>(0.0537)</v>
      </c>
      <c r="AA34" t="str">
        <f>"(0.0408)"</f>
        <v>(0.0408)</v>
      </c>
      <c r="AB34" t="str">
        <f>"(0.0216)"</f>
        <v>(0.0216)</v>
      </c>
      <c r="AC34" t="str">
        <f>"(0.0537)"</f>
        <v>(0.0537)</v>
      </c>
      <c r="AD34" t="str">
        <f>"(0.0408)"</f>
        <v>(0.0408)</v>
      </c>
      <c r="AE34" t="str">
        <f>"(0.0216)"</f>
        <v>(0.0216)</v>
      </c>
      <c r="AF34" t="str">
        <f>"(0.0537)"</f>
        <v>(0.0537)</v>
      </c>
      <c r="AG34" t="str">
        <f>"(0.0408)"</f>
        <v>(0.0408)</v>
      </c>
      <c r="AH34" t="str">
        <f>"(0.0216)"</f>
        <v>(0.0216)</v>
      </c>
      <c r="AI34" t="str">
        <f>"(0.0538)"</f>
        <v>(0.0538)</v>
      </c>
      <c r="AJ34" t="str">
        <f>"(0.0408)"</f>
        <v>(0.0408)</v>
      </c>
      <c r="AK34" t="str">
        <f>"(0.0216)"</f>
        <v>(0.0216)</v>
      </c>
      <c r="AL34" t="str">
        <f>"(0.0538)"</f>
        <v>(0.0538)</v>
      </c>
      <c r="AM34" t="str">
        <f>"(0.0408)"</f>
        <v>(0.0408)</v>
      </c>
      <c r="AN34" t="str">
        <f>"(0.0216)"</f>
        <v>(0.0216)</v>
      </c>
      <c r="AO34" t="str">
        <f>"(0.0537)"</f>
        <v>(0.0537)</v>
      </c>
      <c r="AP34" t="str">
        <f>"(0.0408)"</f>
        <v>(0.0408)</v>
      </c>
      <c r="AQ34" t="str">
        <f>"(0.0216)"</f>
        <v>(0.0216)</v>
      </c>
      <c r="AR34" t="str">
        <f>"(0.0537)"</f>
        <v>(0.0537)</v>
      </c>
      <c r="AS34" t="str">
        <f>"(0.0408)"</f>
        <v>(0.0408)</v>
      </c>
      <c r="AT34" t="str">
        <f>"(0.0216)"</f>
        <v>(0.0216)</v>
      </c>
      <c r="AU34" t="str">
        <f>"(0.0538)"</f>
        <v>(0.0538)</v>
      </c>
      <c r="AV34" t="str">
        <f>"(0.0409)"</f>
        <v>(0.0409)</v>
      </c>
      <c r="AW34" t="str">
        <f>"(0.0216)"</f>
        <v>(0.0216)</v>
      </c>
      <c r="AX34" t="str">
        <f>"(0.0537)"</f>
        <v>(0.0537)</v>
      </c>
      <c r="AY34" t="str">
        <f>"(0.0408)"</f>
        <v>(0.0408)</v>
      </c>
      <c r="AZ34" t="str">
        <f>"(0.0216)"</f>
        <v>(0.0216)</v>
      </c>
      <c r="BA34" t="str">
        <f>"(0.0537)"</f>
        <v>(0.0537)</v>
      </c>
      <c r="BB34" t="str">
        <f>"(0.0408)"</f>
        <v>(0.0408)</v>
      </c>
      <c r="BC34" t="str">
        <f>"(0.0216)"</f>
        <v>(0.0216)</v>
      </c>
      <c r="BD34" t="str">
        <f>"(0.0537)"</f>
        <v>(0.0537)</v>
      </c>
      <c r="BE34" t="str">
        <f>"(0.0408)"</f>
        <v>(0.0408)</v>
      </c>
      <c r="BF34" t="str">
        <f>"(0.0216)"</f>
        <v>(0.0216)</v>
      </c>
      <c r="BG34" t="str">
        <f>"(0.0537)"</f>
        <v>(0.0537)</v>
      </c>
      <c r="BH34" t="str">
        <f>"(0.0408)"</f>
        <v>(0.0408)</v>
      </c>
      <c r="BI34" t="str">
        <f>"(0.0216)"</f>
        <v>(0.0216)</v>
      </c>
      <c r="BJ34" t="str">
        <f>"(0.0537)"</f>
        <v>(0.0537)</v>
      </c>
      <c r="BK34" t="str">
        <f>"(0.0408)"</f>
        <v>(0.0408)</v>
      </c>
      <c r="BL34" t="str">
        <f>"(0.0216)"</f>
        <v>(0.0216)</v>
      </c>
      <c r="BM34" t="str">
        <f>"(0.0538)"</f>
        <v>(0.0538)</v>
      </c>
      <c r="BN34" t="str">
        <f>"(0.0410)"</f>
        <v>(0.0410)</v>
      </c>
      <c r="BO34" t="str">
        <f>"(0.0217)"</f>
        <v>(0.0217)</v>
      </c>
      <c r="BP34" t="str">
        <f>"(0.0537)"</f>
        <v>(0.0537)</v>
      </c>
      <c r="BQ34" t="str">
        <f>"(0.0409)"</f>
        <v>(0.0409)</v>
      </c>
      <c r="BR34" t="str">
        <f>"(0.0216)"</f>
        <v>(0.0216)</v>
      </c>
      <c r="BS34" t="str">
        <f>"(0.0536)"</f>
        <v>(0.0536)</v>
      </c>
      <c r="BT34" t="str">
        <f>"(0.0407)"</f>
        <v>(0.0407)</v>
      </c>
      <c r="BU34" t="str">
        <f>"(0.0216)"</f>
        <v>(0.0216)</v>
      </c>
      <c r="BV34" t="str">
        <f>"(0.0537)"</f>
        <v>(0.0537)</v>
      </c>
      <c r="BW34" t="str">
        <f>"(0.0408)"</f>
        <v>(0.0408)</v>
      </c>
      <c r="BX34" t="str">
        <f>"(0.0216)"</f>
        <v>(0.0216)</v>
      </c>
      <c r="BY34" t="str">
        <f>"(0.0537)"</f>
        <v>(0.0537)</v>
      </c>
      <c r="BZ34" t="str">
        <f>"(0.0408)"</f>
        <v>(0.0408)</v>
      </c>
      <c r="CA34" t="str">
        <f>"(0.0216)"</f>
        <v>(0.0216)</v>
      </c>
      <c r="CB34" t="str">
        <f>"(0.0538)"</f>
        <v>(0.0538)</v>
      </c>
      <c r="CC34" t="str">
        <f>"(0.0408)"</f>
        <v>(0.0408)</v>
      </c>
      <c r="CD34" t="str">
        <f>"(0.0216)"</f>
        <v>(0.0216)</v>
      </c>
      <c r="CE34" t="str">
        <f>"(0.0537)"</f>
        <v>(0.0537)</v>
      </c>
      <c r="CF34" t="str">
        <f>"(0.0408)"</f>
        <v>(0.0408)</v>
      </c>
      <c r="CG34" t="str">
        <f>"(0.0216)"</f>
        <v>(0.0216)</v>
      </c>
      <c r="CH34" t="str">
        <f>"(0.0537)"</f>
        <v>(0.0537)</v>
      </c>
      <c r="CI34" t="str">
        <f>"(0.0408)"</f>
        <v>(0.0408)</v>
      </c>
      <c r="CJ34" t="str">
        <f>"(0.0216)"</f>
        <v>(0.0216)</v>
      </c>
      <c r="CK34" t="str">
        <f>"(0.0537)"</f>
        <v>(0.0537)</v>
      </c>
      <c r="CL34" t="str">
        <f>"(0.0408)"</f>
        <v>(0.0408)</v>
      </c>
      <c r="CM34" t="str">
        <f>"(0.0216)"</f>
        <v>(0.0216)</v>
      </c>
    </row>
    <row r="36" spans="1:91" x14ac:dyDescent="0.3">
      <c r="A36" t="str">
        <f>"comorbid"</f>
        <v>comorbid</v>
      </c>
      <c r="B36" t="str">
        <f>"0.0660**"</f>
        <v>0.0660**</v>
      </c>
      <c r="C36" t="str">
        <f>"0.0479*"</f>
        <v>0.0479*</v>
      </c>
      <c r="D36" t="str">
        <f>"0.0597***"</f>
        <v>0.0597***</v>
      </c>
      <c r="E36" t="str">
        <f>"0.0788**"</f>
        <v>0.0788**</v>
      </c>
      <c r="F36" t="str">
        <f>"0.0599**"</f>
        <v>0.0599**</v>
      </c>
      <c r="G36" t="str">
        <f>"0.0768***"</f>
        <v>0.0768***</v>
      </c>
      <c r="H36" t="str">
        <f>"0.0808**"</f>
        <v>0.0808**</v>
      </c>
      <c r="I36" t="str">
        <f>"0.0622**"</f>
        <v>0.0622**</v>
      </c>
      <c r="J36" t="str">
        <f>"0.0680***"</f>
        <v>0.0680***</v>
      </c>
      <c r="K36" t="str">
        <f>"0.0719**"</f>
        <v>0.0719**</v>
      </c>
      <c r="L36" t="str">
        <f>"0.0540**"</f>
        <v>0.0540**</v>
      </c>
      <c r="M36" t="str">
        <f>"0.0666***"</f>
        <v>0.0666***</v>
      </c>
      <c r="N36" t="str">
        <f>"0.0741**"</f>
        <v>0.0741**</v>
      </c>
      <c r="O36" t="str">
        <f>"0.0580**"</f>
        <v>0.0580**</v>
      </c>
      <c r="P36" t="str">
        <f>"0.0625***"</f>
        <v>0.0625***</v>
      </c>
      <c r="Q36" t="str">
        <f>"0.0796**"</f>
        <v>0.0796**</v>
      </c>
      <c r="R36" t="str">
        <f>"0.0587**"</f>
        <v>0.0587**</v>
      </c>
      <c r="S36" t="str">
        <f>"0.0741***"</f>
        <v>0.0741***</v>
      </c>
      <c r="T36" t="str">
        <f>"0.0725**"</f>
        <v>0.0725**</v>
      </c>
      <c r="U36" t="str">
        <f>"0.0567**"</f>
        <v>0.0567**</v>
      </c>
      <c r="V36" t="str">
        <f>"0.0731***"</f>
        <v>0.0731***</v>
      </c>
      <c r="W36" t="str">
        <f>"0.0729**"</f>
        <v>0.0729**</v>
      </c>
      <c r="X36" t="str">
        <f>"0.0566**"</f>
        <v>0.0566**</v>
      </c>
      <c r="Y36" t="str">
        <f>"0.0715***"</f>
        <v>0.0715***</v>
      </c>
      <c r="Z36" t="str">
        <f>"0.0715**"</f>
        <v>0.0715**</v>
      </c>
      <c r="AA36" t="str">
        <f>"0.0561**"</f>
        <v>0.0561**</v>
      </c>
      <c r="AB36" t="str">
        <f>"0.0708***"</f>
        <v>0.0708***</v>
      </c>
      <c r="AC36" t="str">
        <f>"0.0738**"</f>
        <v>0.0738**</v>
      </c>
      <c r="AD36" t="str">
        <f>"0.0555**"</f>
        <v>0.0555**</v>
      </c>
      <c r="AE36" t="str">
        <f>"0.0733***"</f>
        <v>0.0733***</v>
      </c>
      <c r="AF36" t="str">
        <f>"0.0731**"</f>
        <v>0.0731**</v>
      </c>
      <c r="AG36" t="str">
        <f>"0.0556**"</f>
        <v>0.0556**</v>
      </c>
      <c r="AH36" t="str">
        <f>"0.0692***"</f>
        <v>0.0692***</v>
      </c>
      <c r="AI36" t="str">
        <f>"0.0743**"</f>
        <v>0.0743**</v>
      </c>
      <c r="AJ36" t="str">
        <f>"0.0576**"</f>
        <v>0.0576**</v>
      </c>
      <c r="AK36" t="str">
        <f>"0.0732***"</f>
        <v>0.0732***</v>
      </c>
      <c r="AL36" t="str">
        <f>"0.0728**"</f>
        <v>0.0728**</v>
      </c>
      <c r="AM36" t="str">
        <f>"0.0563**"</f>
        <v>0.0563**</v>
      </c>
      <c r="AN36" t="str">
        <f>"0.0723***"</f>
        <v>0.0723***</v>
      </c>
      <c r="AO36" t="str">
        <f>"0.0735**"</f>
        <v>0.0735**</v>
      </c>
      <c r="AP36" t="str">
        <f>"0.0567**"</f>
        <v>0.0567**</v>
      </c>
      <c r="AQ36" t="str">
        <f>"0.0712***"</f>
        <v>0.0712***</v>
      </c>
      <c r="AR36" t="str">
        <f>"0.0728**"</f>
        <v>0.0728**</v>
      </c>
      <c r="AS36" t="str">
        <f>"0.0563**"</f>
        <v>0.0563**</v>
      </c>
      <c r="AT36" t="str">
        <f>"0.0710***"</f>
        <v>0.0710***</v>
      </c>
      <c r="AU36" t="str">
        <f>"0.0697**"</f>
        <v>0.0697**</v>
      </c>
      <c r="AV36" t="str">
        <f>"0.0534**"</f>
        <v>0.0534**</v>
      </c>
      <c r="AW36" t="str">
        <f>"0.0626***"</f>
        <v>0.0626***</v>
      </c>
      <c r="AX36" t="str">
        <f>"0.0818**"</f>
        <v>0.0818**</v>
      </c>
      <c r="AY36" t="str">
        <f>"0.0669***"</f>
        <v>0.0669***</v>
      </c>
      <c r="AZ36" t="str">
        <f>"0.0796***"</f>
        <v>0.0796***</v>
      </c>
      <c r="BA36" t="str">
        <f>"0.0833***"</f>
        <v>0.0833***</v>
      </c>
      <c r="BB36" t="str">
        <f>"0.0675***"</f>
        <v>0.0675***</v>
      </c>
      <c r="BC36" t="str">
        <f>"0.0706***"</f>
        <v>0.0706***</v>
      </c>
      <c r="BD36" t="str">
        <f>"0.0744**"</f>
        <v>0.0744**</v>
      </c>
      <c r="BE36" t="str">
        <f>"0.0607**"</f>
        <v>0.0607**</v>
      </c>
      <c r="BF36" t="str">
        <f>"0.0695***"</f>
        <v>0.0695***</v>
      </c>
      <c r="BG36" t="str">
        <f>"0.0773**"</f>
        <v>0.0773**</v>
      </c>
      <c r="BH36" t="str">
        <f>"0.0636***"</f>
        <v>0.0636***</v>
      </c>
      <c r="BI36" t="str">
        <f>"0.0655***"</f>
        <v>0.0655***</v>
      </c>
      <c r="BJ36" t="str">
        <f>"0.0828***"</f>
        <v>0.0828***</v>
      </c>
      <c r="BK36" t="str">
        <f>"0.0641***"</f>
        <v>0.0641***</v>
      </c>
      <c r="BL36" t="str">
        <f>"0.0771***"</f>
        <v>0.0771***</v>
      </c>
      <c r="BM36" t="str">
        <f>"0.0759**"</f>
        <v>0.0759**</v>
      </c>
      <c r="BN36" t="str">
        <f>"0.0629**"</f>
        <v>0.0629**</v>
      </c>
      <c r="BO36" t="str">
        <f>"0.0756***"</f>
        <v>0.0756***</v>
      </c>
      <c r="BP36" t="str">
        <f>"0.0753**"</f>
        <v>0.0753**</v>
      </c>
      <c r="BQ36" t="str">
        <f>"0.0631***"</f>
        <v>0.0631***</v>
      </c>
      <c r="BR36" t="str">
        <f>"0.0739***"</f>
        <v>0.0739***</v>
      </c>
      <c r="BS36" t="str">
        <f>"0.0747**"</f>
        <v>0.0747**</v>
      </c>
      <c r="BT36" t="str">
        <f>"0.0635***"</f>
        <v>0.0635***</v>
      </c>
      <c r="BU36" t="str">
        <f>"0.0731***"</f>
        <v>0.0731***</v>
      </c>
      <c r="BV36" t="str">
        <f>"0.0766**"</f>
        <v>0.0766**</v>
      </c>
      <c r="BW36" t="str">
        <f>"0.0620**"</f>
        <v>0.0620**</v>
      </c>
      <c r="BX36" t="str">
        <f>"0.0759***"</f>
        <v>0.0759***</v>
      </c>
      <c r="BY36" t="str">
        <f>"0.0756**"</f>
        <v>0.0756**</v>
      </c>
      <c r="BZ36" t="str">
        <f>"0.0619**"</f>
        <v>0.0619**</v>
      </c>
      <c r="CA36" t="str">
        <f>"0.0720***"</f>
        <v>0.0720***</v>
      </c>
      <c r="CB36" t="str">
        <f>"0.0767**"</f>
        <v>0.0767**</v>
      </c>
      <c r="CC36" t="str">
        <f>"0.0635***"</f>
        <v>0.0635***</v>
      </c>
      <c r="CD36" t="str">
        <f>"0.0757***"</f>
        <v>0.0757***</v>
      </c>
      <c r="CE36" t="str">
        <f>"0.0754**"</f>
        <v>0.0754**</v>
      </c>
      <c r="CF36" t="str">
        <f>"0.0627**"</f>
        <v>0.0627**</v>
      </c>
      <c r="CG36" t="str">
        <f>"0.0746***"</f>
        <v>0.0746***</v>
      </c>
      <c r="CH36" t="str">
        <f>"0.0759**"</f>
        <v>0.0759**</v>
      </c>
      <c r="CI36" t="str">
        <f>"0.0635***"</f>
        <v>0.0635***</v>
      </c>
      <c r="CJ36" t="str">
        <f>"0.0737***"</f>
        <v>0.0737***</v>
      </c>
      <c r="CK36" t="str">
        <f>"0.0756**"</f>
        <v>0.0756**</v>
      </c>
      <c r="CL36" t="str">
        <f>"0.0628**"</f>
        <v>0.0628**</v>
      </c>
      <c r="CM36" t="str">
        <f>"0.0736***"</f>
        <v>0.0736***</v>
      </c>
    </row>
    <row r="37" spans="1:91" x14ac:dyDescent="0.3">
      <c r="A37" t="str">
        <f>""</f>
        <v/>
      </c>
      <c r="B37" t="str">
        <f>"(0.0254)"</f>
        <v>(0.0254)</v>
      </c>
      <c r="C37" t="str">
        <f>"(0.0195)"</f>
        <v>(0.0195)</v>
      </c>
      <c r="D37" t="str">
        <f>"(0.0103)"</f>
        <v>(0.0103)</v>
      </c>
      <c r="E37" t="str">
        <f>"(0.0250)"</f>
        <v>(0.0250)</v>
      </c>
      <c r="F37" t="str">
        <f>"(0.0193)"</f>
        <v>(0.0193)</v>
      </c>
      <c r="G37" t="str">
        <f>"(0.0101)"</f>
        <v>(0.0101)</v>
      </c>
      <c r="H37" t="str">
        <f>"(0.0249)"</f>
        <v>(0.0249)</v>
      </c>
      <c r="I37" t="str">
        <f>"(0.0193)"</f>
        <v>(0.0193)</v>
      </c>
      <c r="J37" t="str">
        <f>"(0.0102)"</f>
        <v>(0.0102)</v>
      </c>
      <c r="K37" t="str">
        <f>"(0.0250)"</f>
        <v>(0.0250)</v>
      </c>
      <c r="L37" t="str">
        <f>"(0.0193)"</f>
        <v>(0.0193)</v>
      </c>
      <c r="M37" t="str">
        <f>"(0.0101)"</f>
        <v>(0.0101)</v>
      </c>
      <c r="N37" t="str">
        <f>"(0.0251)"</f>
        <v>(0.0251)</v>
      </c>
      <c r="O37" t="str">
        <f>"(0.0193)"</f>
        <v>(0.0193)</v>
      </c>
      <c r="P37" t="str">
        <f>"(0.0102)"</f>
        <v>(0.0102)</v>
      </c>
      <c r="Q37" t="str">
        <f>"(0.0249)"</f>
        <v>(0.0249)</v>
      </c>
      <c r="R37" t="str">
        <f>"(0.0193)"</f>
        <v>(0.0193)</v>
      </c>
      <c r="S37" t="str">
        <f>"(0.0101)"</f>
        <v>(0.0101)</v>
      </c>
      <c r="T37" t="str">
        <f>"(0.0249)"</f>
        <v>(0.0249)</v>
      </c>
      <c r="U37" t="str">
        <f>"(0.0192)"</f>
        <v>(0.0192)</v>
      </c>
      <c r="V37" t="str">
        <f>"(0.0100)"</f>
        <v>(0.0100)</v>
      </c>
      <c r="W37" t="str">
        <f>"(0.0249)"</f>
        <v>(0.0249)</v>
      </c>
      <c r="X37" t="str">
        <f>"(0.0191)"</f>
        <v>(0.0191)</v>
      </c>
      <c r="Y37" t="str">
        <f>"(0.0100)"</f>
        <v>(0.0100)</v>
      </c>
      <c r="Z37" t="str">
        <f>"(0.0250)"</f>
        <v>(0.0250)</v>
      </c>
      <c r="AA37" t="str">
        <f>"(0.0192)"</f>
        <v>(0.0192)</v>
      </c>
      <c r="AB37" t="str">
        <f>"(0.0101)"</f>
        <v>(0.0101)</v>
      </c>
      <c r="AC37" t="str">
        <f>"(0.0249)"</f>
        <v>(0.0249)</v>
      </c>
      <c r="AD37" t="str">
        <f>"(0.0192)"</f>
        <v>(0.0192)</v>
      </c>
      <c r="AE37" t="str">
        <f>"(0.0101)"</f>
        <v>(0.0101)</v>
      </c>
      <c r="AF37" t="str">
        <f>"(0.0250)"</f>
        <v>(0.0250)</v>
      </c>
      <c r="AG37" t="str">
        <f>"(0.0192)"</f>
        <v>(0.0192)</v>
      </c>
      <c r="AH37" t="str">
        <f>"(0.0101)"</f>
        <v>(0.0101)</v>
      </c>
      <c r="AI37" t="str">
        <f>"(0.0249)"</f>
        <v>(0.0249)</v>
      </c>
      <c r="AJ37" t="str">
        <f>"(0.0192)"</f>
        <v>(0.0192)</v>
      </c>
      <c r="AK37" t="str">
        <f>"(0.0101)"</f>
        <v>(0.0101)</v>
      </c>
      <c r="AL37" t="str">
        <f>"(0.0250)"</f>
        <v>(0.0250)</v>
      </c>
      <c r="AM37" t="str">
        <f>"(0.0192)"</f>
        <v>(0.0192)</v>
      </c>
      <c r="AN37" t="str">
        <f>"(0.0101)"</f>
        <v>(0.0101)</v>
      </c>
      <c r="AO37" t="str">
        <f>"(0.0250)"</f>
        <v>(0.0250)</v>
      </c>
      <c r="AP37" t="str">
        <f>"(0.0192)"</f>
        <v>(0.0192)</v>
      </c>
      <c r="AQ37" t="str">
        <f>"(0.0101)"</f>
        <v>(0.0101)</v>
      </c>
      <c r="AR37" t="str">
        <f>"(0.0249)"</f>
        <v>(0.0249)</v>
      </c>
      <c r="AS37" t="str">
        <f>"(0.0192)"</f>
        <v>(0.0192)</v>
      </c>
      <c r="AT37" t="str">
        <f>"(0.0101)"</f>
        <v>(0.0101)</v>
      </c>
      <c r="AU37" t="str">
        <f>"(0.0254)"</f>
        <v>(0.0254)</v>
      </c>
      <c r="AV37" t="str">
        <f>"(0.0196)"</f>
        <v>(0.0196)</v>
      </c>
      <c r="AW37" t="str">
        <f>"(0.0102)"</f>
        <v>(0.0102)</v>
      </c>
      <c r="AX37" t="str">
        <f>"(0.0249)"</f>
        <v>(0.0249)</v>
      </c>
      <c r="AY37" t="str">
        <f>"(0.0194)"</f>
        <v>(0.0194)</v>
      </c>
      <c r="AZ37" t="str">
        <f>"(0.0101)"</f>
        <v>(0.0101)</v>
      </c>
      <c r="BA37" t="str">
        <f>"(0.0249)"</f>
        <v>(0.0249)</v>
      </c>
      <c r="BB37" t="str">
        <f>"(0.0192)"</f>
        <v>(0.0192)</v>
      </c>
      <c r="BC37" t="str">
        <f>"(0.0101)"</f>
        <v>(0.0101)</v>
      </c>
      <c r="BD37" t="str">
        <f>"(0.0250)"</f>
        <v>(0.0250)</v>
      </c>
      <c r="BE37" t="str">
        <f>"(0.0192)"</f>
        <v>(0.0192)</v>
      </c>
      <c r="BF37" t="str">
        <f>"(0.0100)"</f>
        <v>(0.0100)</v>
      </c>
      <c r="BG37" t="str">
        <f>"(0.0250)"</f>
        <v>(0.0250)</v>
      </c>
      <c r="BH37" t="str">
        <f>"(0.0193)"</f>
        <v>(0.0193)</v>
      </c>
      <c r="BI37" t="str">
        <f>"(0.0102)"</f>
        <v>(0.0102)</v>
      </c>
      <c r="BJ37" t="str">
        <f>"(0.0249)"</f>
        <v>(0.0249)</v>
      </c>
      <c r="BK37" t="str">
        <f>"(0.0193)"</f>
        <v>(0.0193)</v>
      </c>
      <c r="BL37" t="str">
        <f>"(0.0101)"</f>
        <v>(0.0101)</v>
      </c>
      <c r="BM37" t="str">
        <f>"(0.0249)"</f>
        <v>(0.0249)</v>
      </c>
      <c r="BN37" t="str">
        <f>"(0.0192)"</f>
        <v>(0.0192)</v>
      </c>
      <c r="BO37" t="str">
        <f>"(0.0100)"</f>
        <v>(0.0100)</v>
      </c>
      <c r="BP37" t="str">
        <f>"(0.0249)"</f>
        <v>(0.0249)</v>
      </c>
      <c r="BQ37" t="str">
        <f>"(0.0191)"</f>
        <v>(0.0191)</v>
      </c>
      <c r="BR37" t="str">
        <f>"(0.0100)"</f>
        <v>(0.0100)</v>
      </c>
      <c r="BS37" t="str">
        <f>"(0.0250)"</f>
        <v>(0.0250)</v>
      </c>
      <c r="BT37" t="str">
        <f>"(0.0192)"</f>
        <v>(0.0192)</v>
      </c>
      <c r="BU37" t="str">
        <f>"(0.0100)"</f>
        <v>(0.0100)</v>
      </c>
      <c r="BV37" t="str">
        <f>"(0.0249)"</f>
        <v>(0.0249)</v>
      </c>
      <c r="BW37" t="str">
        <f>"(0.0192)"</f>
        <v>(0.0192)</v>
      </c>
      <c r="BX37" t="str">
        <f>"(0.0100)"</f>
        <v>(0.0100)</v>
      </c>
      <c r="BY37" t="str">
        <f>"(0.0249)"</f>
        <v>(0.0249)</v>
      </c>
      <c r="BZ37" t="str">
        <f>"(0.0192)"</f>
        <v>(0.0192)</v>
      </c>
      <c r="CA37" t="str">
        <f>"(0.0101)"</f>
        <v>(0.0101)</v>
      </c>
      <c r="CB37" t="str">
        <f>"(0.0250)"</f>
        <v>(0.0250)</v>
      </c>
      <c r="CC37" t="str">
        <f>"(0.0192)"</f>
        <v>(0.0192)</v>
      </c>
      <c r="CD37" t="str">
        <f>"(0.0100)"</f>
        <v>(0.0100)</v>
      </c>
      <c r="CE37" t="str">
        <f>"(0.0249)"</f>
        <v>(0.0249)</v>
      </c>
      <c r="CF37" t="str">
        <f>"(0.0192)"</f>
        <v>(0.0192)</v>
      </c>
      <c r="CG37" t="str">
        <f>"(0.0101)"</f>
        <v>(0.0101)</v>
      </c>
      <c r="CH37" t="str">
        <f>"(0.0250)"</f>
        <v>(0.0250)</v>
      </c>
      <c r="CI37" t="str">
        <f>"(0.0192)"</f>
        <v>(0.0192)</v>
      </c>
      <c r="CJ37" t="str">
        <f>"(0.0100)"</f>
        <v>(0.0100)</v>
      </c>
      <c r="CK37" t="str">
        <f>"(0.0249)"</f>
        <v>(0.0249)</v>
      </c>
      <c r="CL37" t="str">
        <f>"(0.0192)"</f>
        <v>(0.0192)</v>
      </c>
      <c r="CM37" t="str">
        <f>"(0.0100)"</f>
        <v>(0.0100)</v>
      </c>
    </row>
    <row r="39" spans="1:91" x14ac:dyDescent="0.3">
      <c r="A39" t="str">
        <f>"srhbr"</f>
        <v>srhbr</v>
      </c>
      <c r="B39" t="str">
        <f>"0.321***"</f>
        <v>0.321***</v>
      </c>
      <c r="C39" t="str">
        <f>"0.353***"</f>
        <v>0.353***</v>
      </c>
      <c r="D39" t="str">
        <f>"0.453***"</f>
        <v>0.453***</v>
      </c>
      <c r="E39" t="str">
        <f>"0.342***"</f>
        <v>0.342***</v>
      </c>
      <c r="F39" t="str">
        <f>"0.376***"</f>
        <v>0.376***</v>
      </c>
      <c r="G39" t="str">
        <f>"0.482***"</f>
        <v>0.482***</v>
      </c>
      <c r="H39" t="str">
        <f>"0.353***"</f>
        <v>0.353***</v>
      </c>
      <c r="I39" t="str">
        <f>"0.383***"</f>
        <v>0.383***</v>
      </c>
      <c r="J39" t="str">
        <f>"0.471***"</f>
        <v>0.471***</v>
      </c>
      <c r="K39" t="str">
        <f>"0.331***"</f>
        <v>0.331***</v>
      </c>
      <c r="L39" t="str">
        <f>"0.364***"</f>
        <v>0.364***</v>
      </c>
      <c r="M39" t="str">
        <f>"0.460***"</f>
        <v>0.460***</v>
      </c>
      <c r="N39" t="str">
        <f>"0.338***"</f>
        <v>0.338***</v>
      </c>
      <c r="O39" t="str">
        <f>"0.376***"</f>
        <v>0.376***</v>
      </c>
      <c r="P39" t="str">
        <f>"0.457***"</f>
        <v>0.457***</v>
      </c>
      <c r="Q39" t="str">
        <f>"0.343***"</f>
        <v>0.343***</v>
      </c>
      <c r="R39" t="str">
        <f>"0.375***"</f>
        <v>0.375***</v>
      </c>
      <c r="S39" t="str">
        <f>"0.479***"</f>
        <v>0.479***</v>
      </c>
      <c r="T39" t="str">
        <f>"0.336***"</f>
        <v>0.336***</v>
      </c>
      <c r="U39" t="str">
        <f>"0.370***"</f>
        <v>0.370***</v>
      </c>
      <c r="V39" t="str">
        <f>"0.472***"</f>
        <v>0.472***</v>
      </c>
      <c r="W39" t="str">
        <f>"0.333***"</f>
        <v>0.333***</v>
      </c>
      <c r="X39" t="str">
        <f>"0.370***"</f>
        <v>0.370***</v>
      </c>
      <c r="Y39" t="str">
        <f>"0.477***"</f>
        <v>0.477***</v>
      </c>
      <c r="Z39" t="str">
        <f>"0.329***"</f>
        <v>0.329***</v>
      </c>
      <c r="AA39" t="str">
        <f>"0.366***"</f>
        <v>0.366***</v>
      </c>
      <c r="AB39" t="str">
        <f>"0.471***"</f>
        <v>0.471***</v>
      </c>
      <c r="AC39" t="str">
        <f>"0.337***"</f>
        <v>0.337***</v>
      </c>
      <c r="AD39" t="str">
        <f>"0.373***"</f>
        <v>0.373***</v>
      </c>
      <c r="AE39" t="str">
        <f>"0.478***"</f>
        <v>0.478***</v>
      </c>
      <c r="AF39" t="str">
        <f>"0.336***"</f>
        <v>0.336***</v>
      </c>
      <c r="AG39" t="str">
        <f>"0.372***"</f>
        <v>0.372***</v>
      </c>
      <c r="AH39" t="str">
        <f>"0.475***"</f>
        <v>0.475***</v>
      </c>
      <c r="AI39" t="str">
        <f>"0.333***"</f>
        <v>0.333***</v>
      </c>
      <c r="AJ39" t="str">
        <f>"0.371***"</f>
        <v>0.371***</v>
      </c>
      <c r="AK39" t="str">
        <f>"0.477***"</f>
        <v>0.477***</v>
      </c>
      <c r="AL39" t="str">
        <f>"0.332***"</f>
        <v>0.332***</v>
      </c>
      <c r="AM39" t="str">
        <f>"0.372***"</f>
        <v>0.372***</v>
      </c>
      <c r="AN39" t="str">
        <f>"0.471***"</f>
        <v>0.471***</v>
      </c>
      <c r="AO39" t="str">
        <f>"0.337***"</f>
        <v>0.337***</v>
      </c>
      <c r="AP39" t="str">
        <f>"0.374***"</f>
        <v>0.374***</v>
      </c>
      <c r="AQ39" t="str">
        <f>"0.476***"</f>
        <v>0.476***</v>
      </c>
      <c r="AR39" t="str">
        <f>"0.335***"</f>
        <v>0.335***</v>
      </c>
      <c r="AS39" t="str">
        <f>"0.372***"</f>
        <v>0.372***</v>
      </c>
      <c r="AT39" t="str">
        <f>"0.478***"</f>
        <v>0.478***</v>
      </c>
      <c r="AU39" t="str">
        <f>"0.336***"</f>
        <v>0.336***</v>
      </c>
      <c r="AV39" t="str">
        <f>"0.363***"</f>
        <v>0.363***</v>
      </c>
      <c r="AW39" t="str">
        <f>"0.471***"</f>
        <v>0.471***</v>
      </c>
      <c r="AX39" t="str">
        <f>"0.358***"</f>
        <v>0.358***</v>
      </c>
      <c r="AY39" t="str">
        <f>"0.388***"</f>
        <v>0.388***</v>
      </c>
      <c r="AZ39" t="str">
        <f>"0.498***"</f>
        <v>0.498***</v>
      </c>
      <c r="BA39" t="str">
        <f>"0.366***"</f>
        <v>0.366***</v>
      </c>
      <c r="BB39" t="str">
        <f>"0.391***"</f>
        <v>0.391***</v>
      </c>
      <c r="BC39" t="str">
        <f>"0.486***"</f>
        <v>0.486***</v>
      </c>
      <c r="BD39" t="str">
        <f>"0.344***"</f>
        <v>0.344***</v>
      </c>
      <c r="BE39" t="str">
        <f>"0.374***"</f>
        <v>0.374***</v>
      </c>
      <c r="BF39" t="str">
        <f>"0.476***"</f>
        <v>0.476***</v>
      </c>
      <c r="BG39" t="str">
        <f>"0.354***"</f>
        <v>0.354***</v>
      </c>
      <c r="BH39" t="str">
        <f>"0.385***"</f>
        <v>0.385***</v>
      </c>
      <c r="BI39" t="str">
        <f>"0.472***"</f>
        <v>0.472***</v>
      </c>
      <c r="BJ39" t="str">
        <f>"0.357***"</f>
        <v>0.357***</v>
      </c>
      <c r="BK39" t="str">
        <f>"0.384***"</f>
        <v>0.384***</v>
      </c>
      <c r="BL39" t="str">
        <f>"0.495***"</f>
        <v>0.495***</v>
      </c>
      <c r="BM39" t="str">
        <f>"0.348***"</f>
        <v>0.348***</v>
      </c>
      <c r="BN39" t="str">
        <f>"0.380***"</f>
        <v>0.380***</v>
      </c>
      <c r="BO39" t="str">
        <f>"0.486***"</f>
        <v>0.486***</v>
      </c>
      <c r="BP39" t="str">
        <f>"0.347***"</f>
        <v>0.347***</v>
      </c>
      <c r="BQ39" t="str">
        <f>"0.383***"</f>
        <v>0.383***</v>
      </c>
      <c r="BR39" t="str">
        <f>"0.492***"</f>
        <v>0.492***</v>
      </c>
      <c r="BS39" t="str">
        <f>"0.342***"</f>
        <v>0.342***</v>
      </c>
      <c r="BT39" t="str">
        <f>"0.374***"</f>
        <v>0.374***</v>
      </c>
      <c r="BU39" t="str">
        <f>"0.487***"</f>
        <v>0.487***</v>
      </c>
      <c r="BV39" t="str">
        <f>"0.351***"</f>
        <v>0.351***</v>
      </c>
      <c r="BW39" t="str">
        <f>"0.382***"</f>
        <v>0.382***</v>
      </c>
      <c r="BX39" t="str">
        <f>"0.494***"</f>
        <v>0.494***</v>
      </c>
      <c r="BY39" t="str">
        <f>"0.349***"</f>
        <v>0.349***</v>
      </c>
      <c r="BZ39" t="str">
        <f>"0.382***"</f>
        <v>0.382***</v>
      </c>
      <c r="CA39" t="str">
        <f>"0.491***"</f>
        <v>0.491***</v>
      </c>
      <c r="CB39" t="str">
        <f>"0.349***"</f>
        <v>0.349***</v>
      </c>
      <c r="CC39" t="str">
        <f>"0.382***"</f>
        <v>0.382***</v>
      </c>
      <c r="CD39" t="str">
        <f>"0.492***"</f>
        <v>0.492***</v>
      </c>
      <c r="CE39" t="str">
        <f>"0.345***"</f>
        <v>0.345***</v>
      </c>
      <c r="CF39" t="str">
        <f>"0.382***"</f>
        <v>0.382***</v>
      </c>
      <c r="CG39" t="str">
        <f>"0.487***"</f>
        <v>0.487***</v>
      </c>
      <c r="CH39" t="str">
        <f>"0.350***"</f>
        <v>0.350***</v>
      </c>
      <c r="CI39" t="str">
        <f>"0.385***"</f>
        <v>0.385***</v>
      </c>
      <c r="CJ39" t="str">
        <f>"0.492***"</f>
        <v>0.492***</v>
      </c>
      <c r="CK39" t="str">
        <f>"0.347***"</f>
        <v>0.347***</v>
      </c>
      <c r="CL39" t="str">
        <f>"0.381***"</f>
        <v>0.381***</v>
      </c>
      <c r="CM39" t="str">
        <f>"0.493***"</f>
        <v>0.493***</v>
      </c>
    </row>
    <row r="40" spans="1:91" x14ac:dyDescent="0.3">
      <c r="A40" t="str">
        <f>""</f>
        <v/>
      </c>
      <c r="B40" t="str">
        <f>"(0.0799)"</f>
        <v>(0.0799)</v>
      </c>
      <c r="C40" t="str">
        <f>"(0.0629)"</f>
        <v>(0.0629)</v>
      </c>
      <c r="D40" t="str">
        <f>"(0.0334)"</f>
        <v>(0.0334)</v>
      </c>
      <c r="E40" t="str">
        <f>"(0.0793)"</f>
        <v>(0.0793)</v>
      </c>
      <c r="F40" t="str">
        <f>"(0.0625)"</f>
        <v>(0.0625)</v>
      </c>
      <c r="G40" t="str">
        <f>"(0.0332)"</f>
        <v>(0.0332)</v>
      </c>
      <c r="H40" t="str">
        <f>"(0.0795)"</f>
        <v>(0.0795)</v>
      </c>
      <c r="I40" t="str">
        <f>"(0.0626)"</f>
        <v>(0.0626)</v>
      </c>
      <c r="J40" t="str">
        <f>"(0.0333)"</f>
        <v>(0.0333)</v>
      </c>
      <c r="K40" t="str">
        <f>"(0.0798)"</f>
        <v>(0.0798)</v>
      </c>
      <c r="L40" t="str">
        <f>"(0.0629)"</f>
        <v>(0.0629)</v>
      </c>
      <c r="M40" t="str">
        <f>"(0.0334)"</f>
        <v>(0.0334)</v>
      </c>
      <c r="N40" t="str">
        <f>"(0.0797)"</f>
        <v>(0.0797)</v>
      </c>
      <c r="O40" t="str">
        <f>"(0.0628)"</f>
        <v>(0.0628)</v>
      </c>
      <c r="P40" t="str">
        <f>"(0.0334)"</f>
        <v>(0.0334)</v>
      </c>
      <c r="Q40" t="str">
        <f>"(0.0792)"</f>
        <v>(0.0792)</v>
      </c>
      <c r="R40" t="str">
        <f>"(0.0625)"</f>
        <v>(0.0625)</v>
      </c>
      <c r="S40" t="str">
        <f>"(0.0332)"</f>
        <v>(0.0332)</v>
      </c>
      <c r="T40" t="str">
        <f>"(0.0794)"</f>
        <v>(0.0794)</v>
      </c>
      <c r="U40" t="str">
        <f>"(0.0626)"</f>
        <v>(0.0626)</v>
      </c>
      <c r="V40" t="str">
        <f>"(0.0332)"</f>
        <v>(0.0332)</v>
      </c>
      <c r="W40" t="str">
        <f>"(0.0793)"</f>
        <v>(0.0793)</v>
      </c>
      <c r="X40" t="str">
        <f>"(0.0624)"</f>
        <v>(0.0624)</v>
      </c>
      <c r="Y40" t="str">
        <f>"(0.0332)"</f>
        <v>(0.0332)</v>
      </c>
      <c r="Z40" t="str">
        <f>"(0.0793)"</f>
        <v>(0.0793)</v>
      </c>
      <c r="AA40" t="str">
        <f>"(0.0624)"</f>
        <v>(0.0624)</v>
      </c>
      <c r="AB40" t="str">
        <f>"(0.0331)"</f>
        <v>(0.0331)</v>
      </c>
      <c r="AC40" t="str">
        <f>"(0.0793)"</f>
        <v>(0.0793)</v>
      </c>
      <c r="AD40" t="str">
        <f>"(0.0626)"</f>
        <v>(0.0626)</v>
      </c>
      <c r="AE40" t="str">
        <f>"(0.0332)"</f>
        <v>(0.0332)</v>
      </c>
      <c r="AF40" t="str">
        <f>"(0.0794)"</f>
        <v>(0.0794)</v>
      </c>
      <c r="AG40" t="str">
        <f>"(0.0626)"</f>
        <v>(0.0626)</v>
      </c>
      <c r="AH40" t="str">
        <f>"(0.0332)"</f>
        <v>(0.0332)</v>
      </c>
      <c r="AI40" t="str">
        <f>"(0.0793)"</f>
        <v>(0.0793)</v>
      </c>
      <c r="AJ40" t="str">
        <f>"(0.0624)"</f>
        <v>(0.0624)</v>
      </c>
      <c r="AK40" t="str">
        <f>"(0.0332)"</f>
        <v>(0.0332)</v>
      </c>
      <c r="AL40" t="str">
        <f>"(0.0794)"</f>
        <v>(0.0794)</v>
      </c>
      <c r="AM40" t="str">
        <f>"(0.0626)"</f>
        <v>(0.0626)</v>
      </c>
      <c r="AN40" t="str">
        <f>"(0.0332)"</f>
        <v>(0.0332)</v>
      </c>
      <c r="AO40" t="str">
        <f>"(0.0794)"</f>
        <v>(0.0794)</v>
      </c>
      <c r="AP40" t="str">
        <f>"(0.0626)"</f>
        <v>(0.0626)</v>
      </c>
      <c r="AQ40" t="str">
        <f>"(0.0332)"</f>
        <v>(0.0332)</v>
      </c>
      <c r="AR40" t="str">
        <f>"(0.0794)"</f>
        <v>(0.0794)</v>
      </c>
      <c r="AS40" t="str">
        <f>"(0.0625)"</f>
        <v>(0.0625)</v>
      </c>
      <c r="AT40" t="str">
        <f>"(0.0332)"</f>
        <v>(0.0332)</v>
      </c>
      <c r="AU40" t="str">
        <f>"(0.0798)"</f>
        <v>(0.0798)</v>
      </c>
      <c r="AV40" t="str">
        <f>"(0.0630)"</f>
        <v>(0.0630)</v>
      </c>
      <c r="AW40" t="str">
        <f>"(0.0334)"</f>
        <v>(0.0334)</v>
      </c>
      <c r="AX40" t="str">
        <f>"(0.0794)"</f>
        <v>(0.0794)</v>
      </c>
      <c r="AY40" t="str">
        <f>"(0.0627)"</f>
        <v>(0.0627)</v>
      </c>
      <c r="AZ40" t="str">
        <f>"(0.0332)"</f>
        <v>(0.0332)</v>
      </c>
      <c r="BA40" t="str">
        <f>"(0.0796)"</f>
        <v>(0.0796)</v>
      </c>
      <c r="BB40" t="str">
        <f>"(0.0627)"</f>
        <v>(0.0627)</v>
      </c>
      <c r="BC40" t="str">
        <f>"(0.0333)"</f>
        <v>(0.0333)</v>
      </c>
      <c r="BD40" t="str">
        <f>"(0.0800)"</f>
        <v>(0.0800)</v>
      </c>
      <c r="BE40" t="str">
        <f>"(0.0630)"</f>
        <v>(0.0630)</v>
      </c>
      <c r="BF40" t="str">
        <f>"(0.0334)"</f>
        <v>(0.0334)</v>
      </c>
      <c r="BG40" t="str">
        <f>"(0.0798)"</f>
        <v>(0.0798)</v>
      </c>
      <c r="BH40" t="str">
        <f>"(0.0629)"</f>
        <v>(0.0629)</v>
      </c>
      <c r="BI40" t="str">
        <f>"(0.0334)"</f>
        <v>(0.0334)</v>
      </c>
      <c r="BJ40" t="str">
        <f>"(0.0792)"</f>
        <v>(0.0792)</v>
      </c>
      <c r="BK40" t="str">
        <f>"(0.0626)"</f>
        <v>(0.0626)</v>
      </c>
      <c r="BL40" t="str">
        <f>"(0.0332)"</f>
        <v>(0.0332)</v>
      </c>
      <c r="BM40" t="str">
        <f>"(0.0794)"</f>
        <v>(0.0794)</v>
      </c>
      <c r="BN40" t="str">
        <f>"(0.0627)"</f>
        <v>(0.0627)</v>
      </c>
      <c r="BO40" t="str">
        <f>"(0.0332)"</f>
        <v>(0.0332)</v>
      </c>
      <c r="BP40" t="str">
        <f>"(0.0793)"</f>
        <v>(0.0793)</v>
      </c>
      <c r="BQ40" t="str">
        <f>"(0.0625)"</f>
        <v>(0.0625)</v>
      </c>
      <c r="BR40" t="str">
        <f>"(0.0332)"</f>
        <v>(0.0332)</v>
      </c>
      <c r="BS40" t="str">
        <f>"(0.0794)"</f>
        <v>(0.0794)</v>
      </c>
      <c r="BT40" t="str">
        <f>"(0.0626)"</f>
        <v>(0.0626)</v>
      </c>
      <c r="BU40" t="str">
        <f>"(0.0332)"</f>
        <v>(0.0332)</v>
      </c>
      <c r="BV40" t="str">
        <f>"(0.0794)"</f>
        <v>(0.0794)</v>
      </c>
      <c r="BW40" t="str">
        <f>"(0.0627)"</f>
        <v>(0.0627)</v>
      </c>
      <c r="BX40" t="str">
        <f>"(0.0332)"</f>
        <v>(0.0332)</v>
      </c>
      <c r="BY40" t="str">
        <f>"(0.0794)"</f>
        <v>(0.0794)</v>
      </c>
      <c r="BZ40" t="str">
        <f>"(0.0627)"</f>
        <v>(0.0627)</v>
      </c>
      <c r="CA40" t="str">
        <f>"(0.0332)"</f>
        <v>(0.0332)</v>
      </c>
      <c r="CB40" t="str">
        <f>"(0.0794)"</f>
        <v>(0.0794)</v>
      </c>
      <c r="CC40" t="str">
        <f>"(0.0625)"</f>
        <v>(0.0625)</v>
      </c>
      <c r="CD40" t="str">
        <f>"(0.0332)"</f>
        <v>(0.0332)</v>
      </c>
      <c r="CE40" t="str">
        <f>"(0.0795)"</f>
        <v>(0.0795)</v>
      </c>
      <c r="CF40" t="str">
        <f>"(0.0627)"</f>
        <v>(0.0627)</v>
      </c>
      <c r="CG40" t="str">
        <f>"(0.0332)"</f>
        <v>(0.0332)</v>
      </c>
      <c r="CH40" t="str">
        <f>"(0.0795)"</f>
        <v>(0.0795)</v>
      </c>
      <c r="CI40" t="str">
        <f>"(0.0627)"</f>
        <v>(0.0627)</v>
      </c>
      <c r="CJ40" t="str">
        <f>"(0.0332)"</f>
        <v>(0.0332)</v>
      </c>
      <c r="CK40" t="str">
        <f>"(0.0794)"</f>
        <v>(0.0794)</v>
      </c>
      <c r="CL40" t="str">
        <f>"(0.0627)"</f>
        <v>(0.0627)</v>
      </c>
      <c r="CM40" t="str">
        <f>"(0.0333)"</f>
        <v>(0.0333)</v>
      </c>
    </row>
    <row r="42" spans="1:91" x14ac:dyDescent="0.3">
      <c r="A42" t="str">
        <f>"zMETAB2"</f>
        <v>zMETAB2</v>
      </c>
      <c r="B42" t="str">
        <f>""</f>
        <v/>
      </c>
      <c r="C42" t="str">
        <f>""</f>
        <v/>
      </c>
      <c r="D42" t="str">
        <f>""</f>
        <v/>
      </c>
      <c r="E42" t="str">
        <f>"0.0182"</f>
        <v>0.0182</v>
      </c>
      <c r="F42" t="str">
        <f>"0.0104"</f>
        <v>0.0104</v>
      </c>
      <c r="G42" t="str">
        <f>"0.120**"</f>
        <v>0.120**</v>
      </c>
      <c r="H42" t="str">
        <f>""</f>
        <v/>
      </c>
      <c r="I42" t="str">
        <f>""</f>
        <v/>
      </c>
      <c r="J42" t="str">
        <f>""</f>
        <v/>
      </c>
      <c r="K42" t="str">
        <f>""</f>
        <v/>
      </c>
      <c r="L42" t="str">
        <f>""</f>
        <v/>
      </c>
      <c r="M42" t="str">
        <f>""</f>
        <v/>
      </c>
      <c r="N42" t="str">
        <f>""</f>
        <v/>
      </c>
      <c r="O42" t="str">
        <f>""</f>
        <v/>
      </c>
      <c r="P42" t="str">
        <f>""</f>
        <v/>
      </c>
      <c r="Q42" t="str">
        <f>""</f>
        <v/>
      </c>
      <c r="R42" t="str">
        <f>""</f>
        <v/>
      </c>
      <c r="S42" t="str">
        <f>""</f>
        <v/>
      </c>
      <c r="T42" t="str">
        <f>""</f>
        <v/>
      </c>
      <c r="U42" t="str">
        <f>""</f>
        <v/>
      </c>
      <c r="V42" t="str">
        <f>""</f>
        <v/>
      </c>
      <c r="W42" t="str">
        <f>""</f>
        <v/>
      </c>
      <c r="X42" t="str">
        <f>""</f>
        <v/>
      </c>
      <c r="Y42" t="str">
        <f>""</f>
        <v/>
      </c>
      <c r="Z42" t="str">
        <f>""</f>
        <v/>
      </c>
      <c r="AA42" t="str">
        <f>""</f>
        <v/>
      </c>
      <c r="AB42" t="str">
        <f>""</f>
        <v/>
      </c>
      <c r="AC42" t="str">
        <f>""</f>
        <v/>
      </c>
      <c r="AD42" t="str">
        <f>""</f>
        <v/>
      </c>
      <c r="AE42" t="str">
        <f>""</f>
        <v/>
      </c>
      <c r="AF42" t="str">
        <f>""</f>
        <v/>
      </c>
      <c r="AG42" t="str">
        <f>""</f>
        <v/>
      </c>
      <c r="AH42" t="str">
        <f>""</f>
        <v/>
      </c>
      <c r="AI42" t="str">
        <f>""</f>
        <v/>
      </c>
      <c r="AJ42" t="str">
        <f>""</f>
        <v/>
      </c>
      <c r="AK42" t="str">
        <f>""</f>
        <v/>
      </c>
      <c r="AL42" t="str">
        <f>""</f>
        <v/>
      </c>
      <c r="AM42" t="str">
        <f>""</f>
        <v/>
      </c>
      <c r="AN42" t="str">
        <f>""</f>
        <v/>
      </c>
      <c r="AO42" t="str">
        <f>""</f>
        <v/>
      </c>
      <c r="AP42" t="str">
        <f>""</f>
        <v/>
      </c>
      <c r="AQ42" t="str">
        <f>""</f>
        <v/>
      </c>
      <c r="AR42" t="str">
        <f>""</f>
        <v/>
      </c>
      <c r="AS42" t="str">
        <f>""</f>
        <v/>
      </c>
      <c r="AT42" t="str">
        <f>""</f>
        <v/>
      </c>
      <c r="AU42" t="str">
        <f>""</f>
        <v/>
      </c>
      <c r="AV42" t="str">
        <f>""</f>
        <v/>
      </c>
      <c r="AW42" t="str">
        <f>""</f>
        <v/>
      </c>
      <c r="AX42" t="str">
        <f>"0.146"</f>
        <v>0.146</v>
      </c>
      <c r="AY42" t="str">
        <f>"-0.0993"</f>
        <v>-0.0993</v>
      </c>
      <c r="AZ42" t="str">
        <f>"0.134***"</f>
        <v>0.134***</v>
      </c>
      <c r="BA42" t="str">
        <f>""</f>
        <v/>
      </c>
      <c r="BB42" t="str">
        <f>""</f>
        <v/>
      </c>
      <c r="BC42" t="str">
        <f>""</f>
        <v/>
      </c>
      <c r="BD42" t="str">
        <f>""</f>
        <v/>
      </c>
      <c r="BE42" t="str">
        <f>""</f>
        <v/>
      </c>
      <c r="BF42" t="str">
        <f>""</f>
        <v/>
      </c>
      <c r="BG42" t="str">
        <f>""</f>
        <v/>
      </c>
      <c r="BH42" t="str">
        <f>""</f>
        <v/>
      </c>
      <c r="BI42" t="str">
        <f>""</f>
        <v/>
      </c>
      <c r="BJ42" t="str">
        <f>""</f>
        <v/>
      </c>
      <c r="BK42" t="str">
        <f>""</f>
        <v/>
      </c>
      <c r="BL42" t="str">
        <f>""</f>
        <v/>
      </c>
      <c r="BM42" t="str">
        <f>""</f>
        <v/>
      </c>
      <c r="BN42" t="str">
        <f>""</f>
        <v/>
      </c>
      <c r="BO42" t="str">
        <f>""</f>
        <v/>
      </c>
      <c r="BP42" t="str">
        <f>""</f>
        <v/>
      </c>
      <c r="BQ42" t="str">
        <f>""</f>
        <v/>
      </c>
      <c r="BR42" t="str">
        <f>""</f>
        <v/>
      </c>
      <c r="BS42" t="str">
        <f>""</f>
        <v/>
      </c>
      <c r="BT42" t="str">
        <f>""</f>
        <v/>
      </c>
      <c r="BU42" t="str">
        <f>""</f>
        <v/>
      </c>
      <c r="BV42" t="str">
        <f>""</f>
        <v/>
      </c>
      <c r="BW42" t="str">
        <f>""</f>
        <v/>
      </c>
      <c r="BX42" t="str">
        <f>""</f>
        <v/>
      </c>
      <c r="BY42" t="str">
        <f>""</f>
        <v/>
      </c>
      <c r="BZ42" t="str">
        <f>""</f>
        <v/>
      </c>
      <c r="CA42" t="str">
        <f>""</f>
        <v/>
      </c>
      <c r="CB42" t="str">
        <f>""</f>
        <v/>
      </c>
      <c r="CC42" t="str">
        <f>""</f>
        <v/>
      </c>
      <c r="CD42" t="str">
        <f>""</f>
        <v/>
      </c>
      <c r="CE42" t="str">
        <f>""</f>
        <v/>
      </c>
      <c r="CF42" t="str">
        <f>""</f>
        <v/>
      </c>
      <c r="CG42" t="str">
        <f>""</f>
        <v/>
      </c>
      <c r="CH42" t="str">
        <f>""</f>
        <v/>
      </c>
      <c r="CI42" t="str">
        <f>""</f>
        <v/>
      </c>
      <c r="CJ42" t="str">
        <f>""</f>
        <v/>
      </c>
      <c r="CK42" t="str">
        <f>""</f>
        <v/>
      </c>
      <c r="CL42" t="str">
        <f>""</f>
        <v/>
      </c>
      <c r="CM42" t="str">
        <f>""</f>
        <v/>
      </c>
    </row>
    <row r="43" spans="1:91" x14ac:dyDescent="0.3">
      <c r="A43" t="str">
        <f>""</f>
        <v/>
      </c>
      <c r="B43" t="str">
        <f>""</f>
        <v/>
      </c>
      <c r="C43" t="str">
        <f>""</f>
        <v/>
      </c>
      <c r="D43" t="str">
        <f>""</f>
        <v/>
      </c>
      <c r="E43" t="str">
        <f>"(0.102)"</f>
        <v>(0.102)</v>
      </c>
      <c r="F43" t="str">
        <f>"(0.0929)"</f>
        <v>(0.0929)</v>
      </c>
      <c r="G43" t="str">
        <f>"(0.0420)"</f>
        <v>(0.0420)</v>
      </c>
      <c r="H43" t="str">
        <f>""</f>
        <v/>
      </c>
      <c r="I43" t="str">
        <f>""</f>
        <v/>
      </c>
      <c r="J43" t="str">
        <f>""</f>
        <v/>
      </c>
      <c r="K43" t="str">
        <f>""</f>
        <v/>
      </c>
      <c r="L43" t="str">
        <f>""</f>
        <v/>
      </c>
      <c r="M43" t="str">
        <f>""</f>
        <v/>
      </c>
      <c r="N43" t="str">
        <f>""</f>
        <v/>
      </c>
      <c r="O43" t="str">
        <f>""</f>
        <v/>
      </c>
      <c r="P43" t="str">
        <f>""</f>
        <v/>
      </c>
      <c r="Q43" t="str">
        <f>""</f>
        <v/>
      </c>
      <c r="R43" t="str">
        <f>""</f>
        <v/>
      </c>
      <c r="S43" t="str">
        <f>""</f>
        <v/>
      </c>
      <c r="T43" t="str">
        <f>""</f>
        <v/>
      </c>
      <c r="U43" t="str">
        <f>""</f>
        <v/>
      </c>
      <c r="V43" t="str">
        <f>""</f>
        <v/>
      </c>
      <c r="W43" t="str">
        <f>""</f>
        <v/>
      </c>
      <c r="X43" t="str">
        <f>""</f>
        <v/>
      </c>
      <c r="Y43" t="str">
        <f>""</f>
        <v/>
      </c>
      <c r="Z43" t="str">
        <f>""</f>
        <v/>
      </c>
      <c r="AA43" t="str">
        <f>""</f>
        <v/>
      </c>
      <c r="AB43" t="str">
        <f>""</f>
        <v/>
      </c>
      <c r="AC43" t="str">
        <f>""</f>
        <v/>
      </c>
      <c r="AD43" t="str">
        <f>""</f>
        <v/>
      </c>
      <c r="AE43" t="str">
        <f>""</f>
        <v/>
      </c>
      <c r="AF43" t="str">
        <f>""</f>
        <v/>
      </c>
      <c r="AG43" t="str">
        <f>""</f>
        <v/>
      </c>
      <c r="AH43" t="str">
        <f>""</f>
        <v/>
      </c>
      <c r="AI43" t="str">
        <f>""</f>
        <v/>
      </c>
      <c r="AJ43" t="str">
        <f>""</f>
        <v/>
      </c>
      <c r="AK43" t="str">
        <f>""</f>
        <v/>
      </c>
      <c r="AL43" t="str">
        <f>""</f>
        <v/>
      </c>
      <c r="AM43" t="str">
        <f>""</f>
        <v/>
      </c>
      <c r="AN43" t="str">
        <f>""</f>
        <v/>
      </c>
      <c r="AO43" t="str">
        <f>""</f>
        <v/>
      </c>
      <c r="AP43" t="str">
        <f>""</f>
        <v/>
      </c>
      <c r="AQ43" t="str">
        <f>""</f>
        <v/>
      </c>
      <c r="AR43" t="str">
        <f>""</f>
        <v/>
      </c>
      <c r="AS43" t="str">
        <f>""</f>
        <v/>
      </c>
      <c r="AT43" t="str">
        <f>""</f>
        <v/>
      </c>
      <c r="AU43" t="str">
        <f>""</f>
        <v/>
      </c>
      <c r="AV43" t="str">
        <f>""</f>
        <v/>
      </c>
      <c r="AW43" t="str">
        <f>""</f>
        <v/>
      </c>
      <c r="AX43" t="str">
        <f>"(0.0814)"</f>
        <v>(0.0814)</v>
      </c>
      <c r="AY43" t="str">
        <f>"(0.0960)"</f>
        <v>(0.0960)</v>
      </c>
      <c r="AZ43" t="str">
        <f>"(0.0353)"</f>
        <v>(0.0353)</v>
      </c>
      <c r="BA43" t="str">
        <f>""</f>
        <v/>
      </c>
      <c r="BB43" t="str">
        <f>""</f>
        <v/>
      </c>
      <c r="BC43" t="str">
        <f>""</f>
        <v/>
      </c>
      <c r="BD43" t="str">
        <f>""</f>
        <v/>
      </c>
      <c r="BE43" t="str">
        <f>""</f>
        <v/>
      </c>
      <c r="BF43" t="str">
        <f>""</f>
        <v/>
      </c>
      <c r="BG43" t="str">
        <f>""</f>
        <v/>
      </c>
      <c r="BH43" t="str">
        <f>""</f>
        <v/>
      </c>
      <c r="BI43" t="str">
        <f>""</f>
        <v/>
      </c>
      <c r="BJ43" t="str">
        <f>""</f>
        <v/>
      </c>
      <c r="BK43" t="str">
        <f>""</f>
        <v/>
      </c>
      <c r="BL43" t="str">
        <f>""</f>
        <v/>
      </c>
      <c r="BM43" t="str">
        <f>""</f>
        <v/>
      </c>
      <c r="BN43" t="str">
        <f>""</f>
        <v/>
      </c>
      <c r="BO43" t="str">
        <f>""</f>
        <v/>
      </c>
      <c r="BP43" t="str">
        <f>""</f>
        <v/>
      </c>
      <c r="BQ43" t="str">
        <f>""</f>
        <v/>
      </c>
      <c r="BR43" t="str">
        <f>""</f>
        <v/>
      </c>
      <c r="BS43" t="str">
        <f>""</f>
        <v/>
      </c>
      <c r="BT43" t="str">
        <f>""</f>
        <v/>
      </c>
      <c r="BU43" t="str">
        <f>""</f>
        <v/>
      </c>
      <c r="BV43" t="str">
        <f>""</f>
        <v/>
      </c>
      <c r="BW43" t="str">
        <f>""</f>
        <v/>
      </c>
      <c r="BX43" t="str">
        <f>""</f>
        <v/>
      </c>
      <c r="BY43" t="str">
        <f>""</f>
        <v/>
      </c>
      <c r="BZ43" t="str">
        <f>""</f>
        <v/>
      </c>
      <c r="CA43" t="str">
        <f>""</f>
        <v/>
      </c>
      <c r="CB43" t="str">
        <f>""</f>
        <v/>
      </c>
      <c r="CC43" t="str">
        <f>""</f>
        <v/>
      </c>
      <c r="CD43" t="str">
        <f>""</f>
        <v/>
      </c>
      <c r="CE43" t="str">
        <f>""</f>
        <v/>
      </c>
      <c r="CF43" t="str">
        <f>""</f>
        <v/>
      </c>
      <c r="CG43" t="str">
        <f>""</f>
        <v/>
      </c>
      <c r="CH43" t="str">
        <f>""</f>
        <v/>
      </c>
      <c r="CI43" t="str">
        <f>""</f>
        <v/>
      </c>
      <c r="CJ43" t="str">
        <f>""</f>
        <v/>
      </c>
      <c r="CK43" t="str">
        <f>""</f>
        <v/>
      </c>
      <c r="CL43" t="str">
        <f>""</f>
        <v/>
      </c>
      <c r="CM43" t="str">
        <f>""</f>
        <v/>
      </c>
    </row>
    <row r="45" spans="1:91" x14ac:dyDescent="0.3">
      <c r="A45" t="str">
        <f>"c.zMETAB2#c.neflbr"</f>
        <v>c.zMETAB2#c.neflbr</v>
      </c>
      <c r="B45" t="str">
        <f>""</f>
        <v/>
      </c>
      <c r="C45" t="str">
        <f>""</f>
        <v/>
      </c>
      <c r="D45" t="str">
        <f>""</f>
        <v/>
      </c>
      <c r="E45" t="str">
        <f>"0.130"</f>
        <v>0.130</v>
      </c>
      <c r="F45" t="str">
        <f>"0.0643"</f>
        <v>0.0643</v>
      </c>
      <c r="G45" t="str">
        <f>"-0.0321"</f>
        <v>-0.0321</v>
      </c>
      <c r="H45" t="str">
        <f>""</f>
        <v/>
      </c>
      <c r="I45" t="str">
        <f>""</f>
        <v/>
      </c>
      <c r="J45" t="str">
        <f>""</f>
        <v/>
      </c>
      <c r="K45" t="str">
        <f>""</f>
        <v/>
      </c>
      <c r="L45" t="str">
        <f>""</f>
        <v/>
      </c>
      <c r="M45" t="str">
        <f>""</f>
        <v/>
      </c>
      <c r="N45" t="str">
        <f>""</f>
        <v/>
      </c>
      <c r="O45" t="str">
        <f>""</f>
        <v/>
      </c>
      <c r="P45" t="str">
        <f>""</f>
        <v/>
      </c>
      <c r="Q45" t="str">
        <f>""</f>
        <v/>
      </c>
      <c r="R45" t="str">
        <f>""</f>
        <v/>
      </c>
      <c r="S45" t="str">
        <f>""</f>
        <v/>
      </c>
      <c r="T45" t="str">
        <f>""</f>
        <v/>
      </c>
      <c r="U45" t="str">
        <f>""</f>
        <v/>
      </c>
      <c r="V45" t="str">
        <f>""</f>
        <v/>
      </c>
      <c r="W45" t="str">
        <f>""</f>
        <v/>
      </c>
      <c r="X45" t="str">
        <f>""</f>
        <v/>
      </c>
      <c r="Y45" t="str">
        <f>""</f>
        <v/>
      </c>
      <c r="Z45" t="str">
        <f>""</f>
        <v/>
      </c>
      <c r="AA45" t="str">
        <f>""</f>
        <v/>
      </c>
      <c r="AB45" t="str">
        <f>""</f>
        <v/>
      </c>
      <c r="AC45" t="str">
        <f>""</f>
        <v/>
      </c>
      <c r="AD45" t="str">
        <f>""</f>
        <v/>
      </c>
      <c r="AE45" t="str">
        <f>""</f>
        <v/>
      </c>
      <c r="AF45" t="str">
        <f>""</f>
        <v/>
      </c>
      <c r="AG45" t="str">
        <f>""</f>
        <v/>
      </c>
      <c r="AH45" t="str">
        <f>""</f>
        <v/>
      </c>
      <c r="AI45" t="str">
        <f>""</f>
        <v/>
      </c>
      <c r="AJ45" t="str">
        <f>""</f>
        <v/>
      </c>
      <c r="AK45" t="str">
        <f>""</f>
        <v/>
      </c>
      <c r="AL45" t="str">
        <f>""</f>
        <v/>
      </c>
      <c r="AM45" t="str">
        <f>""</f>
        <v/>
      </c>
      <c r="AN45" t="str">
        <f>""</f>
        <v/>
      </c>
      <c r="AO45" t="str">
        <f>""</f>
        <v/>
      </c>
      <c r="AP45" t="str">
        <f>""</f>
        <v/>
      </c>
      <c r="AQ45" t="str">
        <f>""</f>
        <v/>
      </c>
      <c r="AR45" t="str">
        <f>""</f>
        <v/>
      </c>
      <c r="AS45" t="str">
        <f>""</f>
        <v/>
      </c>
      <c r="AT45" t="str">
        <f>""</f>
        <v/>
      </c>
      <c r="AU45" t="str">
        <f>""</f>
        <v/>
      </c>
      <c r="AV45" t="str">
        <f>""</f>
        <v/>
      </c>
      <c r="AW45" t="str">
        <f>""</f>
        <v/>
      </c>
      <c r="AX45" t="str">
        <f>""</f>
        <v/>
      </c>
      <c r="AY45" t="str">
        <f>""</f>
        <v/>
      </c>
      <c r="AZ45" t="str">
        <f>""</f>
        <v/>
      </c>
      <c r="BA45" t="str">
        <f>""</f>
        <v/>
      </c>
      <c r="BB45" t="str">
        <f>""</f>
        <v/>
      </c>
      <c r="BC45" t="str">
        <f>""</f>
        <v/>
      </c>
      <c r="BD45" t="str">
        <f>""</f>
        <v/>
      </c>
      <c r="BE45" t="str">
        <f>""</f>
        <v/>
      </c>
      <c r="BF45" t="str">
        <f>""</f>
        <v/>
      </c>
      <c r="BG45" t="str">
        <f>""</f>
        <v/>
      </c>
      <c r="BH45" t="str">
        <f>""</f>
        <v/>
      </c>
      <c r="BI45" t="str">
        <f>""</f>
        <v/>
      </c>
      <c r="BJ45" t="str">
        <f>""</f>
        <v/>
      </c>
      <c r="BK45" t="str">
        <f>""</f>
        <v/>
      </c>
      <c r="BL45" t="str">
        <f>""</f>
        <v/>
      </c>
      <c r="BM45" t="str">
        <f>""</f>
        <v/>
      </c>
      <c r="BN45" t="str">
        <f>""</f>
        <v/>
      </c>
      <c r="BO45" t="str">
        <f>""</f>
        <v/>
      </c>
      <c r="BP45" t="str">
        <f>""</f>
        <v/>
      </c>
      <c r="BQ45" t="str">
        <f>""</f>
        <v/>
      </c>
      <c r="BR45" t="str">
        <f>""</f>
        <v/>
      </c>
      <c r="BS45" t="str">
        <f>""</f>
        <v/>
      </c>
      <c r="BT45" t="str">
        <f>""</f>
        <v/>
      </c>
      <c r="BU45" t="str">
        <f>""</f>
        <v/>
      </c>
      <c r="BV45" t="str">
        <f>""</f>
        <v/>
      </c>
      <c r="BW45" t="str">
        <f>""</f>
        <v/>
      </c>
      <c r="BX45" t="str">
        <f>""</f>
        <v/>
      </c>
      <c r="BY45" t="str">
        <f>""</f>
        <v/>
      </c>
      <c r="BZ45" t="str">
        <f>""</f>
        <v/>
      </c>
      <c r="CA45" t="str">
        <f>""</f>
        <v/>
      </c>
      <c r="CB45" t="str">
        <f>""</f>
        <v/>
      </c>
      <c r="CC45" t="str">
        <f>""</f>
        <v/>
      </c>
      <c r="CD45" t="str">
        <f>""</f>
        <v/>
      </c>
      <c r="CE45" t="str">
        <f>""</f>
        <v/>
      </c>
      <c r="CF45" t="str">
        <f>""</f>
        <v/>
      </c>
      <c r="CG45" t="str">
        <f>""</f>
        <v/>
      </c>
      <c r="CH45" t="str">
        <f>""</f>
        <v/>
      </c>
      <c r="CI45" t="str">
        <f>""</f>
        <v/>
      </c>
      <c r="CJ45" t="str">
        <f>""</f>
        <v/>
      </c>
      <c r="CK45" t="str">
        <f>""</f>
        <v/>
      </c>
      <c r="CL45" t="str">
        <f>""</f>
        <v/>
      </c>
      <c r="CM45" t="str">
        <f>""</f>
        <v/>
      </c>
    </row>
    <row r="46" spans="1:91" x14ac:dyDescent="0.3">
      <c r="A46" t="str">
        <f>""</f>
        <v/>
      </c>
      <c r="B46" t="str">
        <f>""</f>
        <v/>
      </c>
      <c r="C46" t="str">
        <f>""</f>
        <v/>
      </c>
      <c r="D46" t="str">
        <f>""</f>
        <v/>
      </c>
      <c r="E46" t="str">
        <f>"(0.114)"</f>
        <v>(0.114)</v>
      </c>
      <c r="F46" t="str">
        <f>"(0.100)"</f>
        <v>(0.100)</v>
      </c>
      <c r="G46" t="str">
        <f>"(0.0480)"</f>
        <v>(0.0480)</v>
      </c>
      <c r="H46" t="str">
        <f>""</f>
        <v/>
      </c>
      <c r="I46" t="str">
        <f>""</f>
        <v/>
      </c>
      <c r="J46" t="str">
        <f>""</f>
        <v/>
      </c>
      <c r="K46" t="str">
        <f>""</f>
        <v/>
      </c>
      <c r="L46" t="str">
        <f>""</f>
        <v/>
      </c>
      <c r="M46" t="str">
        <f>""</f>
        <v/>
      </c>
      <c r="N46" t="str">
        <f>""</f>
        <v/>
      </c>
      <c r="O46" t="str">
        <f>""</f>
        <v/>
      </c>
      <c r="P46" t="str">
        <f>""</f>
        <v/>
      </c>
      <c r="Q46" t="str">
        <f>""</f>
        <v/>
      </c>
      <c r="R46" t="str">
        <f>""</f>
        <v/>
      </c>
      <c r="S46" t="str">
        <f>""</f>
        <v/>
      </c>
      <c r="T46" t="str">
        <f>""</f>
        <v/>
      </c>
      <c r="U46" t="str">
        <f>""</f>
        <v/>
      </c>
      <c r="V46" t="str">
        <f>""</f>
        <v/>
      </c>
      <c r="W46" t="str">
        <f>""</f>
        <v/>
      </c>
      <c r="X46" t="str">
        <f>""</f>
        <v/>
      </c>
      <c r="Y46" t="str">
        <f>""</f>
        <v/>
      </c>
      <c r="Z46" t="str">
        <f>""</f>
        <v/>
      </c>
      <c r="AA46" t="str">
        <f>""</f>
        <v/>
      </c>
      <c r="AB46" t="str">
        <f>""</f>
        <v/>
      </c>
      <c r="AC46" t="str">
        <f>""</f>
        <v/>
      </c>
      <c r="AD46" t="str">
        <f>""</f>
        <v/>
      </c>
      <c r="AE46" t="str">
        <f>""</f>
        <v/>
      </c>
      <c r="AF46" t="str">
        <f>""</f>
        <v/>
      </c>
      <c r="AG46" t="str">
        <f>""</f>
        <v/>
      </c>
      <c r="AH46" t="str">
        <f>""</f>
        <v/>
      </c>
      <c r="AI46" t="str">
        <f>""</f>
        <v/>
      </c>
      <c r="AJ46" t="str">
        <f>""</f>
        <v/>
      </c>
      <c r="AK46" t="str">
        <f>""</f>
        <v/>
      </c>
      <c r="AL46" t="str">
        <f>""</f>
        <v/>
      </c>
      <c r="AM46" t="str">
        <f>""</f>
        <v/>
      </c>
      <c r="AN46" t="str">
        <f>""</f>
        <v/>
      </c>
      <c r="AO46" t="str">
        <f>""</f>
        <v/>
      </c>
      <c r="AP46" t="str">
        <f>""</f>
        <v/>
      </c>
      <c r="AQ46" t="str">
        <f>""</f>
        <v/>
      </c>
      <c r="AR46" t="str">
        <f>""</f>
        <v/>
      </c>
      <c r="AS46" t="str">
        <f>""</f>
        <v/>
      </c>
      <c r="AT46" t="str">
        <f>""</f>
        <v/>
      </c>
      <c r="AU46" t="str">
        <f>""</f>
        <v/>
      </c>
      <c r="AV46" t="str">
        <f>""</f>
        <v/>
      </c>
      <c r="AW46" t="str">
        <f>""</f>
        <v/>
      </c>
      <c r="AX46" t="str">
        <f>""</f>
        <v/>
      </c>
      <c r="AY46" t="str">
        <f>""</f>
        <v/>
      </c>
      <c r="AZ46" t="str">
        <f>""</f>
        <v/>
      </c>
      <c r="BA46" t="str">
        <f>""</f>
        <v/>
      </c>
      <c r="BB46" t="str">
        <f>""</f>
        <v/>
      </c>
      <c r="BC46" t="str">
        <f>""</f>
        <v/>
      </c>
      <c r="BD46" t="str">
        <f>""</f>
        <v/>
      </c>
      <c r="BE46" t="str">
        <f>""</f>
        <v/>
      </c>
      <c r="BF46" t="str">
        <f>""</f>
        <v/>
      </c>
      <c r="BG46" t="str">
        <f>""</f>
        <v/>
      </c>
      <c r="BH46" t="str">
        <f>""</f>
        <v/>
      </c>
      <c r="BI46" t="str">
        <f>""</f>
        <v/>
      </c>
      <c r="BJ46" t="str">
        <f>""</f>
        <v/>
      </c>
      <c r="BK46" t="str">
        <f>""</f>
        <v/>
      </c>
      <c r="BL46" t="str">
        <f>""</f>
        <v/>
      </c>
      <c r="BM46" t="str">
        <f>""</f>
        <v/>
      </c>
      <c r="BN46" t="str">
        <f>""</f>
        <v/>
      </c>
      <c r="BO46" t="str">
        <f>""</f>
        <v/>
      </c>
      <c r="BP46" t="str">
        <f>""</f>
        <v/>
      </c>
      <c r="BQ46" t="str">
        <f>""</f>
        <v/>
      </c>
      <c r="BR46" t="str">
        <f>""</f>
        <v/>
      </c>
      <c r="BS46" t="str">
        <f>""</f>
        <v/>
      </c>
      <c r="BT46" t="str">
        <f>""</f>
        <v/>
      </c>
      <c r="BU46" t="str">
        <f>""</f>
        <v/>
      </c>
      <c r="BV46" t="str">
        <f>""</f>
        <v/>
      </c>
      <c r="BW46" t="str">
        <f>""</f>
        <v/>
      </c>
      <c r="BX46" t="str">
        <f>""</f>
        <v/>
      </c>
      <c r="BY46" t="str">
        <f>""</f>
        <v/>
      </c>
      <c r="BZ46" t="str">
        <f>""</f>
        <v/>
      </c>
      <c r="CA46" t="str">
        <f>""</f>
        <v/>
      </c>
      <c r="CB46" t="str">
        <f>""</f>
        <v/>
      </c>
      <c r="CC46" t="str">
        <f>""</f>
        <v/>
      </c>
      <c r="CD46" t="str">
        <f>""</f>
        <v/>
      </c>
      <c r="CE46" t="str">
        <f>""</f>
        <v/>
      </c>
      <c r="CF46" t="str">
        <f>""</f>
        <v/>
      </c>
      <c r="CG46" t="str">
        <f>""</f>
        <v/>
      </c>
      <c r="CH46" t="str">
        <f>""</f>
        <v/>
      </c>
      <c r="CI46" t="str">
        <f>""</f>
        <v/>
      </c>
      <c r="CJ46" t="str">
        <f>""</f>
        <v/>
      </c>
      <c r="CK46" t="str">
        <f>""</f>
        <v/>
      </c>
      <c r="CL46" t="str">
        <f>""</f>
        <v/>
      </c>
      <c r="CM46" t="str">
        <f>""</f>
        <v/>
      </c>
    </row>
    <row r="48" spans="1:91" x14ac:dyDescent="0.3">
      <c r="A48" t="str">
        <f>"zMETAB3"</f>
        <v>zMETAB3</v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  <c r="H48" t="str">
        <f>"-0.124"</f>
        <v>-0.124</v>
      </c>
      <c r="I48" t="str">
        <f>"-0.0297"</f>
        <v>-0.0297</v>
      </c>
      <c r="J48" t="str">
        <f>"0.0140"</f>
        <v>0.0140</v>
      </c>
      <c r="K48" t="str">
        <f>""</f>
        <v/>
      </c>
      <c r="L48" t="str">
        <f>""</f>
        <v/>
      </c>
      <c r="M48" t="str">
        <f>""</f>
        <v/>
      </c>
      <c r="N48" t="str">
        <f>""</f>
        <v/>
      </c>
      <c r="O48" t="str">
        <f>""</f>
        <v/>
      </c>
      <c r="P48" t="str">
        <f>""</f>
        <v/>
      </c>
      <c r="Q48" t="str">
        <f>""</f>
        <v/>
      </c>
      <c r="R48" t="str">
        <f>""</f>
        <v/>
      </c>
      <c r="S48" t="str">
        <f>""</f>
        <v/>
      </c>
      <c r="T48" t="str">
        <f>""</f>
        <v/>
      </c>
      <c r="U48" t="str">
        <f>""</f>
        <v/>
      </c>
      <c r="V48" t="str">
        <f>""</f>
        <v/>
      </c>
      <c r="W48" t="str">
        <f>""</f>
        <v/>
      </c>
      <c r="X48" t="str">
        <f>""</f>
        <v/>
      </c>
      <c r="Y48" t="str">
        <f>""</f>
        <v/>
      </c>
      <c r="Z48" t="str">
        <f>""</f>
        <v/>
      </c>
      <c r="AA48" t="str">
        <f>""</f>
        <v/>
      </c>
      <c r="AB48" t="str">
        <f>""</f>
        <v/>
      </c>
      <c r="AC48" t="str">
        <f>""</f>
        <v/>
      </c>
      <c r="AD48" t="str">
        <f>""</f>
        <v/>
      </c>
      <c r="AE48" t="str">
        <f>""</f>
        <v/>
      </c>
      <c r="AF48" t="str">
        <f>""</f>
        <v/>
      </c>
      <c r="AG48" t="str">
        <f>""</f>
        <v/>
      </c>
      <c r="AH48" t="str">
        <f>""</f>
        <v/>
      </c>
      <c r="AI48" t="str">
        <f>""</f>
        <v/>
      </c>
      <c r="AJ48" t="str">
        <f>""</f>
        <v/>
      </c>
      <c r="AK48" t="str">
        <f>""</f>
        <v/>
      </c>
      <c r="AL48" t="str">
        <f>""</f>
        <v/>
      </c>
      <c r="AM48" t="str">
        <f>""</f>
        <v/>
      </c>
      <c r="AN48" t="str">
        <f>""</f>
        <v/>
      </c>
      <c r="AO48" t="str">
        <f>""</f>
        <v/>
      </c>
      <c r="AP48" t="str">
        <f>""</f>
        <v/>
      </c>
      <c r="AQ48" t="str">
        <f>""</f>
        <v/>
      </c>
      <c r="AR48" t="str">
        <f>""</f>
        <v/>
      </c>
      <c r="AS48" t="str">
        <f>""</f>
        <v/>
      </c>
      <c r="AT48" t="str">
        <f>""</f>
        <v/>
      </c>
      <c r="AU48" t="str">
        <f>""</f>
        <v/>
      </c>
      <c r="AV48" t="str">
        <f>""</f>
        <v/>
      </c>
      <c r="AW48" t="str">
        <f>""</f>
        <v/>
      </c>
      <c r="AX48" t="str">
        <f>""</f>
        <v/>
      </c>
      <c r="AY48" t="str">
        <f>""</f>
        <v/>
      </c>
      <c r="AZ48" t="str">
        <f>""</f>
        <v/>
      </c>
      <c r="BA48" t="str">
        <f>"-0.0718"</f>
        <v>-0.0718</v>
      </c>
      <c r="BB48" t="str">
        <f>"0.142"</f>
        <v>0.142</v>
      </c>
      <c r="BC48" t="str">
        <f>"0.0426"</f>
        <v>0.0426</v>
      </c>
      <c r="BD48" t="str">
        <f>""</f>
        <v/>
      </c>
      <c r="BE48" t="str">
        <f>""</f>
        <v/>
      </c>
      <c r="BF48" t="str">
        <f>""</f>
        <v/>
      </c>
      <c r="BG48" t="str">
        <f>""</f>
        <v/>
      </c>
      <c r="BH48" t="str">
        <f>""</f>
        <v/>
      </c>
      <c r="BI48" t="str">
        <f>""</f>
        <v/>
      </c>
      <c r="BJ48" t="str">
        <f>""</f>
        <v/>
      </c>
      <c r="BK48" t="str">
        <f>""</f>
        <v/>
      </c>
      <c r="BL48" t="str">
        <f>""</f>
        <v/>
      </c>
      <c r="BM48" t="str">
        <f>""</f>
        <v/>
      </c>
      <c r="BN48" t="str">
        <f>""</f>
        <v/>
      </c>
      <c r="BO48" t="str">
        <f>""</f>
        <v/>
      </c>
      <c r="BP48" t="str">
        <f>""</f>
        <v/>
      </c>
      <c r="BQ48" t="str">
        <f>""</f>
        <v/>
      </c>
      <c r="BR48" t="str">
        <f>""</f>
        <v/>
      </c>
      <c r="BS48" t="str">
        <f>""</f>
        <v/>
      </c>
      <c r="BT48" t="str">
        <f>""</f>
        <v/>
      </c>
      <c r="BU48" t="str">
        <f>""</f>
        <v/>
      </c>
      <c r="BV48" t="str">
        <f>""</f>
        <v/>
      </c>
      <c r="BW48" t="str">
        <f>""</f>
        <v/>
      </c>
      <c r="BX48" t="str">
        <f>""</f>
        <v/>
      </c>
      <c r="BY48" t="str">
        <f>""</f>
        <v/>
      </c>
      <c r="BZ48" t="str">
        <f>""</f>
        <v/>
      </c>
      <c r="CA48" t="str">
        <f>""</f>
        <v/>
      </c>
      <c r="CB48" t="str">
        <f>""</f>
        <v/>
      </c>
      <c r="CC48" t="str">
        <f>""</f>
        <v/>
      </c>
      <c r="CD48" t="str">
        <f>""</f>
        <v/>
      </c>
      <c r="CE48" t="str">
        <f>""</f>
        <v/>
      </c>
      <c r="CF48" t="str">
        <f>""</f>
        <v/>
      </c>
      <c r="CG48" t="str">
        <f>""</f>
        <v/>
      </c>
      <c r="CH48" t="str">
        <f>""</f>
        <v/>
      </c>
      <c r="CI48" t="str">
        <f>""</f>
        <v/>
      </c>
      <c r="CJ48" t="str">
        <f>""</f>
        <v/>
      </c>
      <c r="CK48" t="str">
        <f>""</f>
        <v/>
      </c>
      <c r="CL48" t="str">
        <f>""</f>
        <v/>
      </c>
      <c r="CM48" t="str">
        <f>""</f>
        <v/>
      </c>
    </row>
    <row r="49" spans="1:91" x14ac:dyDescent="0.3">
      <c r="A49" t="str">
        <f>""</f>
        <v/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  <c r="H49" t="str">
        <f>"(0.0983)"</f>
        <v>(0.0983)</v>
      </c>
      <c r="I49" t="str">
        <f>"(0.0893)"</f>
        <v>(0.0893)</v>
      </c>
      <c r="J49" t="str">
        <f>"(0.0372)"</f>
        <v>(0.0372)</v>
      </c>
      <c r="K49" t="str">
        <f>""</f>
        <v/>
      </c>
      <c r="L49" t="str">
        <f>""</f>
        <v/>
      </c>
      <c r="M49" t="str">
        <f>""</f>
        <v/>
      </c>
      <c r="N49" t="str">
        <f>""</f>
        <v/>
      </c>
      <c r="O49" t="str">
        <f>""</f>
        <v/>
      </c>
      <c r="P49" t="str">
        <f>""</f>
        <v/>
      </c>
      <c r="Q49" t="str">
        <f>""</f>
        <v/>
      </c>
      <c r="R49" t="str">
        <f>""</f>
        <v/>
      </c>
      <c r="S49" t="str">
        <f>""</f>
        <v/>
      </c>
      <c r="T49" t="str">
        <f>""</f>
        <v/>
      </c>
      <c r="U49" t="str">
        <f>""</f>
        <v/>
      </c>
      <c r="V49" t="str">
        <f>""</f>
        <v/>
      </c>
      <c r="W49" t="str">
        <f>""</f>
        <v/>
      </c>
      <c r="X49" t="str">
        <f>""</f>
        <v/>
      </c>
      <c r="Y49" t="str">
        <f>""</f>
        <v/>
      </c>
      <c r="Z49" t="str">
        <f>""</f>
        <v/>
      </c>
      <c r="AA49" t="str">
        <f>""</f>
        <v/>
      </c>
      <c r="AB49" t="str">
        <f>""</f>
        <v/>
      </c>
      <c r="AC49" t="str">
        <f>""</f>
        <v/>
      </c>
      <c r="AD49" t="str">
        <f>""</f>
        <v/>
      </c>
      <c r="AE49" t="str">
        <f>""</f>
        <v/>
      </c>
      <c r="AF49" t="str">
        <f>""</f>
        <v/>
      </c>
      <c r="AG49" t="str">
        <f>""</f>
        <v/>
      </c>
      <c r="AH49" t="str">
        <f>""</f>
        <v/>
      </c>
      <c r="AI49" t="str">
        <f>""</f>
        <v/>
      </c>
      <c r="AJ49" t="str">
        <f>""</f>
        <v/>
      </c>
      <c r="AK49" t="str">
        <f>""</f>
        <v/>
      </c>
      <c r="AL49" t="str">
        <f>""</f>
        <v/>
      </c>
      <c r="AM49" t="str">
        <f>""</f>
        <v/>
      </c>
      <c r="AN49" t="str">
        <f>""</f>
        <v/>
      </c>
      <c r="AO49" t="str">
        <f>""</f>
        <v/>
      </c>
      <c r="AP49" t="str">
        <f>""</f>
        <v/>
      </c>
      <c r="AQ49" t="str">
        <f>""</f>
        <v/>
      </c>
      <c r="AR49" t="str">
        <f>""</f>
        <v/>
      </c>
      <c r="AS49" t="str">
        <f>""</f>
        <v/>
      </c>
      <c r="AT49" t="str">
        <f>""</f>
        <v/>
      </c>
      <c r="AU49" t="str">
        <f>""</f>
        <v/>
      </c>
      <c r="AV49" t="str">
        <f>""</f>
        <v/>
      </c>
      <c r="AW49" t="str">
        <f>""</f>
        <v/>
      </c>
      <c r="AX49" t="str">
        <f>""</f>
        <v/>
      </c>
      <c r="AY49" t="str">
        <f>""</f>
        <v/>
      </c>
      <c r="AZ49" t="str">
        <f>""</f>
        <v/>
      </c>
      <c r="BA49" t="str">
        <f>"(0.0779)"</f>
        <v>(0.0779)</v>
      </c>
      <c r="BB49" t="str">
        <f>"(0.0843)"</f>
        <v>(0.0843)</v>
      </c>
      <c r="BC49" t="str">
        <f>"(0.0308)"</f>
        <v>(0.0308)</v>
      </c>
      <c r="BD49" t="str">
        <f>""</f>
        <v/>
      </c>
      <c r="BE49" t="str">
        <f>""</f>
        <v/>
      </c>
      <c r="BF49" t="str">
        <f>""</f>
        <v/>
      </c>
      <c r="BG49" t="str">
        <f>""</f>
        <v/>
      </c>
      <c r="BH49" t="str">
        <f>""</f>
        <v/>
      </c>
      <c r="BI49" t="str">
        <f>""</f>
        <v/>
      </c>
      <c r="BJ49" t="str">
        <f>""</f>
        <v/>
      </c>
      <c r="BK49" t="str">
        <f>""</f>
        <v/>
      </c>
      <c r="BL49" t="str">
        <f>""</f>
        <v/>
      </c>
      <c r="BM49" t="str">
        <f>""</f>
        <v/>
      </c>
      <c r="BN49" t="str">
        <f>""</f>
        <v/>
      </c>
      <c r="BO49" t="str">
        <f>""</f>
        <v/>
      </c>
      <c r="BP49" t="str">
        <f>""</f>
        <v/>
      </c>
      <c r="BQ49" t="str">
        <f>""</f>
        <v/>
      </c>
      <c r="BR49" t="str">
        <f>""</f>
        <v/>
      </c>
      <c r="BS49" t="str">
        <f>""</f>
        <v/>
      </c>
      <c r="BT49" t="str">
        <f>""</f>
        <v/>
      </c>
      <c r="BU49" t="str">
        <f>""</f>
        <v/>
      </c>
      <c r="BV49" t="str">
        <f>""</f>
        <v/>
      </c>
      <c r="BW49" t="str">
        <f>""</f>
        <v/>
      </c>
      <c r="BX49" t="str">
        <f>""</f>
        <v/>
      </c>
      <c r="BY49" t="str">
        <f>""</f>
        <v/>
      </c>
      <c r="BZ49" t="str">
        <f>""</f>
        <v/>
      </c>
      <c r="CA49" t="str">
        <f>""</f>
        <v/>
      </c>
      <c r="CB49" t="str">
        <f>""</f>
        <v/>
      </c>
      <c r="CC49" t="str">
        <f>""</f>
        <v/>
      </c>
      <c r="CD49" t="str">
        <f>""</f>
        <v/>
      </c>
      <c r="CE49" t="str">
        <f>""</f>
        <v/>
      </c>
      <c r="CF49" t="str">
        <f>""</f>
        <v/>
      </c>
      <c r="CG49" t="str">
        <f>""</f>
        <v/>
      </c>
      <c r="CH49" t="str">
        <f>""</f>
        <v/>
      </c>
      <c r="CI49" t="str">
        <f>""</f>
        <v/>
      </c>
      <c r="CJ49" t="str">
        <f>""</f>
        <v/>
      </c>
      <c r="CK49" t="str">
        <f>""</f>
        <v/>
      </c>
      <c r="CL49" t="str">
        <f>""</f>
        <v/>
      </c>
      <c r="CM49" t="str">
        <f>""</f>
        <v/>
      </c>
    </row>
    <row r="51" spans="1:91" x14ac:dyDescent="0.3">
      <c r="A51" t="str">
        <f>"c.zMETAB3#c.neflbr"</f>
        <v>c.zMETAB3#c.neflbr</v>
      </c>
      <c r="B51" t="str">
        <f>""</f>
        <v/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  <c r="H51" t="str">
        <f>"-0.0417"</f>
        <v>-0.0417</v>
      </c>
      <c r="I51" t="str">
        <f>"-0.0887"</f>
        <v>-0.0887</v>
      </c>
      <c r="J51" t="str">
        <f>"0.0646"</f>
        <v>0.0646</v>
      </c>
      <c r="K51" t="str">
        <f>""</f>
        <v/>
      </c>
      <c r="L51" t="str">
        <f>""</f>
        <v/>
      </c>
      <c r="M51" t="str">
        <f>""</f>
        <v/>
      </c>
      <c r="N51" t="str">
        <f>""</f>
        <v/>
      </c>
      <c r="O51" t="str">
        <f>""</f>
        <v/>
      </c>
      <c r="P51" t="str">
        <f>""</f>
        <v/>
      </c>
      <c r="Q51" t="str">
        <f>""</f>
        <v/>
      </c>
      <c r="R51" t="str">
        <f>""</f>
        <v/>
      </c>
      <c r="S51" t="str">
        <f>""</f>
        <v/>
      </c>
      <c r="T51" t="str">
        <f>""</f>
        <v/>
      </c>
      <c r="U51" t="str">
        <f>""</f>
        <v/>
      </c>
      <c r="V51" t="str">
        <f>""</f>
        <v/>
      </c>
      <c r="W51" t="str">
        <f>""</f>
        <v/>
      </c>
      <c r="X51" t="str">
        <f>""</f>
        <v/>
      </c>
      <c r="Y51" t="str">
        <f>""</f>
        <v/>
      </c>
      <c r="Z51" t="str">
        <f>""</f>
        <v/>
      </c>
      <c r="AA51" t="str">
        <f>""</f>
        <v/>
      </c>
      <c r="AB51" t="str">
        <f>""</f>
        <v/>
      </c>
      <c r="AC51" t="str">
        <f>""</f>
        <v/>
      </c>
      <c r="AD51" t="str">
        <f>""</f>
        <v/>
      </c>
      <c r="AE51" t="str">
        <f>""</f>
        <v/>
      </c>
      <c r="AF51" t="str">
        <f>""</f>
        <v/>
      </c>
      <c r="AG51" t="str">
        <f>""</f>
        <v/>
      </c>
      <c r="AH51" t="str">
        <f>""</f>
        <v/>
      </c>
      <c r="AI51" t="str">
        <f>""</f>
        <v/>
      </c>
      <c r="AJ51" t="str">
        <f>""</f>
        <v/>
      </c>
      <c r="AK51" t="str">
        <f>""</f>
        <v/>
      </c>
      <c r="AL51" t="str">
        <f>""</f>
        <v/>
      </c>
      <c r="AM51" t="str">
        <f>""</f>
        <v/>
      </c>
      <c r="AN51" t="str">
        <f>""</f>
        <v/>
      </c>
      <c r="AO51" t="str">
        <f>""</f>
        <v/>
      </c>
      <c r="AP51" t="str">
        <f>""</f>
        <v/>
      </c>
      <c r="AQ51" t="str">
        <f>""</f>
        <v/>
      </c>
      <c r="AR51" t="str">
        <f>""</f>
        <v/>
      </c>
      <c r="AS51" t="str">
        <f>""</f>
        <v/>
      </c>
      <c r="AT51" t="str">
        <f>""</f>
        <v/>
      </c>
      <c r="AU51" t="str">
        <f>""</f>
        <v/>
      </c>
      <c r="AV51" t="str">
        <f>""</f>
        <v/>
      </c>
      <c r="AW51" t="str">
        <f>""</f>
        <v/>
      </c>
      <c r="AX51" t="str">
        <f>""</f>
        <v/>
      </c>
      <c r="AY51" t="str">
        <f>""</f>
        <v/>
      </c>
      <c r="AZ51" t="str">
        <f>""</f>
        <v/>
      </c>
      <c r="BA51" t="str">
        <f>""</f>
        <v/>
      </c>
      <c r="BB51" t="str">
        <f>""</f>
        <v/>
      </c>
      <c r="BC51" t="str">
        <f>""</f>
        <v/>
      </c>
      <c r="BD51" t="str">
        <f>""</f>
        <v/>
      </c>
      <c r="BE51" t="str">
        <f>""</f>
        <v/>
      </c>
      <c r="BF51" t="str">
        <f>""</f>
        <v/>
      </c>
      <c r="BG51" t="str">
        <f>""</f>
        <v/>
      </c>
      <c r="BH51" t="str">
        <f>""</f>
        <v/>
      </c>
      <c r="BI51" t="str">
        <f>""</f>
        <v/>
      </c>
      <c r="BJ51" t="str">
        <f>""</f>
        <v/>
      </c>
      <c r="BK51" t="str">
        <f>""</f>
        <v/>
      </c>
      <c r="BL51" t="str">
        <f>""</f>
        <v/>
      </c>
      <c r="BM51" t="str">
        <f>""</f>
        <v/>
      </c>
      <c r="BN51" t="str">
        <f>""</f>
        <v/>
      </c>
      <c r="BO51" t="str">
        <f>""</f>
        <v/>
      </c>
      <c r="BP51" t="str">
        <f>""</f>
        <v/>
      </c>
      <c r="BQ51" t="str">
        <f>""</f>
        <v/>
      </c>
      <c r="BR51" t="str">
        <f>""</f>
        <v/>
      </c>
      <c r="BS51" t="str">
        <f>""</f>
        <v/>
      </c>
      <c r="BT51" t="str">
        <f>""</f>
        <v/>
      </c>
      <c r="BU51" t="str">
        <f>""</f>
        <v/>
      </c>
      <c r="BV51" t="str">
        <f>""</f>
        <v/>
      </c>
      <c r="BW51" t="str">
        <f>""</f>
        <v/>
      </c>
      <c r="BX51" t="str">
        <f>""</f>
        <v/>
      </c>
      <c r="BY51" t="str">
        <f>""</f>
        <v/>
      </c>
      <c r="BZ51" t="str">
        <f>""</f>
        <v/>
      </c>
      <c r="CA51" t="str">
        <f>""</f>
        <v/>
      </c>
      <c r="CB51" t="str">
        <f>""</f>
        <v/>
      </c>
      <c r="CC51" t="str">
        <f>""</f>
        <v/>
      </c>
      <c r="CD51" t="str">
        <f>""</f>
        <v/>
      </c>
      <c r="CE51" t="str">
        <f>""</f>
        <v/>
      </c>
      <c r="CF51" t="str">
        <f>""</f>
        <v/>
      </c>
      <c r="CG51" t="str">
        <f>""</f>
        <v/>
      </c>
      <c r="CH51" t="str">
        <f>""</f>
        <v/>
      </c>
      <c r="CI51" t="str">
        <f>""</f>
        <v/>
      </c>
      <c r="CJ51" t="str">
        <f>""</f>
        <v/>
      </c>
      <c r="CK51" t="str">
        <f>""</f>
        <v/>
      </c>
      <c r="CL51" t="str">
        <f>""</f>
        <v/>
      </c>
      <c r="CM51" t="str">
        <f>""</f>
        <v/>
      </c>
    </row>
    <row r="52" spans="1:91" x14ac:dyDescent="0.3">
      <c r="A52" t="str">
        <f>""</f>
        <v/>
      </c>
      <c r="B52" t="str">
        <f>""</f>
        <v/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  <c r="H52" t="str">
        <f>"(0.116)"</f>
        <v>(0.116)</v>
      </c>
      <c r="I52" t="str">
        <f>"(0.0996)"</f>
        <v>(0.0996)</v>
      </c>
      <c r="J52" t="str">
        <f>"(0.0441)"</f>
        <v>(0.0441)</v>
      </c>
      <c r="K52" t="str">
        <f>""</f>
        <v/>
      </c>
      <c r="L52" t="str">
        <f>""</f>
        <v/>
      </c>
      <c r="M52" t="str">
        <f>""</f>
        <v/>
      </c>
      <c r="N52" t="str">
        <f>""</f>
        <v/>
      </c>
      <c r="O52" t="str">
        <f>""</f>
        <v/>
      </c>
      <c r="P52" t="str">
        <f>""</f>
        <v/>
      </c>
      <c r="Q52" t="str">
        <f>""</f>
        <v/>
      </c>
      <c r="R52" t="str">
        <f>""</f>
        <v/>
      </c>
      <c r="S52" t="str">
        <f>""</f>
        <v/>
      </c>
      <c r="T52" t="str">
        <f>""</f>
        <v/>
      </c>
      <c r="U52" t="str">
        <f>""</f>
        <v/>
      </c>
      <c r="V52" t="str">
        <f>""</f>
        <v/>
      </c>
      <c r="W52" t="str">
        <f>""</f>
        <v/>
      </c>
      <c r="X52" t="str">
        <f>""</f>
        <v/>
      </c>
      <c r="Y52" t="str">
        <f>""</f>
        <v/>
      </c>
      <c r="Z52" t="str">
        <f>""</f>
        <v/>
      </c>
      <c r="AA52" t="str">
        <f>""</f>
        <v/>
      </c>
      <c r="AB52" t="str">
        <f>""</f>
        <v/>
      </c>
      <c r="AC52" t="str">
        <f>""</f>
        <v/>
      </c>
      <c r="AD52" t="str">
        <f>""</f>
        <v/>
      </c>
      <c r="AE52" t="str">
        <f>""</f>
        <v/>
      </c>
      <c r="AF52" t="str">
        <f>""</f>
        <v/>
      </c>
      <c r="AG52" t="str">
        <f>""</f>
        <v/>
      </c>
      <c r="AH52" t="str">
        <f>""</f>
        <v/>
      </c>
      <c r="AI52" t="str">
        <f>""</f>
        <v/>
      </c>
      <c r="AJ52" t="str">
        <f>""</f>
        <v/>
      </c>
      <c r="AK52" t="str">
        <f>""</f>
        <v/>
      </c>
      <c r="AL52" t="str">
        <f>""</f>
        <v/>
      </c>
      <c r="AM52" t="str">
        <f>""</f>
        <v/>
      </c>
      <c r="AN52" t="str">
        <f>""</f>
        <v/>
      </c>
      <c r="AO52" t="str">
        <f>""</f>
        <v/>
      </c>
      <c r="AP52" t="str">
        <f>""</f>
        <v/>
      </c>
      <c r="AQ52" t="str">
        <f>""</f>
        <v/>
      </c>
      <c r="AR52" t="str">
        <f>""</f>
        <v/>
      </c>
      <c r="AS52" t="str">
        <f>""</f>
        <v/>
      </c>
      <c r="AT52" t="str">
        <f>""</f>
        <v/>
      </c>
      <c r="AU52" t="str">
        <f>""</f>
        <v/>
      </c>
      <c r="AV52" t="str">
        <f>""</f>
        <v/>
      </c>
      <c r="AW52" t="str">
        <f>""</f>
        <v/>
      </c>
      <c r="AX52" t="str">
        <f>""</f>
        <v/>
      </c>
      <c r="AY52" t="str">
        <f>""</f>
        <v/>
      </c>
      <c r="AZ52" t="str">
        <f>""</f>
        <v/>
      </c>
      <c r="BA52" t="str">
        <f>""</f>
        <v/>
      </c>
      <c r="BB52" t="str">
        <f>""</f>
        <v/>
      </c>
      <c r="BC52" t="str">
        <f>""</f>
        <v/>
      </c>
      <c r="BD52" t="str">
        <f>""</f>
        <v/>
      </c>
      <c r="BE52" t="str">
        <f>""</f>
        <v/>
      </c>
      <c r="BF52" t="str">
        <f>""</f>
        <v/>
      </c>
      <c r="BG52" t="str">
        <f>""</f>
        <v/>
      </c>
      <c r="BH52" t="str">
        <f>""</f>
        <v/>
      </c>
      <c r="BI52" t="str">
        <f>""</f>
        <v/>
      </c>
      <c r="BJ52" t="str">
        <f>""</f>
        <v/>
      </c>
      <c r="BK52" t="str">
        <f>""</f>
        <v/>
      </c>
      <c r="BL52" t="str">
        <f>""</f>
        <v/>
      </c>
      <c r="BM52" t="str">
        <f>""</f>
        <v/>
      </c>
      <c r="BN52" t="str">
        <f>""</f>
        <v/>
      </c>
      <c r="BO52" t="str">
        <f>""</f>
        <v/>
      </c>
      <c r="BP52" t="str">
        <f>""</f>
        <v/>
      </c>
      <c r="BQ52" t="str">
        <f>""</f>
        <v/>
      </c>
      <c r="BR52" t="str">
        <f>""</f>
        <v/>
      </c>
      <c r="BS52" t="str">
        <f>""</f>
        <v/>
      </c>
      <c r="BT52" t="str">
        <f>""</f>
        <v/>
      </c>
      <c r="BU52" t="str">
        <f>""</f>
        <v/>
      </c>
      <c r="BV52" t="str">
        <f>""</f>
        <v/>
      </c>
      <c r="BW52" t="str">
        <f>""</f>
        <v/>
      </c>
      <c r="BX52" t="str">
        <f>""</f>
        <v/>
      </c>
      <c r="BY52" t="str">
        <f>""</f>
        <v/>
      </c>
      <c r="BZ52" t="str">
        <f>""</f>
        <v/>
      </c>
      <c r="CA52" t="str">
        <f>""</f>
        <v/>
      </c>
      <c r="CB52" t="str">
        <f>""</f>
        <v/>
      </c>
      <c r="CC52" t="str">
        <f>""</f>
        <v/>
      </c>
      <c r="CD52" t="str">
        <f>""</f>
        <v/>
      </c>
      <c r="CE52" t="str">
        <f>""</f>
        <v/>
      </c>
      <c r="CF52" t="str">
        <f>""</f>
        <v/>
      </c>
      <c r="CG52" t="str">
        <f>""</f>
        <v/>
      </c>
      <c r="CH52" t="str">
        <f>""</f>
        <v/>
      </c>
      <c r="CI52" t="str">
        <f>""</f>
        <v/>
      </c>
      <c r="CJ52" t="str">
        <f>""</f>
        <v/>
      </c>
      <c r="CK52" t="str">
        <f>""</f>
        <v/>
      </c>
      <c r="CL52" t="str">
        <f>""</f>
        <v/>
      </c>
      <c r="CM52" t="str">
        <f>""</f>
        <v/>
      </c>
    </row>
    <row r="54" spans="1:91" x14ac:dyDescent="0.3">
      <c r="A54" t="str">
        <f>"zMETAB4"</f>
        <v>zMETAB4</v>
      </c>
      <c r="B54" t="str">
        <f>""</f>
        <v/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  <c r="H54" t="str">
        <f>""</f>
        <v/>
      </c>
      <c r="I54" t="str">
        <f>""</f>
        <v/>
      </c>
      <c r="J54" t="str">
        <f>""</f>
        <v/>
      </c>
      <c r="K54" t="str">
        <f>"-0.0839"</f>
        <v>-0.0839</v>
      </c>
      <c r="L54" t="str">
        <f>"-0.00521"</f>
        <v>-0.00521</v>
      </c>
      <c r="M54" t="str">
        <f>"-0.0613"</f>
        <v>-0.0613</v>
      </c>
      <c r="N54" t="str">
        <f>""</f>
        <v/>
      </c>
      <c r="O54" t="str">
        <f>""</f>
        <v/>
      </c>
      <c r="P54" t="str">
        <f>""</f>
        <v/>
      </c>
      <c r="Q54" t="str">
        <f>""</f>
        <v/>
      </c>
      <c r="R54" t="str">
        <f>""</f>
        <v/>
      </c>
      <c r="S54" t="str">
        <f>""</f>
        <v/>
      </c>
      <c r="T54" t="str">
        <f>""</f>
        <v/>
      </c>
      <c r="U54" t="str">
        <f>""</f>
        <v/>
      </c>
      <c r="V54" t="str">
        <f>""</f>
        <v/>
      </c>
      <c r="W54" t="str">
        <f>""</f>
        <v/>
      </c>
      <c r="X54" t="str">
        <f>""</f>
        <v/>
      </c>
      <c r="Y54" t="str">
        <f>""</f>
        <v/>
      </c>
      <c r="Z54" t="str">
        <f>""</f>
        <v/>
      </c>
      <c r="AA54" t="str">
        <f>""</f>
        <v/>
      </c>
      <c r="AB54" t="str">
        <f>""</f>
        <v/>
      </c>
      <c r="AC54" t="str">
        <f>""</f>
        <v/>
      </c>
      <c r="AD54" t="str">
        <f>""</f>
        <v/>
      </c>
      <c r="AE54" t="str">
        <f>""</f>
        <v/>
      </c>
      <c r="AF54" t="str">
        <f>""</f>
        <v/>
      </c>
      <c r="AG54" t="str">
        <f>""</f>
        <v/>
      </c>
      <c r="AH54" t="str">
        <f>""</f>
        <v/>
      </c>
      <c r="AI54" t="str">
        <f>""</f>
        <v/>
      </c>
      <c r="AJ54" t="str">
        <f>""</f>
        <v/>
      </c>
      <c r="AK54" t="str">
        <f>""</f>
        <v/>
      </c>
      <c r="AL54" t="str">
        <f>""</f>
        <v/>
      </c>
      <c r="AM54" t="str">
        <f>""</f>
        <v/>
      </c>
      <c r="AN54" t="str">
        <f>""</f>
        <v/>
      </c>
      <c r="AO54" t="str">
        <f>""</f>
        <v/>
      </c>
      <c r="AP54" t="str">
        <f>""</f>
        <v/>
      </c>
      <c r="AQ54" t="str">
        <f>""</f>
        <v/>
      </c>
      <c r="AR54" t="str">
        <f>""</f>
        <v/>
      </c>
      <c r="AS54" t="str">
        <f>""</f>
        <v/>
      </c>
      <c r="AT54" t="str">
        <f>""</f>
        <v/>
      </c>
      <c r="AU54" t="str">
        <f>""</f>
        <v/>
      </c>
      <c r="AV54" t="str">
        <f>""</f>
        <v/>
      </c>
      <c r="AW54" t="str">
        <f>""</f>
        <v/>
      </c>
      <c r="AX54" t="str">
        <f>""</f>
        <v/>
      </c>
      <c r="AY54" t="str">
        <f>""</f>
        <v/>
      </c>
      <c r="AZ54" t="str">
        <f>""</f>
        <v/>
      </c>
      <c r="BA54" t="str">
        <f>""</f>
        <v/>
      </c>
      <c r="BB54" t="str">
        <f>""</f>
        <v/>
      </c>
      <c r="BC54" t="str">
        <f>""</f>
        <v/>
      </c>
      <c r="BD54" t="str">
        <f>"-0.0748"</f>
        <v>-0.0748</v>
      </c>
      <c r="BE54" t="str">
        <f>"-0.175"</f>
        <v>-0.175</v>
      </c>
      <c r="BF54" t="str">
        <f>"-0.136***"</f>
        <v>-0.136***</v>
      </c>
      <c r="BG54" t="str">
        <f>""</f>
        <v/>
      </c>
      <c r="BH54" t="str">
        <f>""</f>
        <v/>
      </c>
      <c r="BI54" t="str">
        <f>""</f>
        <v/>
      </c>
      <c r="BJ54" t="str">
        <f>""</f>
        <v/>
      </c>
      <c r="BK54" t="str">
        <f>""</f>
        <v/>
      </c>
      <c r="BL54" t="str">
        <f>""</f>
        <v/>
      </c>
      <c r="BM54" t="str">
        <f>""</f>
        <v/>
      </c>
      <c r="BN54" t="str">
        <f>""</f>
        <v/>
      </c>
      <c r="BO54" t="str">
        <f>""</f>
        <v/>
      </c>
      <c r="BP54" t="str">
        <f>""</f>
        <v/>
      </c>
      <c r="BQ54" t="str">
        <f>""</f>
        <v/>
      </c>
      <c r="BR54" t="str">
        <f>""</f>
        <v/>
      </c>
      <c r="BS54" t="str">
        <f>""</f>
        <v/>
      </c>
      <c r="BT54" t="str">
        <f>""</f>
        <v/>
      </c>
      <c r="BU54" t="str">
        <f>""</f>
        <v/>
      </c>
      <c r="BV54" t="str">
        <f>""</f>
        <v/>
      </c>
      <c r="BW54" t="str">
        <f>""</f>
        <v/>
      </c>
      <c r="BX54" t="str">
        <f>""</f>
        <v/>
      </c>
      <c r="BY54" t="str">
        <f>""</f>
        <v/>
      </c>
      <c r="BZ54" t="str">
        <f>""</f>
        <v/>
      </c>
      <c r="CA54" t="str">
        <f>""</f>
        <v/>
      </c>
      <c r="CB54" t="str">
        <f>""</f>
        <v/>
      </c>
      <c r="CC54" t="str">
        <f>""</f>
        <v/>
      </c>
      <c r="CD54" t="str">
        <f>""</f>
        <v/>
      </c>
      <c r="CE54" t="str">
        <f>""</f>
        <v/>
      </c>
      <c r="CF54" t="str">
        <f>""</f>
        <v/>
      </c>
      <c r="CG54" t="str">
        <f>""</f>
        <v/>
      </c>
      <c r="CH54" t="str">
        <f>""</f>
        <v/>
      </c>
      <c r="CI54" t="str">
        <f>""</f>
        <v/>
      </c>
      <c r="CJ54" t="str">
        <f>""</f>
        <v/>
      </c>
      <c r="CK54" t="str">
        <f>""</f>
        <v/>
      </c>
      <c r="CL54" t="str">
        <f>""</f>
        <v/>
      </c>
      <c r="CM54" t="str">
        <f>""</f>
        <v/>
      </c>
    </row>
    <row r="55" spans="1:91" x14ac:dyDescent="0.3">
      <c r="A55" t="str">
        <f>""</f>
        <v/>
      </c>
      <c r="B55" t="str">
        <f>""</f>
        <v/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  <c r="H55" t="str">
        <f>""</f>
        <v/>
      </c>
      <c r="I55" t="str">
        <f>""</f>
        <v/>
      </c>
      <c r="J55" t="str">
        <f>""</f>
        <v/>
      </c>
      <c r="K55" t="str">
        <f>"(0.0984)"</f>
        <v>(0.0984)</v>
      </c>
      <c r="L55" t="str">
        <f>"(0.0911)"</f>
        <v>(0.0911)</v>
      </c>
      <c r="M55" t="str">
        <f>"(0.0398)"</f>
        <v>(0.0398)</v>
      </c>
      <c r="N55" t="str">
        <f>""</f>
        <v/>
      </c>
      <c r="O55" t="str">
        <f>""</f>
        <v/>
      </c>
      <c r="P55" t="str">
        <f>""</f>
        <v/>
      </c>
      <c r="Q55" t="str">
        <f>""</f>
        <v/>
      </c>
      <c r="R55" t="str">
        <f>""</f>
        <v/>
      </c>
      <c r="S55" t="str">
        <f>""</f>
        <v/>
      </c>
      <c r="T55" t="str">
        <f>""</f>
        <v/>
      </c>
      <c r="U55" t="str">
        <f>""</f>
        <v/>
      </c>
      <c r="V55" t="str">
        <f>""</f>
        <v/>
      </c>
      <c r="W55" t="str">
        <f>""</f>
        <v/>
      </c>
      <c r="X55" t="str">
        <f>""</f>
        <v/>
      </c>
      <c r="Y55" t="str">
        <f>""</f>
        <v/>
      </c>
      <c r="Z55" t="str">
        <f>""</f>
        <v/>
      </c>
      <c r="AA55" t="str">
        <f>""</f>
        <v/>
      </c>
      <c r="AB55" t="str">
        <f>""</f>
        <v/>
      </c>
      <c r="AC55" t="str">
        <f>""</f>
        <v/>
      </c>
      <c r="AD55" t="str">
        <f>""</f>
        <v/>
      </c>
      <c r="AE55" t="str">
        <f>""</f>
        <v/>
      </c>
      <c r="AF55" t="str">
        <f>""</f>
        <v/>
      </c>
      <c r="AG55" t="str">
        <f>""</f>
        <v/>
      </c>
      <c r="AH55" t="str">
        <f>""</f>
        <v/>
      </c>
      <c r="AI55" t="str">
        <f>""</f>
        <v/>
      </c>
      <c r="AJ55" t="str">
        <f>""</f>
        <v/>
      </c>
      <c r="AK55" t="str">
        <f>""</f>
        <v/>
      </c>
      <c r="AL55" t="str">
        <f>""</f>
        <v/>
      </c>
      <c r="AM55" t="str">
        <f>""</f>
        <v/>
      </c>
      <c r="AN55" t="str">
        <f>""</f>
        <v/>
      </c>
      <c r="AO55" t="str">
        <f>""</f>
        <v/>
      </c>
      <c r="AP55" t="str">
        <f>""</f>
        <v/>
      </c>
      <c r="AQ55" t="str">
        <f>""</f>
        <v/>
      </c>
      <c r="AR55" t="str">
        <f>""</f>
        <v/>
      </c>
      <c r="AS55" t="str">
        <f>""</f>
        <v/>
      </c>
      <c r="AT55" t="str">
        <f>""</f>
        <v/>
      </c>
      <c r="AU55" t="str">
        <f>""</f>
        <v/>
      </c>
      <c r="AV55" t="str">
        <f>""</f>
        <v/>
      </c>
      <c r="AW55" t="str">
        <f>""</f>
        <v/>
      </c>
      <c r="AX55" t="str">
        <f>""</f>
        <v/>
      </c>
      <c r="AY55" t="str">
        <f>""</f>
        <v/>
      </c>
      <c r="AZ55" t="str">
        <f>""</f>
        <v/>
      </c>
      <c r="BA55" t="str">
        <f>""</f>
        <v/>
      </c>
      <c r="BB55" t="str">
        <f>""</f>
        <v/>
      </c>
      <c r="BC55" t="str">
        <f>""</f>
        <v/>
      </c>
      <c r="BD55" t="str">
        <f>"(0.0789)"</f>
        <v>(0.0789)</v>
      </c>
      <c r="BE55" t="str">
        <f>"(0.0906)"</f>
        <v>(0.0906)</v>
      </c>
      <c r="BF55" t="str">
        <f>"(0.0332)"</f>
        <v>(0.0332)</v>
      </c>
      <c r="BG55" t="str">
        <f>""</f>
        <v/>
      </c>
      <c r="BH55" t="str">
        <f>""</f>
        <v/>
      </c>
      <c r="BI55" t="str">
        <f>""</f>
        <v/>
      </c>
      <c r="BJ55" t="str">
        <f>""</f>
        <v/>
      </c>
      <c r="BK55" t="str">
        <f>""</f>
        <v/>
      </c>
      <c r="BL55" t="str">
        <f>""</f>
        <v/>
      </c>
      <c r="BM55" t="str">
        <f>""</f>
        <v/>
      </c>
      <c r="BN55" t="str">
        <f>""</f>
        <v/>
      </c>
      <c r="BO55" t="str">
        <f>""</f>
        <v/>
      </c>
      <c r="BP55" t="str">
        <f>""</f>
        <v/>
      </c>
      <c r="BQ55" t="str">
        <f>""</f>
        <v/>
      </c>
      <c r="BR55" t="str">
        <f>""</f>
        <v/>
      </c>
      <c r="BS55" t="str">
        <f>""</f>
        <v/>
      </c>
      <c r="BT55" t="str">
        <f>""</f>
        <v/>
      </c>
      <c r="BU55" t="str">
        <f>""</f>
        <v/>
      </c>
      <c r="BV55" t="str">
        <f>""</f>
        <v/>
      </c>
      <c r="BW55" t="str">
        <f>""</f>
        <v/>
      </c>
      <c r="BX55" t="str">
        <f>""</f>
        <v/>
      </c>
      <c r="BY55" t="str">
        <f>""</f>
        <v/>
      </c>
      <c r="BZ55" t="str">
        <f>""</f>
        <v/>
      </c>
      <c r="CA55" t="str">
        <f>""</f>
        <v/>
      </c>
      <c r="CB55" t="str">
        <f>""</f>
        <v/>
      </c>
      <c r="CC55" t="str">
        <f>""</f>
        <v/>
      </c>
      <c r="CD55" t="str">
        <f>""</f>
        <v/>
      </c>
      <c r="CE55" t="str">
        <f>""</f>
        <v/>
      </c>
      <c r="CF55" t="str">
        <f>""</f>
        <v/>
      </c>
      <c r="CG55" t="str">
        <f>""</f>
        <v/>
      </c>
      <c r="CH55" t="str">
        <f>""</f>
        <v/>
      </c>
      <c r="CI55" t="str">
        <f>""</f>
        <v/>
      </c>
      <c r="CJ55" t="str">
        <f>""</f>
        <v/>
      </c>
      <c r="CK55" t="str">
        <f>""</f>
        <v/>
      </c>
      <c r="CL55" t="str">
        <f>""</f>
        <v/>
      </c>
      <c r="CM55" t="str">
        <f>""</f>
        <v/>
      </c>
    </row>
    <row r="57" spans="1:91" x14ac:dyDescent="0.3">
      <c r="A57" t="str">
        <f>"c.zMETAB4#c.neflbr"</f>
        <v>c.zMETAB4#c.neflbr</v>
      </c>
      <c r="B57" t="str">
        <f>""</f>
        <v/>
      </c>
      <c r="C57" t="str">
        <f>""</f>
        <v/>
      </c>
      <c r="D57" t="str">
        <f>""</f>
        <v/>
      </c>
      <c r="E57" t="str">
        <f>""</f>
        <v/>
      </c>
      <c r="F57" t="str">
        <f>""</f>
        <v/>
      </c>
      <c r="G57" t="str">
        <f>""</f>
        <v/>
      </c>
      <c r="H57" t="str">
        <f>""</f>
        <v/>
      </c>
      <c r="I57" t="str">
        <f>""</f>
        <v/>
      </c>
      <c r="J57" t="str">
        <f>""</f>
        <v/>
      </c>
      <c r="K57" t="str">
        <f>"0.0763"</f>
        <v>0.0763</v>
      </c>
      <c r="L57" t="str">
        <f>"-0.0588"</f>
        <v>-0.0588</v>
      </c>
      <c r="M57" t="str">
        <f>"-0.0827"</f>
        <v>-0.0827</v>
      </c>
      <c r="N57" t="str">
        <f>""</f>
        <v/>
      </c>
      <c r="O57" t="str">
        <f>""</f>
        <v/>
      </c>
      <c r="P57" t="str">
        <f>""</f>
        <v/>
      </c>
      <c r="Q57" t="str">
        <f>""</f>
        <v/>
      </c>
      <c r="R57" t="str">
        <f>""</f>
        <v/>
      </c>
      <c r="S57" t="str">
        <f>""</f>
        <v/>
      </c>
      <c r="T57" t="str">
        <f>""</f>
        <v/>
      </c>
      <c r="U57" t="str">
        <f>""</f>
        <v/>
      </c>
      <c r="V57" t="str">
        <f>""</f>
        <v/>
      </c>
      <c r="W57" t="str">
        <f>""</f>
        <v/>
      </c>
      <c r="X57" t="str">
        <f>""</f>
        <v/>
      </c>
      <c r="Y57" t="str">
        <f>""</f>
        <v/>
      </c>
      <c r="Z57" t="str">
        <f>""</f>
        <v/>
      </c>
      <c r="AA57" t="str">
        <f>""</f>
        <v/>
      </c>
      <c r="AB57" t="str">
        <f>""</f>
        <v/>
      </c>
      <c r="AC57" t="str">
        <f>""</f>
        <v/>
      </c>
      <c r="AD57" t="str">
        <f>""</f>
        <v/>
      </c>
      <c r="AE57" t="str">
        <f>""</f>
        <v/>
      </c>
      <c r="AF57" t="str">
        <f>""</f>
        <v/>
      </c>
      <c r="AG57" t="str">
        <f>""</f>
        <v/>
      </c>
      <c r="AH57" t="str">
        <f>""</f>
        <v/>
      </c>
      <c r="AI57" t="str">
        <f>""</f>
        <v/>
      </c>
      <c r="AJ57" t="str">
        <f>""</f>
        <v/>
      </c>
      <c r="AK57" t="str">
        <f>""</f>
        <v/>
      </c>
      <c r="AL57" t="str">
        <f>""</f>
        <v/>
      </c>
      <c r="AM57" t="str">
        <f>""</f>
        <v/>
      </c>
      <c r="AN57" t="str">
        <f>""</f>
        <v/>
      </c>
      <c r="AO57" t="str">
        <f>""</f>
        <v/>
      </c>
      <c r="AP57" t="str">
        <f>""</f>
        <v/>
      </c>
      <c r="AQ57" t="str">
        <f>""</f>
        <v/>
      </c>
      <c r="AR57" t="str">
        <f>""</f>
        <v/>
      </c>
      <c r="AS57" t="str">
        <f>""</f>
        <v/>
      </c>
      <c r="AT57" t="str">
        <f>""</f>
        <v/>
      </c>
      <c r="AU57" t="str">
        <f>""</f>
        <v/>
      </c>
      <c r="AV57" t="str">
        <f>""</f>
        <v/>
      </c>
      <c r="AW57" t="str">
        <f>""</f>
        <v/>
      </c>
      <c r="AX57" t="str">
        <f>""</f>
        <v/>
      </c>
      <c r="AY57" t="str">
        <f>""</f>
        <v/>
      </c>
      <c r="AZ57" t="str">
        <f>""</f>
        <v/>
      </c>
      <c r="BA57" t="str">
        <f>""</f>
        <v/>
      </c>
      <c r="BB57" t="str">
        <f>""</f>
        <v/>
      </c>
      <c r="BC57" t="str">
        <f>""</f>
        <v/>
      </c>
      <c r="BD57" t="str">
        <f>""</f>
        <v/>
      </c>
      <c r="BE57" t="str">
        <f>""</f>
        <v/>
      </c>
      <c r="BF57" t="str">
        <f>""</f>
        <v/>
      </c>
      <c r="BG57" t="str">
        <f>""</f>
        <v/>
      </c>
      <c r="BH57" t="str">
        <f>""</f>
        <v/>
      </c>
      <c r="BI57" t="str">
        <f>""</f>
        <v/>
      </c>
      <c r="BJ57" t="str">
        <f>""</f>
        <v/>
      </c>
      <c r="BK57" t="str">
        <f>""</f>
        <v/>
      </c>
      <c r="BL57" t="str">
        <f>""</f>
        <v/>
      </c>
      <c r="BM57" t="str">
        <f>""</f>
        <v/>
      </c>
      <c r="BN57" t="str">
        <f>""</f>
        <v/>
      </c>
      <c r="BO57" t="str">
        <f>""</f>
        <v/>
      </c>
      <c r="BP57" t="str">
        <f>""</f>
        <v/>
      </c>
      <c r="BQ57" t="str">
        <f>""</f>
        <v/>
      </c>
      <c r="BR57" t="str">
        <f>""</f>
        <v/>
      </c>
      <c r="BS57" t="str">
        <f>""</f>
        <v/>
      </c>
      <c r="BT57" t="str">
        <f>""</f>
        <v/>
      </c>
      <c r="BU57" t="str">
        <f>""</f>
        <v/>
      </c>
      <c r="BV57" t="str">
        <f>""</f>
        <v/>
      </c>
      <c r="BW57" t="str">
        <f>""</f>
        <v/>
      </c>
      <c r="BX57" t="str">
        <f>""</f>
        <v/>
      </c>
      <c r="BY57" t="str">
        <f>""</f>
        <v/>
      </c>
      <c r="BZ57" t="str">
        <f>""</f>
        <v/>
      </c>
      <c r="CA57" t="str">
        <f>""</f>
        <v/>
      </c>
      <c r="CB57" t="str">
        <f>""</f>
        <v/>
      </c>
      <c r="CC57" t="str">
        <f>""</f>
        <v/>
      </c>
      <c r="CD57" t="str">
        <f>""</f>
        <v/>
      </c>
      <c r="CE57" t="str">
        <f>""</f>
        <v/>
      </c>
      <c r="CF57" t="str">
        <f>""</f>
        <v/>
      </c>
      <c r="CG57" t="str">
        <f>""</f>
        <v/>
      </c>
      <c r="CH57" t="str">
        <f>""</f>
        <v/>
      </c>
      <c r="CI57" t="str">
        <f>""</f>
        <v/>
      </c>
      <c r="CJ57" t="str">
        <f>""</f>
        <v/>
      </c>
      <c r="CK57" t="str">
        <f>""</f>
        <v/>
      </c>
      <c r="CL57" t="str">
        <f>""</f>
        <v/>
      </c>
      <c r="CM57" t="str">
        <f>""</f>
        <v/>
      </c>
    </row>
    <row r="58" spans="1:91" x14ac:dyDescent="0.3">
      <c r="A58" t="str">
        <f>""</f>
        <v/>
      </c>
      <c r="B58" t="str">
        <f>""</f>
        <v/>
      </c>
      <c r="C58" t="str">
        <f>""</f>
        <v/>
      </c>
      <c r="D58" t="str">
        <f>""</f>
        <v/>
      </c>
      <c r="E58" t="str">
        <f>""</f>
        <v/>
      </c>
      <c r="F58" t="str">
        <f>""</f>
        <v/>
      </c>
      <c r="G58" t="str">
        <f>""</f>
        <v/>
      </c>
      <c r="H58" t="str">
        <f>""</f>
        <v/>
      </c>
      <c r="I58" t="str">
        <f>""</f>
        <v/>
      </c>
      <c r="J58" t="str">
        <f>""</f>
        <v/>
      </c>
      <c r="K58" t="str">
        <f>"(0.113)"</f>
        <v>(0.113)</v>
      </c>
      <c r="L58" t="str">
        <f>"(0.0999)"</f>
        <v>(0.0999)</v>
      </c>
      <c r="M58" t="str">
        <f>"(0.0467)"</f>
        <v>(0.0467)</v>
      </c>
      <c r="N58" t="str">
        <f>""</f>
        <v/>
      </c>
      <c r="O58" t="str">
        <f>""</f>
        <v/>
      </c>
      <c r="P58" t="str">
        <f>""</f>
        <v/>
      </c>
      <c r="Q58" t="str">
        <f>""</f>
        <v/>
      </c>
      <c r="R58" t="str">
        <f>""</f>
        <v/>
      </c>
      <c r="S58" t="str">
        <f>""</f>
        <v/>
      </c>
      <c r="T58" t="str">
        <f>""</f>
        <v/>
      </c>
      <c r="U58" t="str">
        <f>""</f>
        <v/>
      </c>
      <c r="V58" t="str">
        <f>""</f>
        <v/>
      </c>
      <c r="W58" t="str">
        <f>""</f>
        <v/>
      </c>
      <c r="X58" t="str">
        <f>""</f>
        <v/>
      </c>
      <c r="Y58" t="str">
        <f>""</f>
        <v/>
      </c>
      <c r="Z58" t="str">
        <f>""</f>
        <v/>
      </c>
      <c r="AA58" t="str">
        <f>""</f>
        <v/>
      </c>
      <c r="AB58" t="str">
        <f>""</f>
        <v/>
      </c>
      <c r="AC58" t="str">
        <f>""</f>
        <v/>
      </c>
      <c r="AD58" t="str">
        <f>""</f>
        <v/>
      </c>
      <c r="AE58" t="str">
        <f>""</f>
        <v/>
      </c>
      <c r="AF58" t="str">
        <f>""</f>
        <v/>
      </c>
      <c r="AG58" t="str">
        <f>""</f>
        <v/>
      </c>
      <c r="AH58" t="str">
        <f>""</f>
        <v/>
      </c>
      <c r="AI58" t="str">
        <f>""</f>
        <v/>
      </c>
      <c r="AJ58" t="str">
        <f>""</f>
        <v/>
      </c>
      <c r="AK58" t="str">
        <f>""</f>
        <v/>
      </c>
      <c r="AL58" t="str">
        <f>""</f>
        <v/>
      </c>
      <c r="AM58" t="str">
        <f>""</f>
        <v/>
      </c>
      <c r="AN58" t="str">
        <f>""</f>
        <v/>
      </c>
      <c r="AO58" t="str">
        <f>""</f>
        <v/>
      </c>
      <c r="AP58" t="str">
        <f>""</f>
        <v/>
      </c>
      <c r="AQ58" t="str">
        <f>""</f>
        <v/>
      </c>
      <c r="AR58" t="str">
        <f>""</f>
        <v/>
      </c>
      <c r="AS58" t="str">
        <f>""</f>
        <v/>
      </c>
      <c r="AT58" t="str">
        <f>""</f>
        <v/>
      </c>
      <c r="AU58" t="str">
        <f>""</f>
        <v/>
      </c>
      <c r="AV58" t="str">
        <f>""</f>
        <v/>
      </c>
      <c r="AW58" t="str">
        <f>""</f>
        <v/>
      </c>
      <c r="AX58" t="str">
        <f>""</f>
        <v/>
      </c>
      <c r="AY58" t="str">
        <f>""</f>
        <v/>
      </c>
      <c r="AZ58" t="str">
        <f>""</f>
        <v/>
      </c>
      <c r="BA58" t="str">
        <f>""</f>
        <v/>
      </c>
      <c r="BB58" t="str">
        <f>""</f>
        <v/>
      </c>
      <c r="BC58" t="str">
        <f>""</f>
        <v/>
      </c>
      <c r="BD58" t="str">
        <f>""</f>
        <v/>
      </c>
      <c r="BE58" t="str">
        <f>""</f>
        <v/>
      </c>
      <c r="BF58" t="str">
        <f>""</f>
        <v/>
      </c>
      <c r="BG58" t="str">
        <f>""</f>
        <v/>
      </c>
      <c r="BH58" t="str">
        <f>""</f>
        <v/>
      </c>
      <c r="BI58" t="str">
        <f>""</f>
        <v/>
      </c>
      <c r="BJ58" t="str">
        <f>""</f>
        <v/>
      </c>
      <c r="BK58" t="str">
        <f>""</f>
        <v/>
      </c>
      <c r="BL58" t="str">
        <f>""</f>
        <v/>
      </c>
      <c r="BM58" t="str">
        <f>""</f>
        <v/>
      </c>
      <c r="BN58" t="str">
        <f>""</f>
        <v/>
      </c>
      <c r="BO58" t="str">
        <f>""</f>
        <v/>
      </c>
      <c r="BP58" t="str">
        <f>""</f>
        <v/>
      </c>
      <c r="BQ58" t="str">
        <f>""</f>
        <v/>
      </c>
      <c r="BR58" t="str">
        <f>""</f>
        <v/>
      </c>
      <c r="BS58" t="str">
        <f>""</f>
        <v/>
      </c>
      <c r="BT58" t="str">
        <f>""</f>
        <v/>
      </c>
      <c r="BU58" t="str">
        <f>""</f>
        <v/>
      </c>
      <c r="BV58" t="str">
        <f>""</f>
        <v/>
      </c>
      <c r="BW58" t="str">
        <f>""</f>
        <v/>
      </c>
      <c r="BX58" t="str">
        <f>""</f>
        <v/>
      </c>
      <c r="BY58" t="str">
        <f>""</f>
        <v/>
      </c>
      <c r="BZ58" t="str">
        <f>""</f>
        <v/>
      </c>
      <c r="CA58" t="str">
        <f>""</f>
        <v/>
      </c>
      <c r="CB58" t="str">
        <f>""</f>
        <v/>
      </c>
      <c r="CC58" t="str">
        <f>""</f>
        <v/>
      </c>
      <c r="CD58" t="str">
        <f>""</f>
        <v/>
      </c>
      <c r="CE58" t="str">
        <f>""</f>
        <v/>
      </c>
      <c r="CF58" t="str">
        <f>""</f>
        <v/>
      </c>
      <c r="CG58" t="str">
        <f>""</f>
        <v/>
      </c>
      <c r="CH58" t="str">
        <f>""</f>
        <v/>
      </c>
      <c r="CI58" t="str">
        <f>""</f>
        <v/>
      </c>
      <c r="CJ58" t="str">
        <f>""</f>
        <v/>
      </c>
      <c r="CK58" t="str">
        <f>""</f>
        <v/>
      </c>
      <c r="CL58" t="str">
        <f>""</f>
        <v/>
      </c>
      <c r="CM58" t="str">
        <f>""</f>
        <v/>
      </c>
    </row>
    <row r="60" spans="1:91" x14ac:dyDescent="0.3">
      <c r="A60" t="str">
        <f>"zMETAB5"</f>
        <v>zMETAB5</v>
      </c>
      <c r="B60" t="str">
        <f>""</f>
        <v/>
      </c>
      <c r="C60" t="str">
        <f>""</f>
        <v/>
      </c>
      <c r="D60" t="str">
        <f>""</f>
        <v/>
      </c>
      <c r="E60" t="str">
        <f>""</f>
        <v/>
      </c>
      <c r="F60" t="str">
        <f>""</f>
        <v/>
      </c>
      <c r="G60" t="str">
        <f>""</f>
        <v/>
      </c>
      <c r="H60" t="str">
        <f>""</f>
        <v/>
      </c>
      <c r="I60" t="str">
        <f>""</f>
        <v/>
      </c>
      <c r="J60" t="str">
        <f>""</f>
        <v/>
      </c>
      <c r="K60" t="str">
        <f>""</f>
        <v/>
      </c>
      <c r="L60" t="str">
        <f>""</f>
        <v/>
      </c>
      <c r="M60" t="str">
        <f>""</f>
        <v/>
      </c>
      <c r="N60" t="str">
        <f>"0.136"</f>
        <v>0.136</v>
      </c>
      <c r="O60" t="str">
        <f>"0.0992"</f>
        <v>0.0992</v>
      </c>
      <c r="P60" t="str">
        <f>"-0.0917*"</f>
        <v>-0.0917*</v>
      </c>
      <c r="Q60" t="str">
        <f>""</f>
        <v/>
      </c>
      <c r="R60" t="str">
        <f>""</f>
        <v/>
      </c>
      <c r="S60" t="str">
        <f>""</f>
        <v/>
      </c>
      <c r="T60" t="str">
        <f>""</f>
        <v/>
      </c>
      <c r="U60" t="str">
        <f>""</f>
        <v/>
      </c>
      <c r="V60" t="str">
        <f>""</f>
        <v/>
      </c>
      <c r="W60" t="str">
        <f>""</f>
        <v/>
      </c>
      <c r="X60" t="str">
        <f>""</f>
        <v/>
      </c>
      <c r="Y60" t="str">
        <f>""</f>
        <v/>
      </c>
      <c r="Z60" t="str">
        <f>""</f>
        <v/>
      </c>
      <c r="AA60" t="str">
        <f>""</f>
        <v/>
      </c>
      <c r="AB60" t="str">
        <f>""</f>
        <v/>
      </c>
      <c r="AC60" t="str">
        <f>""</f>
        <v/>
      </c>
      <c r="AD60" t="str">
        <f>""</f>
        <v/>
      </c>
      <c r="AE60" t="str">
        <f>""</f>
        <v/>
      </c>
      <c r="AF60" t="str">
        <f>""</f>
        <v/>
      </c>
      <c r="AG60" t="str">
        <f>""</f>
        <v/>
      </c>
      <c r="AH60" t="str">
        <f>""</f>
        <v/>
      </c>
      <c r="AI60" t="str">
        <f>""</f>
        <v/>
      </c>
      <c r="AJ60" t="str">
        <f>""</f>
        <v/>
      </c>
      <c r="AK60" t="str">
        <f>""</f>
        <v/>
      </c>
      <c r="AL60" t="str">
        <f>""</f>
        <v/>
      </c>
      <c r="AM60" t="str">
        <f>""</f>
        <v/>
      </c>
      <c r="AN60" t="str">
        <f>""</f>
        <v/>
      </c>
      <c r="AO60" t="str">
        <f>""</f>
        <v/>
      </c>
      <c r="AP60" t="str">
        <f>""</f>
        <v/>
      </c>
      <c r="AQ60" t="str">
        <f>""</f>
        <v/>
      </c>
      <c r="AR60" t="str">
        <f>""</f>
        <v/>
      </c>
      <c r="AS60" t="str">
        <f>""</f>
        <v/>
      </c>
      <c r="AT60" t="str">
        <f>""</f>
        <v/>
      </c>
      <c r="AU60" t="str">
        <f>""</f>
        <v/>
      </c>
      <c r="AV60" t="str">
        <f>""</f>
        <v/>
      </c>
      <c r="AW60" t="str">
        <f>""</f>
        <v/>
      </c>
      <c r="AX60" t="str">
        <f>""</f>
        <v/>
      </c>
      <c r="AY60" t="str">
        <f>""</f>
        <v/>
      </c>
      <c r="AZ60" t="str">
        <f>""</f>
        <v/>
      </c>
      <c r="BA60" t="str">
        <f>""</f>
        <v/>
      </c>
      <c r="BB60" t="str">
        <f>""</f>
        <v/>
      </c>
      <c r="BC60" t="str">
        <f>""</f>
        <v/>
      </c>
      <c r="BD60" t="str">
        <f>""</f>
        <v/>
      </c>
      <c r="BE60" t="str">
        <f>""</f>
        <v/>
      </c>
      <c r="BF60" t="str">
        <f>""</f>
        <v/>
      </c>
      <c r="BG60" t="str">
        <f>"-0.00371"</f>
        <v>-0.00371</v>
      </c>
      <c r="BH60" t="str">
        <f>"-0.141"</f>
        <v>-0.141</v>
      </c>
      <c r="BI60" t="str">
        <f>"-0.103***"</f>
        <v>-0.103***</v>
      </c>
      <c r="BJ60" t="str">
        <f>""</f>
        <v/>
      </c>
      <c r="BK60" t="str">
        <f>""</f>
        <v/>
      </c>
      <c r="BL60" t="str">
        <f>""</f>
        <v/>
      </c>
      <c r="BM60" t="str">
        <f>""</f>
        <v/>
      </c>
      <c r="BN60" t="str">
        <f>""</f>
        <v/>
      </c>
      <c r="BO60" t="str">
        <f>""</f>
        <v/>
      </c>
      <c r="BP60" t="str">
        <f>""</f>
        <v/>
      </c>
      <c r="BQ60" t="str">
        <f>""</f>
        <v/>
      </c>
      <c r="BR60" t="str">
        <f>""</f>
        <v/>
      </c>
      <c r="BS60" t="str">
        <f>""</f>
        <v/>
      </c>
      <c r="BT60" t="str">
        <f>""</f>
        <v/>
      </c>
      <c r="BU60" t="str">
        <f>""</f>
        <v/>
      </c>
      <c r="BV60" t="str">
        <f>""</f>
        <v/>
      </c>
      <c r="BW60" t="str">
        <f>""</f>
        <v/>
      </c>
      <c r="BX60" t="str">
        <f>""</f>
        <v/>
      </c>
      <c r="BY60" t="str">
        <f>""</f>
        <v/>
      </c>
      <c r="BZ60" t="str">
        <f>""</f>
        <v/>
      </c>
      <c r="CA60" t="str">
        <f>""</f>
        <v/>
      </c>
      <c r="CB60" t="str">
        <f>""</f>
        <v/>
      </c>
      <c r="CC60" t="str">
        <f>""</f>
        <v/>
      </c>
      <c r="CD60" t="str">
        <f>""</f>
        <v/>
      </c>
      <c r="CE60" t="str">
        <f>""</f>
        <v/>
      </c>
      <c r="CF60" t="str">
        <f>""</f>
        <v/>
      </c>
      <c r="CG60" t="str">
        <f>""</f>
        <v/>
      </c>
      <c r="CH60" t="str">
        <f>""</f>
        <v/>
      </c>
      <c r="CI60" t="str">
        <f>""</f>
        <v/>
      </c>
      <c r="CJ60" t="str">
        <f>""</f>
        <v/>
      </c>
      <c r="CK60" t="str">
        <f>""</f>
        <v/>
      </c>
      <c r="CL60" t="str">
        <f>""</f>
        <v/>
      </c>
      <c r="CM60" t="str">
        <f>""</f>
        <v/>
      </c>
    </row>
    <row r="61" spans="1:91" x14ac:dyDescent="0.3">
      <c r="A61" t="str">
        <f>""</f>
        <v/>
      </c>
      <c r="B61" t="str">
        <f>""</f>
        <v/>
      </c>
      <c r="C61" t="str">
        <f>""</f>
        <v/>
      </c>
      <c r="D61" t="str">
        <f>""</f>
        <v/>
      </c>
      <c r="E61" t="str">
        <f>""</f>
        <v/>
      </c>
      <c r="F61" t="str">
        <f>""</f>
        <v/>
      </c>
      <c r="G61" t="str">
        <f>""</f>
        <v/>
      </c>
      <c r="H61" t="str">
        <f>""</f>
        <v/>
      </c>
      <c r="I61" t="str">
        <f>""</f>
        <v/>
      </c>
      <c r="J61" t="str">
        <f>""</f>
        <v/>
      </c>
      <c r="K61" t="str">
        <f>""</f>
        <v/>
      </c>
      <c r="L61" t="str">
        <f>""</f>
        <v/>
      </c>
      <c r="M61" t="str">
        <f>""</f>
        <v/>
      </c>
      <c r="N61" t="str">
        <f>"(0.0954)"</f>
        <v>(0.0954)</v>
      </c>
      <c r="O61" t="str">
        <f>"(0.0886)"</f>
        <v>(0.0886)</v>
      </c>
      <c r="P61" t="str">
        <f>"(0.0357)"</f>
        <v>(0.0357)</v>
      </c>
      <c r="Q61" t="str">
        <f>""</f>
        <v/>
      </c>
      <c r="R61" t="str">
        <f>""</f>
        <v/>
      </c>
      <c r="S61" t="str">
        <f>""</f>
        <v/>
      </c>
      <c r="T61" t="str">
        <f>""</f>
        <v/>
      </c>
      <c r="U61" t="str">
        <f>""</f>
        <v/>
      </c>
      <c r="V61" t="str">
        <f>""</f>
        <v/>
      </c>
      <c r="W61" t="str">
        <f>""</f>
        <v/>
      </c>
      <c r="X61" t="str">
        <f>""</f>
        <v/>
      </c>
      <c r="Y61" t="str">
        <f>""</f>
        <v/>
      </c>
      <c r="Z61" t="str">
        <f>""</f>
        <v/>
      </c>
      <c r="AA61" t="str">
        <f>""</f>
        <v/>
      </c>
      <c r="AB61" t="str">
        <f>""</f>
        <v/>
      </c>
      <c r="AC61" t="str">
        <f>""</f>
        <v/>
      </c>
      <c r="AD61" t="str">
        <f>""</f>
        <v/>
      </c>
      <c r="AE61" t="str">
        <f>""</f>
        <v/>
      </c>
      <c r="AF61" t="str">
        <f>""</f>
        <v/>
      </c>
      <c r="AG61" t="str">
        <f>""</f>
        <v/>
      </c>
      <c r="AH61" t="str">
        <f>""</f>
        <v/>
      </c>
      <c r="AI61" t="str">
        <f>""</f>
        <v/>
      </c>
      <c r="AJ61" t="str">
        <f>""</f>
        <v/>
      </c>
      <c r="AK61" t="str">
        <f>""</f>
        <v/>
      </c>
      <c r="AL61" t="str">
        <f>""</f>
        <v/>
      </c>
      <c r="AM61" t="str">
        <f>""</f>
        <v/>
      </c>
      <c r="AN61" t="str">
        <f>""</f>
        <v/>
      </c>
      <c r="AO61" t="str">
        <f>""</f>
        <v/>
      </c>
      <c r="AP61" t="str">
        <f>""</f>
        <v/>
      </c>
      <c r="AQ61" t="str">
        <f>""</f>
        <v/>
      </c>
      <c r="AR61" t="str">
        <f>""</f>
        <v/>
      </c>
      <c r="AS61" t="str">
        <f>""</f>
        <v/>
      </c>
      <c r="AT61" t="str">
        <f>""</f>
        <v/>
      </c>
      <c r="AU61" t="str">
        <f>""</f>
        <v/>
      </c>
      <c r="AV61" t="str">
        <f>""</f>
        <v/>
      </c>
      <c r="AW61" t="str">
        <f>""</f>
        <v/>
      </c>
      <c r="AX61" t="str">
        <f>""</f>
        <v/>
      </c>
      <c r="AY61" t="str">
        <f>""</f>
        <v/>
      </c>
      <c r="AZ61" t="str">
        <f>""</f>
        <v/>
      </c>
      <c r="BA61" t="str">
        <f>""</f>
        <v/>
      </c>
      <c r="BB61" t="str">
        <f>""</f>
        <v/>
      </c>
      <c r="BC61" t="str">
        <f>""</f>
        <v/>
      </c>
      <c r="BD61" t="str">
        <f>""</f>
        <v/>
      </c>
      <c r="BE61" t="str">
        <f>""</f>
        <v/>
      </c>
      <c r="BF61" t="str">
        <f>""</f>
        <v/>
      </c>
      <c r="BG61" t="str">
        <f>"(0.0749)"</f>
        <v>(0.0749)</v>
      </c>
      <c r="BH61" t="str">
        <f>"(0.0851)"</f>
        <v>(0.0851)</v>
      </c>
      <c r="BI61" t="str">
        <f>"(0.0299)"</f>
        <v>(0.0299)</v>
      </c>
      <c r="BJ61" t="str">
        <f>""</f>
        <v/>
      </c>
      <c r="BK61" t="str">
        <f>""</f>
        <v/>
      </c>
      <c r="BL61" t="str">
        <f>""</f>
        <v/>
      </c>
      <c r="BM61" t="str">
        <f>""</f>
        <v/>
      </c>
      <c r="BN61" t="str">
        <f>""</f>
        <v/>
      </c>
      <c r="BO61" t="str">
        <f>""</f>
        <v/>
      </c>
      <c r="BP61" t="str">
        <f>""</f>
        <v/>
      </c>
      <c r="BQ61" t="str">
        <f>""</f>
        <v/>
      </c>
      <c r="BR61" t="str">
        <f>""</f>
        <v/>
      </c>
      <c r="BS61" t="str">
        <f>""</f>
        <v/>
      </c>
      <c r="BT61" t="str">
        <f>""</f>
        <v/>
      </c>
      <c r="BU61" t="str">
        <f>""</f>
        <v/>
      </c>
      <c r="BV61" t="str">
        <f>""</f>
        <v/>
      </c>
      <c r="BW61" t="str">
        <f>""</f>
        <v/>
      </c>
      <c r="BX61" t="str">
        <f>""</f>
        <v/>
      </c>
      <c r="BY61" t="str">
        <f>""</f>
        <v/>
      </c>
      <c r="BZ61" t="str">
        <f>""</f>
        <v/>
      </c>
      <c r="CA61" t="str">
        <f>""</f>
        <v/>
      </c>
      <c r="CB61" t="str">
        <f>""</f>
        <v/>
      </c>
      <c r="CC61" t="str">
        <f>""</f>
        <v/>
      </c>
      <c r="CD61" t="str">
        <f>""</f>
        <v/>
      </c>
      <c r="CE61" t="str">
        <f>""</f>
        <v/>
      </c>
      <c r="CF61" t="str">
        <f>""</f>
        <v/>
      </c>
      <c r="CG61" t="str">
        <f>""</f>
        <v/>
      </c>
      <c r="CH61" t="str">
        <f>""</f>
        <v/>
      </c>
      <c r="CI61" t="str">
        <f>""</f>
        <v/>
      </c>
      <c r="CJ61" t="str">
        <f>""</f>
        <v/>
      </c>
      <c r="CK61" t="str">
        <f>""</f>
        <v/>
      </c>
      <c r="CL61" t="str">
        <f>""</f>
        <v/>
      </c>
      <c r="CM61" t="str">
        <f>""</f>
        <v/>
      </c>
    </row>
    <row r="63" spans="1:91" x14ac:dyDescent="0.3">
      <c r="A63" t="str">
        <f>"c.zMETAB5#c.neflbr"</f>
        <v>c.zMETAB5#c.neflbr</v>
      </c>
      <c r="B63" t="str">
        <f>""</f>
        <v/>
      </c>
      <c r="C63" t="str">
        <f>""</f>
        <v/>
      </c>
      <c r="D63" t="str">
        <f>""</f>
        <v/>
      </c>
      <c r="E63" t="str">
        <f>""</f>
        <v/>
      </c>
      <c r="F63" t="str">
        <f>""</f>
        <v/>
      </c>
      <c r="G63" t="str">
        <f>""</f>
        <v/>
      </c>
      <c r="H63" t="str">
        <f>""</f>
        <v/>
      </c>
      <c r="I63" t="str">
        <f>""</f>
        <v/>
      </c>
      <c r="J63" t="str">
        <f>""</f>
        <v/>
      </c>
      <c r="K63" t="str">
        <f>""</f>
        <v/>
      </c>
      <c r="L63" t="str">
        <f>""</f>
        <v/>
      </c>
      <c r="M63" t="str">
        <f>""</f>
        <v/>
      </c>
      <c r="N63" t="str">
        <f>"-0.147"</f>
        <v>-0.147</v>
      </c>
      <c r="O63" t="str">
        <f>"-0.0830"</f>
        <v>-0.0830</v>
      </c>
      <c r="P63" t="str">
        <f>"-0.0779"</f>
        <v>-0.0779</v>
      </c>
      <c r="Q63" t="str">
        <f>""</f>
        <v/>
      </c>
      <c r="R63" t="str">
        <f>""</f>
        <v/>
      </c>
      <c r="S63" t="str">
        <f>""</f>
        <v/>
      </c>
      <c r="T63" t="str">
        <f>""</f>
        <v/>
      </c>
      <c r="U63" t="str">
        <f>""</f>
        <v/>
      </c>
      <c r="V63" t="str">
        <f>""</f>
        <v/>
      </c>
      <c r="W63" t="str">
        <f>""</f>
        <v/>
      </c>
      <c r="X63" t="str">
        <f>""</f>
        <v/>
      </c>
      <c r="Y63" t="str">
        <f>""</f>
        <v/>
      </c>
      <c r="Z63" t="str">
        <f>""</f>
        <v/>
      </c>
      <c r="AA63" t="str">
        <f>""</f>
        <v/>
      </c>
      <c r="AB63" t="str">
        <f>""</f>
        <v/>
      </c>
      <c r="AC63" t="str">
        <f>""</f>
        <v/>
      </c>
      <c r="AD63" t="str">
        <f>""</f>
        <v/>
      </c>
      <c r="AE63" t="str">
        <f>""</f>
        <v/>
      </c>
      <c r="AF63" t="str">
        <f>""</f>
        <v/>
      </c>
      <c r="AG63" t="str">
        <f>""</f>
        <v/>
      </c>
      <c r="AH63" t="str">
        <f>""</f>
        <v/>
      </c>
      <c r="AI63" t="str">
        <f>""</f>
        <v/>
      </c>
      <c r="AJ63" t="str">
        <f>""</f>
        <v/>
      </c>
      <c r="AK63" t="str">
        <f>""</f>
        <v/>
      </c>
      <c r="AL63" t="str">
        <f>""</f>
        <v/>
      </c>
      <c r="AM63" t="str">
        <f>""</f>
        <v/>
      </c>
      <c r="AN63" t="str">
        <f>""</f>
        <v/>
      </c>
      <c r="AO63" t="str">
        <f>""</f>
        <v/>
      </c>
      <c r="AP63" t="str">
        <f>""</f>
        <v/>
      </c>
      <c r="AQ63" t="str">
        <f>""</f>
        <v/>
      </c>
      <c r="AR63" t="str">
        <f>""</f>
        <v/>
      </c>
      <c r="AS63" t="str">
        <f>""</f>
        <v/>
      </c>
      <c r="AT63" t="str">
        <f>""</f>
        <v/>
      </c>
      <c r="AU63" t="str">
        <f>""</f>
        <v/>
      </c>
      <c r="AV63" t="str">
        <f>""</f>
        <v/>
      </c>
      <c r="AW63" t="str">
        <f>""</f>
        <v/>
      </c>
      <c r="AX63" t="str">
        <f>""</f>
        <v/>
      </c>
      <c r="AY63" t="str">
        <f>""</f>
        <v/>
      </c>
      <c r="AZ63" t="str">
        <f>""</f>
        <v/>
      </c>
      <c r="BA63" t="str">
        <f>""</f>
        <v/>
      </c>
      <c r="BB63" t="str">
        <f>""</f>
        <v/>
      </c>
      <c r="BC63" t="str">
        <f>""</f>
        <v/>
      </c>
      <c r="BD63" t="str">
        <f>""</f>
        <v/>
      </c>
      <c r="BE63" t="str">
        <f>""</f>
        <v/>
      </c>
      <c r="BF63" t="str">
        <f>""</f>
        <v/>
      </c>
      <c r="BG63" t="str">
        <f>""</f>
        <v/>
      </c>
      <c r="BH63" t="str">
        <f>""</f>
        <v/>
      </c>
      <c r="BI63" t="str">
        <f>""</f>
        <v/>
      </c>
      <c r="BJ63" t="str">
        <f>""</f>
        <v/>
      </c>
      <c r="BK63" t="str">
        <f>""</f>
        <v/>
      </c>
      <c r="BL63" t="str">
        <f>""</f>
        <v/>
      </c>
      <c r="BM63" t="str">
        <f>""</f>
        <v/>
      </c>
      <c r="BN63" t="str">
        <f>""</f>
        <v/>
      </c>
      <c r="BO63" t="str">
        <f>""</f>
        <v/>
      </c>
      <c r="BP63" t="str">
        <f>""</f>
        <v/>
      </c>
      <c r="BQ63" t="str">
        <f>""</f>
        <v/>
      </c>
      <c r="BR63" t="str">
        <f>""</f>
        <v/>
      </c>
      <c r="BS63" t="str">
        <f>""</f>
        <v/>
      </c>
      <c r="BT63" t="str">
        <f>""</f>
        <v/>
      </c>
      <c r="BU63" t="str">
        <f>""</f>
        <v/>
      </c>
      <c r="BV63" t="str">
        <f>""</f>
        <v/>
      </c>
      <c r="BW63" t="str">
        <f>""</f>
        <v/>
      </c>
      <c r="BX63" t="str">
        <f>""</f>
        <v/>
      </c>
      <c r="BY63" t="str">
        <f>""</f>
        <v/>
      </c>
      <c r="BZ63" t="str">
        <f>""</f>
        <v/>
      </c>
      <c r="CA63" t="str">
        <f>""</f>
        <v/>
      </c>
      <c r="CB63" t="str">
        <f>""</f>
        <v/>
      </c>
      <c r="CC63" t="str">
        <f>""</f>
        <v/>
      </c>
      <c r="CD63" t="str">
        <f>""</f>
        <v/>
      </c>
      <c r="CE63" t="str">
        <f>""</f>
        <v/>
      </c>
      <c r="CF63" t="str">
        <f>""</f>
        <v/>
      </c>
      <c r="CG63" t="str">
        <f>""</f>
        <v/>
      </c>
      <c r="CH63" t="str">
        <f>""</f>
        <v/>
      </c>
      <c r="CI63" t="str">
        <f>""</f>
        <v/>
      </c>
      <c r="CJ63" t="str">
        <f>""</f>
        <v/>
      </c>
      <c r="CK63" t="str">
        <f>""</f>
        <v/>
      </c>
      <c r="CL63" t="str">
        <f>""</f>
        <v/>
      </c>
      <c r="CM63" t="str">
        <f>""</f>
        <v/>
      </c>
    </row>
    <row r="64" spans="1:91" x14ac:dyDescent="0.3">
      <c r="A64" t="str">
        <f>""</f>
        <v/>
      </c>
      <c r="B64" t="str">
        <f>""</f>
        <v/>
      </c>
      <c r="C64" t="str">
        <f>""</f>
        <v/>
      </c>
      <c r="D64" t="str">
        <f>""</f>
        <v/>
      </c>
      <c r="E64" t="str">
        <f>""</f>
        <v/>
      </c>
      <c r="F64" t="str">
        <f>""</f>
        <v/>
      </c>
      <c r="G64" t="str">
        <f>""</f>
        <v/>
      </c>
      <c r="H64" t="str">
        <f>""</f>
        <v/>
      </c>
      <c r="I64" t="str">
        <f>""</f>
        <v/>
      </c>
      <c r="J64" t="str">
        <f>""</f>
        <v/>
      </c>
      <c r="K64" t="str">
        <f>""</f>
        <v/>
      </c>
      <c r="L64" t="str">
        <f>""</f>
        <v/>
      </c>
      <c r="M64" t="str">
        <f>""</f>
        <v/>
      </c>
      <c r="N64" t="str">
        <f>"(0.113)"</f>
        <v>(0.113)</v>
      </c>
      <c r="O64" t="str">
        <f>"(0.0993)"</f>
        <v>(0.0993)</v>
      </c>
      <c r="P64" t="str">
        <f>"(0.0436)"</f>
        <v>(0.0436)</v>
      </c>
      <c r="Q64" t="str">
        <f>""</f>
        <v/>
      </c>
      <c r="R64" t="str">
        <f>""</f>
        <v/>
      </c>
      <c r="S64" t="str">
        <f>""</f>
        <v/>
      </c>
      <c r="T64" t="str">
        <f>""</f>
        <v/>
      </c>
      <c r="U64" t="str">
        <f>""</f>
        <v/>
      </c>
      <c r="V64" t="str">
        <f>""</f>
        <v/>
      </c>
      <c r="W64" t="str">
        <f>""</f>
        <v/>
      </c>
      <c r="X64" t="str">
        <f>""</f>
        <v/>
      </c>
      <c r="Y64" t="str">
        <f>""</f>
        <v/>
      </c>
      <c r="Z64" t="str">
        <f>""</f>
        <v/>
      </c>
      <c r="AA64" t="str">
        <f>""</f>
        <v/>
      </c>
      <c r="AB64" t="str">
        <f>""</f>
        <v/>
      </c>
      <c r="AC64" t="str">
        <f>""</f>
        <v/>
      </c>
      <c r="AD64" t="str">
        <f>""</f>
        <v/>
      </c>
      <c r="AE64" t="str">
        <f>""</f>
        <v/>
      </c>
      <c r="AF64" t="str">
        <f>""</f>
        <v/>
      </c>
      <c r="AG64" t="str">
        <f>""</f>
        <v/>
      </c>
      <c r="AH64" t="str">
        <f>""</f>
        <v/>
      </c>
      <c r="AI64" t="str">
        <f>""</f>
        <v/>
      </c>
      <c r="AJ64" t="str">
        <f>""</f>
        <v/>
      </c>
      <c r="AK64" t="str">
        <f>""</f>
        <v/>
      </c>
      <c r="AL64" t="str">
        <f>""</f>
        <v/>
      </c>
      <c r="AM64" t="str">
        <f>""</f>
        <v/>
      </c>
      <c r="AN64" t="str">
        <f>""</f>
        <v/>
      </c>
      <c r="AO64" t="str">
        <f>""</f>
        <v/>
      </c>
      <c r="AP64" t="str">
        <f>""</f>
        <v/>
      </c>
      <c r="AQ64" t="str">
        <f>""</f>
        <v/>
      </c>
      <c r="AR64" t="str">
        <f>""</f>
        <v/>
      </c>
      <c r="AS64" t="str">
        <f>""</f>
        <v/>
      </c>
      <c r="AT64" t="str">
        <f>""</f>
        <v/>
      </c>
      <c r="AU64" t="str">
        <f>""</f>
        <v/>
      </c>
      <c r="AV64" t="str">
        <f>""</f>
        <v/>
      </c>
      <c r="AW64" t="str">
        <f>""</f>
        <v/>
      </c>
      <c r="AX64" t="str">
        <f>""</f>
        <v/>
      </c>
      <c r="AY64" t="str">
        <f>""</f>
        <v/>
      </c>
      <c r="AZ64" t="str">
        <f>""</f>
        <v/>
      </c>
      <c r="BA64" t="str">
        <f>""</f>
        <v/>
      </c>
      <c r="BB64" t="str">
        <f>""</f>
        <v/>
      </c>
      <c r="BC64" t="str">
        <f>""</f>
        <v/>
      </c>
      <c r="BD64" t="str">
        <f>""</f>
        <v/>
      </c>
      <c r="BE64" t="str">
        <f>""</f>
        <v/>
      </c>
      <c r="BF64" t="str">
        <f>""</f>
        <v/>
      </c>
      <c r="BG64" t="str">
        <f>""</f>
        <v/>
      </c>
      <c r="BH64" t="str">
        <f>""</f>
        <v/>
      </c>
      <c r="BI64" t="str">
        <f>""</f>
        <v/>
      </c>
      <c r="BJ64" t="str">
        <f>""</f>
        <v/>
      </c>
      <c r="BK64" t="str">
        <f>""</f>
        <v/>
      </c>
      <c r="BL64" t="str">
        <f>""</f>
        <v/>
      </c>
      <c r="BM64" t="str">
        <f>""</f>
        <v/>
      </c>
      <c r="BN64" t="str">
        <f>""</f>
        <v/>
      </c>
      <c r="BO64" t="str">
        <f>""</f>
        <v/>
      </c>
      <c r="BP64" t="str">
        <f>""</f>
        <v/>
      </c>
      <c r="BQ64" t="str">
        <f>""</f>
        <v/>
      </c>
      <c r="BR64" t="str">
        <f>""</f>
        <v/>
      </c>
      <c r="BS64" t="str">
        <f>""</f>
        <v/>
      </c>
      <c r="BT64" t="str">
        <f>""</f>
        <v/>
      </c>
      <c r="BU64" t="str">
        <f>""</f>
        <v/>
      </c>
      <c r="BV64" t="str">
        <f>""</f>
        <v/>
      </c>
      <c r="BW64" t="str">
        <f>""</f>
        <v/>
      </c>
      <c r="BX64" t="str">
        <f>""</f>
        <v/>
      </c>
      <c r="BY64" t="str">
        <f>""</f>
        <v/>
      </c>
      <c r="BZ64" t="str">
        <f>""</f>
        <v/>
      </c>
      <c r="CA64" t="str">
        <f>""</f>
        <v/>
      </c>
      <c r="CB64" t="str">
        <f>""</f>
        <v/>
      </c>
      <c r="CC64" t="str">
        <f>""</f>
        <v/>
      </c>
      <c r="CD64" t="str">
        <f>""</f>
        <v/>
      </c>
      <c r="CE64" t="str">
        <f>""</f>
        <v/>
      </c>
      <c r="CF64" t="str">
        <f>""</f>
        <v/>
      </c>
      <c r="CG64" t="str">
        <f>""</f>
        <v/>
      </c>
      <c r="CH64" t="str">
        <f>""</f>
        <v/>
      </c>
      <c r="CI64" t="str">
        <f>""</f>
        <v/>
      </c>
      <c r="CJ64" t="str">
        <f>""</f>
        <v/>
      </c>
      <c r="CK64" t="str">
        <f>""</f>
        <v/>
      </c>
      <c r="CL64" t="str">
        <f>""</f>
        <v/>
      </c>
      <c r="CM64" t="str">
        <f>""</f>
        <v/>
      </c>
    </row>
    <row r="66" spans="1:91" x14ac:dyDescent="0.3">
      <c r="A66" t="str">
        <f>"zMETAB6"</f>
        <v>zMETAB6</v>
      </c>
      <c r="B66" t="str">
        <f>""</f>
        <v/>
      </c>
      <c r="C66" t="str">
        <f>""</f>
        <v/>
      </c>
      <c r="D66" t="str">
        <f>""</f>
        <v/>
      </c>
      <c r="E66" t="str">
        <f>""</f>
        <v/>
      </c>
      <c r="F66" t="str">
        <f>""</f>
        <v/>
      </c>
      <c r="G66" t="str">
        <f>""</f>
        <v/>
      </c>
      <c r="H66" t="str">
        <f>""</f>
        <v/>
      </c>
      <c r="I66" t="str">
        <f>""</f>
        <v/>
      </c>
      <c r="J66" t="str">
        <f>""</f>
        <v/>
      </c>
      <c r="K66" t="str">
        <f>""</f>
        <v/>
      </c>
      <c r="L66" t="str">
        <f>""</f>
        <v/>
      </c>
      <c r="M66" t="str">
        <f>""</f>
        <v/>
      </c>
      <c r="N66" t="str">
        <f>""</f>
        <v/>
      </c>
      <c r="O66" t="str">
        <f>""</f>
        <v/>
      </c>
      <c r="P66" t="str">
        <f>""</f>
        <v/>
      </c>
      <c r="Q66" t="str">
        <f>"0.155"</f>
        <v>0.155</v>
      </c>
      <c r="R66" t="str">
        <f>"-0.0785"</f>
        <v>-0.0785</v>
      </c>
      <c r="S66" t="str">
        <f>"0.108**"</f>
        <v>0.108**</v>
      </c>
      <c r="T66" t="str">
        <f>""</f>
        <v/>
      </c>
      <c r="U66" t="str">
        <f>""</f>
        <v/>
      </c>
      <c r="V66" t="str">
        <f>""</f>
        <v/>
      </c>
      <c r="W66" t="str">
        <f>""</f>
        <v/>
      </c>
      <c r="X66" t="str">
        <f>""</f>
        <v/>
      </c>
      <c r="Y66" t="str">
        <f>""</f>
        <v/>
      </c>
      <c r="Z66" t="str">
        <f>""</f>
        <v/>
      </c>
      <c r="AA66" t="str">
        <f>""</f>
        <v/>
      </c>
      <c r="AB66" t="str">
        <f>""</f>
        <v/>
      </c>
      <c r="AC66" t="str">
        <f>""</f>
        <v/>
      </c>
      <c r="AD66" t="str">
        <f>""</f>
        <v/>
      </c>
      <c r="AE66" t="str">
        <f>""</f>
        <v/>
      </c>
      <c r="AF66" t="str">
        <f>""</f>
        <v/>
      </c>
      <c r="AG66" t="str">
        <f>""</f>
        <v/>
      </c>
      <c r="AH66" t="str">
        <f>""</f>
        <v/>
      </c>
      <c r="AI66" t="str">
        <f>""</f>
        <v/>
      </c>
      <c r="AJ66" t="str">
        <f>""</f>
        <v/>
      </c>
      <c r="AK66" t="str">
        <f>""</f>
        <v/>
      </c>
      <c r="AL66" t="str">
        <f>""</f>
        <v/>
      </c>
      <c r="AM66" t="str">
        <f>""</f>
        <v/>
      </c>
      <c r="AN66" t="str">
        <f>""</f>
        <v/>
      </c>
      <c r="AO66" t="str">
        <f>""</f>
        <v/>
      </c>
      <c r="AP66" t="str">
        <f>""</f>
        <v/>
      </c>
      <c r="AQ66" t="str">
        <f>""</f>
        <v/>
      </c>
      <c r="AR66" t="str">
        <f>""</f>
        <v/>
      </c>
      <c r="AS66" t="str">
        <f>""</f>
        <v/>
      </c>
      <c r="AT66" t="str">
        <f>""</f>
        <v/>
      </c>
      <c r="AU66" t="str">
        <f>""</f>
        <v/>
      </c>
      <c r="AV66" t="str">
        <f>""</f>
        <v/>
      </c>
      <c r="AW66" t="str">
        <f>""</f>
        <v/>
      </c>
      <c r="AX66" t="str">
        <f>""</f>
        <v/>
      </c>
      <c r="AY66" t="str">
        <f>""</f>
        <v/>
      </c>
      <c r="AZ66" t="str">
        <f>""</f>
        <v/>
      </c>
      <c r="BA66" t="str">
        <f>""</f>
        <v/>
      </c>
      <c r="BB66" t="str">
        <f>""</f>
        <v/>
      </c>
      <c r="BC66" t="str">
        <f>""</f>
        <v/>
      </c>
      <c r="BD66" t="str">
        <f>""</f>
        <v/>
      </c>
      <c r="BE66" t="str">
        <f>""</f>
        <v/>
      </c>
      <c r="BF66" t="str">
        <f>""</f>
        <v/>
      </c>
      <c r="BG66" t="str">
        <f>""</f>
        <v/>
      </c>
      <c r="BH66" t="str">
        <f>""</f>
        <v/>
      </c>
      <c r="BI66" t="str">
        <f>""</f>
        <v/>
      </c>
      <c r="BJ66" t="str">
        <f>"0.191*"</f>
        <v>0.191*</v>
      </c>
      <c r="BK66" t="str">
        <f>"-0.174"</f>
        <v>-0.174</v>
      </c>
      <c r="BL66" t="str">
        <f>"0.0895**"</f>
        <v>0.0895**</v>
      </c>
      <c r="BM66" t="str">
        <f>""</f>
        <v/>
      </c>
      <c r="BN66" t="str">
        <f>""</f>
        <v/>
      </c>
      <c r="BO66" t="str">
        <f>""</f>
        <v/>
      </c>
      <c r="BP66" t="str">
        <f>""</f>
        <v/>
      </c>
      <c r="BQ66" t="str">
        <f>""</f>
        <v/>
      </c>
      <c r="BR66" t="str">
        <f>""</f>
        <v/>
      </c>
      <c r="BS66" t="str">
        <f>""</f>
        <v/>
      </c>
      <c r="BT66" t="str">
        <f>""</f>
        <v/>
      </c>
      <c r="BU66" t="str">
        <f>""</f>
        <v/>
      </c>
      <c r="BV66" t="str">
        <f>""</f>
        <v/>
      </c>
      <c r="BW66" t="str">
        <f>""</f>
        <v/>
      </c>
      <c r="BX66" t="str">
        <f>""</f>
        <v/>
      </c>
      <c r="BY66" t="str">
        <f>""</f>
        <v/>
      </c>
      <c r="BZ66" t="str">
        <f>""</f>
        <v/>
      </c>
      <c r="CA66" t="str">
        <f>""</f>
        <v/>
      </c>
      <c r="CB66" t="str">
        <f>""</f>
        <v/>
      </c>
      <c r="CC66" t="str">
        <f>""</f>
        <v/>
      </c>
      <c r="CD66" t="str">
        <f>""</f>
        <v/>
      </c>
      <c r="CE66" t="str">
        <f>""</f>
        <v/>
      </c>
      <c r="CF66" t="str">
        <f>""</f>
        <v/>
      </c>
      <c r="CG66" t="str">
        <f>""</f>
        <v/>
      </c>
      <c r="CH66" t="str">
        <f>""</f>
        <v/>
      </c>
      <c r="CI66" t="str">
        <f>""</f>
        <v/>
      </c>
      <c r="CJ66" t="str">
        <f>""</f>
        <v/>
      </c>
      <c r="CK66" t="str">
        <f>""</f>
        <v/>
      </c>
      <c r="CL66" t="str">
        <f>""</f>
        <v/>
      </c>
      <c r="CM66" t="str">
        <f>""</f>
        <v/>
      </c>
    </row>
    <row r="67" spans="1:91" x14ac:dyDescent="0.3">
      <c r="A67" t="str">
        <f>""</f>
        <v/>
      </c>
      <c r="B67" t="str">
        <f>""</f>
        <v/>
      </c>
      <c r="C67" t="str">
        <f>""</f>
        <v/>
      </c>
      <c r="D67" t="str">
        <f>""</f>
        <v/>
      </c>
      <c r="E67" t="str">
        <f>""</f>
        <v/>
      </c>
      <c r="F67" t="str">
        <f>""</f>
        <v/>
      </c>
      <c r="G67" t="str">
        <f>""</f>
        <v/>
      </c>
      <c r="H67" t="str">
        <f>""</f>
        <v/>
      </c>
      <c r="I67" t="str">
        <f>""</f>
        <v/>
      </c>
      <c r="J67" t="str">
        <f>""</f>
        <v/>
      </c>
      <c r="K67" t="str">
        <f>""</f>
        <v/>
      </c>
      <c r="L67" t="str">
        <f>""</f>
        <v/>
      </c>
      <c r="M67" t="str">
        <f>""</f>
        <v/>
      </c>
      <c r="N67" t="str">
        <f>""</f>
        <v/>
      </c>
      <c r="O67" t="str">
        <f>""</f>
        <v/>
      </c>
      <c r="P67" t="str">
        <f>""</f>
        <v/>
      </c>
      <c r="Q67" t="str">
        <f>"(0.0951)"</f>
        <v>(0.0951)</v>
      </c>
      <c r="R67" t="str">
        <f>"(0.0884)"</f>
        <v>(0.0884)</v>
      </c>
      <c r="S67" t="str">
        <f>"(0.0384)"</f>
        <v>(0.0384)</v>
      </c>
      <c r="T67" t="str">
        <f>""</f>
        <v/>
      </c>
      <c r="U67" t="str">
        <f>""</f>
        <v/>
      </c>
      <c r="V67" t="str">
        <f>""</f>
        <v/>
      </c>
      <c r="W67" t="str">
        <f>""</f>
        <v/>
      </c>
      <c r="X67" t="str">
        <f>""</f>
        <v/>
      </c>
      <c r="Y67" t="str">
        <f>""</f>
        <v/>
      </c>
      <c r="Z67" t="str">
        <f>""</f>
        <v/>
      </c>
      <c r="AA67" t="str">
        <f>""</f>
        <v/>
      </c>
      <c r="AB67" t="str">
        <f>""</f>
        <v/>
      </c>
      <c r="AC67" t="str">
        <f>""</f>
        <v/>
      </c>
      <c r="AD67" t="str">
        <f>""</f>
        <v/>
      </c>
      <c r="AE67" t="str">
        <f>""</f>
        <v/>
      </c>
      <c r="AF67" t="str">
        <f>""</f>
        <v/>
      </c>
      <c r="AG67" t="str">
        <f>""</f>
        <v/>
      </c>
      <c r="AH67" t="str">
        <f>""</f>
        <v/>
      </c>
      <c r="AI67" t="str">
        <f>""</f>
        <v/>
      </c>
      <c r="AJ67" t="str">
        <f>""</f>
        <v/>
      </c>
      <c r="AK67" t="str">
        <f>""</f>
        <v/>
      </c>
      <c r="AL67" t="str">
        <f>""</f>
        <v/>
      </c>
      <c r="AM67" t="str">
        <f>""</f>
        <v/>
      </c>
      <c r="AN67" t="str">
        <f>""</f>
        <v/>
      </c>
      <c r="AO67" t="str">
        <f>""</f>
        <v/>
      </c>
      <c r="AP67" t="str">
        <f>""</f>
        <v/>
      </c>
      <c r="AQ67" t="str">
        <f>""</f>
        <v/>
      </c>
      <c r="AR67" t="str">
        <f>""</f>
        <v/>
      </c>
      <c r="AS67" t="str">
        <f>""</f>
        <v/>
      </c>
      <c r="AT67" t="str">
        <f>""</f>
        <v/>
      </c>
      <c r="AU67" t="str">
        <f>""</f>
        <v/>
      </c>
      <c r="AV67" t="str">
        <f>""</f>
        <v/>
      </c>
      <c r="AW67" t="str">
        <f>""</f>
        <v/>
      </c>
      <c r="AX67" t="str">
        <f>""</f>
        <v/>
      </c>
      <c r="AY67" t="str">
        <f>""</f>
        <v/>
      </c>
      <c r="AZ67" t="str">
        <f>""</f>
        <v/>
      </c>
      <c r="BA67" t="str">
        <f>""</f>
        <v/>
      </c>
      <c r="BB67" t="str">
        <f>""</f>
        <v/>
      </c>
      <c r="BC67" t="str">
        <f>""</f>
        <v/>
      </c>
      <c r="BD67" t="str">
        <f>""</f>
        <v/>
      </c>
      <c r="BE67" t="str">
        <f>""</f>
        <v/>
      </c>
      <c r="BF67" t="str">
        <f>""</f>
        <v/>
      </c>
      <c r="BG67" t="str">
        <f>""</f>
        <v/>
      </c>
      <c r="BH67" t="str">
        <f>""</f>
        <v/>
      </c>
      <c r="BI67" t="str">
        <f>""</f>
        <v/>
      </c>
      <c r="BJ67" t="str">
        <f>"(0.0777)"</f>
        <v>(0.0777)</v>
      </c>
      <c r="BK67" t="str">
        <f>"(0.0901)"</f>
        <v>(0.0901)</v>
      </c>
      <c r="BL67" t="str">
        <f>"(0.0326)"</f>
        <v>(0.0326)</v>
      </c>
      <c r="BM67" t="str">
        <f>""</f>
        <v/>
      </c>
      <c r="BN67" t="str">
        <f>""</f>
        <v/>
      </c>
      <c r="BO67" t="str">
        <f>""</f>
        <v/>
      </c>
      <c r="BP67" t="str">
        <f>""</f>
        <v/>
      </c>
      <c r="BQ67" t="str">
        <f>""</f>
        <v/>
      </c>
      <c r="BR67" t="str">
        <f>""</f>
        <v/>
      </c>
      <c r="BS67" t="str">
        <f>""</f>
        <v/>
      </c>
      <c r="BT67" t="str">
        <f>""</f>
        <v/>
      </c>
      <c r="BU67" t="str">
        <f>""</f>
        <v/>
      </c>
      <c r="BV67" t="str">
        <f>""</f>
        <v/>
      </c>
      <c r="BW67" t="str">
        <f>""</f>
        <v/>
      </c>
      <c r="BX67" t="str">
        <f>""</f>
        <v/>
      </c>
      <c r="BY67" t="str">
        <f>""</f>
        <v/>
      </c>
      <c r="BZ67" t="str">
        <f>""</f>
        <v/>
      </c>
      <c r="CA67" t="str">
        <f>""</f>
        <v/>
      </c>
      <c r="CB67" t="str">
        <f>""</f>
        <v/>
      </c>
      <c r="CC67" t="str">
        <f>""</f>
        <v/>
      </c>
      <c r="CD67" t="str">
        <f>""</f>
        <v/>
      </c>
      <c r="CE67" t="str">
        <f>""</f>
        <v/>
      </c>
      <c r="CF67" t="str">
        <f>""</f>
        <v/>
      </c>
      <c r="CG67" t="str">
        <f>""</f>
        <v/>
      </c>
      <c r="CH67" t="str">
        <f>""</f>
        <v/>
      </c>
      <c r="CI67" t="str">
        <f>""</f>
        <v/>
      </c>
      <c r="CJ67" t="str">
        <f>""</f>
        <v/>
      </c>
      <c r="CK67" t="str">
        <f>""</f>
        <v/>
      </c>
      <c r="CL67" t="str">
        <f>""</f>
        <v/>
      </c>
      <c r="CM67" t="str">
        <f>""</f>
        <v/>
      </c>
    </row>
    <row r="69" spans="1:91" x14ac:dyDescent="0.3">
      <c r="A69" t="str">
        <f>"c.zMETAB6#c.neflbr"</f>
        <v>c.zMETAB6#c.neflbr</v>
      </c>
      <c r="B69" t="str">
        <f>""</f>
        <v/>
      </c>
      <c r="C69" t="str">
        <f>""</f>
        <v/>
      </c>
      <c r="D69" t="str">
        <f>""</f>
        <v/>
      </c>
      <c r="E69" t="str">
        <f>""</f>
        <v/>
      </c>
      <c r="F69" t="str">
        <f>""</f>
        <v/>
      </c>
      <c r="G69" t="str">
        <f>""</f>
        <v/>
      </c>
      <c r="H69" t="str">
        <f>""</f>
        <v/>
      </c>
      <c r="I69" t="str">
        <f>""</f>
        <v/>
      </c>
      <c r="J69" t="str">
        <f>""</f>
        <v/>
      </c>
      <c r="K69" t="str">
        <f>""</f>
        <v/>
      </c>
      <c r="L69" t="str">
        <f>""</f>
        <v/>
      </c>
      <c r="M69" t="str">
        <f>""</f>
        <v/>
      </c>
      <c r="N69" t="str">
        <f>""</f>
        <v/>
      </c>
      <c r="O69" t="str">
        <f>""</f>
        <v/>
      </c>
      <c r="P69" t="str">
        <f>""</f>
        <v/>
      </c>
      <c r="Q69" t="str">
        <f>"-0.0369"</f>
        <v>-0.0369</v>
      </c>
      <c r="R69" t="str">
        <f>"0.156"</f>
        <v>0.156</v>
      </c>
      <c r="S69" t="str">
        <f>"-0.0942*"</f>
        <v>-0.0942*</v>
      </c>
      <c r="T69" t="str">
        <f>""</f>
        <v/>
      </c>
      <c r="U69" t="str">
        <f>""</f>
        <v/>
      </c>
      <c r="V69" t="str">
        <f>""</f>
        <v/>
      </c>
      <c r="W69" t="str">
        <f>""</f>
        <v/>
      </c>
      <c r="X69" t="str">
        <f>""</f>
        <v/>
      </c>
      <c r="Y69" t="str">
        <f>""</f>
        <v/>
      </c>
      <c r="Z69" t="str">
        <f>""</f>
        <v/>
      </c>
      <c r="AA69" t="str">
        <f>""</f>
        <v/>
      </c>
      <c r="AB69" t="str">
        <f>""</f>
        <v/>
      </c>
      <c r="AC69" t="str">
        <f>""</f>
        <v/>
      </c>
      <c r="AD69" t="str">
        <f>""</f>
        <v/>
      </c>
      <c r="AE69" t="str">
        <f>""</f>
        <v/>
      </c>
      <c r="AF69" t="str">
        <f>""</f>
        <v/>
      </c>
      <c r="AG69" t="str">
        <f>""</f>
        <v/>
      </c>
      <c r="AH69" t="str">
        <f>""</f>
        <v/>
      </c>
      <c r="AI69" t="str">
        <f>""</f>
        <v/>
      </c>
      <c r="AJ69" t="str">
        <f>""</f>
        <v/>
      </c>
      <c r="AK69" t="str">
        <f>""</f>
        <v/>
      </c>
      <c r="AL69" t="str">
        <f>""</f>
        <v/>
      </c>
      <c r="AM69" t="str">
        <f>""</f>
        <v/>
      </c>
      <c r="AN69" t="str">
        <f>""</f>
        <v/>
      </c>
      <c r="AO69" t="str">
        <f>""</f>
        <v/>
      </c>
      <c r="AP69" t="str">
        <f>""</f>
        <v/>
      </c>
      <c r="AQ69" t="str">
        <f>""</f>
        <v/>
      </c>
      <c r="AR69" t="str">
        <f>""</f>
        <v/>
      </c>
      <c r="AS69" t="str">
        <f>""</f>
        <v/>
      </c>
      <c r="AT69" t="str">
        <f>""</f>
        <v/>
      </c>
      <c r="AU69" t="str">
        <f>""</f>
        <v/>
      </c>
      <c r="AV69" t="str">
        <f>""</f>
        <v/>
      </c>
      <c r="AW69" t="str">
        <f>""</f>
        <v/>
      </c>
      <c r="AX69" t="str">
        <f>""</f>
        <v/>
      </c>
      <c r="AY69" t="str">
        <f>""</f>
        <v/>
      </c>
      <c r="AZ69" t="str">
        <f>""</f>
        <v/>
      </c>
      <c r="BA69" t="str">
        <f>""</f>
        <v/>
      </c>
      <c r="BB69" t="str">
        <f>""</f>
        <v/>
      </c>
      <c r="BC69" t="str">
        <f>""</f>
        <v/>
      </c>
      <c r="BD69" t="str">
        <f>""</f>
        <v/>
      </c>
      <c r="BE69" t="str">
        <f>""</f>
        <v/>
      </c>
      <c r="BF69" t="str">
        <f>""</f>
        <v/>
      </c>
      <c r="BG69" t="str">
        <f>""</f>
        <v/>
      </c>
      <c r="BH69" t="str">
        <f>""</f>
        <v/>
      </c>
      <c r="BI69" t="str">
        <f>""</f>
        <v/>
      </c>
      <c r="BJ69" t="str">
        <f>""</f>
        <v/>
      </c>
      <c r="BK69" t="str">
        <f>""</f>
        <v/>
      </c>
      <c r="BL69" t="str">
        <f>""</f>
        <v/>
      </c>
      <c r="BM69" t="str">
        <f>""</f>
        <v/>
      </c>
      <c r="BN69" t="str">
        <f>""</f>
        <v/>
      </c>
      <c r="BO69" t="str">
        <f>""</f>
        <v/>
      </c>
      <c r="BP69" t="str">
        <f>""</f>
        <v/>
      </c>
      <c r="BQ69" t="str">
        <f>""</f>
        <v/>
      </c>
      <c r="BR69" t="str">
        <f>""</f>
        <v/>
      </c>
      <c r="BS69" t="str">
        <f>""</f>
        <v/>
      </c>
      <c r="BT69" t="str">
        <f>""</f>
        <v/>
      </c>
      <c r="BU69" t="str">
        <f>""</f>
        <v/>
      </c>
      <c r="BV69" t="str">
        <f>""</f>
        <v/>
      </c>
      <c r="BW69" t="str">
        <f>""</f>
        <v/>
      </c>
      <c r="BX69" t="str">
        <f>""</f>
        <v/>
      </c>
      <c r="BY69" t="str">
        <f>""</f>
        <v/>
      </c>
      <c r="BZ69" t="str">
        <f>""</f>
        <v/>
      </c>
      <c r="CA69" t="str">
        <f>""</f>
        <v/>
      </c>
      <c r="CB69" t="str">
        <f>""</f>
        <v/>
      </c>
      <c r="CC69" t="str">
        <f>""</f>
        <v/>
      </c>
      <c r="CD69" t="str">
        <f>""</f>
        <v/>
      </c>
      <c r="CE69" t="str">
        <f>""</f>
        <v/>
      </c>
      <c r="CF69" t="str">
        <f>""</f>
        <v/>
      </c>
      <c r="CG69" t="str">
        <f>""</f>
        <v/>
      </c>
      <c r="CH69" t="str">
        <f>""</f>
        <v/>
      </c>
      <c r="CI69" t="str">
        <f>""</f>
        <v/>
      </c>
      <c r="CJ69" t="str">
        <f>""</f>
        <v/>
      </c>
      <c r="CK69" t="str">
        <f>""</f>
        <v/>
      </c>
      <c r="CL69" t="str">
        <f>""</f>
        <v/>
      </c>
      <c r="CM69" t="str">
        <f>""</f>
        <v/>
      </c>
    </row>
    <row r="70" spans="1:91" x14ac:dyDescent="0.3">
      <c r="A70" t="str">
        <f>""</f>
        <v/>
      </c>
      <c r="B70" t="str">
        <f>""</f>
        <v/>
      </c>
      <c r="C70" t="str">
        <f>""</f>
        <v/>
      </c>
      <c r="D70" t="str">
        <f>""</f>
        <v/>
      </c>
      <c r="E70" t="str">
        <f>""</f>
        <v/>
      </c>
      <c r="F70" t="str">
        <f>""</f>
        <v/>
      </c>
      <c r="G70" t="str">
        <f>""</f>
        <v/>
      </c>
      <c r="H70" t="str">
        <f>""</f>
        <v/>
      </c>
      <c r="I70" t="str">
        <f>""</f>
        <v/>
      </c>
      <c r="J70" t="str">
        <f>""</f>
        <v/>
      </c>
      <c r="K70" t="str">
        <f>""</f>
        <v/>
      </c>
      <c r="L70" t="str">
        <f>""</f>
        <v/>
      </c>
      <c r="M70" t="str">
        <f>""</f>
        <v/>
      </c>
      <c r="N70" t="str">
        <f>""</f>
        <v/>
      </c>
      <c r="O70" t="str">
        <f>""</f>
        <v/>
      </c>
      <c r="P70" t="str">
        <f>""</f>
        <v/>
      </c>
      <c r="Q70" t="str">
        <f>"(0.112)"</f>
        <v>(0.112)</v>
      </c>
      <c r="R70" t="str">
        <f>"(0.0984)"</f>
        <v>(0.0984)</v>
      </c>
      <c r="S70" t="str">
        <f>"(0.0461)"</f>
        <v>(0.0461)</v>
      </c>
      <c r="T70" t="str">
        <f>""</f>
        <v/>
      </c>
      <c r="U70" t="str">
        <f>""</f>
        <v/>
      </c>
      <c r="V70" t="str">
        <f>""</f>
        <v/>
      </c>
      <c r="W70" t="str">
        <f>""</f>
        <v/>
      </c>
      <c r="X70" t="str">
        <f>""</f>
        <v/>
      </c>
      <c r="Y70" t="str">
        <f>""</f>
        <v/>
      </c>
      <c r="Z70" t="str">
        <f>""</f>
        <v/>
      </c>
      <c r="AA70" t="str">
        <f>""</f>
        <v/>
      </c>
      <c r="AB70" t="str">
        <f>""</f>
        <v/>
      </c>
      <c r="AC70" t="str">
        <f>""</f>
        <v/>
      </c>
      <c r="AD70" t="str">
        <f>""</f>
        <v/>
      </c>
      <c r="AE70" t="str">
        <f>""</f>
        <v/>
      </c>
      <c r="AF70" t="str">
        <f>""</f>
        <v/>
      </c>
      <c r="AG70" t="str">
        <f>""</f>
        <v/>
      </c>
      <c r="AH70" t="str">
        <f>""</f>
        <v/>
      </c>
      <c r="AI70" t="str">
        <f>""</f>
        <v/>
      </c>
      <c r="AJ70" t="str">
        <f>""</f>
        <v/>
      </c>
      <c r="AK70" t="str">
        <f>""</f>
        <v/>
      </c>
      <c r="AL70" t="str">
        <f>""</f>
        <v/>
      </c>
      <c r="AM70" t="str">
        <f>""</f>
        <v/>
      </c>
      <c r="AN70" t="str">
        <f>""</f>
        <v/>
      </c>
      <c r="AO70" t="str">
        <f>""</f>
        <v/>
      </c>
      <c r="AP70" t="str">
        <f>""</f>
        <v/>
      </c>
      <c r="AQ70" t="str">
        <f>""</f>
        <v/>
      </c>
      <c r="AR70" t="str">
        <f>""</f>
        <v/>
      </c>
      <c r="AS70" t="str">
        <f>""</f>
        <v/>
      </c>
      <c r="AT70" t="str">
        <f>""</f>
        <v/>
      </c>
      <c r="AU70" t="str">
        <f>""</f>
        <v/>
      </c>
      <c r="AV70" t="str">
        <f>""</f>
        <v/>
      </c>
      <c r="AW70" t="str">
        <f>""</f>
        <v/>
      </c>
      <c r="AX70" t="str">
        <f>""</f>
        <v/>
      </c>
      <c r="AY70" t="str">
        <f>""</f>
        <v/>
      </c>
      <c r="AZ70" t="str">
        <f>""</f>
        <v/>
      </c>
      <c r="BA70" t="str">
        <f>""</f>
        <v/>
      </c>
      <c r="BB70" t="str">
        <f>""</f>
        <v/>
      </c>
      <c r="BC70" t="str">
        <f>""</f>
        <v/>
      </c>
      <c r="BD70" t="str">
        <f>""</f>
        <v/>
      </c>
      <c r="BE70" t="str">
        <f>""</f>
        <v/>
      </c>
      <c r="BF70" t="str">
        <f>""</f>
        <v/>
      </c>
      <c r="BG70" t="str">
        <f>""</f>
        <v/>
      </c>
      <c r="BH70" t="str">
        <f>""</f>
        <v/>
      </c>
      <c r="BI70" t="str">
        <f>""</f>
        <v/>
      </c>
      <c r="BJ70" t="str">
        <f>""</f>
        <v/>
      </c>
      <c r="BK70" t="str">
        <f>""</f>
        <v/>
      </c>
      <c r="BL70" t="str">
        <f>""</f>
        <v/>
      </c>
      <c r="BM70" t="str">
        <f>""</f>
        <v/>
      </c>
      <c r="BN70" t="str">
        <f>""</f>
        <v/>
      </c>
      <c r="BO70" t="str">
        <f>""</f>
        <v/>
      </c>
      <c r="BP70" t="str">
        <f>""</f>
        <v/>
      </c>
      <c r="BQ70" t="str">
        <f>""</f>
        <v/>
      </c>
      <c r="BR70" t="str">
        <f>""</f>
        <v/>
      </c>
      <c r="BS70" t="str">
        <f>""</f>
        <v/>
      </c>
      <c r="BT70" t="str">
        <f>""</f>
        <v/>
      </c>
      <c r="BU70" t="str">
        <f>""</f>
        <v/>
      </c>
      <c r="BV70" t="str">
        <f>""</f>
        <v/>
      </c>
      <c r="BW70" t="str">
        <f>""</f>
        <v/>
      </c>
      <c r="BX70" t="str">
        <f>""</f>
        <v/>
      </c>
      <c r="BY70" t="str">
        <f>""</f>
        <v/>
      </c>
      <c r="BZ70" t="str">
        <f>""</f>
        <v/>
      </c>
      <c r="CA70" t="str">
        <f>""</f>
        <v/>
      </c>
      <c r="CB70" t="str">
        <f>""</f>
        <v/>
      </c>
      <c r="CC70" t="str">
        <f>""</f>
        <v/>
      </c>
      <c r="CD70" t="str">
        <f>""</f>
        <v/>
      </c>
      <c r="CE70" t="str">
        <f>""</f>
        <v/>
      </c>
      <c r="CF70" t="str">
        <f>""</f>
        <v/>
      </c>
      <c r="CG70" t="str">
        <f>""</f>
        <v/>
      </c>
      <c r="CH70" t="str">
        <f>""</f>
        <v/>
      </c>
      <c r="CI70" t="str">
        <f>""</f>
        <v/>
      </c>
      <c r="CJ70" t="str">
        <f>""</f>
        <v/>
      </c>
      <c r="CK70" t="str">
        <f>""</f>
        <v/>
      </c>
      <c r="CL70" t="str">
        <f>""</f>
        <v/>
      </c>
      <c r="CM70" t="str">
        <f>""</f>
        <v/>
      </c>
    </row>
    <row r="72" spans="1:91" x14ac:dyDescent="0.3">
      <c r="A72" t="str">
        <f>"zMETAB7"</f>
        <v>zMETAB7</v>
      </c>
      <c r="B72" t="str">
        <f>""</f>
        <v/>
      </c>
      <c r="C72" t="str">
        <f>""</f>
        <v/>
      </c>
      <c r="D72" t="str">
        <f>""</f>
        <v/>
      </c>
      <c r="E72" t="str">
        <f>""</f>
        <v/>
      </c>
      <c r="F72" t="str">
        <f>""</f>
        <v/>
      </c>
      <c r="G72" t="str">
        <f>""</f>
        <v/>
      </c>
      <c r="H72" t="str">
        <f>""</f>
        <v/>
      </c>
      <c r="I72" t="str">
        <f>""</f>
        <v/>
      </c>
      <c r="J72" t="str">
        <f>""</f>
        <v/>
      </c>
      <c r="K72" t="str">
        <f>""</f>
        <v/>
      </c>
      <c r="L72" t="str">
        <f>""</f>
        <v/>
      </c>
      <c r="M72" t="str">
        <f>""</f>
        <v/>
      </c>
      <c r="N72" t="str">
        <f>""</f>
        <v/>
      </c>
      <c r="O72" t="str">
        <f>""</f>
        <v/>
      </c>
      <c r="P72" t="str">
        <f>""</f>
        <v/>
      </c>
      <c r="Q72" t="str">
        <f>""</f>
        <v/>
      </c>
      <c r="R72" t="str">
        <f>""</f>
        <v/>
      </c>
      <c r="S72" t="str">
        <f>""</f>
        <v/>
      </c>
      <c r="T72" t="str">
        <f>"0.0109"</f>
        <v>0.0109</v>
      </c>
      <c r="U72" t="str">
        <f>"-0.0521"</f>
        <v>-0.0521</v>
      </c>
      <c r="V72" t="str">
        <f>"-0.134***"</f>
        <v>-0.134***</v>
      </c>
      <c r="W72" t="str">
        <f>""</f>
        <v/>
      </c>
      <c r="X72" t="str">
        <f>""</f>
        <v/>
      </c>
      <c r="Y72" t="str">
        <f>""</f>
        <v/>
      </c>
      <c r="Z72" t="str">
        <f>""</f>
        <v/>
      </c>
      <c r="AA72" t="str">
        <f>""</f>
        <v/>
      </c>
      <c r="AB72" t="str">
        <f>""</f>
        <v/>
      </c>
      <c r="AC72" t="str">
        <f>""</f>
        <v/>
      </c>
      <c r="AD72" t="str">
        <f>""</f>
        <v/>
      </c>
      <c r="AE72" t="str">
        <f>""</f>
        <v/>
      </c>
      <c r="AF72" t="str">
        <f>""</f>
        <v/>
      </c>
      <c r="AG72" t="str">
        <f>""</f>
        <v/>
      </c>
      <c r="AH72" t="str">
        <f>""</f>
        <v/>
      </c>
      <c r="AI72" t="str">
        <f>""</f>
        <v/>
      </c>
      <c r="AJ72" t="str">
        <f>""</f>
        <v/>
      </c>
      <c r="AK72" t="str">
        <f>""</f>
        <v/>
      </c>
      <c r="AL72" t="str">
        <f>""</f>
        <v/>
      </c>
      <c r="AM72" t="str">
        <f>""</f>
        <v/>
      </c>
      <c r="AN72" t="str">
        <f>""</f>
        <v/>
      </c>
      <c r="AO72" t="str">
        <f>""</f>
        <v/>
      </c>
      <c r="AP72" t="str">
        <f>""</f>
        <v/>
      </c>
      <c r="AQ72" t="str">
        <f>""</f>
        <v/>
      </c>
      <c r="AR72" t="str">
        <f>""</f>
        <v/>
      </c>
      <c r="AS72" t="str">
        <f>""</f>
        <v/>
      </c>
      <c r="AT72" t="str">
        <f>""</f>
        <v/>
      </c>
      <c r="AU72" t="str">
        <f>""</f>
        <v/>
      </c>
      <c r="AV72" t="str">
        <f>""</f>
        <v/>
      </c>
      <c r="AW72" t="str">
        <f>""</f>
        <v/>
      </c>
      <c r="AX72" t="str">
        <f>""</f>
        <v/>
      </c>
      <c r="AY72" t="str">
        <f>""</f>
        <v/>
      </c>
      <c r="AZ72" t="str">
        <f>""</f>
        <v/>
      </c>
      <c r="BA72" t="str">
        <f>""</f>
        <v/>
      </c>
      <c r="BB72" t="str">
        <f>""</f>
        <v/>
      </c>
      <c r="BC72" t="str">
        <f>""</f>
        <v/>
      </c>
      <c r="BD72" t="str">
        <f>""</f>
        <v/>
      </c>
      <c r="BE72" t="str">
        <f>""</f>
        <v/>
      </c>
      <c r="BF72" t="str">
        <f>""</f>
        <v/>
      </c>
      <c r="BG72" t="str">
        <f>""</f>
        <v/>
      </c>
      <c r="BH72" t="str">
        <f>""</f>
        <v/>
      </c>
      <c r="BI72" t="str">
        <f>""</f>
        <v/>
      </c>
      <c r="BJ72" t="str">
        <f>""</f>
        <v/>
      </c>
      <c r="BK72" t="str">
        <f>""</f>
        <v/>
      </c>
      <c r="BL72" t="str">
        <f>""</f>
        <v/>
      </c>
      <c r="BM72" t="str">
        <f>"-0.0800"</f>
        <v>-0.0800</v>
      </c>
      <c r="BN72" t="str">
        <f>"-0.0737"</f>
        <v>-0.0737</v>
      </c>
      <c r="BO72" t="str">
        <f>"-0.180***"</f>
        <v>-0.180***</v>
      </c>
      <c r="BP72" t="str">
        <f>""</f>
        <v/>
      </c>
      <c r="BQ72" t="str">
        <f>""</f>
        <v/>
      </c>
      <c r="BR72" t="str">
        <f>""</f>
        <v/>
      </c>
      <c r="BS72" t="str">
        <f>""</f>
        <v/>
      </c>
      <c r="BT72" t="str">
        <f>""</f>
        <v/>
      </c>
      <c r="BU72" t="str">
        <f>""</f>
        <v/>
      </c>
      <c r="BV72" t="str">
        <f>""</f>
        <v/>
      </c>
      <c r="BW72" t="str">
        <f>""</f>
        <v/>
      </c>
      <c r="BX72" t="str">
        <f>""</f>
        <v/>
      </c>
      <c r="BY72" t="str">
        <f>""</f>
        <v/>
      </c>
      <c r="BZ72" t="str">
        <f>""</f>
        <v/>
      </c>
      <c r="CA72" t="str">
        <f>""</f>
        <v/>
      </c>
      <c r="CB72" t="str">
        <f>""</f>
        <v/>
      </c>
      <c r="CC72" t="str">
        <f>""</f>
        <v/>
      </c>
      <c r="CD72" t="str">
        <f>""</f>
        <v/>
      </c>
      <c r="CE72" t="str">
        <f>""</f>
        <v/>
      </c>
      <c r="CF72" t="str">
        <f>""</f>
        <v/>
      </c>
      <c r="CG72" t="str">
        <f>""</f>
        <v/>
      </c>
      <c r="CH72" t="str">
        <f>""</f>
        <v/>
      </c>
      <c r="CI72" t="str">
        <f>""</f>
        <v/>
      </c>
      <c r="CJ72" t="str">
        <f>""</f>
        <v/>
      </c>
      <c r="CK72" t="str">
        <f>""</f>
        <v/>
      </c>
      <c r="CL72" t="str">
        <f>""</f>
        <v/>
      </c>
      <c r="CM72" t="str">
        <f>""</f>
        <v/>
      </c>
    </row>
    <row r="73" spans="1:91" x14ac:dyDescent="0.3">
      <c r="A73" t="str">
        <f>""</f>
        <v/>
      </c>
      <c r="B73" t="str">
        <f>""</f>
        <v/>
      </c>
      <c r="C73" t="str">
        <f>""</f>
        <v/>
      </c>
      <c r="D73" t="str">
        <f>""</f>
        <v/>
      </c>
      <c r="E73" t="str">
        <f>""</f>
        <v/>
      </c>
      <c r="F73" t="str">
        <f>""</f>
        <v/>
      </c>
      <c r="G73" t="str">
        <f>""</f>
        <v/>
      </c>
      <c r="H73" t="str">
        <f>""</f>
        <v/>
      </c>
      <c r="I73" t="str">
        <f>""</f>
        <v/>
      </c>
      <c r="J73" t="str">
        <f>""</f>
        <v/>
      </c>
      <c r="K73" t="str">
        <f>""</f>
        <v/>
      </c>
      <c r="L73" t="str">
        <f>""</f>
        <v/>
      </c>
      <c r="M73" t="str">
        <f>""</f>
        <v/>
      </c>
      <c r="N73" t="str">
        <f>""</f>
        <v/>
      </c>
      <c r="O73" t="str">
        <f>""</f>
        <v/>
      </c>
      <c r="P73" t="str">
        <f>""</f>
        <v/>
      </c>
      <c r="Q73" t="str">
        <f>""</f>
        <v/>
      </c>
      <c r="R73" t="str">
        <f>""</f>
        <v/>
      </c>
      <c r="S73" t="str">
        <f>""</f>
        <v/>
      </c>
      <c r="T73" t="str">
        <f>"(0.0964)"</f>
        <v>(0.0964)</v>
      </c>
      <c r="U73" t="str">
        <f>"(0.0915)"</f>
        <v>(0.0915)</v>
      </c>
      <c r="V73" t="str">
        <f>"(0.0403)"</f>
        <v>(0.0403)</v>
      </c>
      <c r="W73" t="str">
        <f>""</f>
        <v/>
      </c>
      <c r="X73" t="str">
        <f>""</f>
        <v/>
      </c>
      <c r="Y73" t="str">
        <f>""</f>
        <v/>
      </c>
      <c r="Z73" t="str">
        <f>""</f>
        <v/>
      </c>
      <c r="AA73" t="str">
        <f>""</f>
        <v/>
      </c>
      <c r="AB73" t="str">
        <f>""</f>
        <v/>
      </c>
      <c r="AC73" t="str">
        <f>""</f>
        <v/>
      </c>
      <c r="AD73" t="str">
        <f>""</f>
        <v/>
      </c>
      <c r="AE73" t="str">
        <f>""</f>
        <v/>
      </c>
      <c r="AF73" t="str">
        <f>""</f>
        <v/>
      </c>
      <c r="AG73" t="str">
        <f>""</f>
        <v/>
      </c>
      <c r="AH73" t="str">
        <f>""</f>
        <v/>
      </c>
      <c r="AI73" t="str">
        <f>""</f>
        <v/>
      </c>
      <c r="AJ73" t="str">
        <f>""</f>
        <v/>
      </c>
      <c r="AK73" t="str">
        <f>""</f>
        <v/>
      </c>
      <c r="AL73" t="str">
        <f>""</f>
        <v/>
      </c>
      <c r="AM73" t="str">
        <f>""</f>
        <v/>
      </c>
      <c r="AN73" t="str">
        <f>""</f>
        <v/>
      </c>
      <c r="AO73" t="str">
        <f>""</f>
        <v/>
      </c>
      <c r="AP73" t="str">
        <f>""</f>
        <v/>
      </c>
      <c r="AQ73" t="str">
        <f>""</f>
        <v/>
      </c>
      <c r="AR73" t="str">
        <f>""</f>
        <v/>
      </c>
      <c r="AS73" t="str">
        <f>""</f>
        <v/>
      </c>
      <c r="AT73" t="str">
        <f>""</f>
        <v/>
      </c>
      <c r="AU73" t="str">
        <f>""</f>
        <v/>
      </c>
      <c r="AV73" t="str">
        <f>""</f>
        <v/>
      </c>
      <c r="AW73" t="str">
        <f>""</f>
        <v/>
      </c>
      <c r="AX73" t="str">
        <f>""</f>
        <v/>
      </c>
      <c r="AY73" t="str">
        <f>""</f>
        <v/>
      </c>
      <c r="AZ73" t="str">
        <f>""</f>
        <v/>
      </c>
      <c r="BA73" t="str">
        <f>""</f>
        <v/>
      </c>
      <c r="BB73" t="str">
        <f>""</f>
        <v/>
      </c>
      <c r="BC73" t="str">
        <f>""</f>
        <v/>
      </c>
      <c r="BD73" t="str">
        <f>""</f>
        <v/>
      </c>
      <c r="BE73" t="str">
        <f>""</f>
        <v/>
      </c>
      <c r="BF73" t="str">
        <f>""</f>
        <v/>
      </c>
      <c r="BG73" t="str">
        <f>""</f>
        <v/>
      </c>
      <c r="BH73" t="str">
        <f>""</f>
        <v/>
      </c>
      <c r="BI73" t="str">
        <f>""</f>
        <v/>
      </c>
      <c r="BJ73" t="str">
        <f>""</f>
        <v/>
      </c>
      <c r="BK73" t="str">
        <f>""</f>
        <v/>
      </c>
      <c r="BL73" t="str">
        <f>""</f>
        <v/>
      </c>
      <c r="BM73" t="str">
        <f>"(0.0798)"</f>
        <v>(0.0798)</v>
      </c>
      <c r="BN73" t="str">
        <f>"(0.0935)"</f>
        <v>(0.0935)</v>
      </c>
      <c r="BO73" t="str">
        <f>"(0.0344)"</f>
        <v>(0.0344)</v>
      </c>
      <c r="BP73" t="str">
        <f>""</f>
        <v/>
      </c>
      <c r="BQ73" t="str">
        <f>""</f>
        <v/>
      </c>
      <c r="BR73" t="str">
        <f>""</f>
        <v/>
      </c>
      <c r="BS73" t="str">
        <f>""</f>
        <v/>
      </c>
      <c r="BT73" t="str">
        <f>""</f>
        <v/>
      </c>
      <c r="BU73" t="str">
        <f>""</f>
        <v/>
      </c>
      <c r="BV73" t="str">
        <f>""</f>
        <v/>
      </c>
      <c r="BW73" t="str">
        <f>""</f>
        <v/>
      </c>
      <c r="BX73" t="str">
        <f>""</f>
        <v/>
      </c>
      <c r="BY73" t="str">
        <f>""</f>
        <v/>
      </c>
      <c r="BZ73" t="str">
        <f>""</f>
        <v/>
      </c>
      <c r="CA73" t="str">
        <f>""</f>
        <v/>
      </c>
      <c r="CB73" t="str">
        <f>""</f>
        <v/>
      </c>
      <c r="CC73" t="str">
        <f>""</f>
        <v/>
      </c>
      <c r="CD73" t="str">
        <f>""</f>
        <v/>
      </c>
      <c r="CE73" t="str">
        <f>""</f>
        <v/>
      </c>
      <c r="CF73" t="str">
        <f>""</f>
        <v/>
      </c>
      <c r="CG73" t="str">
        <f>""</f>
        <v/>
      </c>
      <c r="CH73" t="str">
        <f>""</f>
        <v/>
      </c>
      <c r="CI73" t="str">
        <f>""</f>
        <v/>
      </c>
      <c r="CJ73" t="str">
        <f>""</f>
        <v/>
      </c>
      <c r="CK73" t="str">
        <f>""</f>
        <v/>
      </c>
      <c r="CL73" t="str">
        <f>""</f>
        <v/>
      </c>
      <c r="CM73" t="str">
        <f>""</f>
        <v/>
      </c>
    </row>
    <row r="75" spans="1:91" x14ac:dyDescent="0.3">
      <c r="A75" t="str">
        <f>"c.zMETAB7#c.neflbr"</f>
        <v>c.zMETAB7#c.neflbr</v>
      </c>
      <c r="B75" t="str">
        <f>""</f>
        <v/>
      </c>
      <c r="C75" t="str">
        <f>""</f>
        <v/>
      </c>
      <c r="D75" t="str">
        <f>""</f>
        <v/>
      </c>
      <c r="E75" t="str">
        <f>""</f>
        <v/>
      </c>
      <c r="F75" t="str">
        <f>""</f>
        <v/>
      </c>
      <c r="G75" t="str">
        <f>""</f>
        <v/>
      </c>
      <c r="H75" t="str">
        <f>""</f>
        <v/>
      </c>
      <c r="I75" t="str">
        <f>""</f>
        <v/>
      </c>
      <c r="J75" t="str">
        <f>""</f>
        <v/>
      </c>
      <c r="K75" t="str">
        <f>""</f>
        <v/>
      </c>
      <c r="L75" t="str">
        <f>""</f>
        <v/>
      </c>
      <c r="M75" t="str">
        <f>""</f>
        <v/>
      </c>
      <c r="N75" t="str">
        <f>""</f>
        <v/>
      </c>
      <c r="O75" t="str">
        <f>""</f>
        <v/>
      </c>
      <c r="P75" t="str">
        <f>""</f>
        <v/>
      </c>
      <c r="Q75" t="str">
        <f>""</f>
        <v/>
      </c>
      <c r="R75" t="str">
        <f>""</f>
        <v/>
      </c>
      <c r="S75" t="str">
        <f>""</f>
        <v/>
      </c>
      <c r="T75" t="str">
        <f>"0.00906"</f>
        <v>0.00906</v>
      </c>
      <c r="U75" t="str">
        <f>"-0.0341"</f>
        <v>-0.0341</v>
      </c>
      <c r="V75" t="str">
        <f>"-0.0380"</f>
        <v>-0.0380</v>
      </c>
      <c r="W75" t="str">
        <f>""</f>
        <v/>
      </c>
      <c r="X75" t="str">
        <f>""</f>
        <v/>
      </c>
      <c r="Y75" t="str">
        <f>""</f>
        <v/>
      </c>
      <c r="Z75" t="str">
        <f>""</f>
        <v/>
      </c>
      <c r="AA75" t="str">
        <f>""</f>
        <v/>
      </c>
      <c r="AB75" t="str">
        <f>""</f>
        <v/>
      </c>
      <c r="AC75" t="str">
        <f>""</f>
        <v/>
      </c>
      <c r="AD75" t="str">
        <f>""</f>
        <v/>
      </c>
      <c r="AE75" t="str">
        <f>""</f>
        <v/>
      </c>
      <c r="AF75" t="str">
        <f>""</f>
        <v/>
      </c>
      <c r="AG75" t="str">
        <f>""</f>
        <v/>
      </c>
      <c r="AH75" t="str">
        <f>""</f>
        <v/>
      </c>
      <c r="AI75" t="str">
        <f>""</f>
        <v/>
      </c>
      <c r="AJ75" t="str">
        <f>""</f>
        <v/>
      </c>
      <c r="AK75" t="str">
        <f>""</f>
        <v/>
      </c>
      <c r="AL75" t="str">
        <f>""</f>
        <v/>
      </c>
      <c r="AM75" t="str">
        <f>""</f>
        <v/>
      </c>
      <c r="AN75" t="str">
        <f>""</f>
        <v/>
      </c>
      <c r="AO75" t="str">
        <f>""</f>
        <v/>
      </c>
      <c r="AP75" t="str">
        <f>""</f>
        <v/>
      </c>
      <c r="AQ75" t="str">
        <f>""</f>
        <v/>
      </c>
      <c r="AR75" t="str">
        <f>""</f>
        <v/>
      </c>
      <c r="AS75" t="str">
        <f>""</f>
        <v/>
      </c>
      <c r="AT75" t="str">
        <f>""</f>
        <v/>
      </c>
      <c r="AU75" t="str">
        <f>""</f>
        <v/>
      </c>
      <c r="AV75" t="str">
        <f>""</f>
        <v/>
      </c>
      <c r="AW75" t="str">
        <f>""</f>
        <v/>
      </c>
      <c r="AX75" t="str">
        <f>""</f>
        <v/>
      </c>
      <c r="AY75" t="str">
        <f>""</f>
        <v/>
      </c>
      <c r="AZ75" t="str">
        <f>""</f>
        <v/>
      </c>
      <c r="BA75" t="str">
        <f>""</f>
        <v/>
      </c>
      <c r="BB75" t="str">
        <f>""</f>
        <v/>
      </c>
      <c r="BC75" t="str">
        <f>""</f>
        <v/>
      </c>
      <c r="BD75" t="str">
        <f>""</f>
        <v/>
      </c>
      <c r="BE75" t="str">
        <f>""</f>
        <v/>
      </c>
      <c r="BF75" t="str">
        <f>""</f>
        <v/>
      </c>
      <c r="BG75" t="str">
        <f>""</f>
        <v/>
      </c>
      <c r="BH75" t="str">
        <f>""</f>
        <v/>
      </c>
      <c r="BI75" t="str">
        <f>""</f>
        <v/>
      </c>
      <c r="BJ75" t="str">
        <f>""</f>
        <v/>
      </c>
      <c r="BK75" t="str">
        <f>""</f>
        <v/>
      </c>
      <c r="BL75" t="str">
        <f>""</f>
        <v/>
      </c>
      <c r="BM75" t="str">
        <f>""</f>
        <v/>
      </c>
      <c r="BN75" t="str">
        <f>""</f>
        <v/>
      </c>
      <c r="BO75" t="str">
        <f>""</f>
        <v/>
      </c>
      <c r="BP75" t="str">
        <f>""</f>
        <v/>
      </c>
      <c r="BQ75" t="str">
        <f>""</f>
        <v/>
      </c>
      <c r="BR75" t="str">
        <f>""</f>
        <v/>
      </c>
      <c r="BS75" t="str">
        <f>""</f>
        <v/>
      </c>
      <c r="BT75" t="str">
        <f>""</f>
        <v/>
      </c>
      <c r="BU75" t="str">
        <f>""</f>
        <v/>
      </c>
      <c r="BV75" t="str">
        <f>""</f>
        <v/>
      </c>
      <c r="BW75" t="str">
        <f>""</f>
        <v/>
      </c>
      <c r="BX75" t="str">
        <f>""</f>
        <v/>
      </c>
      <c r="BY75" t="str">
        <f>""</f>
        <v/>
      </c>
      <c r="BZ75" t="str">
        <f>""</f>
        <v/>
      </c>
      <c r="CA75" t="str">
        <f>""</f>
        <v/>
      </c>
      <c r="CB75" t="str">
        <f>""</f>
        <v/>
      </c>
      <c r="CC75" t="str">
        <f>""</f>
        <v/>
      </c>
      <c r="CD75" t="str">
        <f>""</f>
        <v/>
      </c>
      <c r="CE75" t="str">
        <f>""</f>
        <v/>
      </c>
      <c r="CF75" t="str">
        <f>""</f>
        <v/>
      </c>
      <c r="CG75" t="str">
        <f>""</f>
        <v/>
      </c>
      <c r="CH75" t="str">
        <f>""</f>
        <v/>
      </c>
      <c r="CI75" t="str">
        <f>""</f>
        <v/>
      </c>
      <c r="CJ75" t="str">
        <f>""</f>
        <v/>
      </c>
      <c r="CK75" t="str">
        <f>""</f>
        <v/>
      </c>
      <c r="CL75" t="str">
        <f>""</f>
        <v/>
      </c>
      <c r="CM75" t="str">
        <f>""</f>
        <v/>
      </c>
    </row>
    <row r="76" spans="1:91" x14ac:dyDescent="0.3">
      <c r="A76" t="str">
        <f>""</f>
        <v/>
      </c>
      <c r="B76" t="str">
        <f>""</f>
        <v/>
      </c>
      <c r="C76" t="str">
        <f>""</f>
        <v/>
      </c>
      <c r="D76" t="str">
        <f>""</f>
        <v/>
      </c>
      <c r="E76" t="str">
        <f>""</f>
        <v/>
      </c>
      <c r="F76" t="str">
        <f>""</f>
        <v/>
      </c>
      <c r="G76" t="str">
        <f>""</f>
        <v/>
      </c>
      <c r="H76" t="str">
        <f>""</f>
        <v/>
      </c>
      <c r="I76" t="str">
        <f>""</f>
        <v/>
      </c>
      <c r="J76" t="str">
        <f>""</f>
        <v/>
      </c>
      <c r="K76" t="str">
        <f>""</f>
        <v/>
      </c>
      <c r="L76" t="str">
        <f>""</f>
        <v/>
      </c>
      <c r="M76" t="str">
        <f>""</f>
        <v/>
      </c>
      <c r="N76" t="str">
        <f>""</f>
        <v/>
      </c>
      <c r="O76" t="str">
        <f>""</f>
        <v/>
      </c>
      <c r="P76" t="str">
        <f>""</f>
        <v/>
      </c>
      <c r="Q76" t="str">
        <f>""</f>
        <v/>
      </c>
      <c r="R76" t="str">
        <f>""</f>
        <v/>
      </c>
      <c r="S76" t="str">
        <f>""</f>
        <v/>
      </c>
      <c r="T76" t="str">
        <f>"(0.113)"</f>
        <v>(0.113)</v>
      </c>
      <c r="U76" t="str">
        <f>"(0.101)"</f>
        <v>(0.101)</v>
      </c>
      <c r="V76" t="str">
        <f>"(0.0482)"</f>
        <v>(0.0482)</v>
      </c>
      <c r="W76" t="str">
        <f>""</f>
        <v/>
      </c>
      <c r="X76" t="str">
        <f>""</f>
        <v/>
      </c>
      <c r="Y76" t="str">
        <f>""</f>
        <v/>
      </c>
      <c r="Z76" t="str">
        <f>""</f>
        <v/>
      </c>
      <c r="AA76" t="str">
        <f>""</f>
        <v/>
      </c>
      <c r="AB76" t="str">
        <f>""</f>
        <v/>
      </c>
      <c r="AC76" t="str">
        <f>""</f>
        <v/>
      </c>
      <c r="AD76" t="str">
        <f>""</f>
        <v/>
      </c>
      <c r="AE76" t="str">
        <f>""</f>
        <v/>
      </c>
      <c r="AF76" t="str">
        <f>""</f>
        <v/>
      </c>
      <c r="AG76" t="str">
        <f>""</f>
        <v/>
      </c>
      <c r="AH76" t="str">
        <f>""</f>
        <v/>
      </c>
      <c r="AI76" t="str">
        <f>""</f>
        <v/>
      </c>
      <c r="AJ76" t="str">
        <f>""</f>
        <v/>
      </c>
      <c r="AK76" t="str">
        <f>""</f>
        <v/>
      </c>
      <c r="AL76" t="str">
        <f>""</f>
        <v/>
      </c>
      <c r="AM76" t="str">
        <f>""</f>
        <v/>
      </c>
      <c r="AN76" t="str">
        <f>""</f>
        <v/>
      </c>
      <c r="AO76" t="str">
        <f>""</f>
        <v/>
      </c>
      <c r="AP76" t="str">
        <f>""</f>
        <v/>
      </c>
      <c r="AQ76" t="str">
        <f>""</f>
        <v/>
      </c>
      <c r="AR76" t="str">
        <f>""</f>
        <v/>
      </c>
      <c r="AS76" t="str">
        <f>""</f>
        <v/>
      </c>
      <c r="AT76" t="str">
        <f>""</f>
        <v/>
      </c>
      <c r="AU76" t="str">
        <f>""</f>
        <v/>
      </c>
      <c r="AV76" t="str">
        <f>""</f>
        <v/>
      </c>
      <c r="AW76" t="str">
        <f>""</f>
        <v/>
      </c>
      <c r="AX76" t="str">
        <f>""</f>
        <v/>
      </c>
      <c r="AY76" t="str">
        <f>""</f>
        <v/>
      </c>
      <c r="AZ76" t="str">
        <f>""</f>
        <v/>
      </c>
      <c r="BA76" t="str">
        <f>""</f>
        <v/>
      </c>
      <c r="BB76" t="str">
        <f>""</f>
        <v/>
      </c>
      <c r="BC76" t="str">
        <f>""</f>
        <v/>
      </c>
      <c r="BD76" t="str">
        <f>""</f>
        <v/>
      </c>
      <c r="BE76" t="str">
        <f>""</f>
        <v/>
      </c>
      <c r="BF76" t="str">
        <f>""</f>
        <v/>
      </c>
      <c r="BG76" t="str">
        <f>""</f>
        <v/>
      </c>
      <c r="BH76" t="str">
        <f>""</f>
        <v/>
      </c>
      <c r="BI76" t="str">
        <f>""</f>
        <v/>
      </c>
      <c r="BJ76" t="str">
        <f>""</f>
        <v/>
      </c>
      <c r="BK76" t="str">
        <f>""</f>
        <v/>
      </c>
      <c r="BL76" t="str">
        <f>""</f>
        <v/>
      </c>
      <c r="BM76" t="str">
        <f>""</f>
        <v/>
      </c>
      <c r="BN76" t="str">
        <f>""</f>
        <v/>
      </c>
      <c r="BO76" t="str">
        <f>""</f>
        <v/>
      </c>
      <c r="BP76" t="str">
        <f>""</f>
        <v/>
      </c>
      <c r="BQ76" t="str">
        <f>""</f>
        <v/>
      </c>
      <c r="BR76" t="str">
        <f>""</f>
        <v/>
      </c>
      <c r="BS76" t="str">
        <f>""</f>
        <v/>
      </c>
      <c r="BT76" t="str">
        <f>""</f>
        <v/>
      </c>
      <c r="BU76" t="str">
        <f>""</f>
        <v/>
      </c>
      <c r="BV76" t="str">
        <f>""</f>
        <v/>
      </c>
      <c r="BW76" t="str">
        <f>""</f>
        <v/>
      </c>
      <c r="BX76" t="str">
        <f>""</f>
        <v/>
      </c>
      <c r="BY76" t="str">
        <f>""</f>
        <v/>
      </c>
      <c r="BZ76" t="str">
        <f>""</f>
        <v/>
      </c>
      <c r="CA76" t="str">
        <f>""</f>
        <v/>
      </c>
      <c r="CB76" t="str">
        <f>""</f>
        <v/>
      </c>
      <c r="CC76" t="str">
        <f>""</f>
        <v/>
      </c>
      <c r="CD76" t="str">
        <f>""</f>
        <v/>
      </c>
      <c r="CE76" t="str">
        <f>""</f>
        <v/>
      </c>
      <c r="CF76" t="str">
        <f>""</f>
        <v/>
      </c>
      <c r="CG76" t="str">
        <f>""</f>
        <v/>
      </c>
      <c r="CH76" t="str">
        <f>""</f>
        <v/>
      </c>
      <c r="CI76" t="str">
        <f>""</f>
        <v/>
      </c>
      <c r="CJ76" t="str">
        <f>""</f>
        <v/>
      </c>
      <c r="CK76" t="str">
        <f>""</f>
        <v/>
      </c>
      <c r="CL76" t="str">
        <f>""</f>
        <v/>
      </c>
      <c r="CM76" t="str">
        <f>""</f>
        <v/>
      </c>
    </row>
    <row r="78" spans="1:91" x14ac:dyDescent="0.3">
      <c r="A78" t="str">
        <f>"zMETAB8"</f>
        <v>zMETAB8</v>
      </c>
      <c r="B78" t="str">
        <f>""</f>
        <v/>
      </c>
      <c r="C78" t="str">
        <f>""</f>
        <v/>
      </c>
      <c r="D78" t="str">
        <f>""</f>
        <v/>
      </c>
      <c r="E78" t="str">
        <f>""</f>
        <v/>
      </c>
      <c r="F78" t="str">
        <f>""</f>
        <v/>
      </c>
      <c r="G78" t="str">
        <f>""</f>
        <v/>
      </c>
      <c r="H78" t="str">
        <f>""</f>
        <v/>
      </c>
      <c r="I78" t="str">
        <f>""</f>
        <v/>
      </c>
      <c r="J78" t="str">
        <f>""</f>
        <v/>
      </c>
      <c r="K78" t="str">
        <f>""</f>
        <v/>
      </c>
      <c r="L78" t="str">
        <f>""</f>
        <v/>
      </c>
      <c r="M78" t="str">
        <f>""</f>
        <v/>
      </c>
      <c r="N78" t="str">
        <f>""</f>
        <v/>
      </c>
      <c r="O78" t="str">
        <f>""</f>
        <v/>
      </c>
      <c r="P78" t="str">
        <f>""</f>
        <v/>
      </c>
      <c r="Q78" t="str">
        <f>""</f>
        <v/>
      </c>
      <c r="R78" t="str">
        <f>""</f>
        <v/>
      </c>
      <c r="S78" t="str">
        <f>""</f>
        <v/>
      </c>
      <c r="T78" t="str">
        <f>""</f>
        <v/>
      </c>
      <c r="U78" t="str">
        <f>""</f>
        <v/>
      </c>
      <c r="V78" t="str">
        <f>""</f>
        <v/>
      </c>
      <c r="W78" t="str">
        <f>"0.0308"</f>
        <v>0.0308</v>
      </c>
      <c r="X78" t="str">
        <f>"0.0251"</f>
        <v>0.0251</v>
      </c>
      <c r="Y78" t="str">
        <f>"-0.0305"</f>
        <v>-0.0305</v>
      </c>
      <c r="Z78" t="str">
        <f>""</f>
        <v/>
      </c>
      <c r="AA78" t="str">
        <f>""</f>
        <v/>
      </c>
      <c r="AB78" t="str">
        <f>""</f>
        <v/>
      </c>
      <c r="AC78" t="str">
        <f>""</f>
        <v/>
      </c>
      <c r="AD78" t="str">
        <f>""</f>
        <v/>
      </c>
      <c r="AE78" t="str">
        <f>""</f>
        <v/>
      </c>
      <c r="AF78" t="str">
        <f>""</f>
        <v/>
      </c>
      <c r="AG78" t="str">
        <f>""</f>
        <v/>
      </c>
      <c r="AH78" t="str">
        <f>""</f>
        <v/>
      </c>
      <c r="AI78" t="str">
        <f>""</f>
        <v/>
      </c>
      <c r="AJ78" t="str">
        <f>""</f>
        <v/>
      </c>
      <c r="AK78" t="str">
        <f>""</f>
        <v/>
      </c>
      <c r="AL78" t="str">
        <f>""</f>
        <v/>
      </c>
      <c r="AM78" t="str">
        <f>""</f>
        <v/>
      </c>
      <c r="AN78" t="str">
        <f>""</f>
        <v/>
      </c>
      <c r="AO78" t="str">
        <f>""</f>
        <v/>
      </c>
      <c r="AP78" t="str">
        <f>""</f>
        <v/>
      </c>
      <c r="AQ78" t="str">
        <f>""</f>
        <v/>
      </c>
      <c r="AR78" t="str">
        <f>""</f>
        <v/>
      </c>
      <c r="AS78" t="str">
        <f>""</f>
        <v/>
      </c>
      <c r="AT78" t="str">
        <f>""</f>
        <v/>
      </c>
      <c r="AU78" t="str">
        <f>""</f>
        <v/>
      </c>
      <c r="AV78" t="str">
        <f>""</f>
        <v/>
      </c>
      <c r="AW78" t="str">
        <f>""</f>
        <v/>
      </c>
      <c r="AX78" t="str">
        <f>""</f>
        <v/>
      </c>
      <c r="AY78" t="str">
        <f>""</f>
        <v/>
      </c>
      <c r="AZ78" t="str">
        <f>""</f>
        <v/>
      </c>
      <c r="BA78" t="str">
        <f>""</f>
        <v/>
      </c>
      <c r="BB78" t="str">
        <f>""</f>
        <v/>
      </c>
      <c r="BC78" t="str">
        <f>""</f>
        <v/>
      </c>
      <c r="BD78" t="str">
        <f>""</f>
        <v/>
      </c>
      <c r="BE78" t="str">
        <f>""</f>
        <v/>
      </c>
      <c r="BF78" t="str">
        <f>""</f>
        <v/>
      </c>
      <c r="BG78" t="str">
        <f>""</f>
        <v/>
      </c>
      <c r="BH78" t="str">
        <f>""</f>
        <v/>
      </c>
      <c r="BI78" t="str">
        <f>""</f>
        <v/>
      </c>
      <c r="BJ78" t="str">
        <f>""</f>
        <v/>
      </c>
      <c r="BK78" t="str">
        <f>""</f>
        <v/>
      </c>
      <c r="BL78" t="str">
        <f>""</f>
        <v/>
      </c>
      <c r="BM78" t="str">
        <f>""</f>
        <v/>
      </c>
      <c r="BN78" t="str">
        <f>""</f>
        <v/>
      </c>
      <c r="BO78" t="str">
        <f>""</f>
        <v/>
      </c>
      <c r="BP78" t="str">
        <f>"-0.115"</f>
        <v>-0.115</v>
      </c>
      <c r="BQ78" t="str">
        <f>"0.252**"</f>
        <v>0.252**</v>
      </c>
      <c r="BR78" t="str">
        <f>"-0.0508"</f>
        <v>-0.0508</v>
      </c>
      <c r="BS78" t="str">
        <f>""</f>
        <v/>
      </c>
      <c r="BT78" t="str">
        <f>""</f>
        <v/>
      </c>
      <c r="BU78" t="str">
        <f>""</f>
        <v/>
      </c>
      <c r="BV78" t="str">
        <f>""</f>
        <v/>
      </c>
      <c r="BW78" t="str">
        <f>""</f>
        <v/>
      </c>
      <c r="BX78" t="str">
        <f>""</f>
        <v/>
      </c>
      <c r="BY78" t="str">
        <f>""</f>
        <v/>
      </c>
      <c r="BZ78" t="str">
        <f>""</f>
        <v/>
      </c>
      <c r="CA78" t="str">
        <f>""</f>
        <v/>
      </c>
      <c r="CB78" t="str">
        <f>""</f>
        <v/>
      </c>
      <c r="CC78" t="str">
        <f>""</f>
        <v/>
      </c>
      <c r="CD78" t="str">
        <f>""</f>
        <v/>
      </c>
      <c r="CE78" t="str">
        <f>""</f>
        <v/>
      </c>
      <c r="CF78" t="str">
        <f>""</f>
        <v/>
      </c>
      <c r="CG78" t="str">
        <f>""</f>
        <v/>
      </c>
      <c r="CH78" t="str">
        <f>""</f>
        <v/>
      </c>
      <c r="CI78" t="str">
        <f>""</f>
        <v/>
      </c>
      <c r="CJ78" t="str">
        <f>""</f>
        <v/>
      </c>
      <c r="CK78" t="str">
        <f>""</f>
        <v/>
      </c>
      <c r="CL78" t="str">
        <f>""</f>
        <v/>
      </c>
      <c r="CM78" t="str">
        <f>""</f>
        <v/>
      </c>
    </row>
    <row r="79" spans="1:91" x14ac:dyDescent="0.3">
      <c r="A79" t="str">
        <f>""</f>
        <v/>
      </c>
      <c r="B79" t="str">
        <f>""</f>
        <v/>
      </c>
      <c r="C79" t="str">
        <f>""</f>
        <v/>
      </c>
      <c r="D79" t="str">
        <f>""</f>
        <v/>
      </c>
      <c r="E79" t="str">
        <f>""</f>
        <v/>
      </c>
      <c r="F79" t="str">
        <f>""</f>
        <v/>
      </c>
      <c r="G79" t="str">
        <f>""</f>
        <v/>
      </c>
      <c r="H79" t="str">
        <f>""</f>
        <v/>
      </c>
      <c r="I79" t="str">
        <f>""</f>
        <v/>
      </c>
      <c r="J79" t="str">
        <f>""</f>
        <v/>
      </c>
      <c r="K79" t="str">
        <f>""</f>
        <v/>
      </c>
      <c r="L79" t="str">
        <f>""</f>
        <v/>
      </c>
      <c r="M79" t="str">
        <f>""</f>
        <v/>
      </c>
      <c r="N79" t="str">
        <f>""</f>
        <v/>
      </c>
      <c r="O79" t="str">
        <f>""</f>
        <v/>
      </c>
      <c r="P79" t="str">
        <f>""</f>
        <v/>
      </c>
      <c r="Q79" t="str">
        <f>""</f>
        <v/>
      </c>
      <c r="R79" t="str">
        <f>""</f>
        <v/>
      </c>
      <c r="S79" t="str">
        <f>""</f>
        <v/>
      </c>
      <c r="T79" t="str">
        <f>""</f>
        <v/>
      </c>
      <c r="U79" t="str">
        <f>""</f>
        <v/>
      </c>
      <c r="V79" t="str">
        <f>""</f>
        <v/>
      </c>
      <c r="W79" t="str">
        <f>"(0.0933)"</f>
        <v>(0.0933)</v>
      </c>
      <c r="X79" t="str">
        <f>"(0.0865)"</f>
        <v>(0.0865)</v>
      </c>
      <c r="Y79" t="str">
        <f>"(0.0384)"</f>
        <v>(0.0384)</v>
      </c>
      <c r="Z79" t="str">
        <f>""</f>
        <v/>
      </c>
      <c r="AA79" t="str">
        <f>""</f>
        <v/>
      </c>
      <c r="AB79" t="str">
        <f>""</f>
        <v/>
      </c>
      <c r="AC79" t="str">
        <f>""</f>
        <v/>
      </c>
      <c r="AD79" t="str">
        <f>""</f>
        <v/>
      </c>
      <c r="AE79" t="str">
        <f>""</f>
        <v/>
      </c>
      <c r="AF79" t="str">
        <f>""</f>
        <v/>
      </c>
      <c r="AG79" t="str">
        <f>""</f>
        <v/>
      </c>
      <c r="AH79" t="str">
        <f>""</f>
        <v/>
      </c>
      <c r="AI79" t="str">
        <f>""</f>
        <v/>
      </c>
      <c r="AJ79" t="str">
        <f>""</f>
        <v/>
      </c>
      <c r="AK79" t="str">
        <f>""</f>
        <v/>
      </c>
      <c r="AL79" t="str">
        <f>""</f>
        <v/>
      </c>
      <c r="AM79" t="str">
        <f>""</f>
        <v/>
      </c>
      <c r="AN79" t="str">
        <f>""</f>
        <v/>
      </c>
      <c r="AO79" t="str">
        <f>""</f>
        <v/>
      </c>
      <c r="AP79" t="str">
        <f>""</f>
        <v/>
      </c>
      <c r="AQ79" t="str">
        <f>""</f>
        <v/>
      </c>
      <c r="AR79" t="str">
        <f>""</f>
        <v/>
      </c>
      <c r="AS79" t="str">
        <f>""</f>
        <v/>
      </c>
      <c r="AT79" t="str">
        <f>""</f>
        <v/>
      </c>
      <c r="AU79" t="str">
        <f>""</f>
        <v/>
      </c>
      <c r="AV79" t="str">
        <f>""</f>
        <v/>
      </c>
      <c r="AW79" t="str">
        <f>""</f>
        <v/>
      </c>
      <c r="AX79" t="str">
        <f>""</f>
        <v/>
      </c>
      <c r="AY79" t="str">
        <f>""</f>
        <v/>
      </c>
      <c r="AZ79" t="str">
        <f>""</f>
        <v/>
      </c>
      <c r="BA79" t="str">
        <f>""</f>
        <v/>
      </c>
      <c r="BB79" t="str">
        <f>""</f>
        <v/>
      </c>
      <c r="BC79" t="str">
        <f>""</f>
        <v/>
      </c>
      <c r="BD79" t="str">
        <f>""</f>
        <v/>
      </c>
      <c r="BE79" t="str">
        <f>""</f>
        <v/>
      </c>
      <c r="BF79" t="str">
        <f>""</f>
        <v/>
      </c>
      <c r="BG79" t="str">
        <f>""</f>
        <v/>
      </c>
      <c r="BH79" t="str">
        <f>""</f>
        <v/>
      </c>
      <c r="BI79" t="str">
        <f>""</f>
        <v/>
      </c>
      <c r="BJ79" t="str">
        <f>""</f>
        <v/>
      </c>
      <c r="BK79" t="str">
        <f>""</f>
        <v/>
      </c>
      <c r="BL79" t="str">
        <f>""</f>
        <v/>
      </c>
      <c r="BM79" t="str">
        <f>""</f>
        <v/>
      </c>
      <c r="BN79" t="str">
        <f>""</f>
        <v/>
      </c>
      <c r="BO79" t="str">
        <f>""</f>
        <v/>
      </c>
      <c r="BP79" t="str">
        <f>"(0.0765)"</f>
        <v>(0.0765)</v>
      </c>
      <c r="BQ79" t="str">
        <f>"(0.0814)"</f>
        <v>(0.0814)</v>
      </c>
      <c r="BR79" t="str">
        <f>"(0.0320)"</f>
        <v>(0.0320)</v>
      </c>
      <c r="BS79" t="str">
        <f>""</f>
        <v/>
      </c>
      <c r="BT79" t="str">
        <f>""</f>
        <v/>
      </c>
      <c r="BU79" t="str">
        <f>""</f>
        <v/>
      </c>
      <c r="BV79" t="str">
        <f>""</f>
        <v/>
      </c>
      <c r="BW79" t="str">
        <f>""</f>
        <v/>
      </c>
      <c r="BX79" t="str">
        <f>""</f>
        <v/>
      </c>
      <c r="BY79" t="str">
        <f>""</f>
        <v/>
      </c>
      <c r="BZ79" t="str">
        <f>""</f>
        <v/>
      </c>
      <c r="CA79" t="str">
        <f>""</f>
        <v/>
      </c>
      <c r="CB79" t="str">
        <f>""</f>
        <v/>
      </c>
      <c r="CC79" t="str">
        <f>""</f>
        <v/>
      </c>
      <c r="CD79" t="str">
        <f>""</f>
        <v/>
      </c>
      <c r="CE79" t="str">
        <f>""</f>
        <v/>
      </c>
      <c r="CF79" t="str">
        <f>""</f>
        <v/>
      </c>
      <c r="CG79" t="str">
        <f>""</f>
        <v/>
      </c>
      <c r="CH79" t="str">
        <f>""</f>
        <v/>
      </c>
      <c r="CI79" t="str">
        <f>""</f>
        <v/>
      </c>
      <c r="CJ79" t="str">
        <f>""</f>
        <v/>
      </c>
      <c r="CK79" t="str">
        <f>""</f>
        <v/>
      </c>
      <c r="CL79" t="str">
        <f>""</f>
        <v/>
      </c>
      <c r="CM79" t="str">
        <f>""</f>
        <v/>
      </c>
    </row>
    <row r="81" spans="1:91" x14ac:dyDescent="0.3">
      <c r="A81" t="str">
        <f>"c.zMETAB8#c.neflbr"</f>
        <v>c.zMETAB8#c.neflbr</v>
      </c>
      <c r="B81" t="str">
        <f>""</f>
        <v/>
      </c>
      <c r="C81" t="str">
        <f>""</f>
        <v/>
      </c>
      <c r="D81" t="str">
        <f>""</f>
        <v/>
      </c>
      <c r="E81" t="str">
        <f>""</f>
        <v/>
      </c>
      <c r="F81" t="str">
        <f>""</f>
        <v/>
      </c>
      <c r="G81" t="str">
        <f>""</f>
        <v/>
      </c>
      <c r="H81" t="str">
        <f>""</f>
        <v/>
      </c>
      <c r="I81" t="str">
        <f>""</f>
        <v/>
      </c>
      <c r="J81" t="str">
        <f>""</f>
        <v/>
      </c>
      <c r="K81" t="str">
        <f>""</f>
        <v/>
      </c>
      <c r="L81" t="str">
        <f>""</f>
        <v/>
      </c>
      <c r="M81" t="str">
        <f>""</f>
        <v/>
      </c>
      <c r="N81" t="str">
        <f>""</f>
        <v/>
      </c>
      <c r="O81" t="str">
        <f>""</f>
        <v/>
      </c>
      <c r="P81" t="str">
        <f>""</f>
        <v/>
      </c>
      <c r="Q81" t="str">
        <f>""</f>
        <v/>
      </c>
      <c r="R81" t="str">
        <f>""</f>
        <v/>
      </c>
      <c r="S81" t="str">
        <f>""</f>
        <v/>
      </c>
      <c r="T81" t="str">
        <f>""</f>
        <v/>
      </c>
      <c r="U81" t="str">
        <f>""</f>
        <v/>
      </c>
      <c r="V81" t="str">
        <f>""</f>
        <v/>
      </c>
      <c r="W81" t="str">
        <f>"-0.163"</f>
        <v>-0.163</v>
      </c>
      <c r="X81" t="str">
        <f>"-0.183"</f>
        <v>-0.183</v>
      </c>
      <c r="Y81" t="str">
        <f>"0.0188"</f>
        <v>0.0188</v>
      </c>
      <c r="Z81" t="str">
        <f>""</f>
        <v/>
      </c>
      <c r="AA81" t="str">
        <f>""</f>
        <v/>
      </c>
      <c r="AB81" t="str">
        <f>""</f>
        <v/>
      </c>
      <c r="AC81" t="str">
        <f>""</f>
        <v/>
      </c>
      <c r="AD81" t="str">
        <f>""</f>
        <v/>
      </c>
      <c r="AE81" t="str">
        <f>""</f>
        <v/>
      </c>
      <c r="AF81" t="str">
        <f>""</f>
        <v/>
      </c>
      <c r="AG81" t="str">
        <f>""</f>
        <v/>
      </c>
      <c r="AH81" t="str">
        <f>""</f>
        <v/>
      </c>
      <c r="AI81" t="str">
        <f>""</f>
        <v/>
      </c>
      <c r="AJ81" t="str">
        <f>""</f>
        <v/>
      </c>
      <c r="AK81" t="str">
        <f>""</f>
        <v/>
      </c>
      <c r="AL81" t="str">
        <f>""</f>
        <v/>
      </c>
      <c r="AM81" t="str">
        <f>""</f>
        <v/>
      </c>
      <c r="AN81" t="str">
        <f>""</f>
        <v/>
      </c>
      <c r="AO81" t="str">
        <f>""</f>
        <v/>
      </c>
      <c r="AP81" t="str">
        <f>""</f>
        <v/>
      </c>
      <c r="AQ81" t="str">
        <f>""</f>
        <v/>
      </c>
      <c r="AR81" t="str">
        <f>""</f>
        <v/>
      </c>
      <c r="AS81" t="str">
        <f>""</f>
        <v/>
      </c>
      <c r="AT81" t="str">
        <f>""</f>
        <v/>
      </c>
      <c r="AU81" t="str">
        <f>""</f>
        <v/>
      </c>
      <c r="AV81" t="str">
        <f>""</f>
        <v/>
      </c>
      <c r="AW81" t="str">
        <f>""</f>
        <v/>
      </c>
      <c r="AX81" t="str">
        <f>""</f>
        <v/>
      </c>
      <c r="AY81" t="str">
        <f>""</f>
        <v/>
      </c>
      <c r="AZ81" t="str">
        <f>""</f>
        <v/>
      </c>
      <c r="BA81" t="str">
        <f>""</f>
        <v/>
      </c>
      <c r="BB81" t="str">
        <f>""</f>
        <v/>
      </c>
      <c r="BC81" t="str">
        <f>""</f>
        <v/>
      </c>
      <c r="BD81" t="str">
        <f>""</f>
        <v/>
      </c>
      <c r="BE81" t="str">
        <f>""</f>
        <v/>
      </c>
      <c r="BF81" t="str">
        <f>""</f>
        <v/>
      </c>
      <c r="BG81" t="str">
        <f>""</f>
        <v/>
      </c>
      <c r="BH81" t="str">
        <f>""</f>
        <v/>
      </c>
      <c r="BI81" t="str">
        <f>""</f>
        <v/>
      </c>
      <c r="BJ81" t="str">
        <f>""</f>
        <v/>
      </c>
      <c r="BK81" t="str">
        <f>""</f>
        <v/>
      </c>
      <c r="BL81" t="str">
        <f>""</f>
        <v/>
      </c>
      <c r="BM81" t="str">
        <f>""</f>
        <v/>
      </c>
      <c r="BN81" t="str">
        <f>""</f>
        <v/>
      </c>
      <c r="BO81" t="str">
        <f>""</f>
        <v/>
      </c>
      <c r="BP81" t="str">
        <f>""</f>
        <v/>
      </c>
      <c r="BQ81" t="str">
        <f>""</f>
        <v/>
      </c>
      <c r="BR81" t="str">
        <f>""</f>
        <v/>
      </c>
      <c r="BS81" t="str">
        <f>""</f>
        <v/>
      </c>
      <c r="BT81" t="str">
        <f>""</f>
        <v/>
      </c>
      <c r="BU81" t="str">
        <f>""</f>
        <v/>
      </c>
      <c r="BV81" t="str">
        <f>""</f>
        <v/>
      </c>
      <c r="BW81" t="str">
        <f>""</f>
        <v/>
      </c>
      <c r="BX81" t="str">
        <f>""</f>
        <v/>
      </c>
      <c r="BY81" t="str">
        <f>""</f>
        <v/>
      </c>
      <c r="BZ81" t="str">
        <f>""</f>
        <v/>
      </c>
      <c r="CA81" t="str">
        <f>""</f>
        <v/>
      </c>
      <c r="CB81" t="str">
        <f>""</f>
        <v/>
      </c>
      <c r="CC81" t="str">
        <f>""</f>
        <v/>
      </c>
      <c r="CD81" t="str">
        <f>""</f>
        <v/>
      </c>
      <c r="CE81" t="str">
        <f>""</f>
        <v/>
      </c>
      <c r="CF81" t="str">
        <f>""</f>
        <v/>
      </c>
      <c r="CG81" t="str">
        <f>""</f>
        <v/>
      </c>
      <c r="CH81" t="str">
        <f>""</f>
        <v/>
      </c>
      <c r="CI81" t="str">
        <f>""</f>
        <v/>
      </c>
      <c r="CJ81" t="str">
        <f>""</f>
        <v/>
      </c>
      <c r="CK81" t="str">
        <f>""</f>
        <v/>
      </c>
      <c r="CL81" t="str">
        <f>""</f>
        <v/>
      </c>
      <c r="CM81" t="str">
        <f>""</f>
        <v/>
      </c>
    </row>
    <row r="82" spans="1:91" x14ac:dyDescent="0.3">
      <c r="A82" t="str">
        <f>""</f>
        <v/>
      </c>
      <c r="B82" t="str">
        <f>""</f>
        <v/>
      </c>
      <c r="C82" t="str">
        <f>""</f>
        <v/>
      </c>
      <c r="D82" t="str">
        <f>""</f>
        <v/>
      </c>
      <c r="E82" t="str">
        <f>""</f>
        <v/>
      </c>
      <c r="F82" t="str">
        <f>""</f>
        <v/>
      </c>
      <c r="G82" t="str">
        <f>""</f>
        <v/>
      </c>
      <c r="H82" t="str">
        <f>""</f>
        <v/>
      </c>
      <c r="I82" t="str">
        <f>""</f>
        <v/>
      </c>
      <c r="J82" t="str">
        <f>""</f>
        <v/>
      </c>
      <c r="K82" t="str">
        <f>""</f>
        <v/>
      </c>
      <c r="L82" t="str">
        <f>""</f>
        <v/>
      </c>
      <c r="M82" t="str">
        <f>""</f>
        <v/>
      </c>
      <c r="N82" t="str">
        <f>""</f>
        <v/>
      </c>
      <c r="O82" t="str">
        <f>""</f>
        <v/>
      </c>
      <c r="P82" t="str">
        <f>""</f>
        <v/>
      </c>
      <c r="Q82" t="str">
        <f>""</f>
        <v/>
      </c>
      <c r="R82" t="str">
        <f>""</f>
        <v/>
      </c>
      <c r="S82" t="str">
        <f>""</f>
        <v/>
      </c>
      <c r="T82" t="str">
        <f>""</f>
        <v/>
      </c>
      <c r="U82" t="str">
        <f>""</f>
        <v/>
      </c>
      <c r="V82" t="str">
        <f>""</f>
        <v/>
      </c>
      <c r="W82" t="str">
        <f>"(0.114)"</f>
        <v>(0.114)</v>
      </c>
      <c r="X82" t="str">
        <f>"(0.0994)"</f>
        <v>(0.0994)</v>
      </c>
      <c r="Y82" t="str">
        <f>"(0.0473)"</f>
        <v>(0.0473)</v>
      </c>
      <c r="Z82" t="str">
        <f>""</f>
        <v/>
      </c>
      <c r="AA82" t="str">
        <f>""</f>
        <v/>
      </c>
      <c r="AB82" t="str">
        <f>""</f>
        <v/>
      </c>
      <c r="AC82" t="str">
        <f>""</f>
        <v/>
      </c>
      <c r="AD82" t="str">
        <f>""</f>
        <v/>
      </c>
      <c r="AE82" t="str">
        <f>""</f>
        <v/>
      </c>
      <c r="AF82" t="str">
        <f>""</f>
        <v/>
      </c>
      <c r="AG82" t="str">
        <f>""</f>
        <v/>
      </c>
      <c r="AH82" t="str">
        <f>""</f>
        <v/>
      </c>
      <c r="AI82" t="str">
        <f>""</f>
        <v/>
      </c>
      <c r="AJ82" t="str">
        <f>""</f>
        <v/>
      </c>
      <c r="AK82" t="str">
        <f>""</f>
        <v/>
      </c>
      <c r="AL82" t="str">
        <f>""</f>
        <v/>
      </c>
      <c r="AM82" t="str">
        <f>""</f>
        <v/>
      </c>
      <c r="AN82" t="str">
        <f>""</f>
        <v/>
      </c>
      <c r="AO82" t="str">
        <f>""</f>
        <v/>
      </c>
      <c r="AP82" t="str">
        <f>""</f>
        <v/>
      </c>
      <c r="AQ82" t="str">
        <f>""</f>
        <v/>
      </c>
      <c r="AR82" t="str">
        <f>""</f>
        <v/>
      </c>
      <c r="AS82" t="str">
        <f>""</f>
        <v/>
      </c>
      <c r="AT82" t="str">
        <f>""</f>
        <v/>
      </c>
      <c r="AU82" t="str">
        <f>""</f>
        <v/>
      </c>
      <c r="AV82" t="str">
        <f>""</f>
        <v/>
      </c>
      <c r="AW82" t="str">
        <f>""</f>
        <v/>
      </c>
      <c r="AX82" t="str">
        <f>""</f>
        <v/>
      </c>
      <c r="AY82" t="str">
        <f>""</f>
        <v/>
      </c>
      <c r="AZ82" t="str">
        <f>""</f>
        <v/>
      </c>
      <c r="BA82" t="str">
        <f>""</f>
        <v/>
      </c>
      <c r="BB82" t="str">
        <f>""</f>
        <v/>
      </c>
      <c r="BC82" t="str">
        <f>""</f>
        <v/>
      </c>
      <c r="BD82" t="str">
        <f>""</f>
        <v/>
      </c>
      <c r="BE82" t="str">
        <f>""</f>
        <v/>
      </c>
      <c r="BF82" t="str">
        <f>""</f>
        <v/>
      </c>
      <c r="BG82" t="str">
        <f>""</f>
        <v/>
      </c>
      <c r="BH82" t="str">
        <f>""</f>
        <v/>
      </c>
      <c r="BI82" t="str">
        <f>""</f>
        <v/>
      </c>
      <c r="BJ82" t="str">
        <f>""</f>
        <v/>
      </c>
      <c r="BK82" t="str">
        <f>""</f>
        <v/>
      </c>
      <c r="BL82" t="str">
        <f>""</f>
        <v/>
      </c>
      <c r="BM82" t="str">
        <f>""</f>
        <v/>
      </c>
      <c r="BN82" t="str">
        <f>""</f>
        <v/>
      </c>
      <c r="BO82" t="str">
        <f>""</f>
        <v/>
      </c>
      <c r="BP82" t="str">
        <f>""</f>
        <v/>
      </c>
      <c r="BQ82" t="str">
        <f>""</f>
        <v/>
      </c>
      <c r="BR82" t="str">
        <f>""</f>
        <v/>
      </c>
      <c r="BS82" t="str">
        <f>""</f>
        <v/>
      </c>
      <c r="BT82" t="str">
        <f>""</f>
        <v/>
      </c>
      <c r="BU82" t="str">
        <f>""</f>
        <v/>
      </c>
      <c r="BV82" t="str">
        <f>""</f>
        <v/>
      </c>
      <c r="BW82" t="str">
        <f>""</f>
        <v/>
      </c>
      <c r="BX82" t="str">
        <f>""</f>
        <v/>
      </c>
      <c r="BY82" t="str">
        <f>""</f>
        <v/>
      </c>
      <c r="BZ82" t="str">
        <f>""</f>
        <v/>
      </c>
      <c r="CA82" t="str">
        <f>""</f>
        <v/>
      </c>
      <c r="CB82" t="str">
        <f>""</f>
        <v/>
      </c>
      <c r="CC82" t="str">
        <f>""</f>
        <v/>
      </c>
      <c r="CD82" t="str">
        <f>""</f>
        <v/>
      </c>
      <c r="CE82" t="str">
        <f>""</f>
        <v/>
      </c>
      <c r="CF82" t="str">
        <f>""</f>
        <v/>
      </c>
      <c r="CG82" t="str">
        <f>""</f>
        <v/>
      </c>
      <c r="CH82" t="str">
        <f>""</f>
        <v/>
      </c>
      <c r="CI82" t="str">
        <f>""</f>
        <v/>
      </c>
      <c r="CJ82" t="str">
        <f>""</f>
        <v/>
      </c>
      <c r="CK82" t="str">
        <f>""</f>
        <v/>
      </c>
      <c r="CL82" t="str">
        <f>""</f>
        <v/>
      </c>
      <c r="CM82" t="str">
        <f>""</f>
        <v/>
      </c>
    </row>
    <row r="84" spans="1:91" x14ac:dyDescent="0.3">
      <c r="A84" t="str">
        <f>"zMETAB9"</f>
        <v>zMETAB9</v>
      </c>
      <c r="B84" t="str">
        <f>""</f>
        <v/>
      </c>
      <c r="C84" t="str">
        <f>""</f>
        <v/>
      </c>
      <c r="D84" t="str">
        <f>""</f>
        <v/>
      </c>
      <c r="E84" t="str">
        <f>""</f>
        <v/>
      </c>
      <c r="F84" t="str">
        <f>""</f>
        <v/>
      </c>
      <c r="G84" t="str">
        <f>""</f>
        <v/>
      </c>
      <c r="H84" t="str">
        <f>""</f>
        <v/>
      </c>
      <c r="I84" t="str">
        <f>""</f>
        <v/>
      </c>
      <c r="J84" t="str">
        <f>""</f>
        <v/>
      </c>
      <c r="K84" t="str">
        <f>""</f>
        <v/>
      </c>
      <c r="L84" t="str">
        <f>""</f>
        <v/>
      </c>
      <c r="M84" t="str">
        <f>""</f>
        <v/>
      </c>
      <c r="N84" t="str">
        <f>""</f>
        <v/>
      </c>
      <c r="O84" t="str">
        <f>""</f>
        <v/>
      </c>
      <c r="P84" t="str">
        <f>""</f>
        <v/>
      </c>
      <c r="Q84" t="str">
        <f>""</f>
        <v/>
      </c>
      <c r="R84" t="str">
        <f>""</f>
        <v/>
      </c>
      <c r="S84" t="str">
        <f>""</f>
        <v/>
      </c>
      <c r="T84" t="str">
        <f>""</f>
        <v/>
      </c>
      <c r="U84" t="str">
        <f>""</f>
        <v/>
      </c>
      <c r="V84" t="str">
        <f>""</f>
        <v/>
      </c>
      <c r="W84" t="str">
        <f>""</f>
        <v/>
      </c>
      <c r="X84" t="str">
        <f>""</f>
        <v/>
      </c>
      <c r="Y84" t="str">
        <f>""</f>
        <v/>
      </c>
      <c r="Z84" t="str">
        <f>"-0.0422"</f>
        <v>-0.0422</v>
      </c>
      <c r="AA84" t="str">
        <f>"0.0238"</f>
        <v>0.0238</v>
      </c>
      <c r="AB84" t="str">
        <f>"-0.121**"</f>
        <v>-0.121**</v>
      </c>
      <c r="AC84" t="str">
        <f>""</f>
        <v/>
      </c>
      <c r="AD84" t="str">
        <f>""</f>
        <v/>
      </c>
      <c r="AE84" t="str">
        <f>""</f>
        <v/>
      </c>
      <c r="AF84" t="str">
        <f>""</f>
        <v/>
      </c>
      <c r="AG84" t="str">
        <f>""</f>
        <v/>
      </c>
      <c r="AH84" t="str">
        <f>""</f>
        <v/>
      </c>
      <c r="AI84" t="str">
        <f>""</f>
        <v/>
      </c>
      <c r="AJ84" t="str">
        <f>""</f>
        <v/>
      </c>
      <c r="AK84" t="str">
        <f>""</f>
        <v/>
      </c>
      <c r="AL84" t="str">
        <f>""</f>
        <v/>
      </c>
      <c r="AM84" t="str">
        <f>""</f>
        <v/>
      </c>
      <c r="AN84" t="str">
        <f>""</f>
        <v/>
      </c>
      <c r="AO84" t="str">
        <f>""</f>
        <v/>
      </c>
      <c r="AP84" t="str">
        <f>""</f>
        <v/>
      </c>
      <c r="AQ84" t="str">
        <f>""</f>
        <v/>
      </c>
      <c r="AR84" t="str">
        <f>""</f>
        <v/>
      </c>
      <c r="AS84" t="str">
        <f>""</f>
        <v/>
      </c>
      <c r="AT84" t="str">
        <f>""</f>
        <v/>
      </c>
      <c r="AU84" t="str">
        <f>""</f>
        <v/>
      </c>
      <c r="AV84" t="str">
        <f>""</f>
        <v/>
      </c>
      <c r="AW84" t="str">
        <f>""</f>
        <v/>
      </c>
      <c r="AX84" t="str">
        <f>""</f>
        <v/>
      </c>
      <c r="AY84" t="str">
        <f>""</f>
        <v/>
      </c>
      <c r="AZ84" t="str">
        <f>""</f>
        <v/>
      </c>
      <c r="BA84" t="str">
        <f>""</f>
        <v/>
      </c>
      <c r="BB84" t="str">
        <f>""</f>
        <v/>
      </c>
      <c r="BC84" t="str">
        <f>""</f>
        <v/>
      </c>
      <c r="BD84" t="str">
        <f>""</f>
        <v/>
      </c>
      <c r="BE84" t="str">
        <f>""</f>
        <v/>
      </c>
      <c r="BF84" t="str">
        <f>""</f>
        <v/>
      </c>
      <c r="BG84" t="str">
        <f>""</f>
        <v/>
      </c>
      <c r="BH84" t="str">
        <f>""</f>
        <v/>
      </c>
      <c r="BI84" t="str">
        <f>""</f>
        <v/>
      </c>
      <c r="BJ84" t="str">
        <f>""</f>
        <v/>
      </c>
      <c r="BK84" t="str">
        <f>""</f>
        <v/>
      </c>
      <c r="BL84" t="str">
        <f>""</f>
        <v/>
      </c>
      <c r="BM84" t="str">
        <f>""</f>
        <v/>
      </c>
      <c r="BN84" t="str">
        <f>""</f>
        <v/>
      </c>
      <c r="BO84" t="str">
        <f>""</f>
        <v/>
      </c>
      <c r="BP84" t="str">
        <f>""</f>
        <v/>
      </c>
      <c r="BQ84" t="str">
        <f>""</f>
        <v/>
      </c>
      <c r="BR84" t="str">
        <f>""</f>
        <v/>
      </c>
      <c r="BS84" t="str">
        <f>"-0.0271"</f>
        <v>-0.0271</v>
      </c>
      <c r="BT84" t="str">
        <f>"0.0509"</f>
        <v>0.0509</v>
      </c>
      <c r="BU84" t="str">
        <f>"-0.133***"</f>
        <v>-0.133***</v>
      </c>
      <c r="BV84" t="str">
        <f>""</f>
        <v/>
      </c>
      <c r="BW84" t="str">
        <f>""</f>
        <v/>
      </c>
      <c r="BX84" t="str">
        <f>""</f>
        <v/>
      </c>
      <c r="BY84" t="str">
        <f>""</f>
        <v/>
      </c>
      <c r="BZ84" t="str">
        <f>""</f>
        <v/>
      </c>
      <c r="CA84" t="str">
        <f>""</f>
        <v/>
      </c>
      <c r="CB84" t="str">
        <f>""</f>
        <v/>
      </c>
      <c r="CC84" t="str">
        <f>""</f>
        <v/>
      </c>
      <c r="CD84" t="str">
        <f>""</f>
        <v/>
      </c>
      <c r="CE84" t="str">
        <f>""</f>
        <v/>
      </c>
      <c r="CF84" t="str">
        <f>""</f>
        <v/>
      </c>
      <c r="CG84" t="str">
        <f>""</f>
        <v/>
      </c>
      <c r="CH84" t="str">
        <f>""</f>
        <v/>
      </c>
      <c r="CI84" t="str">
        <f>""</f>
        <v/>
      </c>
      <c r="CJ84" t="str">
        <f>""</f>
        <v/>
      </c>
      <c r="CK84" t="str">
        <f>""</f>
        <v/>
      </c>
      <c r="CL84" t="str">
        <f>""</f>
        <v/>
      </c>
      <c r="CM84" t="str">
        <f>""</f>
        <v/>
      </c>
    </row>
    <row r="85" spans="1:91" x14ac:dyDescent="0.3">
      <c r="A85" t="str">
        <f>""</f>
        <v/>
      </c>
      <c r="B85" t="str">
        <f>""</f>
        <v/>
      </c>
      <c r="C85" t="str">
        <f>""</f>
        <v/>
      </c>
      <c r="D85" t="str">
        <f>""</f>
        <v/>
      </c>
      <c r="E85" t="str">
        <f>""</f>
        <v/>
      </c>
      <c r="F85" t="str">
        <f>""</f>
        <v/>
      </c>
      <c r="G85" t="str">
        <f>""</f>
        <v/>
      </c>
      <c r="H85" t="str">
        <f>""</f>
        <v/>
      </c>
      <c r="I85" t="str">
        <f>""</f>
        <v/>
      </c>
      <c r="J85" t="str">
        <f>""</f>
        <v/>
      </c>
      <c r="K85" t="str">
        <f>""</f>
        <v/>
      </c>
      <c r="L85" t="str">
        <f>""</f>
        <v/>
      </c>
      <c r="M85" t="str">
        <f>""</f>
        <v/>
      </c>
      <c r="N85" t="str">
        <f>""</f>
        <v/>
      </c>
      <c r="O85" t="str">
        <f>""</f>
        <v/>
      </c>
      <c r="P85" t="str">
        <f>""</f>
        <v/>
      </c>
      <c r="Q85" t="str">
        <f>""</f>
        <v/>
      </c>
      <c r="R85" t="str">
        <f>""</f>
        <v/>
      </c>
      <c r="S85" t="str">
        <f>""</f>
        <v/>
      </c>
      <c r="T85" t="str">
        <f>""</f>
        <v/>
      </c>
      <c r="U85" t="str">
        <f>""</f>
        <v/>
      </c>
      <c r="V85" t="str">
        <f>""</f>
        <v/>
      </c>
      <c r="W85" t="str">
        <f>""</f>
        <v/>
      </c>
      <c r="X85" t="str">
        <f>""</f>
        <v/>
      </c>
      <c r="Y85" t="str">
        <f>""</f>
        <v/>
      </c>
      <c r="Z85" t="str">
        <f>"(0.0969)"</f>
        <v>(0.0969)</v>
      </c>
      <c r="AA85" t="str">
        <f>"(0.0909)"</f>
        <v>(0.0909)</v>
      </c>
      <c r="AB85" t="str">
        <f>"(0.0396)"</f>
        <v>(0.0396)</v>
      </c>
      <c r="AC85" t="str">
        <f>""</f>
        <v/>
      </c>
      <c r="AD85" t="str">
        <f>""</f>
        <v/>
      </c>
      <c r="AE85" t="str">
        <f>""</f>
        <v/>
      </c>
      <c r="AF85" t="str">
        <f>""</f>
        <v/>
      </c>
      <c r="AG85" t="str">
        <f>""</f>
        <v/>
      </c>
      <c r="AH85" t="str">
        <f>""</f>
        <v/>
      </c>
      <c r="AI85" t="str">
        <f>""</f>
        <v/>
      </c>
      <c r="AJ85" t="str">
        <f>""</f>
        <v/>
      </c>
      <c r="AK85" t="str">
        <f>""</f>
        <v/>
      </c>
      <c r="AL85" t="str">
        <f>""</f>
        <v/>
      </c>
      <c r="AM85" t="str">
        <f>""</f>
        <v/>
      </c>
      <c r="AN85" t="str">
        <f>""</f>
        <v/>
      </c>
      <c r="AO85" t="str">
        <f>""</f>
        <v/>
      </c>
      <c r="AP85" t="str">
        <f>""</f>
        <v/>
      </c>
      <c r="AQ85" t="str">
        <f>""</f>
        <v/>
      </c>
      <c r="AR85" t="str">
        <f>""</f>
        <v/>
      </c>
      <c r="AS85" t="str">
        <f>""</f>
        <v/>
      </c>
      <c r="AT85" t="str">
        <f>""</f>
        <v/>
      </c>
      <c r="AU85" t="str">
        <f>""</f>
        <v/>
      </c>
      <c r="AV85" t="str">
        <f>""</f>
        <v/>
      </c>
      <c r="AW85" t="str">
        <f>""</f>
        <v/>
      </c>
      <c r="AX85" t="str">
        <f>""</f>
        <v/>
      </c>
      <c r="AY85" t="str">
        <f>""</f>
        <v/>
      </c>
      <c r="AZ85" t="str">
        <f>""</f>
        <v/>
      </c>
      <c r="BA85" t="str">
        <f>""</f>
        <v/>
      </c>
      <c r="BB85" t="str">
        <f>""</f>
        <v/>
      </c>
      <c r="BC85" t="str">
        <f>""</f>
        <v/>
      </c>
      <c r="BD85" t="str">
        <f>""</f>
        <v/>
      </c>
      <c r="BE85" t="str">
        <f>""</f>
        <v/>
      </c>
      <c r="BF85" t="str">
        <f>""</f>
        <v/>
      </c>
      <c r="BG85" t="str">
        <f>""</f>
        <v/>
      </c>
      <c r="BH85" t="str">
        <f>""</f>
        <v/>
      </c>
      <c r="BI85" t="str">
        <f>""</f>
        <v/>
      </c>
      <c r="BJ85" t="str">
        <f>""</f>
        <v/>
      </c>
      <c r="BK85" t="str">
        <f>""</f>
        <v/>
      </c>
      <c r="BL85" t="str">
        <f>""</f>
        <v/>
      </c>
      <c r="BM85" t="str">
        <f>""</f>
        <v/>
      </c>
      <c r="BN85" t="str">
        <f>""</f>
        <v/>
      </c>
      <c r="BO85" t="str">
        <f>""</f>
        <v/>
      </c>
      <c r="BP85" t="str">
        <f>""</f>
        <v/>
      </c>
      <c r="BQ85" t="str">
        <f>""</f>
        <v/>
      </c>
      <c r="BR85" t="str">
        <f>""</f>
        <v/>
      </c>
      <c r="BS85" t="str">
        <f>"(0.0787)"</f>
        <v>(0.0787)</v>
      </c>
      <c r="BT85" t="str">
        <f>"(0.0926)"</f>
        <v>(0.0926)</v>
      </c>
      <c r="BU85" t="str">
        <f>"(0.0335)"</f>
        <v>(0.0335)</v>
      </c>
      <c r="BV85" t="str">
        <f>""</f>
        <v/>
      </c>
      <c r="BW85" t="str">
        <f>""</f>
        <v/>
      </c>
      <c r="BX85" t="str">
        <f>""</f>
        <v/>
      </c>
      <c r="BY85" t="str">
        <f>""</f>
        <v/>
      </c>
      <c r="BZ85" t="str">
        <f>""</f>
        <v/>
      </c>
      <c r="CA85" t="str">
        <f>""</f>
        <v/>
      </c>
      <c r="CB85" t="str">
        <f>""</f>
        <v/>
      </c>
      <c r="CC85" t="str">
        <f>""</f>
        <v/>
      </c>
      <c r="CD85" t="str">
        <f>""</f>
        <v/>
      </c>
      <c r="CE85" t="str">
        <f>""</f>
        <v/>
      </c>
      <c r="CF85" t="str">
        <f>""</f>
        <v/>
      </c>
      <c r="CG85" t="str">
        <f>""</f>
        <v/>
      </c>
      <c r="CH85" t="str">
        <f>""</f>
        <v/>
      </c>
      <c r="CI85" t="str">
        <f>""</f>
        <v/>
      </c>
      <c r="CJ85" t="str">
        <f>""</f>
        <v/>
      </c>
      <c r="CK85" t="str">
        <f>""</f>
        <v/>
      </c>
      <c r="CL85" t="str">
        <f>""</f>
        <v/>
      </c>
      <c r="CM85" t="str">
        <f>""</f>
        <v/>
      </c>
    </row>
    <row r="87" spans="1:91" x14ac:dyDescent="0.3">
      <c r="A87" t="str">
        <f>"c.zMETAB9#c.neflbr"</f>
        <v>c.zMETAB9#c.neflbr</v>
      </c>
      <c r="B87" t="str">
        <f>""</f>
        <v/>
      </c>
      <c r="C87" t="str">
        <f>""</f>
        <v/>
      </c>
      <c r="D87" t="str">
        <f>""</f>
        <v/>
      </c>
      <c r="E87" t="str">
        <f>""</f>
        <v/>
      </c>
      <c r="F87" t="str">
        <f>""</f>
        <v/>
      </c>
      <c r="G87" t="str">
        <f>""</f>
        <v/>
      </c>
      <c r="H87" t="str">
        <f>""</f>
        <v/>
      </c>
      <c r="I87" t="str">
        <f>""</f>
        <v/>
      </c>
      <c r="J87" t="str">
        <f>""</f>
        <v/>
      </c>
      <c r="K87" t="str">
        <f>""</f>
        <v/>
      </c>
      <c r="L87" t="str">
        <f>""</f>
        <v/>
      </c>
      <c r="M87" t="str">
        <f>""</f>
        <v/>
      </c>
      <c r="N87" t="str">
        <f>""</f>
        <v/>
      </c>
      <c r="O87" t="str">
        <f>""</f>
        <v/>
      </c>
      <c r="P87" t="str">
        <f>""</f>
        <v/>
      </c>
      <c r="Q87" t="str">
        <f>""</f>
        <v/>
      </c>
      <c r="R87" t="str">
        <f>""</f>
        <v/>
      </c>
      <c r="S87" t="str">
        <f>""</f>
        <v/>
      </c>
      <c r="T87" t="str">
        <f>""</f>
        <v/>
      </c>
      <c r="U87" t="str">
        <f>""</f>
        <v/>
      </c>
      <c r="V87" t="str">
        <f>""</f>
        <v/>
      </c>
      <c r="W87" t="str">
        <f>""</f>
        <v/>
      </c>
      <c r="X87" t="str">
        <f>""</f>
        <v/>
      </c>
      <c r="Y87" t="str">
        <f>""</f>
        <v/>
      </c>
      <c r="Z87" t="str">
        <f>"-0.0752"</f>
        <v>-0.0752</v>
      </c>
      <c r="AA87" t="str">
        <f>"-0.132"</f>
        <v>-0.132</v>
      </c>
      <c r="AB87" t="str">
        <f>"0.0160"</f>
        <v>0.0160</v>
      </c>
      <c r="AC87" t="str">
        <f>""</f>
        <v/>
      </c>
      <c r="AD87" t="str">
        <f>""</f>
        <v/>
      </c>
      <c r="AE87" t="str">
        <f>""</f>
        <v/>
      </c>
      <c r="AF87" t="str">
        <f>""</f>
        <v/>
      </c>
      <c r="AG87" t="str">
        <f>""</f>
        <v/>
      </c>
      <c r="AH87" t="str">
        <f>""</f>
        <v/>
      </c>
      <c r="AI87" t="str">
        <f>""</f>
        <v/>
      </c>
      <c r="AJ87" t="str">
        <f>""</f>
        <v/>
      </c>
      <c r="AK87" t="str">
        <f>""</f>
        <v/>
      </c>
      <c r="AL87" t="str">
        <f>""</f>
        <v/>
      </c>
      <c r="AM87" t="str">
        <f>""</f>
        <v/>
      </c>
      <c r="AN87" t="str">
        <f>""</f>
        <v/>
      </c>
      <c r="AO87" t="str">
        <f>""</f>
        <v/>
      </c>
      <c r="AP87" t="str">
        <f>""</f>
        <v/>
      </c>
      <c r="AQ87" t="str">
        <f>""</f>
        <v/>
      </c>
      <c r="AR87" t="str">
        <f>""</f>
        <v/>
      </c>
      <c r="AS87" t="str">
        <f>""</f>
        <v/>
      </c>
      <c r="AT87" t="str">
        <f>""</f>
        <v/>
      </c>
      <c r="AU87" t="str">
        <f>""</f>
        <v/>
      </c>
      <c r="AV87" t="str">
        <f>""</f>
        <v/>
      </c>
      <c r="AW87" t="str">
        <f>""</f>
        <v/>
      </c>
      <c r="AX87" t="str">
        <f>""</f>
        <v/>
      </c>
      <c r="AY87" t="str">
        <f>""</f>
        <v/>
      </c>
      <c r="AZ87" t="str">
        <f>""</f>
        <v/>
      </c>
      <c r="BA87" t="str">
        <f>""</f>
        <v/>
      </c>
      <c r="BB87" t="str">
        <f>""</f>
        <v/>
      </c>
      <c r="BC87" t="str">
        <f>""</f>
        <v/>
      </c>
      <c r="BD87" t="str">
        <f>""</f>
        <v/>
      </c>
      <c r="BE87" t="str">
        <f>""</f>
        <v/>
      </c>
      <c r="BF87" t="str">
        <f>""</f>
        <v/>
      </c>
      <c r="BG87" t="str">
        <f>""</f>
        <v/>
      </c>
      <c r="BH87" t="str">
        <f>""</f>
        <v/>
      </c>
      <c r="BI87" t="str">
        <f>""</f>
        <v/>
      </c>
      <c r="BJ87" t="str">
        <f>""</f>
        <v/>
      </c>
      <c r="BK87" t="str">
        <f>""</f>
        <v/>
      </c>
      <c r="BL87" t="str">
        <f>""</f>
        <v/>
      </c>
      <c r="BM87" t="str">
        <f>""</f>
        <v/>
      </c>
      <c r="BN87" t="str">
        <f>""</f>
        <v/>
      </c>
      <c r="BO87" t="str">
        <f>""</f>
        <v/>
      </c>
      <c r="BP87" t="str">
        <f>""</f>
        <v/>
      </c>
      <c r="BQ87" t="str">
        <f>""</f>
        <v/>
      </c>
      <c r="BR87" t="str">
        <f>""</f>
        <v/>
      </c>
      <c r="BS87" t="str">
        <f>""</f>
        <v/>
      </c>
      <c r="BT87" t="str">
        <f>""</f>
        <v/>
      </c>
      <c r="BU87" t="str">
        <f>""</f>
        <v/>
      </c>
      <c r="BV87" t="str">
        <f>""</f>
        <v/>
      </c>
      <c r="BW87" t="str">
        <f>""</f>
        <v/>
      </c>
      <c r="BX87" t="str">
        <f>""</f>
        <v/>
      </c>
      <c r="BY87" t="str">
        <f>""</f>
        <v/>
      </c>
      <c r="BZ87" t="str">
        <f>""</f>
        <v/>
      </c>
      <c r="CA87" t="str">
        <f>""</f>
        <v/>
      </c>
      <c r="CB87" t="str">
        <f>""</f>
        <v/>
      </c>
      <c r="CC87" t="str">
        <f>""</f>
        <v/>
      </c>
      <c r="CD87" t="str">
        <f>""</f>
        <v/>
      </c>
      <c r="CE87" t="str">
        <f>""</f>
        <v/>
      </c>
      <c r="CF87" t="str">
        <f>""</f>
        <v/>
      </c>
      <c r="CG87" t="str">
        <f>""</f>
        <v/>
      </c>
      <c r="CH87" t="str">
        <f>""</f>
        <v/>
      </c>
      <c r="CI87" t="str">
        <f>""</f>
        <v/>
      </c>
      <c r="CJ87" t="str">
        <f>""</f>
        <v/>
      </c>
      <c r="CK87" t="str">
        <f>""</f>
        <v/>
      </c>
      <c r="CL87" t="str">
        <f>""</f>
        <v/>
      </c>
      <c r="CM87" t="str">
        <f>""</f>
        <v/>
      </c>
    </row>
    <row r="88" spans="1:91" x14ac:dyDescent="0.3">
      <c r="A88" t="str">
        <f>""</f>
        <v/>
      </c>
      <c r="B88" t="str">
        <f>""</f>
        <v/>
      </c>
      <c r="C88" t="str">
        <f>""</f>
        <v/>
      </c>
      <c r="D88" t="str">
        <f>""</f>
        <v/>
      </c>
      <c r="E88" t="str">
        <f>""</f>
        <v/>
      </c>
      <c r="F88" t="str">
        <f>""</f>
        <v/>
      </c>
      <c r="G88" t="str">
        <f>""</f>
        <v/>
      </c>
      <c r="H88" t="str">
        <f>""</f>
        <v/>
      </c>
      <c r="I88" t="str">
        <f>""</f>
        <v/>
      </c>
      <c r="J88" t="str">
        <f>""</f>
        <v/>
      </c>
      <c r="K88" t="str">
        <f>""</f>
        <v/>
      </c>
      <c r="L88" t="str">
        <f>""</f>
        <v/>
      </c>
      <c r="M88" t="str">
        <f>""</f>
        <v/>
      </c>
      <c r="N88" t="str">
        <f>""</f>
        <v/>
      </c>
      <c r="O88" t="str">
        <f>""</f>
        <v/>
      </c>
      <c r="P88" t="str">
        <f>""</f>
        <v/>
      </c>
      <c r="Q88" t="str">
        <f>""</f>
        <v/>
      </c>
      <c r="R88" t="str">
        <f>""</f>
        <v/>
      </c>
      <c r="S88" t="str">
        <f>""</f>
        <v/>
      </c>
      <c r="T88" t="str">
        <f>""</f>
        <v/>
      </c>
      <c r="U88" t="str">
        <f>""</f>
        <v/>
      </c>
      <c r="V88" t="str">
        <f>""</f>
        <v/>
      </c>
      <c r="W88" t="str">
        <f>""</f>
        <v/>
      </c>
      <c r="X88" t="str">
        <f>""</f>
        <v/>
      </c>
      <c r="Y88" t="str">
        <f>""</f>
        <v/>
      </c>
      <c r="Z88" t="str">
        <f>"(0.115)"</f>
        <v>(0.115)</v>
      </c>
      <c r="AA88" t="str">
        <f>"(0.101)"</f>
        <v>(0.101)</v>
      </c>
      <c r="AB88" t="str">
        <f>"(0.0481)"</f>
        <v>(0.0481)</v>
      </c>
      <c r="AC88" t="str">
        <f>""</f>
        <v/>
      </c>
      <c r="AD88" t="str">
        <f>""</f>
        <v/>
      </c>
      <c r="AE88" t="str">
        <f>""</f>
        <v/>
      </c>
      <c r="AF88" t="str">
        <f>""</f>
        <v/>
      </c>
      <c r="AG88" t="str">
        <f>""</f>
        <v/>
      </c>
      <c r="AH88" t="str">
        <f>""</f>
        <v/>
      </c>
      <c r="AI88" t="str">
        <f>""</f>
        <v/>
      </c>
      <c r="AJ88" t="str">
        <f>""</f>
        <v/>
      </c>
      <c r="AK88" t="str">
        <f>""</f>
        <v/>
      </c>
      <c r="AL88" t="str">
        <f>""</f>
        <v/>
      </c>
      <c r="AM88" t="str">
        <f>""</f>
        <v/>
      </c>
      <c r="AN88" t="str">
        <f>""</f>
        <v/>
      </c>
      <c r="AO88" t="str">
        <f>""</f>
        <v/>
      </c>
      <c r="AP88" t="str">
        <f>""</f>
        <v/>
      </c>
      <c r="AQ88" t="str">
        <f>""</f>
        <v/>
      </c>
      <c r="AR88" t="str">
        <f>""</f>
        <v/>
      </c>
      <c r="AS88" t="str">
        <f>""</f>
        <v/>
      </c>
      <c r="AT88" t="str">
        <f>""</f>
        <v/>
      </c>
      <c r="AU88" t="str">
        <f>""</f>
        <v/>
      </c>
      <c r="AV88" t="str">
        <f>""</f>
        <v/>
      </c>
      <c r="AW88" t="str">
        <f>""</f>
        <v/>
      </c>
      <c r="AX88" t="str">
        <f>""</f>
        <v/>
      </c>
      <c r="AY88" t="str">
        <f>""</f>
        <v/>
      </c>
      <c r="AZ88" t="str">
        <f>""</f>
        <v/>
      </c>
      <c r="BA88" t="str">
        <f>""</f>
        <v/>
      </c>
      <c r="BB88" t="str">
        <f>""</f>
        <v/>
      </c>
      <c r="BC88" t="str">
        <f>""</f>
        <v/>
      </c>
      <c r="BD88" t="str">
        <f>""</f>
        <v/>
      </c>
      <c r="BE88" t="str">
        <f>""</f>
        <v/>
      </c>
      <c r="BF88" t="str">
        <f>""</f>
        <v/>
      </c>
      <c r="BG88" t="str">
        <f>""</f>
        <v/>
      </c>
      <c r="BH88" t="str">
        <f>""</f>
        <v/>
      </c>
      <c r="BI88" t="str">
        <f>""</f>
        <v/>
      </c>
      <c r="BJ88" t="str">
        <f>""</f>
        <v/>
      </c>
      <c r="BK88" t="str">
        <f>""</f>
        <v/>
      </c>
      <c r="BL88" t="str">
        <f>""</f>
        <v/>
      </c>
      <c r="BM88" t="str">
        <f>""</f>
        <v/>
      </c>
      <c r="BN88" t="str">
        <f>""</f>
        <v/>
      </c>
      <c r="BO88" t="str">
        <f>""</f>
        <v/>
      </c>
      <c r="BP88" t="str">
        <f>""</f>
        <v/>
      </c>
      <c r="BQ88" t="str">
        <f>""</f>
        <v/>
      </c>
      <c r="BR88" t="str">
        <f>""</f>
        <v/>
      </c>
      <c r="BS88" t="str">
        <f>""</f>
        <v/>
      </c>
      <c r="BT88" t="str">
        <f>""</f>
        <v/>
      </c>
      <c r="BU88" t="str">
        <f>""</f>
        <v/>
      </c>
      <c r="BV88" t="str">
        <f>""</f>
        <v/>
      </c>
      <c r="BW88" t="str">
        <f>""</f>
        <v/>
      </c>
      <c r="BX88" t="str">
        <f>""</f>
        <v/>
      </c>
      <c r="BY88" t="str">
        <f>""</f>
        <v/>
      </c>
      <c r="BZ88" t="str">
        <f>""</f>
        <v/>
      </c>
      <c r="CA88" t="str">
        <f>""</f>
        <v/>
      </c>
      <c r="CB88" t="str">
        <f>""</f>
        <v/>
      </c>
      <c r="CC88" t="str">
        <f>""</f>
        <v/>
      </c>
      <c r="CD88" t="str">
        <f>""</f>
        <v/>
      </c>
      <c r="CE88" t="str">
        <f>""</f>
        <v/>
      </c>
      <c r="CF88" t="str">
        <f>""</f>
        <v/>
      </c>
      <c r="CG88" t="str">
        <f>""</f>
        <v/>
      </c>
      <c r="CH88" t="str">
        <f>""</f>
        <v/>
      </c>
      <c r="CI88" t="str">
        <f>""</f>
        <v/>
      </c>
      <c r="CJ88" t="str">
        <f>""</f>
        <v/>
      </c>
      <c r="CK88" t="str">
        <f>""</f>
        <v/>
      </c>
      <c r="CL88" t="str">
        <f>""</f>
        <v/>
      </c>
      <c r="CM88" t="str">
        <f>""</f>
        <v/>
      </c>
    </row>
    <row r="90" spans="1:91" x14ac:dyDescent="0.3">
      <c r="A90" t="str">
        <f>"zMETAB10"</f>
        <v>zMETAB10</v>
      </c>
      <c r="B90" t="str">
        <f>""</f>
        <v/>
      </c>
      <c r="C90" t="str">
        <f>""</f>
        <v/>
      </c>
      <c r="D90" t="str">
        <f>""</f>
        <v/>
      </c>
      <c r="E90" t="str">
        <f>""</f>
        <v/>
      </c>
      <c r="F90" t="str">
        <f>""</f>
        <v/>
      </c>
      <c r="G90" t="str">
        <f>""</f>
        <v/>
      </c>
      <c r="H90" t="str">
        <f>""</f>
        <v/>
      </c>
      <c r="I90" t="str">
        <f>""</f>
        <v/>
      </c>
      <c r="J90" t="str">
        <f>""</f>
        <v/>
      </c>
      <c r="K90" t="str">
        <f>""</f>
        <v/>
      </c>
      <c r="L90" t="str">
        <f>""</f>
        <v/>
      </c>
      <c r="M90" t="str">
        <f>""</f>
        <v/>
      </c>
      <c r="N90" t="str">
        <f>""</f>
        <v/>
      </c>
      <c r="O90" t="str">
        <f>""</f>
        <v/>
      </c>
      <c r="P90" t="str">
        <f>""</f>
        <v/>
      </c>
      <c r="Q90" t="str">
        <f>""</f>
        <v/>
      </c>
      <c r="R90" t="str">
        <f>""</f>
        <v/>
      </c>
      <c r="S90" t="str">
        <f>""</f>
        <v/>
      </c>
      <c r="T90" t="str">
        <f>""</f>
        <v/>
      </c>
      <c r="U90" t="str">
        <f>""</f>
        <v/>
      </c>
      <c r="V90" t="str">
        <f>""</f>
        <v/>
      </c>
      <c r="W90" t="str">
        <f>""</f>
        <v/>
      </c>
      <c r="X90" t="str">
        <f>""</f>
        <v/>
      </c>
      <c r="Y90" t="str">
        <f>""</f>
        <v/>
      </c>
      <c r="Z90" t="str">
        <f>""</f>
        <v/>
      </c>
      <c r="AA90" t="str">
        <f>""</f>
        <v/>
      </c>
      <c r="AB90" t="str">
        <f>""</f>
        <v/>
      </c>
      <c r="AC90" t="str">
        <f>"0.0615"</f>
        <v>0.0615</v>
      </c>
      <c r="AD90" t="str">
        <f>"-0.0960"</f>
        <v>-0.0960</v>
      </c>
      <c r="AE90" t="str">
        <f>"0.132***"</f>
        <v>0.132***</v>
      </c>
      <c r="AF90" t="str">
        <f>""</f>
        <v/>
      </c>
      <c r="AG90" t="str">
        <f>""</f>
        <v/>
      </c>
      <c r="AH90" t="str">
        <f>""</f>
        <v/>
      </c>
      <c r="AI90" t="str">
        <f>""</f>
        <v/>
      </c>
      <c r="AJ90" t="str">
        <f>""</f>
        <v/>
      </c>
      <c r="AK90" t="str">
        <f>""</f>
        <v/>
      </c>
      <c r="AL90" t="str">
        <f>""</f>
        <v/>
      </c>
      <c r="AM90" t="str">
        <f>""</f>
        <v/>
      </c>
      <c r="AN90" t="str">
        <f>""</f>
        <v/>
      </c>
      <c r="AO90" t="str">
        <f>""</f>
        <v/>
      </c>
      <c r="AP90" t="str">
        <f>""</f>
        <v/>
      </c>
      <c r="AQ90" t="str">
        <f>""</f>
        <v/>
      </c>
      <c r="AR90" t="str">
        <f>""</f>
        <v/>
      </c>
      <c r="AS90" t="str">
        <f>""</f>
        <v/>
      </c>
      <c r="AT90" t="str">
        <f>""</f>
        <v/>
      </c>
      <c r="AU90" t="str">
        <f>""</f>
        <v/>
      </c>
      <c r="AV90" t="str">
        <f>""</f>
        <v/>
      </c>
      <c r="AW90" t="str">
        <f>""</f>
        <v/>
      </c>
      <c r="AX90" t="str">
        <f>""</f>
        <v/>
      </c>
      <c r="AY90" t="str">
        <f>""</f>
        <v/>
      </c>
      <c r="AZ90" t="str">
        <f>""</f>
        <v/>
      </c>
      <c r="BA90" t="str">
        <f>""</f>
        <v/>
      </c>
      <c r="BB90" t="str">
        <f>""</f>
        <v/>
      </c>
      <c r="BC90" t="str">
        <f>""</f>
        <v/>
      </c>
      <c r="BD90" t="str">
        <f>""</f>
        <v/>
      </c>
      <c r="BE90" t="str">
        <f>""</f>
        <v/>
      </c>
      <c r="BF90" t="str">
        <f>""</f>
        <v/>
      </c>
      <c r="BG90" t="str">
        <f>""</f>
        <v/>
      </c>
      <c r="BH90" t="str">
        <f>""</f>
        <v/>
      </c>
      <c r="BI90" t="str">
        <f>""</f>
        <v/>
      </c>
      <c r="BJ90" t="str">
        <f>""</f>
        <v/>
      </c>
      <c r="BK90" t="str">
        <f>""</f>
        <v/>
      </c>
      <c r="BL90" t="str">
        <f>""</f>
        <v/>
      </c>
      <c r="BM90" t="str">
        <f>""</f>
        <v/>
      </c>
      <c r="BN90" t="str">
        <f>""</f>
        <v/>
      </c>
      <c r="BO90" t="str">
        <f>""</f>
        <v/>
      </c>
      <c r="BP90" t="str">
        <f>""</f>
        <v/>
      </c>
      <c r="BQ90" t="str">
        <f>""</f>
        <v/>
      </c>
      <c r="BR90" t="str">
        <f>""</f>
        <v/>
      </c>
      <c r="BS90" t="str">
        <f>""</f>
        <v/>
      </c>
      <c r="BT90" t="str">
        <f>""</f>
        <v/>
      </c>
      <c r="BU90" t="str">
        <f>""</f>
        <v/>
      </c>
      <c r="BV90" t="str">
        <f>"0.128"</f>
        <v>0.128</v>
      </c>
      <c r="BW90" t="str">
        <f>"-0.0853"</f>
        <v>-0.0853</v>
      </c>
      <c r="BX90" t="str">
        <f>"0.0950**"</f>
        <v>0.0950**</v>
      </c>
      <c r="BY90" t="str">
        <f>""</f>
        <v/>
      </c>
      <c r="BZ90" t="str">
        <f>""</f>
        <v/>
      </c>
      <c r="CA90" t="str">
        <f>""</f>
        <v/>
      </c>
      <c r="CB90" t="str">
        <f>""</f>
        <v/>
      </c>
      <c r="CC90" t="str">
        <f>""</f>
        <v/>
      </c>
      <c r="CD90" t="str">
        <f>""</f>
        <v/>
      </c>
      <c r="CE90" t="str">
        <f>""</f>
        <v/>
      </c>
      <c r="CF90" t="str">
        <f>""</f>
        <v/>
      </c>
      <c r="CG90" t="str">
        <f>""</f>
        <v/>
      </c>
      <c r="CH90" t="str">
        <f>""</f>
        <v/>
      </c>
      <c r="CI90" t="str">
        <f>""</f>
        <v/>
      </c>
      <c r="CJ90" t="str">
        <f>""</f>
        <v/>
      </c>
      <c r="CK90" t="str">
        <f>""</f>
        <v/>
      </c>
      <c r="CL90" t="str">
        <f>""</f>
        <v/>
      </c>
      <c r="CM90" t="str">
        <f>""</f>
        <v/>
      </c>
    </row>
    <row r="91" spans="1:91" x14ac:dyDescent="0.3">
      <c r="A91" t="str">
        <f>""</f>
        <v/>
      </c>
      <c r="B91" t="str">
        <f>""</f>
        <v/>
      </c>
      <c r="C91" t="str">
        <f>""</f>
        <v/>
      </c>
      <c r="D91" t="str">
        <f>""</f>
        <v/>
      </c>
      <c r="E91" t="str">
        <f>""</f>
        <v/>
      </c>
      <c r="F91" t="str">
        <f>""</f>
        <v/>
      </c>
      <c r="G91" t="str">
        <f>""</f>
        <v/>
      </c>
      <c r="H91" t="str">
        <f>""</f>
        <v/>
      </c>
      <c r="I91" t="str">
        <f>""</f>
        <v/>
      </c>
      <c r="J91" t="str">
        <f>""</f>
        <v/>
      </c>
      <c r="K91" t="str">
        <f>""</f>
        <v/>
      </c>
      <c r="L91" t="str">
        <f>""</f>
        <v/>
      </c>
      <c r="M91" t="str">
        <f>""</f>
        <v/>
      </c>
      <c r="N91" t="str">
        <f>""</f>
        <v/>
      </c>
      <c r="O91" t="str">
        <f>""</f>
        <v/>
      </c>
      <c r="P91" t="str">
        <f>""</f>
        <v/>
      </c>
      <c r="Q91" t="str">
        <f>""</f>
        <v/>
      </c>
      <c r="R91" t="str">
        <f>""</f>
        <v/>
      </c>
      <c r="S91" t="str">
        <f>""</f>
        <v/>
      </c>
      <c r="T91" t="str">
        <f>""</f>
        <v/>
      </c>
      <c r="U91" t="str">
        <f>""</f>
        <v/>
      </c>
      <c r="V91" t="str">
        <f>""</f>
        <v/>
      </c>
      <c r="W91" t="str">
        <f>""</f>
        <v/>
      </c>
      <c r="X91" t="str">
        <f>""</f>
        <v/>
      </c>
      <c r="Y91" t="str">
        <f>""</f>
        <v/>
      </c>
      <c r="Z91" t="str">
        <f>""</f>
        <v/>
      </c>
      <c r="AA91" t="str">
        <f>""</f>
        <v/>
      </c>
      <c r="AB91" t="str">
        <f>""</f>
        <v/>
      </c>
      <c r="AC91" t="str">
        <f>"(0.0937)"</f>
        <v>(0.0937)</v>
      </c>
      <c r="AD91" t="str">
        <f>"(0.0919)"</f>
        <v>(0.0919)</v>
      </c>
      <c r="AE91" t="str">
        <f>"(0.0375)"</f>
        <v>(0.0375)</v>
      </c>
      <c r="AF91" t="str">
        <f>""</f>
        <v/>
      </c>
      <c r="AG91" t="str">
        <f>""</f>
        <v/>
      </c>
      <c r="AH91" t="str">
        <f>""</f>
        <v/>
      </c>
      <c r="AI91" t="str">
        <f>""</f>
        <v/>
      </c>
      <c r="AJ91" t="str">
        <f>""</f>
        <v/>
      </c>
      <c r="AK91" t="str">
        <f>""</f>
        <v/>
      </c>
      <c r="AL91" t="str">
        <f>""</f>
        <v/>
      </c>
      <c r="AM91" t="str">
        <f>""</f>
        <v/>
      </c>
      <c r="AN91" t="str">
        <f>""</f>
        <v/>
      </c>
      <c r="AO91" t="str">
        <f>""</f>
        <v/>
      </c>
      <c r="AP91" t="str">
        <f>""</f>
        <v/>
      </c>
      <c r="AQ91" t="str">
        <f>""</f>
        <v/>
      </c>
      <c r="AR91" t="str">
        <f>""</f>
        <v/>
      </c>
      <c r="AS91" t="str">
        <f>""</f>
        <v/>
      </c>
      <c r="AT91" t="str">
        <f>""</f>
        <v/>
      </c>
      <c r="AU91" t="str">
        <f>""</f>
        <v/>
      </c>
      <c r="AV91" t="str">
        <f>""</f>
        <v/>
      </c>
      <c r="AW91" t="str">
        <f>""</f>
        <v/>
      </c>
      <c r="AX91" t="str">
        <f>""</f>
        <v/>
      </c>
      <c r="AY91" t="str">
        <f>""</f>
        <v/>
      </c>
      <c r="AZ91" t="str">
        <f>""</f>
        <v/>
      </c>
      <c r="BA91" t="str">
        <f>""</f>
        <v/>
      </c>
      <c r="BB91" t="str">
        <f>""</f>
        <v/>
      </c>
      <c r="BC91" t="str">
        <f>""</f>
        <v/>
      </c>
      <c r="BD91" t="str">
        <f>""</f>
        <v/>
      </c>
      <c r="BE91" t="str">
        <f>""</f>
        <v/>
      </c>
      <c r="BF91" t="str">
        <f>""</f>
        <v/>
      </c>
      <c r="BG91" t="str">
        <f>""</f>
        <v/>
      </c>
      <c r="BH91" t="str">
        <f>""</f>
        <v/>
      </c>
      <c r="BI91" t="str">
        <f>""</f>
        <v/>
      </c>
      <c r="BJ91" t="str">
        <f>""</f>
        <v/>
      </c>
      <c r="BK91" t="str">
        <f>""</f>
        <v/>
      </c>
      <c r="BL91" t="str">
        <f>""</f>
        <v/>
      </c>
      <c r="BM91" t="str">
        <f>""</f>
        <v/>
      </c>
      <c r="BN91" t="str">
        <f>""</f>
        <v/>
      </c>
      <c r="BO91" t="str">
        <f>""</f>
        <v/>
      </c>
      <c r="BP91" t="str">
        <f>""</f>
        <v/>
      </c>
      <c r="BQ91" t="str">
        <f>""</f>
        <v/>
      </c>
      <c r="BR91" t="str">
        <f>""</f>
        <v/>
      </c>
      <c r="BS91" t="str">
        <f>""</f>
        <v/>
      </c>
      <c r="BT91" t="str">
        <f>""</f>
        <v/>
      </c>
      <c r="BU91" t="str">
        <f>""</f>
        <v/>
      </c>
      <c r="BV91" t="str">
        <f>"(0.0747)"</f>
        <v>(0.0747)</v>
      </c>
      <c r="BW91" t="str">
        <f>"(0.0937)"</f>
        <v>(0.0937)</v>
      </c>
      <c r="BX91" t="str">
        <f>"(0.0320)"</f>
        <v>(0.0320)</v>
      </c>
      <c r="BY91" t="str">
        <f>""</f>
        <v/>
      </c>
      <c r="BZ91" t="str">
        <f>""</f>
        <v/>
      </c>
      <c r="CA91" t="str">
        <f>""</f>
        <v/>
      </c>
      <c r="CB91" t="str">
        <f>""</f>
        <v/>
      </c>
      <c r="CC91" t="str">
        <f>""</f>
        <v/>
      </c>
      <c r="CD91" t="str">
        <f>""</f>
        <v/>
      </c>
      <c r="CE91" t="str">
        <f>""</f>
        <v/>
      </c>
      <c r="CF91" t="str">
        <f>""</f>
        <v/>
      </c>
      <c r="CG91" t="str">
        <f>""</f>
        <v/>
      </c>
      <c r="CH91" t="str">
        <f>""</f>
        <v/>
      </c>
      <c r="CI91" t="str">
        <f>""</f>
        <v/>
      </c>
      <c r="CJ91" t="str">
        <f>""</f>
        <v/>
      </c>
      <c r="CK91" t="str">
        <f>""</f>
        <v/>
      </c>
      <c r="CL91" t="str">
        <f>""</f>
        <v/>
      </c>
      <c r="CM91" t="str">
        <f>""</f>
        <v/>
      </c>
    </row>
    <row r="93" spans="1:91" x14ac:dyDescent="0.3">
      <c r="A93" t="str">
        <f>"c.zMETAB10#c.neflbr"</f>
        <v>c.zMETAB10#c.neflbr</v>
      </c>
      <c r="B93" t="str">
        <f>""</f>
        <v/>
      </c>
      <c r="C93" t="str">
        <f>""</f>
        <v/>
      </c>
      <c r="D93" t="str">
        <f>""</f>
        <v/>
      </c>
      <c r="E93" t="str">
        <f>""</f>
        <v/>
      </c>
      <c r="F93" t="str">
        <f>""</f>
        <v/>
      </c>
      <c r="G93" t="str">
        <f>""</f>
        <v/>
      </c>
      <c r="H93" t="str">
        <f>""</f>
        <v/>
      </c>
      <c r="I93" t="str">
        <f>""</f>
        <v/>
      </c>
      <c r="J93" t="str">
        <f>""</f>
        <v/>
      </c>
      <c r="K93" t="str">
        <f>""</f>
        <v/>
      </c>
      <c r="L93" t="str">
        <f>""</f>
        <v/>
      </c>
      <c r="M93" t="str">
        <f>""</f>
        <v/>
      </c>
      <c r="N93" t="str">
        <f>""</f>
        <v/>
      </c>
      <c r="O93" t="str">
        <f>""</f>
        <v/>
      </c>
      <c r="P93" t="str">
        <f>""</f>
        <v/>
      </c>
      <c r="Q93" t="str">
        <f>""</f>
        <v/>
      </c>
      <c r="R93" t="str">
        <f>""</f>
        <v/>
      </c>
      <c r="S93" t="str">
        <f>""</f>
        <v/>
      </c>
      <c r="T93" t="str">
        <f>""</f>
        <v/>
      </c>
      <c r="U93" t="str">
        <f>""</f>
        <v/>
      </c>
      <c r="V93" t="str">
        <f>""</f>
        <v/>
      </c>
      <c r="W93" t="str">
        <f>""</f>
        <v/>
      </c>
      <c r="X93" t="str">
        <f>""</f>
        <v/>
      </c>
      <c r="Y93" t="str">
        <f>""</f>
        <v/>
      </c>
      <c r="Z93" t="str">
        <f>""</f>
        <v/>
      </c>
      <c r="AA93" t="str">
        <f>""</f>
        <v/>
      </c>
      <c r="AB93" t="str">
        <f>""</f>
        <v/>
      </c>
      <c r="AC93" t="str">
        <f>"0.000974"</f>
        <v>0.000974</v>
      </c>
      <c r="AD93" t="str">
        <f>"0.0980"</f>
        <v>0.0980</v>
      </c>
      <c r="AE93" t="str">
        <f>"-0.104*"</f>
        <v>-0.104*</v>
      </c>
      <c r="AF93" t="str">
        <f>""</f>
        <v/>
      </c>
      <c r="AG93" t="str">
        <f>""</f>
        <v/>
      </c>
      <c r="AH93" t="str">
        <f>""</f>
        <v/>
      </c>
      <c r="AI93" t="str">
        <f>""</f>
        <v/>
      </c>
      <c r="AJ93" t="str">
        <f>""</f>
        <v/>
      </c>
      <c r="AK93" t="str">
        <f>""</f>
        <v/>
      </c>
      <c r="AL93" t="str">
        <f>""</f>
        <v/>
      </c>
      <c r="AM93" t="str">
        <f>""</f>
        <v/>
      </c>
      <c r="AN93" t="str">
        <f>""</f>
        <v/>
      </c>
      <c r="AO93" t="str">
        <f>""</f>
        <v/>
      </c>
      <c r="AP93" t="str">
        <f>""</f>
        <v/>
      </c>
      <c r="AQ93" t="str">
        <f>""</f>
        <v/>
      </c>
      <c r="AR93" t="str">
        <f>""</f>
        <v/>
      </c>
      <c r="AS93" t="str">
        <f>""</f>
        <v/>
      </c>
      <c r="AT93" t="str">
        <f>""</f>
        <v/>
      </c>
      <c r="AU93" t="str">
        <f>""</f>
        <v/>
      </c>
      <c r="AV93" t="str">
        <f>""</f>
        <v/>
      </c>
      <c r="AW93" t="str">
        <f>""</f>
        <v/>
      </c>
      <c r="AX93" t="str">
        <f>""</f>
        <v/>
      </c>
      <c r="AY93" t="str">
        <f>""</f>
        <v/>
      </c>
      <c r="AZ93" t="str">
        <f>""</f>
        <v/>
      </c>
      <c r="BA93" t="str">
        <f>""</f>
        <v/>
      </c>
      <c r="BB93" t="str">
        <f>""</f>
        <v/>
      </c>
      <c r="BC93" t="str">
        <f>""</f>
        <v/>
      </c>
      <c r="BD93" t="str">
        <f>""</f>
        <v/>
      </c>
      <c r="BE93" t="str">
        <f>""</f>
        <v/>
      </c>
      <c r="BF93" t="str">
        <f>""</f>
        <v/>
      </c>
      <c r="BG93" t="str">
        <f>""</f>
        <v/>
      </c>
      <c r="BH93" t="str">
        <f>""</f>
        <v/>
      </c>
      <c r="BI93" t="str">
        <f>""</f>
        <v/>
      </c>
      <c r="BJ93" t="str">
        <f>""</f>
        <v/>
      </c>
      <c r="BK93" t="str">
        <f>""</f>
        <v/>
      </c>
      <c r="BL93" t="str">
        <f>""</f>
        <v/>
      </c>
      <c r="BM93" t="str">
        <f>""</f>
        <v/>
      </c>
      <c r="BN93" t="str">
        <f>""</f>
        <v/>
      </c>
      <c r="BO93" t="str">
        <f>""</f>
        <v/>
      </c>
      <c r="BP93" t="str">
        <f>""</f>
        <v/>
      </c>
      <c r="BQ93" t="str">
        <f>""</f>
        <v/>
      </c>
      <c r="BR93" t="str">
        <f>""</f>
        <v/>
      </c>
      <c r="BS93" t="str">
        <f>""</f>
        <v/>
      </c>
      <c r="BT93" t="str">
        <f>""</f>
        <v/>
      </c>
      <c r="BU93" t="str">
        <f>""</f>
        <v/>
      </c>
      <c r="BV93" t="str">
        <f>""</f>
        <v/>
      </c>
      <c r="BW93" t="str">
        <f>""</f>
        <v/>
      </c>
      <c r="BX93" t="str">
        <f>""</f>
        <v/>
      </c>
      <c r="BY93" t="str">
        <f>""</f>
        <v/>
      </c>
      <c r="BZ93" t="str">
        <f>""</f>
        <v/>
      </c>
      <c r="CA93" t="str">
        <f>""</f>
        <v/>
      </c>
      <c r="CB93" t="str">
        <f>""</f>
        <v/>
      </c>
      <c r="CC93" t="str">
        <f>""</f>
        <v/>
      </c>
      <c r="CD93" t="str">
        <f>""</f>
        <v/>
      </c>
      <c r="CE93" t="str">
        <f>""</f>
        <v/>
      </c>
      <c r="CF93" t="str">
        <f>""</f>
        <v/>
      </c>
      <c r="CG93" t="str">
        <f>""</f>
        <v/>
      </c>
      <c r="CH93" t="str">
        <f>""</f>
        <v/>
      </c>
      <c r="CI93" t="str">
        <f>""</f>
        <v/>
      </c>
      <c r="CJ93" t="str">
        <f>""</f>
        <v/>
      </c>
      <c r="CK93" t="str">
        <f>""</f>
        <v/>
      </c>
      <c r="CL93" t="str">
        <f>""</f>
        <v/>
      </c>
      <c r="CM93" t="str">
        <f>""</f>
        <v/>
      </c>
    </row>
    <row r="94" spans="1:91" x14ac:dyDescent="0.3">
      <c r="A94" t="str">
        <f>""</f>
        <v/>
      </c>
      <c r="B94" t="str">
        <f>""</f>
        <v/>
      </c>
      <c r="C94" t="str">
        <f>""</f>
        <v/>
      </c>
      <c r="D94" t="str">
        <f>""</f>
        <v/>
      </c>
      <c r="E94" t="str">
        <f>""</f>
        <v/>
      </c>
      <c r="F94" t="str">
        <f>""</f>
        <v/>
      </c>
      <c r="G94" t="str">
        <f>""</f>
        <v/>
      </c>
      <c r="H94" t="str">
        <f>""</f>
        <v/>
      </c>
      <c r="I94" t="str">
        <f>""</f>
        <v/>
      </c>
      <c r="J94" t="str">
        <f>""</f>
        <v/>
      </c>
      <c r="K94" t="str">
        <f>""</f>
        <v/>
      </c>
      <c r="L94" t="str">
        <f>""</f>
        <v/>
      </c>
      <c r="M94" t="str">
        <f>""</f>
        <v/>
      </c>
      <c r="N94" t="str">
        <f>""</f>
        <v/>
      </c>
      <c r="O94" t="str">
        <f>""</f>
        <v/>
      </c>
      <c r="P94" t="str">
        <f>""</f>
        <v/>
      </c>
      <c r="Q94" t="str">
        <f>""</f>
        <v/>
      </c>
      <c r="R94" t="str">
        <f>""</f>
        <v/>
      </c>
      <c r="S94" t="str">
        <f>""</f>
        <v/>
      </c>
      <c r="T94" t="str">
        <f>""</f>
        <v/>
      </c>
      <c r="U94" t="str">
        <f>""</f>
        <v/>
      </c>
      <c r="V94" t="str">
        <f>""</f>
        <v/>
      </c>
      <c r="W94" t="str">
        <f>""</f>
        <v/>
      </c>
      <c r="X94" t="str">
        <f>""</f>
        <v/>
      </c>
      <c r="Y94" t="str">
        <f>""</f>
        <v/>
      </c>
      <c r="Z94" t="str">
        <f>""</f>
        <v/>
      </c>
      <c r="AA94" t="str">
        <f>""</f>
        <v/>
      </c>
      <c r="AB94" t="str">
        <f>""</f>
        <v/>
      </c>
      <c r="AC94" t="str">
        <f>"(0.111)"</f>
        <v>(0.111)</v>
      </c>
      <c r="AD94" t="str">
        <f>"(0.102)"</f>
        <v>(0.102)</v>
      </c>
      <c r="AE94" t="str">
        <f>"(0.0458)"</f>
        <v>(0.0458)</v>
      </c>
      <c r="AF94" t="str">
        <f>""</f>
        <v/>
      </c>
      <c r="AG94" t="str">
        <f>""</f>
        <v/>
      </c>
      <c r="AH94" t="str">
        <f>""</f>
        <v/>
      </c>
      <c r="AI94" t="str">
        <f>""</f>
        <v/>
      </c>
      <c r="AJ94" t="str">
        <f>""</f>
        <v/>
      </c>
      <c r="AK94" t="str">
        <f>""</f>
        <v/>
      </c>
      <c r="AL94" t="str">
        <f>""</f>
        <v/>
      </c>
      <c r="AM94" t="str">
        <f>""</f>
        <v/>
      </c>
      <c r="AN94" t="str">
        <f>""</f>
        <v/>
      </c>
      <c r="AO94" t="str">
        <f>""</f>
        <v/>
      </c>
      <c r="AP94" t="str">
        <f>""</f>
        <v/>
      </c>
      <c r="AQ94" t="str">
        <f>""</f>
        <v/>
      </c>
      <c r="AR94" t="str">
        <f>""</f>
        <v/>
      </c>
      <c r="AS94" t="str">
        <f>""</f>
        <v/>
      </c>
      <c r="AT94" t="str">
        <f>""</f>
        <v/>
      </c>
      <c r="AU94" t="str">
        <f>""</f>
        <v/>
      </c>
      <c r="AV94" t="str">
        <f>""</f>
        <v/>
      </c>
      <c r="AW94" t="str">
        <f>""</f>
        <v/>
      </c>
      <c r="AX94" t="str">
        <f>""</f>
        <v/>
      </c>
      <c r="AY94" t="str">
        <f>""</f>
        <v/>
      </c>
      <c r="AZ94" t="str">
        <f>""</f>
        <v/>
      </c>
      <c r="BA94" t="str">
        <f>""</f>
        <v/>
      </c>
      <c r="BB94" t="str">
        <f>""</f>
        <v/>
      </c>
      <c r="BC94" t="str">
        <f>""</f>
        <v/>
      </c>
      <c r="BD94" t="str">
        <f>""</f>
        <v/>
      </c>
      <c r="BE94" t="str">
        <f>""</f>
        <v/>
      </c>
      <c r="BF94" t="str">
        <f>""</f>
        <v/>
      </c>
      <c r="BG94" t="str">
        <f>""</f>
        <v/>
      </c>
      <c r="BH94" t="str">
        <f>""</f>
        <v/>
      </c>
      <c r="BI94" t="str">
        <f>""</f>
        <v/>
      </c>
      <c r="BJ94" t="str">
        <f>""</f>
        <v/>
      </c>
      <c r="BK94" t="str">
        <f>""</f>
        <v/>
      </c>
      <c r="BL94" t="str">
        <f>""</f>
        <v/>
      </c>
      <c r="BM94" t="str">
        <f>""</f>
        <v/>
      </c>
      <c r="BN94" t="str">
        <f>""</f>
        <v/>
      </c>
      <c r="BO94" t="str">
        <f>""</f>
        <v/>
      </c>
      <c r="BP94" t="str">
        <f>""</f>
        <v/>
      </c>
      <c r="BQ94" t="str">
        <f>""</f>
        <v/>
      </c>
      <c r="BR94" t="str">
        <f>""</f>
        <v/>
      </c>
      <c r="BS94" t="str">
        <f>""</f>
        <v/>
      </c>
      <c r="BT94" t="str">
        <f>""</f>
        <v/>
      </c>
      <c r="BU94" t="str">
        <f>""</f>
        <v/>
      </c>
      <c r="BV94" t="str">
        <f>""</f>
        <v/>
      </c>
      <c r="BW94" t="str">
        <f>""</f>
        <v/>
      </c>
      <c r="BX94" t="str">
        <f>""</f>
        <v/>
      </c>
      <c r="BY94" t="str">
        <f>""</f>
        <v/>
      </c>
      <c r="BZ94" t="str">
        <f>""</f>
        <v/>
      </c>
      <c r="CA94" t="str">
        <f>""</f>
        <v/>
      </c>
      <c r="CB94" t="str">
        <f>""</f>
        <v/>
      </c>
      <c r="CC94" t="str">
        <f>""</f>
        <v/>
      </c>
      <c r="CD94" t="str">
        <f>""</f>
        <v/>
      </c>
      <c r="CE94" t="str">
        <f>""</f>
        <v/>
      </c>
      <c r="CF94" t="str">
        <f>""</f>
        <v/>
      </c>
      <c r="CG94" t="str">
        <f>""</f>
        <v/>
      </c>
      <c r="CH94" t="str">
        <f>""</f>
        <v/>
      </c>
      <c r="CI94" t="str">
        <f>""</f>
        <v/>
      </c>
      <c r="CJ94" t="str">
        <f>""</f>
        <v/>
      </c>
      <c r="CK94" t="str">
        <f>""</f>
        <v/>
      </c>
      <c r="CL94" t="str">
        <f>""</f>
        <v/>
      </c>
      <c r="CM94" t="str">
        <f>""</f>
        <v/>
      </c>
    </row>
    <row r="96" spans="1:91" x14ac:dyDescent="0.3">
      <c r="A96" t="str">
        <f>"zMETAB11"</f>
        <v>zMETAB11</v>
      </c>
      <c r="B96" t="str">
        <f>""</f>
        <v/>
      </c>
      <c r="C96" t="str">
        <f>""</f>
        <v/>
      </c>
      <c r="D96" t="str">
        <f>""</f>
        <v/>
      </c>
      <c r="E96" t="str">
        <f>""</f>
        <v/>
      </c>
      <c r="F96" t="str">
        <f>""</f>
        <v/>
      </c>
      <c r="G96" t="str">
        <f>""</f>
        <v/>
      </c>
      <c r="H96" t="str">
        <f>""</f>
        <v/>
      </c>
      <c r="I96" t="str">
        <f>""</f>
        <v/>
      </c>
      <c r="J96" t="str">
        <f>""</f>
        <v/>
      </c>
      <c r="K96" t="str">
        <f>""</f>
        <v/>
      </c>
      <c r="L96" t="str">
        <f>""</f>
        <v/>
      </c>
      <c r="M96" t="str">
        <f>""</f>
        <v/>
      </c>
      <c r="N96" t="str">
        <f>""</f>
        <v/>
      </c>
      <c r="O96" t="str">
        <f>""</f>
        <v/>
      </c>
      <c r="P96" t="str">
        <f>""</f>
        <v/>
      </c>
      <c r="Q96" t="str">
        <f>""</f>
        <v/>
      </c>
      <c r="R96" t="str">
        <f>""</f>
        <v/>
      </c>
      <c r="S96" t="str">
        <f>""</f>
        <v/>
      </c>
      <c r="T96" t="str">
        <f>""</f>
        <v/>
      </c>
      <c r="U96" t="str">
        <f>""</f>
        <v/>
      </c>
      <c r="V96" t="str">
        <f>""</f>
        <v/>
      </c>
      <c r="W96" t="str">
        <f>""</f>
        <v/>
      </c>
      <c r="X96" t="str">
        <f>""</f>
        <v/>
      </c>
      <c r="Y96" t="str">
        <f>""</f>
        <v/>
      </c>
      <c r="Z96" t="str">
        <f>""</f>
        <v/>
      </c>
      <c r="AA96" t="str">
        <f>""</f>
        <v/>
      </c>
      <c r="AB96" t="str">
        <f>""</f>
        <v/>
      </c>
      <c r="AC96" t="str">
        <f>""</f>
        <v/>
      </c>
      <c r="AD96" t="str">
        <f>""</f>
        <v/>
      </c>
      <c r="AE96" t="str">
        <f>""</f>
        <v/>
      </c>
      <c r="AF96" t="str">
        <f>"0.0127"</f>
        <v>0.0127</v>
      </c>
      <c r="AG96" t="str">
        <f>"-0.103"</f>
        <v>-0.103</v>
      </c>
      <c r="AH96" t="str">
        <f>"-0.0569"</f>
        <v>-0.0569</v>
      </c>
      <c r="AI96" t="str">
        <f>""</f>
        <v/>
      </c>
      <c r="AJ96" t="str">
        <f>""</f>
        <v/>
      </c>
      <c r="AK96" t="str">
        <f>""</f>
        <v/>
      </c>
      <c r="AL96" t="str">
        <f>""</f>
        <v/>
      </c>
      <c r="AM96" t="str">
        <f>""</f>
        <v/>
      </c>
      <c r="AN96" t="str">
        <f>""</f>
        <v/>
      </c>
      <c r="AO96" t="str">
        <f>""</f>
        <v/>
      </c>
      <c r="AP96" t="str">
        <f>""</f>
        <v/>
      </c>
      <c r="AQ96" t="str">
        <f>""</f>
        <v/>
      </c>
      <c r="AR96" t="str">
        <f>""</f>
        <v/>
      </c>
      <c r="AS96" t="str">
        <f>""</f>
        <v/>
      </c>
      <c r="AT96" t="str">
        <f>""</f>
        <v/>
      </c>
      <c r="AU96" t="str">
        <f>""</f>
        <v/>
      </c>
      <c r="AV96" t="str">
        <f>""</f>
        <v/>
      </c>
      <c r="AW96" t="str">
        <f>""</f>
        <v/>
      </c>
      <c r="AX96" t="str">
        <f>""</f>
        <v/>
      </c>
      <c r="AY96" t="str">
        <f>""</f>
        <v/>
      </c>
      <c r="AZ96" t="str">
        <f>""</f>
        <v/>
      </c>
      <c r="BA96" t="str">
        <f>""</f>
        <v/>
      </c>
      <c r="BB96" t="str">
        <f>""</f>
        <v/>
      </c>
      <c r="BC96" t="str">
        <f>""</f>
        <v/>
      </c>
      <c r="BD96" t="str">
        <f>""</f>
        <v/>
      </c>
      <c r="BE96" t="str">
        <f>""</f>
        <v/>
      </c>
      <c r="BF96" t="str">
        <f>""</f>
        <v/>
      </c>
      <c r="BG96" t="str">
        <f>""</f>
        <v/>
      </c>
      <c r="BH96" t="str">
        <f>""</f>
        <v/>
      </c>
      <c r="BI96" t="str">
        <f>""</f>
        <v/>
      </c>
      <c r="BJ96" t="str">
        <f>""</f>
        <v/>
      </c>
      <c r="BK96" t="str">
        <f>""</f>
        <v/>
      </c>
      <c r="BL96" t="str">
        <f>""</f>
        <v/>
      </c>
      <c r="BM96" t="str">
        <f>""</f>
        <v/>
      </c>
      <c r="BN96" t="str">
        <f>""</f>
        <v/>
      </c>
      <c r="BO96" t="str">
        <f>""</f>
        <v/>
      </c>
      <c r="BP96" t="str">
        <f>""</f>
        <v/>
      </c>
      <c r="BQ96" t="str">
        <f>""</f>
        <v/>
      </c>
      <c r="BR96" t="str">
        <f>""</f>
        <v/>
      </c>
      <c r="BS96" t="str">
        <f>""</f>
        <v/>
      </c>
      <c r="BT96" t="str">
        <f>""</f>
        <v/>
      </c>
      <c r="BU96" t="str">
        <f>""</f>
        <v/>
      </c>
      <c r="BV96" t="str">
        <f>""</f>
        <v/>
      </c>
      <c r="BW96" t="str">
        <f>""</f>
        <v/>
      </c>
      <c r="BX96" t="str">
        <f>""</f>
        <v/>
      </c>
      <c r="BY96" t="str">
        <f>"-0.0150"</f>
        <v>-0.0150</v>
      </c>
      <c r="BZ96" t="str">
        <f>"-0.0610"</f>
        <v>-0.0610</v>
      </c>
      <c r="CA96" t="str">
        <f>"-0.0482"</f>
        <v>-0.0482</v>
      </c>
      <c r="CB96" t="str">
        <f>""</f>
        <v/>
      </c>
      <c r="CC96" t="str">
        <f>""</f>
        <v/>
      </c>
      <c r="CD96" t="str">
        <f>""</f>
        <v/>
      </c>
      <c r="CE96" t="str">
        <f>""</f>
        <v/>
      </c>
      <c r="CF96" t="str">
        <f>""</f>
        <v/>
      </c>
      <c r="CG96" t="str">
        <f>""</f>
        <v/>
      </c>
      <c r="CH96" t="str">
        <f>""</f>
        <v/>
      </c>
      <c r="CI96" t="str">
        <f>""</f>
        <v/>
      </c>
      <c r="CJ96" t="str">
        <f>""</f>
        <v/>
      </c>
      <c r="CK96" t="str">
        <f>""</f>
        <v/>
      </c>
      <c r="CL96" t="str">
        <f>""</f>
        <v/>
      </c>
      <c r="CM96" t="str">
        <f>""</f>
        <v/>
      </c>
    </row>
    <row r="97" spans="1:91" x14ac:dyDescent="0.3">
      <c r="A97" t="str">
        <f>""</f>
        <v/>
      </c>
      <c r="B97" t="str">
        <f>""</f>
        <v/>
      </c>
      <c r="C97" t="str">
        <f>""</f>
        <v/>
      </c>
      <c r="D97" t="str">
        <f>""</f>
        <v/>
      </c>
      <c r="E97" t="str">
        <f>""</f>
        <v/>
      </c>
      <c r="F97" t="str">
        <f>""</f>
        <v/>
      </c>
      <c r="G97" t="str">
        <f>""</f>
        <v/>
      </c>
      <c r="H97" t="str">
        <f>""</f>
        <v/>
      </c>
      <c r="I97" t="str">
        <f>""</f>
        <v/>
      </c>
      <c r="J97" t="str">
        <f>""</f>
        <v/>
      </c>
      <c r="K97" t="str">
        <f>""</f>
        <v/>
      </c>
      <c r="L97" t="str">
        <f>""</f>
        <v/>
      </c>
      <c r="M97" t="str">
        <f>""</f>
        <v/>
      </c>
      <c r="N97" t="str">
        <f>""</f>
        <v/>
      </c>
      <c r="O97" t="str">
        <f>""</f>
        <v/>
      </c>
      <c r="P97" t="str">
        <f>""</f>
        <v/>
      </c>
      <c r="Q97" t="str">
        <f>""</f>
        <v/>
      </c>
      <c r="R97" t="str">
        <f>""</f>
        <v/>
      </c>
      <c r="S97" t="str">
        <f>""</f>
        <v/>
      </c>
      <c r="T97" t="str">
        <f>""</f>
        <v/>
      </c>
      <c r="U97" t="str">
        <f>""</f>
        <v/>
      </c>
      <c r="V97" t="str">
        <f>""</f>
        <v/>
      </c>
      <c r="W97" t="str">
        <f>""</f>
        <v/>
      </c>
      <c r="X97" t="str">
        <f>""</f>
        <v/>
      </c>
      <c r="Y97" t="str">
        <f>""</f>
        <v/>
      </c>
      <c r="Z97" t="str">
        <f>""</f>
        <v/>
      </c>
      <c r="AA97" t="str">
        <f>""</f>
        <v/>
      </c>
      <c r="AB97" t="str">
        <f>""</f>
        <v/>
      </c>
      <c r="AC97" t="str">
        <f>""</f>
        <v/>
      </c>
      <c r="AD97" t="str">
        <f>""</f>
        <v/>
      </c>
      <c r="AE97" t="str">
        <f>""</f>
        <v/>
      </c>
      <c r="AF97" t="str">
        <f>"(0.0915)"</f>
        <v>(0.0915)</v>
      </c>
      <c r="AG97" t="str">
        <f>"(0.0830)"</f>
        <v>(0.0830)</v>
      </c>
      <c r="AH97" t="str">
        <f>"(0.0354)"</f>
        <v>(0.0354)</v>
      </c>
      <c r="AI97" t="str">
        <f>""</f>
        <v/>
      </c>
      <c r="AJ97" t="str">
        <f>""</f>
        <v/>
      </c>
      <c r="AK97" t="str">
        <f>""</f>
        <v/>
      </c>
      <c r="AL97" t="str">
        <f>""</f>
        <v/>
      </c>
      <c r="AM97" t="str">
        <f>""</f>
        <v/>
      </c>
      <c r="AN97" t="str">
        <f>""</f>
        <v/>
      </c>
      <c r="AO97" t="str">
        <f>""</f>
        <v/>
      </c>
      <c r="AP97" t="str">
        <f>""</f>
        <v/>
      </c>
      <c r="AQ97" t="str">
        <f>""</f>
        <v/>
      </c>
      <c r="AR97" t="str">
        <f>""</f>
        <v/>
      </c>
      <c r="AS97" t="str">
        <f>""</f>
        <v/>
      </c>
      <c r="AT97" t="str">
        <f>""</f>
        <v/>
      </c>
      <c r="AU97" t="str">
        <f>""</f>
        <v/>
      </c>
      <c r="AV97" t="str">
        <f>""</f>
        <v/>
      </c>
      <c r="AW97" t="str">
        <f>""</f>
        <v/>
      </c>
      <c r="AX97" t="str">
        <f>""</f>
        <v/>
      </c>
      <c r="AY97" t="str">
        <f>""</f>
        <v/>
      </c>
      <c r="AZ97" t="str">
        <f>""</f>
        <v/>
      </c>
      <c r="BA97" t="str">
        <f>""</f>
        <v/>
      </c>
      <c r="BB97" t="str">
        <f>""</f>
        <v/>
      </c>
      <c r="BC97" t="str">
        <f>""</f>
        <v/>
      </c>
      <c r="BD97" t="str">
        <f>""</f>
        <v/>
      </c>
      <c r="BE97" t="str">
        <f>""</f>
        <v/>
      </c>
      <c r="BF97" t="str">
        <f>""</f>
        <v/>
      </c>
      <c r="BG97" t="str">
        <f>""</f>
        <v/>
      </c>
      <c r="BH97" t="str">
        <f>""</f>
        <v/>
      </c>
      <c r="BI97" t="str">
        <f>""</f>
        <v/>
      </c>
      <c r="BJ97" t="str">
        <f>""</f>
        <v/>
      </c>
      <c r="BK97" t="str">
        <f>""</f>
        <v/>
      </c>
      <c r="BL97" t="str">
        <f>""</f>
        <v/>
      </c>
      <c r="BM97" t="str">
        <f>""</f>
        <v/>
      </c>
      <c r="BN97" t="str">
        <f>""</f>
        <v/>
      </c>
      <c r="BO97" t="str">
        <f>""</f>
        <v/>
      </c>
      <c r="BP97" t="str">
        <f>""</f>
        <v/>
      </c>
      <c r="BQ97" t="str">
        <f>""</f>
        <v/>
      </c>
      <c r="BR97" t="str">
        <f>""</f>
        <v/>
      </c>
      <c r="BS97" t="str">
        <f>""</f>
        <v/>
      </c>
      <c r="BT97" t="str">
        <f>""</f>
        <v/>
      </c>
      <c r="BU97" t="str">
        <f>""</f>
        <v/>
      </c>
      <c r="BV97" t="str">
        <f>""</f>
        <v/>
      </c>
      <c r="BW97" t="str">
        <f>""</f>
        <v/>
      </c>
      <c r="BX97" t="str">
        <f>""</f>
        <v/>
      </c>
      <c r="BY97" t="str">
        <f>"(0.0744)"</f>
        <v>(0.0744)</v>
      </c>
      <c r="BZ97" t="str">
        <f>"(0.0859)"</f>
        <v>(0.0859)</v>
      </c>
      <c r="CA97" t="str">
        <f>"(0.0300)"</f>
        <v>(0.0300)</v>
      </c>
      <c r="CB97" t="str">
        <f>""</f>
        <v/>
      </c>
      <c r="CC97" t="str">
        <f>""</f>
        <v/>
      </c>
      <c r="CD97" t="str">
        <f>""</f>
        <v/>
      </c>
      <c r="CE97" t="str">
        <f>""</f>
        <v/>
      </c>
      <c r="CF97" t="str">
        <f>""</f>
        <v/>
      </c>
      <c r="CG97" t="str">
        <f>""</f>
        <v/>
      </c>
      <c r="CH97" t="str">
        <f>""</f>
        <v/>
      </c>
      <c r="CI97" t="str">
        <f>""</f>
        <v/>
      </c>
      <c r="CJ97" t="str">
        <f>""</f>
        <v/>
      </c>
      <c r="CK97" t="str">
        <f>""</f>
        <v/>
      </c>
      <c r="CL97" t="str">
        <f>""</f>
        <v/>
      </c>
      <c r="CM97" t="str">
        <f>""</f>
        <v/>
      </c>
    </row>
    <row r="99" spans="1:91" x14ac:dyDescent="0.3">
      <c r="A99" t="str">
        <f>"c.zMETAB11#c.neflbr"</f>
        <v>c.zMETAB11#c.neflbr</v>
      </c>
      <c r="B99" t="str">
        <f>""</f>
        <v/>
      </c>
      <c r="C99" t="str">
        <f>""</f>
        <v/>
      </c>
      <c r="D99" t="str">
        <f>""</f>
        <v/>
      </c>
      <c r="E99" t="str">
        <f>""</f>
        <v/>
      </c>
      <c r="F99" t="str">
        <f>""</f>
        <v/>
      </c>
      <c r="G99" t="str">
        <f>""</f>
        <v/>
      </c>
      <c r="H99" t="str">
        <f>""</f>
        <v/>
      </c>
      <c r="I99" t="str">
        <f>""</f>
        <v/>
      </c>
      <c r="J99" t="str">
        <f>""</f>
        <v/>
      </c>
      <c r="K99" t="str">
        <f>""</f>
        <v/>
      </c>
      <c r="L99" t="str">
        <f>""</f>
        <v/>
      </c>
      <c r="M99" t="str">
        <f>""</f>
        <v/>
      </c>
      <c r="N99" t="str">
        <f>""</f>
        <v/>
      </c>
      <c r="O99" t="str">
        <f>""</f>
        <v/>
      </c>
      <c r="P99" t="str">
        <f>""</f>
        <v/>
      </c>
      <c r="Q99" t="str">
        <f>""</f>
        <v/>
      </c>
      <c r="R99" t="str">
        <f>""</f>
        <v/>
      </c>
      <c r="S99" t="str">
        <f>""</f>
        <v/>
      </c>
      <c r="T99" t="str">
        <f>""</f>
        <v/>
      </c>
      <c r="U99" t="str">
        <f>""</f>
        <v/>
      </c>
      <c r="V99" t="str">
        <f>""</f>
        <v/>
      </c>
      <c r="W99" t="str">
        <f>""</f>
        <v/>
      </c>
      <c r="X99" t="str">
        <f>""</f>
        <v/>
      </c>
      <c r="Y99" t="str">
        <f>""</f>
        <v/>
      </c>
      <c r="Z99" t="str">
        <f>""</f>
        <v/>
      </c>
      <c r="AA99" t="str">
        <f>""</f>
        <v/>
      </c>
      <c r="AB99" t="str">
        <f>""</f>
        <v/>
      </c>
      <c r="AC99" t="str">
        <f>""</f>
        <v/>
      </c>
      <c r="AD99" t="str">
        <f>""</f>
        <v/>
      </c>
      <c r="AE99" t="str">
        <f>""</f>
        <v/>
      </c>
      <c r="AF99" t="str">
        <f>"0.00166"</f>
        <v>0.00166</v>
      </c>
      <c r="AG99" t="str">
        <f>"0.111"</f>
        <v>0.111</v>
      </c>
      <c r="AH99" t="str">
        <f>"0.000256"</f>
        <v>0.000256</v>
      </c>
      <c r="AI99" t="str">
        <f>""</f>
        <v/>
      </c>
      <c r="AJ99" t="str">
        <f>""</f>
        <v/>
      </c>
      <c r="AK99" t="str">
        <f>""</f>
        <v/>
      </c>
      <c r="AL99" t="str">
        <f>""</f>
        <v/>
      </c>
      <c r="AM99" t="str">
        <f>""</f>
        <v/>
      </c>
      <c r="AN99" t="str">
        <f>""</f>
        <v/>
      </c>
      <c r="AO99" t="str">
        <f>""</f>
        <v/>
      </c>
      <c r="AP99" t="str">
        <f>""</f>
        <v/>
      </c>
      <c r="AQ99" t="str">
        <f>""</f>
        <v/>
      </c>
      <c r="AR99" t="str">
        <f>""</f>
        <v/>
      </c>
      <c r="AS99" t="str">
        <f>""</f>
        <v/>
      </c>
      <c r="AT99" t="str">
        <f>""</f>
        <v/>
      </c>
      <c r="AU99" t="str">
        <f>""</f>
        <v/>
      </c>
      <c r="AV99" t="str">
        <f>""</f>
        <v/>
      </c>
      <c r="AW99" t="str">
        <f>""</f>
        <v/>
      </c>
      <c r="AX99" t="str">
        <f>""</f>
        <v/>
      </c>
      <c r="AY99" t="str">
        <f>""</f>
        <v/>
      </c>
      <c r="AZ99" t="str">
        <f>""</f>
        <v/>
      </c>
      <c r="BA99" t="str">
        <f>""</f>
        <v/>
      </c>
      <c r="BB99" t="str">
        <f>""</f>
        <v/>
      </c>
      <c r="BC99" t="str">
        <f>""</f>
        <v/>
      </c>
      <c r="BD99" t="str">
        <f>""</f>
        <v/>
      </c>
      <c r="BE99" t="str">
        <f>""</f>
        <v/>
      </c>
      <c r="BF99" t="str">
        <f>""</f>
        <v/>
      </c>
      <c r="BG99" t="str">
        <f>""</f>
        <v/>
      </c>
      <c r="BH99" t="str">
        <f>""</f>
        <v/>
      </c>
      <c r="BI99" t="str">
        <f>""</f>
        <v/>
      </c>
      <c r="BJ99" t="str">
        <f>""</f>
        <v/>
      </c>
      <c r="BK99" t="str">
        <f>""</f>
        <v/>
      </c>
      <c r="BL99" t="str">
        <f>""</f>
        <v/>
      </c>
      <c r="BM99" t="str">
        <f>""</f>
        <v/>
      </c>
      <c r="BN99" t="str">
        <f>""</f>
        <v/>
      </c>
      <c r="BO99" t="str">
        <f>""</f>
        <v/>
      </c>
      <c r="BP99" t="str">
        <f>""</f>
        <v/>
      </c>
      <c r="BQ99" t="str">
        <f>""</f>
        <v/>
      </c>
      <c r="BR99" t="str">
        <f>""</f>
        <v/>
      </c>
      <c r="BS99" t="str">
        <f>""</f>
        <v/>
      </c>
      <c r="BT99" t="str">
        <f>""</f>
        <v/>
      </c>
      <c r="BU99" t="str">
        <f>""</f>
        <v/>
      </c>
      <c r="BV99" t="str">
        <f>""</f>
        <v/>
      </c>
      <c r="BW99" t="str">
        <f>""</f>
        <v/>
      </c>
      <c r="BX99" t="str">
        <f>""</f>
        <v/>
      </c>
      <c r="BY99" t="str">
        <f>""</f>
        <v/>
      </c>
      <c r="BZ99" t="str">
        <f>""</f>
        <v/>
      </c>
      <c r="CA99" t="str">
        <f>""</f>
        <v/>
      </c>
      <c r="CB99" t="str">
        <f>""</f>
        <v/>
      </c>
      <c r="CC99" t="str">
        <f>""</f>
        <v/>
      </c>
      <c r="CD99" t="str">
        <f>""</f>
        <v/>
      </c>
      <c r="CE99" t="str">
        <f>""</f>
        <v/>
      </c>
      <c r="CF99" t="str">
        <f>""</f>
        <v/>
      </c>
      <c r="CG99" t="str">
        <f>""</f>
        <v/>
      </c>
      <c r="CH99" t="str">
        <f>""</f>
        <v/>
      </c>
      <c r="CI99" t="str">
        <f>""</f>
        <v/>
      </c>
      <c r="CJ99" t="str">
        <f>""</f>
        <v/>
      </c>
      <c r="CK99" t="str">
        <f>""</f>
        <v/>
      </c>
      <c r="CL99" t="str">
        <f>""</f>
        <v/>
      </c>
      <c r="CM99" t="str">
        <f>""</f>
        <v/>
      </c>
    </row>
    <row r="100" spans="1:91" x14ac:dyDescent="0.3">
      <c r="A100" t="str">
        <f>""</f>
        <v/>
      </c>
      <c r="B100" t="str">
        <f>""</f>
        <v/>
      </c>
      <c r="C100" t="str">
        <f>""</f>
        <v/>
      </c>
      <c r="D100" t="str">
        <f>""</f>
        <v/>
      </c>
      <c r="E100" t="str">
        <f>""</f>
        <v/>
      </c>
      <c r="F100" t="str">
        <f>""</f>
        <v/>
      </c>
      <c r="G100" t="str">
        <f>""</f>
        <v/>
      </c>
      <c r="H100" t="str">
        <f>""</f>
        <v/>
      </c>
      <c r="I100" t="str">
        <f>""</f>
        <v/>
      </c>
      <c r="J100" t="str">
        <f>""</f>
        <v/>
      </c>
      <c r="K100" t="str">
        <f>""</f>
        <v/>
      </c>
      <c r="L100" t="str">
        <f>""</f>
        <v/>
      </c>
      <c r="M100" t="str">
        <f>""</f>
        <v/>
      </c>
      <c r="N100" t="str">
        <f>""</f>
        <v/>
      </c>
      <c r="O100" t="str">
        <f>""</f>
        <v/>
      </c>
      <c r="P100" t="str">
        <f>""</f>
        <v/>
      </c>
      <c r="Q100" t="str">
        <f>""</f>
        <v/>
      </c>
      <c r="R100" t="str">
        <f>""</f>
        <v/>
      </c>
      <c r="S100" t="str">
        <f>""</f>
        <v/>
      </c>
      <c r="T100" t="str">
        <f>""</f>
        <v/>
      </c>
      <c r="U100" t="str">
        <f>""</f>
        <v/>
      </c>
      <c r="V100" t="str">
        <f>""</f>
        <v/>
      </c>
      <c r="W100" t="str">
        <f>""</f>
        <v/>
      </c>
      <c r="X100" t="str">
        <f>""</f>
        <v/>
      </c>
      <c r="Y100" t="str">
        <f>""</f>
        <v/>
      </c>
      <c r="Z100" t="str">
        <f>""</f>
        <v/>
      </c>
      <c r="AA100" t="str">
        <f>""</f>
        <v/>
      </c>
      <c r="AB100" t="str">
        <f>""</f>
        <v/>
      </c>
      <c r="AC100" t="str">
        <f>""</f>
        <v/>
      </c>
      <c r="AD100" t="str">
        <f>""</f>
        <v/>
      </c>
      <c r="AE100" t="str">
        <f>""</f>
        <v/>
      </c>
      <c r="AF100" t="str">
        <f>"(0.108)"</f>
        <v>(0.108)</v>
      </c>
      <c r="AG100" t="str">
        <f>"(0.0938)"</f>
        <v>(0.0938)</v>
      </c>
      <c r="AH100" t="str">
        <f>"(0.0427)"</f>
        <v>(0.0427)</v>
      </c>
      <c r="AI100" t="str">
        <f>""</f>
        <v/>
      </c>
      <c r="AJ100" t="str">
        <f>""</f>
        <v/>
      </c>
      <c r="AK100" t="str">
        <f>""</f>
        <v/>
      </c>
      <c r="AL100" t="str">
        <f>""</f>
        <v/>
      </c>
      <c r="AM100" t="str">
        <f>""</f>
        <v/>
      </c>
      <c r="AN100" t="str">
        <f>""</f>
        <v/>
      </c>
      <c r="AO100" t="str">
        <f>""</f>
        <v/>
      </c>
      <c r="AP100" t="str">
        <f>""</f>
        <v/>
      </c>
      <c r="AQ100" t="str">
        <f>""</f>
        <v/>
      </c>
      <c r="AR100" t="str">
        <f>""</f>
        <v/>
      </c>
      <c r="AS100" t="str">
        <f>""</f>
        <v/>
      </c>
      <c r="AT100" t="str">
        <f>""</f>
        <v/>
      </c>
      <c r="AU100" t="str">
        <f>""</f>
        <v/>
      </c>
      <c r="AV100" t="str">
        <f>""</f>
        <v/>
      </c>
      <c r="AW100" t="str">
        <f>""</f>
        <v/>
      </c>
      <c r="AX100" t="str">
        <f>""</f>
        <v/>
      </c>
      <c r="AY100" t="str">
        <f>""</f>
        <v/>
      </c>
      <c r="AZ100" t="str">
        <f>""</f>
        <v/>
      </c>
      <c r="BA100" t="str">
        <f>""</f>
        <v/>
      </c>
      <c r="BB100" t="str">
        <f>""</f>
        <v/>
      </c>
      <c r="BC100" t="str">
        <f>""</f>
        <v/>
      </c>
      <c r="BD100" t="str">
        <f>""</f>
        <v/>
      </c>
      <c r="BE100" t="str">
        <f>""</f>
        <v/>
      </c>
      <c r="BF100" t="str">
        <f>""</f>
        <v/>
      </c>
      <c r="BG100" t="str">
        <f>""</f>
        <v/>
      </c>
      <c r="BH100" t="str">
        <f>""</f>
        <v/>
      </c>
      <c r="BI100" t="str">
        <f>""</f>
        <v/>
      </c>
      <c r="BJ100" t="str">
        <f>""</f>
        <v/>
      </c>
      <c r="BK100" t="str">
        <f>""</f>
        <v/>
      </c>
      <c r="BL100" t="str">
        <f>""</f>
        <v/>
      </c>
      <c r="BM100" t="str">
        <f>""</f>
        <v/>
      </c>
      <c r="BN100" t="str">
        <f>""</f>
        <v/>
      </c>
      <c r="BO100" t="str">
        <f>""</f>
        <v/>
      </c>
      <c r="BP100" t="str">
        <f>""</f>
        <v/>
      </c>
      <c r="BQ100" t="str">
        <f>""</f>
        <v/>
      </c>
      <c r="BR100" t="str">
        <f>""</f>
        <v/>
      </c>
      <c r="BS100" t="str">
        <f>""</f>
        <v/>
      </c>
      <c r="BT100" t="str">
        <f>""</f>
        <v/>
      </c>
      <c r="BU100" t="str">
        <f>""</f>
        <v/>
      </c>
      <c r="BV100" t="str">
        <f>""</f>
        <v/>
      </c>
      <c r="BW100" t="str">
        <f>""</f>
        <v/>
      </c>
      <c r="BX100" t="str">
        <f>""</f>
        <v/>
      </c>
      <c r="BY100" t="str">
        <f>""</f>
        <v/>
      </c>
      <c r="BZ100" t="str">
        <f>""</f>
        <v/>
      </c>
      <c r="CA100" t="str">
        <f>""</f>
        <v/>
      </c>
      <c r="CB100" t="str">
        <f>""</f>
        <v/>
      </c>
      <c r="CC100" t="str">
        <f>""</f>
        <v/>
      </c>
      <c r="CD100" t="str">
        <f>""</f>
        <v/>
      </c>
      <c r="CE100" t="str">
        <f>""</f>
        <v/>
      </c>
      <c r="CF100" t="str">
        <f>""</f>
        <v/>
      </c>
      <c r="CG100" t="str">
        <f>""</f>
        <v/>
      </c>
      <c r="CH100" t="str">
        <f>""</f>
        <v/>
      </c>
      <c r="CI100" t="str">
        <f>""</f>
        <v/>
      </c>
      <c r="CJ100" t="str">
        <f>""</f>
        <v/>
      </c>
      <c r="CK100" t="str">
        <f>""</f>
        <v/>
      </c>
      <c r="CL100" t="str">
        <f>""</f>
        <v/>
      </c>
      <c r="CM100" t="str">
        <f>""</f>
        <v/>
      </c>
    </row>
    <row r="102" spans="1:91" x14ac:dyDescent="0.3">
      <c r="A102" t="str">
        <f>"zMETAB12"</f>
        <v>zMETAB12</v>
      </c>
      <c r="B102" t="str">
        <f>""</f>
        <v/>
      </c>
      <c r="C102" t="str">
        <f>""</f>
        <v/>
      </c>
      <c r="D102" t="str">
        <f>""</f>
        <v/>
      </c>
      <c r="E102" t="str">
        <f>""</f>
        <v/>
      </c>
      <c r="F102" t="str">
        <f>""</f>
        <v/>
      </c>
      <c r="G102" t="str">
        <f>""</f>
        <v/>
      </c>
      <c r="H102" t="str">
        <f>""</f>
        <v/>
      </c>
      <c r="I102" t="str">
        <f>""</f>
        <v/>
      </c>
      <c r="J102" t="str">
        <f>""</f>
        <v/>
      </c>
      <c r="K102" t="str">
        <f>""</f>
        <v/>
      </c>
      <c r="L102" t="str">
        <f>""</f>
        <v/>
      </c>
      <c r="M102" t="str">
        <f>""</f>
        <v/>
      </c>
      <c r="N102" t="str">
        <f>""</f>
        <v/>
      </c>
      <c r="O102" t="str">
        <f>""</f>
        <v/>
      </c>
      <c r="P102" t="str">
        <f>""</f>
        <v/>
      </c>
      <c r="Q102" t="str">
        <f>""</f>
        <v/>
      </c>
      <c r="R102" t="str">
        <f>""</f>
        <v/>
      </c>
      <c r="S102" t="str">
        <f>""</f>
        <v/>
      </c>
      <c r="T102" t="str">
        <f>""</f>
        <v/>
      </c>
      <c r="U102" t="str">
        <f>""</f>
        <v/>
      </c>
      <c r="V102" t="str">
        <f>""</f>
        <v/>
      </c>
      <c r="W102" t="str">
        <f>""</f>
        <v/>
      </c>
      <c r="X102" t="str">
        <f>""</f>
        <v/>
      </c>
      <c r="Y102" t="str">
        <f>""</f>
        <v/>
      </c>
      <c r="Z102" t="str">
        <f>""</f>
        <v/>
      </c>
      <c r="AA102" t="str">
        <f>""</f>
        <v/>
      </c>
      <c r="AB102" t="str">
        <f>""</f>
        <v/>
      </c>
      <c r="AC102" t="str">
        <f>""</f>
        <v/>
      </c>
      <c r="AD102" t="str">
        <f>""</f>
        <v/>
      </c>
      <c r="AE102" t="str">
        <f>""</f>
        <v/>
      </c>
      <c r="AF102" t="str">
        <f>""</f>
        <v/>
      </c>
      <c r="AG102" t="str">
        <f>""</f>
        <v/>
      </c>
      <c r="AH102" t="str">
        <f>""</f>
        <v/>
      </c>
      <c r="AI102" t="str">
        <f>"-0.00973"</f>
        <v>-0.00973</v>
      </c>
      <c r="AJ102" t="str">
        <f>"0.0296"</f>
        <v>0.0296</v>
      </c>
      <c r="AK102" t="str">
        <f>"-0.0973**"</f>
        <v>-0.0973**</v>
      </c>
      <c r="AL102" t="str">
        <f>""</f>
        <v/>
      </c>
      <c r="AM102" t="str">
        <f>""</f>
        <v/>
      </c>
      <c r="AN102" t="str">
        <f>""</f>
        <v/>
      </c>
      <c r="AO102" t="str">
        <f>""</f>
        <v/>
      </c>
      <c r="AP102" t="str">
        <f>""</f>
        <v/>
      </c>
      <c r="AQ102" t="str">
        <f>""</f>
        <v/>
      </c>
      <c r="AR102" t="str">
        <f>""</f>
        <v/>
      </c>
      <c r="AS102" t="str">
        <f>""</f>
        <v/>
      </c>
      <c r="AT102" t="str">
        <f>""</f>
        <v/>
      </c>
      <c r="AU102" t="str">
        <f>""</f>
        <v/>
      </c>
      <c r="AV102" t="str">
        <f>""</f>
        <v/>
      </c>
      <c r="AW102" t="str">
        <f>""</f>
        <v/>
      </c>
      <c r="AX102" t="str">
        <f>""</f>
        <v/>
      </c>
      <c r="AY102" t="str">
        <f>""</f>
        <v/>
      </c>
      <c r="AZ102" t="str">
        <f>""</f>
        <v/>
      </c>
      <c r="BA102" t="str">
        <f>""</f>
        <v/>
      </c>
      <c r="BB102" t="str">
        <f>""</f>
        <v/>
      </c>
      <c r="BC102" t="str">
        <f>""</f>
        <v/>
      </c>
      <c r="BD102" t="str">
        <f>""</f>
        <v/>
      </c>
      <c r="BE102" t="str">
        <f>""</f>
        <v/>
      </c>
      <c r="BF102" t="str">
        <f>""</f>
        <v/>
      </c>
      <c r="BG102" t="str">
        <f>""</f>
        <v/>
      </c>
      <c r="BH102" t="str">
        <f>""</f>
        <v/>
      </c>
      <c r="BI102" t="str">
        <f>""</f>
        <v/>
      </c>
      <c r="BJ102" t="str">
        <f>""</f>
        <v/>
      </c>
      <c r="BK102" t="str">
        <f>""</f>
        <v/>
      </c>
      <c r="BL102" t="str">
        <f>""</f>
        <v/>
      </c>
      <c r="BM102" t="str">
        <f>""</f>
        <v/>
      </c>
      <c r="BN102" t="str">
        <f>""</f>
        <v/>
      </c>
      <c r="BO102" t="str">
        <f>""</f>
        <v/>
      </c>
      <c r="BP102" t="str">
        <f>""</f>
        <v/>
      </c>
      <c r="BQ102" t="str">
        <f>""</f>
        <v/>
      </c>
      <c r="BR102" t="str">
        <f>""</f>
        <v/>
      </c>
      <c r="BS102" t="str">
        <f>""</f>
        <v/>
      </c>
      <c r="BT102" t="str">
        <f>""</f>
        <v/>
      </c>
      <c r="BU102" t="str">
        <f>""</f>
        <v/>
      </c>
      <c r="BV102" t="str">
        <f>""</f>
        <v/>
      </c>
      <c r="BW102" t="str">
        <f>""</f>
        <v/>
      </c>
      <c r="BX102" t="str">
        <f>""</f>
        <v/>
      </c>
      <c r="BY102" t="str">
        <f>""</f>
        <v/>
      </c>
      <c r="BZ102" t="str">
        <f>""</f>
        <v/>
      </c>
      <c r="CA102" t="str">
        <f>""</f>
        <v/>
      </c>
      <c r="CB102" t="str">
        <f>"-0.0951"</f>
        <v>-0.0951</v>
      </c>
      <c r="CC102" t="str">
        <f>"0.103"</f>
        <v>0.103</v>
      </c>
      <c r="CD102" t="str">
        <f>"-0.0907**"</f>
        <v>-0.0907**</v>
      </c>
      <c r="CE102" t="str">
        <f>""</f>
        <v/>
      </c>
      <c r="CF102" t="str">
        <f>""</f>
        <v/>
      </c>
      <c r="CG102" t="str">
        <f>""</f>
        <v/>
      </c>
      <c r="CH102" t="str">
        <f>""</f>
        <v/>
      </c>
      <c r="CI102" t="str">
        <f>""</f>
        <v/>
      </c>
      <c r="CJ102" t="str">
        <f>""</f>
        <v/>
      </c>
      <c r="CK102" t="str">
        <f>""</f>
        <v/>
      </c>
      <c r="CL102" t="str">
        <f>""</f>
        <v/>
      </c>
      <c r="CM102" t="str">
        <f>""</f>
        <v/>
      </c>
    </row>
    <row r="103" spans="1:91" x14ac:dyDescent="0.3">
      <c r="A103" t="str">
        <f>""</f>
        <v/>
      </c>
      <c r="B103" t="str">
        <f>""</f>
        <v/>
      </c>
      <c r="C103" t="str">
        <f>""</f>
        <v/>
      </c>
      <c r="D103" t="str">
        <f>""</f>
        <v/>
      </c>
      <c r="E103" t="str">
        <f>""</f>
        <v/>
      </c>
      <c r="F103" t="str">
        <f>""</f>
        <v/>
      </c>
      <c r="G103" t="str">
        <f>""</f>
        <v/>
      </c>
      <c r="H103" t="str">
        <f>""</f>
        <v/>
      </c>
      <c r="I103" t="str">
        <f>""</f>
        <v/>
      </c>
      <c r="J103" t="str">
        <f>""</f>
        <v/>
      </c>
      <c r="K103" t="str">
        <f>""</f>
        <v/>
      </c>
      <c r="L103" t="str">
        <f>""</f>
        <v/>
      </c>
      <c r="M103" t="str">
        <f>""</f>
        <v/>
      </c>
      <c r="N103" t="str">
        <f>""</f>
        <v/>
      </c>
      <c r="O103" t="str">
        <f>""</f>
        <v/>
      </c>
      <c r="P103" t="str">
        <f>""</f>
        <v/>
      </c>
      <c r="Q103" t="str">
        <f>""</f>
        <v/>
      </c>
      <c r="R103" t="str">
        <f>""</f>
        <v/>
      </c>
      <c r="S103" t="str">
        <f>""</f>
        <v/>
      </c>
      <c r="T103" t="str">
        <f>""</f>
        <v/>
      </c>
      <c r="U103" t="str">
        <f>""</f>
        <v/>
      </c>
      <c r="V103" t="str">
        <f>""</f>
        <v/>
      </c>
      <c r="W103" t="str">
        <f>""</f>
        <v/>
      </c>
      <c r="X103" t="str">
        <f>""</f>
        <v/>
      </c>
      <c r="Y103" t="str">
        <f>""</f>
        <v/>
      </c>
      <c r="Z103" t="str">
        <f>""</f>
        <v/>
      </c>
      <c r="AA103" t="str">
        <f>""</f>
        <v/>
      </c>
      <c r="AB103" t="str">
        <f>""</f>
        <v/>
      </c>
      <c r="AC103" t="str">
        <f>""</f>
        <v/>
      </c>
      <c r="AD103" t="str">
        <f>""</f>
        <v/>
      </c>
      <c r="AE103" t="str">
        <f>""</f>
        <v/>
      </c>
      <c r="AF103" t="str">
        <f>""</f>
        <v/>
      </c>
      <c r="AG103" t="str">
        <f>""</f>
        <v/>
      </c>
      <c r="AH103" t="str">
        <f>""</f>
        <v/>
      </c>
      <c r="AI103" t="str">
        <f>"(0.0912)"</f>
        <v>(0.0912)</v>
      </c>
      <c r="AJ103" t="str">
        <f>"(0.0847)"</f>
        <v>(0.0847)</v>
      </c>
      <c r="AK103" t="str">
        <f>"(0.0361)"</f>
        <v>(0.0361)</v>
      </c>
      <c r="AL103" t="str">
        <f>""</f>
        <v/>
      </c>
      <c r="AM103" t="str">
        <f>""</f>
        <v/>
      </c>
      <c r="AN103" t="str">
        <f>""</f>
        <v/>
      </c>
      <c r="AO103" t="str">
        <f>""</f>
        <v/>
      </c>
      <c r="AP103" t="str">
        <f>""</f>
        <v/>
      </c>
      <c r="AQ103" t="str">
        <f>""</f>
        <v/>
      </c>
      <c r="AR103" t="str">
        <f>""</f>
        <v/>
      </c>
      <c r="AS103" t="str">
        <f>""</f>
        <v/>
      </c>
      <c r="AT103" t="str">
        <f>""</f>
        <v/>
      </c>
      <c r="AU103" t="str">
        <f>""</f>
        <v/>
      </c>
      <c r="AV103" t="str">
        <f>""</f>
        <v/>
      </c>
      <c r="AW103" t="str">
        <f>""</f>
        <v/>
      </c>
      <c r="AX103" t="str">
        <f>""</f>
        <v/>
      </c>
      <c r="AY103" t="str">
        <f>""</f>
        <v/>
      </c>
      <c r="AZ103" t="str">
        <f>""</f>
        <v/>
      </c>
      <c r="BA103" t="str">
        <f>""</f>
        <v/>
      </c>
      <c r="BB103" t="str">
        <f>""</f>
        <v/>
      </c>
      <c r="BC103" t="str">
        <f>""</f>
        <v/>
      </c>
      <c r="BD103" t="str">
        <f>""</f>
        <v/>
      </c>
      <c r="BE103" t="str">
        <f>""</f>
        <v/>
      </c>
      <c r="BF103" t="str">
        <f>""</f>
        <v/>
      </c>
      <c r="BG103" t="str">
        <f>""</f>
        <v/>
      </c>
      <c r="BH103" t="str">
        <f>""</f>
        <v/>
      </c>
      <c r="BI103" t="str">
        <f>""</f>
        <v/>
      </c>
      <c r="BJ103" t="str">
        <f>""</f>
        <v/>
      </c>
      <c r="BK103" t="str">
        <f>""</f>
        <v/>
      </c>
      <c r="BL103" t="str">
        <f>""</f>
        <v/>
      </c>
      <c r="BM103" t="str">
        <f>""</f>
        <v/>
      </c>
      <c r="BN103" t="str">
        <f>""</f>
        <v/>
      </c>
      <c r="BO103" t="str">
        <f>""</f>
        <v/>
      </c>
      <c r="BP103" t="str">
        <f>""</f>
        <v/>
      </c>
      <c r="BQ103" t="str">
        <f>""</f>
        <v/>
      </c>
      <c r="BR103" t="str">
        <f>""</f>
        <v/>
      </c>
      <c r="BS103" t="str">
        <f>""</f>
        <v/>
      </c>
      <c r="BT103" t="str">
        <f>""</f>
        <v/>
      </c>
      <c r="BU103" t="str">
        <f>""</f>
        <v/>
      </c>
      <c r="BV103" t="str">
        <f>""</f>
        <v/>
      </c>
      <c r="BW103" t="str">
        <f>""</f>
        <v/>
      </c>
      <c r="BX103" t="str">
        <f>""</f>
        <v/>
      </c>
      <c r="BY103" t="str">
        <f>""</f>
        <v/>
      </c>
      <c r="BZ103" t="str">
        <f>""</f>
        <v/>
      </c>
      <c r="CA103" t="str">
        <f>""</f>
        <v/>
      </c>
      <c r="CB103" t="str">
        <f>"(0.0742)"</f>
        <v>(0.0742)</v>
      </c>
      <c r="CC103" t="str">
        <f>"(0.0871)"</f>
        <v>(0.0871)</v>
      </c>
      <c r="CD103" t="str">
        <f>"(0.0305)"</f>
        <v>(0.0305)</v>
      </c>
      <c r="CE103" t="str">
        <f>""</f>
        <v/>
      </c>
      <c r="CF103" t="str">
        <f>""</f>
        <v/>
      </c>
      <c r="CG103" t="str">
        <f>""</f>
        <v/>
      </c>
      <c r="CH103" t="str">
        <f>""</f>
        <v/>
      </c>
      <c r="CI103" t="str">
        <f>""</f>
        <v/>
      </c>
      <c r="CJ103" t="str">
        <f>""</f>
        <v/>
      </c>
      <c r="CK103" t="str">
        <f>""</f>
        <v/>
      </c>
      <c r="CL103" t="str">
        <f>""</f>
        <v/>
      </c>
      <c r="CM103" t="str">
        <f>""</f>
        <v/>
      </c>
    </row>
    <row r="105" spans="1:91" x14ac:dyDescent="0.3">
      <c r="A105" t="str">
        <f>"c.zMETAB12#c.neflbr"</f>
        <v>c.zMETAB12#c.neflbr</v>
      </c>
      <c r="B105" t="str">
        <f>""</f>
        <v/>
      </c>
      <c r="C105" t="str">
        <f>""</f>
        <v/>
      </c>
      <c r="D105" t="str">
        <f>""</f>
        <v/>
      </c>
      <c r="E105" t="str">
        <f>""</f>
        <v/>
      </c>
      <c r="F105" t="str">
        <f>""</f>
        <v/>
      </c>
      <c r="G105" t="str">
        <f>""</f>
        <v/>
      </c>
      <c r="H105" t="str">
        <f>""</f>
        <v/>
      </c>
      <c r="I105" t="str">
        <f>""</f>
        <v/>
      </c>
      <c r="J105" t="str">
        <f>""</f>
        <v/>
      </c>
      <c r="K105" t="str">
        <f>""</f>
        <v/>
      </c>
      <c r="L105" t="str">
        <f>""</f>
        <v/>
      </c>
      <c r="M105" t="str">
        <f>""</f>
        <v/>
      </c>
      <c r="N105" t="str">
        <f>""</f>
        <v/>
      </c>
      <c r="O105" t="str">
        <f>""</f>
        <v/>
      </c>
      <c r="P105" t="str">
        <f>""</f>
        <v/>
      </c>
      <c r="Q105" t="str">
        <f>""</f>
        <v/>
      </c>
      <c r="R105" t="str">
        <f>""</f>
        <v/>
      </c>
      <c r="S105" t="str">
        <f>""</f>
        <v/>
      </c>
      <c r="T105" t="str">
        <f>""</f>
        <v/>
      </c>
      <c r="U105" t="str">
        <f>""</f>
        <v/>
      </c>
      <c r="V105" t="str">
        <f>""</f>
        <v/>
      </c>
      <c r="W105" t="str">
        <f>""</f>
        <v/>
      </c>
      <c r="X105" t="str">
        <f>""</f>
        <v/>
      </c>
      <c r="Y105" t="str">
        <f>""</f>
        <v/>
      </c>
      <c r="Z105" t="str">
        <f>""</f>
        <v/>
      </c>
      <c r="AA105" t="str">
        <f>""</f>
        <v/>
      </c>
      <c r="AB105" t="str">
        <f>""</f>
        <v/>
      </c>
      <c r="AC105" t="str">
        <f>""</f>
        <v/>
      </c>
      <c r="AD105" t="str">
        <f>""</f>
        <v/>
      </c>
      <c r="AE105" t="str">
        <f>""</f>
        <v/>
      </c>
      <c r="AF105" t="str">
        <f>""</f>
        <v/>
      </c>
      <c r="AG105" t="str">
        <f>""</f>
        <v/>
      </c>
      <c r="AH105" t="str">
        <f>""</f>
        <v/>
      </c>
      <c r="AI105" t="str">
        <f>"-0.121"</f>
        <v>-0.121</v>
      </c>
      <c r="AJ105" t="str">
        <f>"-0.136"</f>
        <v>-0.136</v>
      </c>
      <c r="AK105" t="str">
        <f>"0.0125"</f>
        <v>0.0125</v>
      </c>
      <c r="AL105" t="str">
        <f>""</f>
        <v/>
      </c>
      <c r="AM105" t="str">
        <f>""</f>
        <v/>
      </c>
      <c r="AN105" t="str">
        <f>""</f>
        <v/>
      </c>
      <c r="AO105" t="str">
        <f>""</f>
        <v/>
      </c>
      <c r="AP105" t="str">
        <f>""</f>
        <v/>
      </c>
      <c r="AQ105" t="str">
        <f>""</f>
        <v/>
      </c>
      <c r="AR105" t="str">
        <f>""</f>
        <v/>
      </c>
      <c r="AS105" t="str">
        <f>""</f>
        <v/>
      </c>
      <c r="AT105" t="str">
        <f>""</f>
        <v/>
      </c>
      <c r="AU105" t="str">
        <f>""</f>
        <v/>
      </c>
      <c r="AV105" t="str">
        <f>""</f>
        <v/>
      </c>
      <c r="AW105" t="str">
        <f>""</f>
        <v/>
      </c>
      <c r="AX105" t="str">
        <f>""</f>
        <v/>
      </c>
      <c r="AY105" t="str">
        <f>""</f>
        <v/>
      </c>
      <c r="AZ105" t="str">
        <f>""</f>
        <v/>
      </c>
      <c r="BA105" t="str">
        <f>""</f>
        <v/>
      </c>
      <c r="BB105" t="str">
        <f>""</f>
        <v/>
      </c>
      <c r="BC105" t="str">
        <f>""</f>
        <v/>
      </c>
      <c r="BD105" t="str">
        <f>""</f>
        <v/>
      </c>
      <c r="BE105" t="str">
        <f>""</f>
        <v/>
      </c>
      <c r="BF105" t="str">
        <f>""</f>
        <v/>
      </c>
      <c r="BG105" t="str">
        <f>""</f>
        <v/>
      </c>
      <c r="BH105" t="str">
        <f>""</f>
        <v/>
      </c>
      <c r="BI105" t="str">
        <f>""</f>
        <v/>
      </c>
      <c r="BJ105" t="str">
        <f>""</f>
        <v/>
      </c>
      <c r="BK105" t="str">
        <f>""</f>
        <v/>
      </c>
      <c r="BL105" t="str">
        <f>""</f>
        <v/>
      </c>
      <c r="BM105" t="str">
        <f>""</f>
        <v/>
      </c>
      <c r="BN105" t="str">
        <f>""</f>
        <v/>
      </c>
      <c r="BO105" t="str">
        <f>""</f>
        <v/>
      </c>
      <c r="BP105" t="str">
        <f>""</f>
        <v/>
      </c>
      <c r="BQ105" t="str">
        <f>""</f>
        <v/>
      </c>
      <c r="BR105" t="str">
        <f>""</f>
        <v/>
      </c>
      <c r="BS105" t="str">
        <f>""</f>
        <v/>
      </c>
      <c r="BT105" t="str">
        <f>""</f>
        <v/>
      </c>
      <c r="BU105" t="str">
        <f>""</f>
        <v/>
      </c>
      <c r="BV105" t="str">
        <f>""</f>
        <v/>
      </c>
      <c r="BW105" t="str">
        <f>""</f>
        <v/>
      </c>
      <c r="BX105" t="str">
        <f>""</f>
        <v/>
      </c>
      <c r="BY105" t="str">
        <f>""</f>
        <v/>
      </c>
      <c r="BZ105" t="str">
        <f>""</f>
        <v/>
      </c>
      <c r="CA105" t="str">
        <f>""</f>
        <v/>
      </c>
      <c r="CB105" t="str">
        <f>""</f>
        <v/>
      </c>
      <c r="CC105" t="str">
        <f>""</f>
        <v/>
      </c>
      <c r="CD105" t="str">
        <f>""</f>
        <v/>
      </c>
      <c r="CE105" t="str">
        <f>""</f>
        <v/>
      </c>
      <c r="CF105" t="str">
        <f>""</f>
        <v/>
      </c>
      <c r="CG105" t="str">
        <f>""</f>
        <v/>
      </c>
      <c r="CH105" t="str">
        <f>""</f>
        <v/>
      </c>
      <c r="CI105" t="str">
        <f>""</f>
        <v/>
      </c>
      <c r="CJ105" t="str">
        <f>""</f>
        <v/>
      </c>
      <c r="CK105" t="str">
        <f>""</f>
        <v/>
      </c>
      <c r="CL105" t="str">
        <f>""</f>
        <v/>
      </c>
      <c r="CM105" t="str">
        <f>""</f>
        <v/>
      </c>
    </row>
    <row r="106" spans="1:91" x14ac:dyDescent="0.3">
      <c r="A106" t="str">
        <f>""</f>
        <v/>
      </c>
      <c r="B106" t="str">
        <f>""</f>
        <v/>
      </c>
      <c r="C106" t="str">
        <f>""</f>
        <v/>
      </c>
      <c r="D106" t="str">
        <f>""</f>
        <v/>
      </c>
      <c r="E106" t="str">
        <f>""</f>
        <v/>
      </c>
      <c r="F106" t="str">
        <f>""</f>
        <v/>
      </c>
      <c r="G106" t="str">
        <f>""</f>
        <v/>
      </c>
      <c r="H106" t="str">
        <f>""</f>
        <v/>
      </c>
      <c r="I106" t="str">
        <f>""</f>
        <v/>
      </c>
      <c r="J106" t="str">
        <f>""</f>
        <v/>
      </c>
      <c r="K106" t="str">
        <f>""</f>
        <v/>
      </c>
      <c r="L106" t="str">
        <f>""</f>
        <v/>
      </c>
      <c r="M106" t="str">
        <f>""</f>
        <v/>
      </c>
      <c r="N106" t="str">
        <f>""</f>
        <v/>
      </c>
      <c r="O106" t="str">
        <f>""</f>
        <v/>
      </c>
      <c r="P106" t="str">
        <f>""</f>
        <v/>
      </c>
      <c r="Q106" t="str">
        <f>""</f>
        <v/>
      </c>
      <c r="R106" t="str">
        <f>""</f>
        <v/>
      </c>
      <c r="S106" t="str">
        <f>""</f>
        <v/>
      </c>
      <c r="T106" t="str">
        <f>""</f>
        <v/>
      </c>
      <c r="U106" t="str">
        <f>""</f>
        <v/>
      </c>
      <c r="V106" t="str">
        <f>""</f>
        <v/>
      </c>
      <c r="W106" t="str">
        <f>""</f>
        <v/>
      </c>
      <c r="X106" t="str">
        <f>""</f>
        <v/>
      </c>
      <c r="Y106" t="str">
        <f>""</f>
        <v/>
      </c>
      <c r="Z106" t="str">
        <f>""</f>
        <v/>
      </c>
      <c r="AA106" t="str">
        <f>""</f>
        <v/>
      </c>
      <c r="AB106" t="str">
        <f>""</f>
        <v/>
      </c>
      <c r="AC106" t="str">
        <f>""</f>
        <v/>
      </c>
      <c r="AD106" t="str">
        <f>""</f>
        <v/>
      </c>
      <c r="AE106" t="str">
        <f>""</f>
        <v/>
      </c>
      <c r="AF106" t="str">
        <f>""</f>
        <v/>
      </c>
      <c r="AG106" t="str">
        <f>""</f>
        <v/>
      </c>
      <c r="AH106" t="str">
        <f>""</f>
        <v/>
      </c>
      <c r="AI106" t="str">
        <f>"(0.110)"</f>
        <v>(0.110)</v>
      </c>
      <c r="AJ106" t="str">
        <f>"(0.0959)"</f>
        <v>(0.0959)</v>
      </c>
      <c r="AK106" t="str">
        <f>"(0.0445)"</f>
        <v>(0.0445)</v>
      </c>
      <c r="AL106" t="str">
        <f>""</f>
        <v/>
      </c>
      <c r="AM106" t="str">
        <f>""</f>
        <v/>
      </c>
      <c r="AN106" t="str">
        <f>""</f>
        <v/>
      </c>
      <c r="AO106" t="str">
        <f>""</f>
        <v/>
      </c>
      <c r="AP106" t="str">
        <f>""</f>
        <v/>
      </c>
      <c r="AQ106" t="str">
        <f>""</f>
        <v/>
      </c>
      <c r="AR106" t="str">
        <f>""</f>
        <v/>
      </c>
      <c r="AS106" t="str">
        <f>""</f>
        <v/>
      </c>
      <c r="AT106" t="str">
        <f>""</f>
        <v/>
      </c>
      <c r="AU106" t="str">
        <f>""</f>
        <v/>
      </c>
      <c r="AV106" t="str">
        <f>""</f>
        <v/>
      </c>
      <c r="AW106" t="str">
        <f>""</f>
        <v/>
      </c>
      <c r="AX106" t="str">
        <f>""</f>
        <v/>
      </c>
      <c r="AY106" t="str">
        <f>""</f>
        <v/>
      </c>
      <c r="AZ106" t="str">
        <f>""</f>
        <v/>
      </c>
      <c r="BA106" t="str">
        <f>""</f>
        <v/>
      </c>
      <c r="BB106" t="str">
        <f>""</f>
        <v/>
      </c>
      <c r="BC106" t="str">
        <f>""</f>
        <v/>
      </c>
      <c r="BD106" t="str">
        <f>""</f>
        <v/>
      </c>
      <c r="BE106" t="str">
        <f>""</f>
        <v/>
      </c>
      <c r="BF106" t="str">
        <f>""</f>
        <v/>
      </c>
      <c r="BG106" t="str">
        <f>""</f>
        <v/>
      </c>
      <c r="BH106" t="str">
        <f>""</f>
        <v/>
      </c>
      <c r="BI106" t="str">
        <f>""</f>
        <v/>
      </c>
      <c r="BJ106" t="str">
        <f>""</f>
        <v/>
      </c>
      <c r="BK106" t="str">
        <f>""</f>
        <v/>
      </c>
      <c r="BL106" t="str">
        <f>""</f>
        <v/>
      </c>
      <c r="BM106" t="str">
        <f>""</f>
        <v/>
      </c>
      <c r="BN106" t="str">
        <f>""</f>
        <v/>
      </c>
      <c r="BO106" t="str">
        <f>""</f>
        <v/>
      </c>
      <c r="BP106" t="str">
        <f>""</f>
        <v/>
      </c>
      <c r="BQ106" t="str">
        <f>""</f>
        <v/>
      </c>
      <c r="BR106" t="str">
        <f>""</f>
        <v/>
      </c>
      <c r="BS106" t="str">
        <f>""</f>
        <v/>
      </c>
      <c r="BT106" t="str">
        <f>""</f>
        <v/>
      </c>
      <c r="BU106" t="str">
        <f>""</f>
        <v/>
      </c>
      <c r="BV106" t="str">
        <f>""</f>
        <v/>
      </c>
      <c r="BW106" t="str">
        <f>""</f>
        <v/>
      </c>
      <c r="BX106" t="str">
        <f>""</f>
        <v/>
      </c>
      <c r="BY106" t="str">
        <f>""</f>
        <v/>
      </c>
      <c r="BZ106" t="str">
        <f>""</f>
        <v/>
      </c>
      <c r="CA106" t="str">
        <f>""</f>
        <v/>
      </c>
      <c r="CB106" t="str">
        <f>""</f>
        <v/>
      </c>
      <c r="CC106" t="str">
        <f>""</f>
        <v/>
      </c>
      <c r="CD106" t="str">
        <f>""</f>
        <v/>
      </c>
      <c r="CE106" t="str">
        <f>""</f>
        <v/>
      </c>
      <c r="CF106" t="str">
        <f>""</f>
        <v/>
      </c>
      <c r="CG106" t="str">
        <f>""</f>
        <v/>
      </c>
      <c r="CH106" t="str">
        <f>""</f>
        <v/>
      </c>
      <c r="CI106" t="str">
        <f>""</f>
        <v/>
      </c>
      <c r="CJ106" t="str">
        <f>""</f>
        <v/>
      </c>
      <c r="CK106" t="str">
        <f>""</f>
        <v/>
      </c>
      <c r="CL106" t="str">
        <f>""</f>
        <v/>
      </c>
      <c r="CM106" t="str">
        <f>""</f>
        <v/>
      </c>
    </row>
    <row r="108" spans="1:91" x14ac:dyDescent="0.3">
      <c r="A108" t="str">
        <f>"zMETAB13"</f>
        <v>zMETAB13</v>
      </c>
      <c r="B108" t="str">
        <f>""</f>
        <v/>
      </c>
      <c r="C108" t="str">
        <f>""</f>
        <v/>
      </c>
      <c r="D108" t="str">
        <f>""</f>
        <v/>
      </c>
      <c r="E108" t="str">
        <f>""</f>
        <v/>
      </c>
      <c r="F108" t="str">
        <f>""</f>
        <v/>
      </c>
      <c r="G108" t="str">
        <f>""</f>
        <v/>
      </c>
      <c r="H108" t="str">
        <f>""</f>
        <v/>
      </c>
      <c r="I108" t="str">
        <f>""</f>
        <v/>
      </c>
      <c r="J108" t="str">
        <f>""</f>
        <v/>
      </c>
      <c r="K108" t="str">
        <f>""</f>
        <v/>
      </c>
      <c r="L108" t="str">
        <f>""</f>
        <v/>
      </c>
      <c r="M108" t="str">
        <f>""</f>
        <v/>
      </c>
      <c r="N108" t="str">
        <f>""</f>
        <v/>
      </c>
      <c r="O108" t="str">
        <f>""</f>
        <v/>
      </c>
      <c r="P108" t="str">
        <f>""</f>
        <v/>
      </c>
      <c r="Q108" t="str">
        <f>""</f>
        <v/>
      </c>
      <c r="R108" t="str">
        <f>""</f>
        <v/>
      </c>
      <c r="S108" t="str">
        <f>""</f>
        <v/>
      </c>
      <c r="T108" t="str">
        <f>""</f>
        <v/>
      </c>
      <c r="U108" t="str">
        <f>""</f>
        <v/>
      </c>
      <c r="V108" t="str">
        <f>""</f>
        <v/>
      </c>
      <c r="W108" t="str">
        <f>""</f>
        <v/>
      </c>
      <c r="X108" t="str">
        <f>""</f>
        <v/>
      </c>
      <c r="Y108" t="str">
        <f>""</f>
        <v/>
      </c>
      <c r="Z108" t="str">
        <f>""</f>
        <v/>
      </c>
      <c r="AA108" t="str">
        <f>""</f>
        <v/>
      </c>
      <c r="AB108" t="str">
        <f>""</f>
        <v/>
      </c>
      <c r="AC108" t="str">
        <f>""</f>
        <v/>
      </c>
      <c r="AD108" t="str">
        <f>""</f>
        <v/>
      </c>
      <c r="AE108" t="str">
        <f>""</f>
        <v/>
      </c>
      <c r="AF108" t="str">
        <f>""</f>
        <v/>
      </c>
      <c r="AG108" t="str">
        <f>""</f>
        <v/>
      </c>
      <c r="AH108" t="str">
        <f>""</f>
        <v/>
      </c>
      <c r="AI108" t="str">
        <f>""</f>
        <v/>
      </c>
      <c r="AJ108" t="str">
        <f>""</f>
        <v/>
      </c>
      <c r="AK108" t="str">
        <f>""</f>
        <v/>
      </c>
      <c r="AL108" t="str">
        <f>"0.104"</f>
        <v>0.104</v>
      </c>
      <c r="AM108" t="str">
        <f>"0.00769"</f>
        <v>0.00769</v>
      </c>
      <c r="AN108" t="str">
        <f>"0.0991**"</f>
        <v>0.0991**</v>
      </c>
      <c r="AO108" t="str">
        <f>""</f>
        <v/>
      </c>
      <c r="AP108" t="str">
        <f>""</f>
        <v/>
      </c>
      <c r="AQ108" t="str">
        <f>""</f>
        <v/>
      </c>
      <c r="AR108" t="str">
        <f>""</f>
        <v/>
      </c>
      <c r="AS108" t="str">
        <f>""</f>
        <v/>
      </c>
      <c r="AT108" t="str">
        <f>""</f>
        <v/>
      </c>
      <c r="AU108" t="str">
        <f>""</f>
        <v/>
      </c>
      <c r="AV108" t="str">
        <f>""</f>
        <v/>
      </c>
      <c r="AW108" t="str">
        <f>""</f>
        <v/>
      </c>
      <c r="AX108" t="str">
        <f>""</f>
        <v/>
      </c>
      <c r="AY108" t="str">
        <f>""</f>
        <v/>
      </c>
      <c r="AZ108" t="str">
        <f>""</f>
        <v/>
      </c>
      <c r="BA108" t="str">
        <f>""</f>
        <v/>
      </c>
      <c r="BB108" t="str">
        <f>""</f>
        <v/>
      </c>
      <c r="BC108" t="str">
        <f>""</f>
        <v/>
      </c>
      <c r="BD108" t="str">
        <f>""</f>
        <v/>
      </c>
      <c r="BE108" t="str">
        <f>""</f>
        <v/>
      </c>
      <c r="BF108" t="str">
        <f>""</f>
        <v/>
      </c>
      <c r="BG108" t="str">
        <f>""</f>
        <v/>
      </c>
      <c r="BH108" t="str">
        <f>""</f>
        <v/>
      </c>
      <c r="BI108" t="str">
        <f>""</f>
        <v/>
      </c>
      <c r="BJ108" t="str">
        <f>""</f>
        <v/>
      </c>
      <c r="BK108" t="str">
        <f>""</f>
        <v/>
      </c>
      <c r="BL108" t="str">
        <f>""</f>
        <v/>
      </c>
      <c r="BM108" t="str">
        <f>""</f>
        <v/>
      </c>
      <c r="BN108" t="str">
        <f>""</f>
        <v/>
      </c>
      <c r="BO108" t="str">
        <f>""</f>
        <v/>
      </c>
      <c r="BP108" t="str">
        <f>""</f>
        <v/>
      </c>
      <c r="BQ108" t="str">
        <f>""</f>
        <v/>
      </c>
      <c r="BR108" t="str">
        <f>""</f>
        <v/>
      </c>
      <c r="BS108" t="str">
        <f>""</f>
        <v/>
      </c>
      <c r="BT108" t="str">
        <f>""</f>
        <v/>
      </c>
      <c r="BU108" t="str">
        <f>""</f>
        <v/>
      </c>
      <c r="BV108" t="str">
        <f>""</f>
        <v/>
      </c>
      <c r="BW108" t="str">
        <f>""</f>
        <v/>
      </c>
      <c r="BX108" t="str">
        <f>""</f>
        <v/>
      </c>
      <c r="BY108" t="str">
        <f>""</f>
        <v/>
      </c>
      <c r="BZ108" t="str">
        <f>""</f>
        <v/>
      </c>
      <c r="CA108" t="str">
        <f>""</f>
        <v/>
      </c>
      <c r="CB108" t="str">
        <f>""</f>
        <v/>
      </c>
      <c r="CC108" t="str">
        <f>""</f>
        <v/>
      </c>
      <c r="CD108" t="str">
        <f>""</f>
        <v/>
      </c>
      <c r="CE108" t="str">
        <f>"0.0596"</f>
        <v>0.0596</v>
      </c>
      <c r="CF108" t="str">
        <f>"0.0903"</f>
        <v>0.0903</v>
      </c>
      <c r="CG108" t="str">
        <f>"0.128***"</f>
        <v>0.128***</v>
      </c>
      <c r="CH108" t="str">
        <f>""</f>
        <v/>
      </c>
      <c r="CI108" t="str">
        <f>""</f>
        <v/>
      </c>
      <c r="CJ108" t="str">
        <f>""</f>
        <v/>
      </c>
      <c r="CK108" t="str">
        <f>""</f>
        <v/>
      </c>
      <c r="CL108" t="str">
        <f>""</f>
        <v/>
      </c>
      <c r="CM108" t="str">
        <f>""</f>
        <v/>
      </c>
    </row>
    <row r="109" spans="1:91" x14ac:dyDescent="0.3">
      <c r="A109" t="str">
        <f>""</f>
        <v/>
      </c>
      <c r="B109" t="str">
        <f>""</f>
        <v/>
      </c>
      <c r="C109" t="str">
        <f>""</f>
        <v/>
      </c>
      <c r="D109" t="str">
        <f>""</f>
        <v/>
      </c>
      <c r="E109" t="str">
        <f>""</f>
        <v/>
      </c>
      <c r="F109" t="str">
        <f>""</f>
        <v/>
      </c>
      <c r="G109" t="str">
        <f>""</f>
        <v/>
      </c>
      <c r="H109" t="str">
        <f>""</f>
        <v/>
      </c>
      <c r="I109" t="str">
        <f>""</f>
        <v/>
      </c>
      <c r="J109" t="str">
        <f>""</f>
        <v/>
      </c>
      <c r="K109" t="str">
        <f>""</f>
        <v/>
      </c>
      <c r="L109" t="str">
        <f>""</f>
        <v/>
      </c>
      <c r="M109" t="str">
        <f>""</f>
        <v/>
      </c>
      <c r="N109" t="str">
        <f>""</f>
        <v/>
      </c>
      <c r="O109" t="str">
        <f>""</f>
        <v/>
      </c>
      <c r="P109" t="str">
        <f>""</f>
        <v/>
      </c>
      <c r="Q109" t="str">
        <f>""</f>
        <v/>
      </c>
      <c r="R109" t="str">
        <f>""</f>
        <v/>
      </c>
      <c r="S109" t="str">
        <f>""</f>
        <v/>
      </c>
      <c r="T109" t="str">
        <f>""</f>
        <v/>
      </c>
      <c r="U109" t="str">
        <f>""</f>
        <v/>
      </c>
      <c r="V109" t="str">
        <f>""</f>
        <v/>
      </c>
      <c r="W109" t="str">
        <f>""</f>
        <v/>
      </c>
      <c r="X109" t="str">
        <f>""</f>
        <v/>
      </c>
      <c r="Y109" t="str">
        <f>""</f>
        <v/>
      </c>
      <c r="Z109" t="str">
        <f>""</f>
        <v/>
      </c>
      <c r="AA109" t="str">
        <f>""</f>
        <v/>
      </c>
      <c r="AB109" t="str">
        <f>""</f>
        <v/>
      </c>
      <c r="AC109" t="str">
        <f>""</f>
        <v/>
      </c>
      <c r="AD109" t="str">
        <f>""</f>
        <v/>
      </c>
      <c r="AE109" t="str">
        <f>""</f>
        <v/>
      </c>
      <c r="AF109" t="str">
        <f>""</f>
        <v/>
      </c>
      <c r="AG109" t="str">
        <f>""</f>
        <v/>
      </c>
      <c r="AH109" t="str">
        <f>""</f>
        <v/>
      </c>
      <c r="AI109" t="str">
        <f>""</f>
        <v/>
      </c>
      <c r="AJ109" t="str">
        <f>""</f>
        <v/>
      </c>
      <c r="AK109" t="str">
        <f>""</f>
        <v/>
      </c>
      <c r="AL109" t="str">
        <f>"(0.0928)"</f>
        <v>(0.0928)</v>
      </c>
      <c r="AM109" t="str">
        <f>"(0.0900)"</f>
        <v>(0.0900)</v>
      </c>
      <c r="AN109" t="str">
        <f>"(0.0378)"</f>
        <v>(0.0378)</v>
      </c>
      <c r="AO109" t="str">
        <f>""</f>
        <v/>
      </c>
      <c r="AP109" t="str">
        <f>""</f>
        <v/>
      </c>
      <c r="AQ109" t="str">
        <f>""</f>
        <v/>
      </c>
      <c r="AR109" t="str">
        <f>""</f>
        <v/>
      </c>
      <c r="AS109" t="str">
        <f>""</f>
        <v/>
      </c>
      <c r="AT109" t="str">
        <f>""</f>
        <v/>
      </c>
      <c r="AU109" t="str">
        <f>""</f>
        <v/>
      </c>
      <c r="AV109" t="str">
        <f>""</f>
        <v/>
      </c>
      <c r="AW109" t="str">
        <f>""</f>
        <v/>
      </c>
      <c r="AX109" t="str">
        <f>""</f>
        <v/>
      </c>
      <c r="AY109" t="str">
        <f>""</f>
        <v/>
      </c>
      <c r="AZ109" t="str">
        <f>""</f>
        <v/>
      </c>
      <c r="BA109" t="str">
        <f>""</f>
        <v/>
      </c>
      <c r="BB109" t="str">
        <f>""</f>
        <v/>
      </c>
      <c r="BC109" t="str">
        <f>""</f>
        <v/>
      </c>
      <c r="BD109" t="str">
        <f>""</f>
        <v/>
      </c>
      <c r="BE109" t="str">
        <f>""</f>
        <v/>
      </c>
      <c r="BF109" t="str">
        <f>""</f>
        <v/>
      </c>
      <c r="BG109" t="str">
        <f>""</f>
        <v/>
      </c>
      <c r="BH109" t="str">
        <f>""</f>
        <v/>
      </c>
      <c r="BI109" t="str">
        <f>""</f>
        <v/>
      </c>
      <c r="BJ109" t="str">
        <f>""</f>
        <v/>
      </c>
      <c r="BK109" t="str">
        <f>""</f>
        <v/>
      </c>
      <c r="BL109" t="str">
        <f>""</f>
        <v/>
      </c>
      <c r="BM109" t="str">
        <f>""</f>
        <v/>
      </c>
      <c r="BN109" t="str">
        <f>""</f>
        <v/>
      </c>
      <c r="BO109" t="str">
        <f>""</f>
        <v/>
      </c>
      <c r="BP109" t="str">
        <f>""</f>
        <v/>
      </c>
      <c r="BQ109" t="str">
        <f>""</f>
        <v/>
      </c>
      <c r="BR109" t="str">
        <f>""</f>
        <v/>
      </c>
      <c r="BS109" t="str">
        <f>""</f>
        <v/>
      </c>
      <c r="BT109" t="str">
        <f>""</f>
        <v/>
      </c>
      <c r="BU109" t="str">
        <f>""</f>
        <v/>
      </c>
      <c r="BV109" t="str">
        <f>""</f>
        <v/>
      </c>
      <c r="BW109" t="str">
        <f>""</f>
        <v/>
      </c>
      <c r="BX109" t="str">
        <f>""</f>
        <v/>
      </c>
      <c r="BY109" t="str">
        <f>""</f>
        <v/>
      </c>
      <c r="BZ109" t="str">
        <f>""</f>
        <v/>
      </c>
      <c r="CA109" t="str">
        <f>""</f>
        <v/>
      </c>
      <c r="CB109" t="str">
        <f>""</f>
        <v/>
      </c>
      <c r="CC109" t="str">
        <f>""</f>
        <v/>
      </c>
      <c r="CD109" t="str">
        <f>""</f>
        <v/>
      </c>
      <c r="CE109" t="str">
        <f>"(0.0767)"</f>
        <v>(0.0767)</v>
      </c>
      <c r="CF109" t="str">
        <f>"(0.0895)"</f>
        <v>(0.0895)</v>
      </c>
      <c r="CG109" t="str">
        <f>"(0.0319)"</f>
        <v>(0.0319)</v>
      </c>
      <c r="CH109" t="str">
        <f>""</f>
        <v/>
      </c>
      <c r="CI109" t="str">
        <f>""</f>
        <v/>
      </c>
      <c r="CJ109" t="str">
        <f>""</f>
        <v/>
      </c>
      <c r="CK109" t="str">
        <f>""</f>
        <v/>
      </c>
      <c r="CL109" t="str">
        <f>""</f>
        <v/>
      </c>
      <c r="CM109" t="str">
        <f>""</f>
        <v/>
      </c>
    </row>
    <row r="111" spans="1:91" x14ac:dyDescent="0.3">
      <c r="A111" t="str">
        <f>"c.zMETAB13#c.neflbr"</f>
        <v>c.zMETAB13#c.neflbr</v>
      </c>
      <c r="B111" t="str">
        <f>""</f>
        <v/>
      </c>
      <c r="C111" t="str">
        <f>""</f>
        <v/>
      </c>
      <c r="D111" t="str">
        <f>""</f>
        <v/>
      </c>
      <c r="E111" t="str">
        <f>""</f>
        <v/>
      </c>
      <c r="F111" t="str">
        <f>""</f>
        <v/>
      </c>
      <c r="G111" t="str">
        <f>""</f>
        <v/>
      </c>
      <c r="H111" t="str">
        <f>""</f>
        <v/>
      </c>
      <c r="I111" t="str">
        <f>""</f>
        <v/>
      </c>
      <c r="J111" t="str">
        <f>""</f>
        <v/>
      </c>
      <c r="K111" t="str">
        <f>""</f>
        <v/>
      </c>
      <c r="L111" t="str">
        <f>""</f>
        <v/>
      </c>
      <c r="M111" t="str">
        <f>""</f>
        <v/>
      </c>
      <c r="N111" t="str">
        <f>""</f>
        <v/>
      </c>
      <c r="O111" t="str">
        <f>""</f>
        <v/>
      </c>
      <c r="P111" t="str">
        <f>""</f>
        <v/>
      </c>
      <c r="Q111" t="str">
        <f>""</f>
        <v/>
      </c>
      <c r="R111" t="str">
        <f>""</f>
        <v/>
      </c>
      <c r="S111" t="str">
        <f>""</f>
        <v/>
      </c>
      <c r="T111" t="str">
        <f>""</f>
        <v/>
      </c>
      <c r="U111" t="str">
        <f>""</f>
        <v/>
      </c>
      <c r="V111" t="str">
        <f>""</f>
        <v/>
      </c>
      <c r="W111" t="str">
        <f>""</f>
        <v/>
      </c>
      <c r="X111" t="str">
        <f>""</f>
        <v/>
      </c>
      <c r="Y111" t="str">
        <f>""</f>
        <v/>
      </c>
      <c r="Z111" t="str">
        <f>""</f>
        <v/>
      </c>
      <c r="AA111" t="str">
        <f>""</f>
        <v/>
      </c>
      <c r="AB111" t="str">
        <f>""</f>
        <v/>
      </c>
      <c r="AC111" t="str">
        <f>""</f>
        <v/>
      </c>
      <c r="AD111" t="str">
        <f>""</f>
        <v/>
      </c>
      <c r="AE111" t="str">
        <f>""</f>
        <v/>
      </c>
      <c r="AF111" t="str">
        <f>""</f>
        <v/>
      </c>
      <c r="AG111" t="str">
        <f>""</f>
        <v/>
      </c>
      <c r="AH111" t="str">
        <f>""</f>
        <v/>
      </c>
      <c r="AI111" t="str">
        <f>""</f>
        <v/>
      </c>
      <c r="AJ111" t="str">
        <f>""</f>
        <v/>
      </c>
      <c r="AK111" t="str">
        <f>""</f>
        <v/>
      </c>
      <c r="AL111" t="str">
        <f>"-0.0457"</f>
        <v>-0.0457</v>
      </c>
      <c r="AM111" t="str">
        <f>"0.0124"</f>
        <v>0.0124</v>
      </c>
      <c r="AN111" t="str">
        <f>"0.00526"</f>
        <v>0.00526</v>
      </c>
      <c r="AO111" t="str">
        <f>""</f>
        <v/>
      </c>
      <c r="AP111" t="str">
        <f>""</f>
        <v/>
      </c>
      <c r="AQ111" t="str">
        <f>""</f>
        <v/>
      </c>
      <c r="AR111" t="str">
        <f>""</f>
        <v/>
      </c>
      <c r="AS111" t="str">
        <f>""</f>
        <v/>
      </c>
      <c r="AT111" t="str">
        <f>""</f>
        <v/>
      </c>
      <c r="AU111" t="str">
        <f>""</f>
        <v/>
      </c>
      <c r="AV111" t="str">
        <f>""</f>
        <v/>
      </c>
      <c r="AW111" t="str">
        <f>""</f>
        <v/>
      </c>
      <c r="AX111" t="str">
        <f>""</f>
        <v/>
      </c>
      <c r="AY111" t="str">
        <f>""</f>
        <v/>
      </c>
      <c r="AZ111" t="str">
        <f>""</f>
        <v/>
      </c>
      <c r="BA111" t="str">
        <f>""</f>
        <v/>
      </c>
      <c r="BB111" t="str">
        <f>""</f>
        <v/>
      </c>
      <c r="BC111" t="str">
        <f>""</f>
        <v/>
      </c>
      <c r="BD111" t="str">
        <f>""</f>
        <v/>
      </c>
      <c r="BE111" t="str">
        <f>""</f>
        <v/>
      </c>
      <c r="BF111" t="str">
        <f>""</f>
        <v/>
      </c>
      <c r="BG111" t="str">
        <f>""</f>
        <v/>
      </c>
      <c r="BH111" t="str">
        <f>""</f>
        <v/>
      </c>
      <c r="BI111" t="str">
        <f>""</f>
        <v/>
      </c>
      <c r="BJ111" t="str">
        <f>""</f>
        <v/>
      </c>
      <c r="BK111" t="str">
        <f>""</f>
        <v/>
      </c>
      <c r="BL111" t="str">
        <f>""</f>
        <v/>
      </c>
      <c r="BM111" t="str">
        <f>""</f>
        <v/>
      </c>
      <c r="BN111" t="str">
        <f>""</f>
        <v/>
      </c>
      <c r="BO111" t="str">
        <f>""</f>
        <v/>
      </c>
      <c r="BP111" t="str">
        <f>""</f>
        <v/>
      </c>
      <c r="BQ111" t="str">
        <f>""</f>
        <v/>
      </c>
      <c r="BR111" t="str">
        <f>""</f>
        <v/>
      </c>
      <c r="BS111" t="str">
        <f>""</f>
        <v/>
      </c>
      <c r="BT111" t="str">
        <f>""</f>
        <v/>
      </c>
      <c r="BU111" t="str">
        <f>""</f>
        <v/>
      </c>
      <c r="BV111" t="str">
        <f>""</f>
        <v/>
      </c>
      <c r="BW111" t="str">
        <f>""</f>
        <v/>
      </c>
      <c r="BX111" t="str">
        <f>""</f>
        <v/>
      </c>
      <c r="BY111" t="str">
        <f>""</f>
        <v/>
      </c>
      <c r="BZ111" t="str">
        <f>""</f>
        <v/>
      </c>
      <c r="CA111" t="str">
        <f>""</f>
        <v/>
      </c>
      <c r="CB111" t="str">
        <f>""</f>
        <v/>
      </c>
      <c r="CC111" t="str">
        <f>""</f>
        <v/>
      </c>
      <c r="CD111" t="str">
        <f>""</f>
        <v/>
      </c>
      <c r="CE111" t="str">
        <f>""</f>
        <v/>
      </c>
      <c r="CF111" t="str">
        <f>""</f>
        <v/>
      </c>
      <c r="CG111" t="str">
        <f>""</f>
        <v/>
      </c>
      <c r="CH111" t="str">
        <f>""</f>
        <v/>
      </c>
      <c r="CI111" t="str">
        <f>""</f>
        <v/>
      </c>
      <c r="CJ111" t="str">
        <f>""</f>
        <v/>
      </c>
      <c r="CK111" t="str">
        <f>""</f>
        <v/>
      </c>
      <c r="CL111" t="str">
        <f>""</f>
        <v/>
      </c>
      <c r="CM111" t="str">
        <f>""</f>
        <v/>
      </c>
    </row>
    <row r="112" spans="1:91" x14ac:dyDescent="0.3">
      <c r="A112" t="str">
        <f>""</f>
        <v/>
      </c>
      <c r="B112" t="str">
        <f>""</f>
        <v/>
      </c>
      <c r="C112" t="str">
        <f>""</f>
        <v/>
      </c>
      <c r="D112" t="str">
        <f>""</f>
        <v/>
      </c>
      <c r="E112" t="str">
        <f>""</f>
        <v/>
      </c>
      <c r="F112" t="str">
        <f>""</f>
        <v/>
      </c>
      <c r="G112" t="str">
        <f>""</f>
        <v/>
      </c>
      <c r="H112" t="str">
        <f>""</f>
        <v/>
      </c>
      <c r="I112" t="str">
        <f>""</f>
        <v/>
      </c>
      <c r="J112" t="str">
        <f>""</f>
        <v/>
      </c>
      <c r="K112" t="str">
        <f>""</f>
        <v/>
      </c>
      <c r="L112" t="str">
        <f>""</f>
        <v/>
      </c>
      <c r="M112" t="str">
        <f>""</f>
        <v/>
      </c>
      <c r="N112" t="str">
        <f>""</f>
        <v/>
      </c>
      <c r="O112" t="str">
        <f>""</f>
        <v/>
      </c>
      <c r="P112" t="str">
        <f>""</f>
        <v/>
      </c>
      <c r="Q112" t="str">
        <f>""</f>
        <v/>
      </c>
      <c r="R112" t="str">
        <f>""</f>
        <v/>
      </c>
      <c r="S112" t="str">
        <f>""</f>
        <v/>
      </c>
      <c r="T112" t="str">
        <f>""</f>
        <v/>
      </c>
      <c r="U112" t="str">
        <f>""</f>
        <v/>
      </c>
      <c r="V112" t="str">
        <f>""</f>
        <v/>
      </c>
      <c r="W112" t="str">
        <f>""</f>
        <v/>
      </c>
      <c r="X112" t="str">
        <f>""</f>
        <v/>
      </c>
      <c r="Y112" t="str">
        <f>""</f>
        <v/>
      </c>
      <c r="Z112" t="str">
        <f>""</f>
        <v/>
      </c>
      <c r="AA112" t="str">
        <f>""</f>
        <v/>
      </c>
      <c r="AB112" t="str">
        <f>""</f>
        <v/>
      </c>
      <c r="AC112" t="str">
        <f>""</f>
        <v/>
      </c>
      <c r="AD112" t="str">
        <f>""</f>
        <v/>
      </c>
      <c r="AE112" t="str">
        <f>""</f>
        <v/>
      </c>
      <c r="AF112" t="str">
        <f>""</f>
        <v/>
      </c>
      <c r="AG112" t="str">
        <f>""</f>
        <v/>
      </c>
      <c r="AH112" t="str">
        <f>""</f>
        <v/>
      </c>
      <c r="AI112" t="str">
        <f>""</f>
        <v/>
      </c>
      <c r="AJ112" t="str">
        <f>""</f>
        <v/>
      </c>
      <c r="AK112" t="str">
        <f>""</f>
        <v/>
      </c>
      <c r="AL112" t="str">
        <f>"(0.111)"</f>
        <v>(0.111)</v>
      </c>
      <c r="AM112" t="str">
        <f>"(0.101)"</f>
        <v>(0.101)</v>
      </c>
      <c r="AN112" t="str">
        <f>"(0.0463)"</f>
        <v>(0.0463)</v>
      </c>
      <c r="AO112" t="str">
        <f>""</f>
        <v/>
      </c>
      <c r="AP112" t="str">
        <f>""</f>
        <v/>
      </c>
      <c r="AQ112" t="str">
        <f>""</f>
        <v/>
      </c>
      <c r="AR112" t="str">
        <f>""</f>
        <v/>
      </c>
      <c r="AS112" t="str">
        <f>""</f>
        <v/>
      </c>
      <c r="AT112" t="str">
        <f>""</f>
        <v/>
      </c>
      <c r="AU112" t="str">
        <f>""</f>
        <v/>
      </c>
      <c r="AV112" t="str">
        <f>""</f>
        <v/>
      </c>
      <c r="AW112" t="str">
        <f>""</f>
        <v/>
      </c>
      <c r="AX112" t="str">
        <f>""</f>
        <v/>
      </c>
      <c r="AY112" t="str">
        <f>""</f>
        <v/>
      </c>
      <c r="AZ112" t="str">
        <f>""</f>
        <v/>
      </c>
      <c r="BA112" t="str">
        <f>""</f>
        <v/>
      </c>
      <c r="BB112" t="str">
        <f>""</f>
        <v/>
      </c>
      <c r="BC112" t="str">
        <f>""</f>
        <v/>
      </c>
      <c r="BD112" t="str">
        <f>""</f>
        <v/>
      </c>
      <c r="BE112" t="str">
        <f>""</f>
        <v/>
      </c>
      <c r="BF112" t="str">
        <f>""</f>
        <v/>
      </c>
      <c r="BG112" t="str">
        <f>""</f>
        <v/>
      </c>
      <c r="BH112" t="str">
        <f>""</f>
        <v/>
      </c>
      <c r="BI112" t="str">
        <f>""</f>
        <v/>
      </c>
      <c r="BJ112" t="str">
        <f>""</f>
        <v/>
      </c>
      <c r="BK112" t="str">
        <f>""</f>
        <v/>
      </c>
      <c r="BL112" t="str">
        <f>""</f>
        <v/>
      </c>
      <c r="BM112" t="str">
        <f>""</f>
        <v/>
      </c>
      <c r="BN112" t="str">
        <f>""</f>
        <v/>
      </c>
      <c r="BO112" t="str">
        <f>""</f>
        <v/>
      </c>
      <c r="BP112" t="str">
        <f>""</f>
        <v/>
      </c>
      <c r="BQ112" t="str">
        <f>""</f>
        <v/>
      </c>
      <c r="BR112" t="str">
        <f>""</f>
        <v/>
      </c>
      <c r="BS112" t="str">
        <f>""</f>
        <v/>
      </c>
      <c r="BT112" t="str">
        <f>""</f>
        <v/>
      </c>
      <c r="BU112" t="str">
        <f>""</f>
        <v/>
      </c>
      <c r="BV112" t="str">
        <f>""</f>
        <v/>
      </c>
      <c r="BW112" t="str">
        <f>""</f>
        <v/>
      </c>
      <c r="BX112" t="str">
        <f>""</f>
        <v/>
      </c>
      <c r="BY112" t="str">
        <f>""</f>
        <v/>
      </c>
      <c r="BZ112" t="str">
        <f>""</f>
        <v/>
      </c>
      <c r="CA112" t="str">
        <f>""</f>
        <v/>
      </c>
      <c r="CB112" t="str">
        <f>""</f>
        <v/>
      </c>
      <c r="CC112" t="str">
        <f>""</f>
        <v/>
      </c>
      <c r="CD112" t="str">
        <f>""</f>
        <v/>
      </c>
      <c r="CE112" t="str">
        <f>""</f>
        <v/>
      </c>
      <c r="CF112" t="str">
        <f>""</f>
        <v/>
      </c>
      <c r="CG112" t="str">
        <f>""</f>
        <v/>
      </c>
      <c r="CH112" t="str">
        <f>""</f>
        <v/>
      </c>
      <c r="CI112" t="str">
        <f>""</f>
        <v/>
      </c>
      <c r="CJ112" t="str">
        <f>""</f>
        <v/>
      </c>
      <c r="CK112" t="str">
        <f>""</f>
        <v/>
      </c>
      <c r="CL112" t="str">
        <f>""</f>
        <v/>
      </c>
      <c r="CM112" t="str">
        <f>""</f>
        <v/>
      </c>
    </row>
    <row r="114" spans="1:91" x14ac:dyDescent="0.3">
      <c r="A114" t="str">
        <f>"zMETAB14"</f>
        <v>zMETAB14</v>
      </c>
      <c r="B114" t="str">
        <f>""</f>
        <v/>
      </c>
      <c r="C114" t="str">
        <f>""</f>
        <v/>
      </c>
      <c r="D114" t="str">
        <f>""</f>
        <v/>
      </c>
      <c r="E114" t="str">
        <f>""</f>
        <v/>
      </c>
      <c r="F114" t="str">
        <f>""</f>
        <v/>
      </c>
      <c r="G114" t="str">
        <f>""</f>
        <v/>
      </c>
      <c r="H114" t="str">
        <f>""</f>
        <v/>
      </c>
      <c r="I114" t="str">
        <f>""</f>
        <v/>
      </c>
      <c r="J114" t="str">
        <f>""</f>
        <v/>
      </c>
      <c r="K114" t="str">
        <f>""</f>
        <v/>
      </c>
      <c r="L114" t="str">
        <f>""</f>
        <v/>
      </c>
      <c r="M114" t="str">
        <f>""</f>
        <v/>
      </c>
      <c r="N114" t="str">
        <f>""</f>
        <v/>
      </c>
      <c r="O114" t="str">
        <f>""</f>
        <v/>
      </c>
      <c r="P114" t="str">
        <f>""</f>
        <v/>
      </c>
      <c r="Q114" t="str">
        <f>""</f>
        <v/>
      </c>
      <c r="R114" t="str">
        <f>""</f>
        <v/>
      </c>
      <c r="S114" t="str">
        <f>""</f>
        <v/>
      </c>
      <c r="T114" t="str">
        <f>""</f>
        <v/>
      </c>
      <c r="U114" t="str">
        <f>""</f>
        <v/>
      </c>
      <c r="V114" t="str">
        <f>""</f>
        <v/>
      </c>
      <c r="W114" t="str">
        <f>""</f>
        <v/>
      </c>
      <c r="X114" t="str">
        <f>""</f>
        <v/>
      </c>
      <c r="Y114" t="str">
        <f>""</f>
        <v/>
      </c>
      <c r="Z114" t="str">
        <f>""</f>
        <v/>
      </c>
      <c r="AA114" t="str">
        <f>""</f>
        <v/>
      </c>
      <c r="AB114" t="str">
        <f>""</f>
        <v/>
      </c>
      <c r="AC114" t="str">
        <f>""</f>
        <v/>
      </c>
      <c r="AD114" t="str">
        <f>""</f>
        <v/>
      </c>
      <c r="AE114" t="str">
        <f>""</f>
        <v/>
      </c>
      <c r="AF114" t="str">
        <f>""</f>
        <v/>
      </c>
      <c r="AG114" t="str">
        <f>""</f>
        <v/>
      </c>
      <c r="AH114" t="str">
        <f>""</f>
        <v/>
      </c>
      <c r="AI114" t="str">
        <f>""</f>
        <v/>
      </c>
      <c r="AJ114" t="str">
        <f>""</f>
        <v/>
      </c>
      <c r="AK114" t="str">
        <f>""</f>
        <v/>
      </c>
      <c r="AL114" t="str">
        <f>""</f>
        <v/>
      </c>
      <c r="AM114" t="str">
        <f>""</f>
        <v/>
      </c>
      <c r="AN114" t="str">
        <f>""</f>
        <v/>
      </c>
      <c r="AO114" t="str">
        <f>"0.138"</f>
        <v>0.138</v>
      </c>
      <c r="AP114" t="str">
        <f>"0.0896"</f>
        <v>0.0896</v>
      </c>
      <c r="AQ114" t="str">
        <f>"-0.0644"</f>
        <v>-0.0644</v>
      </c>
      <c r="AR114" t="str">
        <f>""</f>
        <v/>
      </c>
      <c r="AS114" t="str">
        <f>""</f>
        <v/>
      </c>
      <c r="AT114" t="str">
        <f>""</f>
        <v/>
      </c>
      <c r="AU114" t="str">
        <f>""</f>
        <v/>
      </c>
      <c r="AV114" t="str">
        <f>""</f>
        <v/>
      </c>
      <c r="AW114" t="str">
        <f>""</f>
        <v/>
      </c>
      <c r="AX114" t="str">
        <f>""</f>
        <v/>
      </c>
      <c r="AY114" t="str">
        <f>""</f>
        <v/>
      </c>
      <c r="AZ114" t="str">
        <f>""</f>
        <v/>
      </c>
      <c r="BA114" t="str">
        <f>""</f>
        <v/>
      </c>
      <c r="BB114" t="str">
        <f>""</f>
        <v/>
      </c>
      <c r="BC114" t="str">
        <f>""</f>
        <v/>
      </c>
      <c r="BD114" t="str">
        <f>""</f>
        <v/>
      </c>
      <c r="BE114" t="str">
        <f>""</f>
        <v/>
      </c>
      <c r="BF114" t="str">
        <f>""</f>
        <v/>
      </c>
      <c r="BG114" t="str">
        <f>""</f>
        <v/>
      </c>
      <c r="BH114" t="str">
        <f>""</f>
        <v/>
      </c>
      <c r="BI114" t="str">
        <f>""</f>
        <v/>
      </c>
      <c r="BJ114" t="str">
        <f>""</f>
        <v/>
      </c>
      <c r="BK114" t="str">
        <f>""</f>
        <v/>
      </c>
      <c r="BL114" t="str">
        <f>""</f>
        <v/>
      </c>
      <c r="BM114" t="str">
        <f>""</f>
        <v/>
      </c>
      <c r="BN114" t="str">
        <f>""</f>
        <v/>
      </c>
      <c r="BO114" t="str">
        <f>""</f>
        <v/>
      </c>
      <c r="BP114" t="str">
        <f>""</f>
        <v/>
      </c>
      <c r="BQ114" t="str">
        <f>""</f>
        <v/>
      </c>
      <c r="BR114" t="str">
        <f>""</f>
        <v/>
      </c>
      <c r="BS114" t="str">
        <f>""</f>
        <v/>
      </c>
      <c r="BT114" t="str">
        <f>""</f>
        <v/>
      </c>
      <c r="BU114" t="str">
        <f>""</f>
        <v/>
      </c>
      <c r="BV114" t="str">
        <f>""</f>
        <v/>
      </c>
      <c r="BW114" t="str">
        <f>""</f>
        <v/>
      </c>
      <c r="BX114" t="str">
        <f>""</f>
        <v/>
      </c>
      <c r="BY114" t="str">
        <f>""</f>
        <v/>
      </c>
      <c r="BZ114" t="str">
        <f>""</f>
        <v/>
      </c>
      <c r="CA114" t="str">
        <f>""</f>
        <v/>
      </c>
      <c r="CB114" t="str">
        <f>""</f>
        <v/>
      </c>
      <c r="CC114" t="str">
        <f>""</f>
        <v/>
      </c>
      <c r="CD114" t="str">
        <f>""</f>
        <v/>
      </c>
      <c r="CE114" t="str">
        <f>""</f>
        <v/>
      </c>
      <c r="CF114" t="str">
        <f>""</f>
        <v/>
      </c>
      <c r="CG114" t="str">
        <f>""</f>
        <v/>
      </c>
      <c r="CH114" t="str">
        <f>"0.0274"</f>
        <v>0.0274</v>
      </c>
      <c r="CI114" t="str">
        <f>"0.116"</f>
        <v>0.116</v>
      </c>
      <c r="CJ114" t="str">
        <f>"0.00211"</f>
        <v>0.00211</v>
      </c>
      <c r="CK114" t="str">
        <f>""</f>
        <v/>
      </c>
      <c r="CL114" t="str">
        <f>""</f>
        <v/>
      </c>
      <c r="CM114" t="str">
        <f>""</f>
        <v/>
      </c>
    </row>
    <row r="115" spans="1:91" x14ac:dyDescent="0.3">
      <c r="A115" t="str">
        <f>""</f>
        <v/>
      </c>
      <c r="B115" t="str">
        <f>""</f>
        <v/>
      </c>
      <c r="C115" t="str">
        <f>""</f>
        <v/>
      </c>
      <c r="D115" t="str">
        <f>""</f>
        <v/>
      </c>
      <c r="E115" t="str">
        <f>""</f>
        <v/>
      </c>
      <c r="F115" t="str">
        <f>""</f>
        <v/>
      </c>
      <c r="G115" t="str">
        <f>""</f>
        <v/>
      </c>
      <c r="H115" t="str">
        <f>""</f>
        <v/>
      </c>
      <c r="I115" t="str">
        <f>""</f>
        <v/>
      </c>
      <c r="J115" t="str">
        <f>""</f>
        <v/>
      </c>
      <c r="K115" t="str">
        <f>""</f>
        <v/>
      </c>
      <c r="L115" t="str">
        <f>""</f>
        <v/>
      </c>
      <c r="M115" t="str">
        <f>""</f>
        <v/>
      </c>
      <c r="N115" t="str">
        <f>""</f>
        <v/>
      </c>
      <c r="O115" t="str">
        <f>""</f>
        <v/>
      </c>
      <c r="P115" t="str">
        <f>""</f>
        <v/>
      </c>
      <c r="Q115" t="str">
        <f>""</f>
        <v/>
      </c>
      <c r="R115" t="str">
        <f>""</f>
        <v/>
      </c>
      <c r="S115" t="str">
        <f>""</f>
        <v/>
      </c>
      <c r="T115" t="str">
        <f>""</f>
        <v/>
      </c>
      <c r="U115" t="str">
        <f>""</f>
        <v/>
      </c>
      <c r="V115" t="str">
        <f>""</f>
        <v/>
      </c>
      <c r="W115" t="str">
        <f>""</f>
        <v/>
      </c>
      <c r="X115" t="str">
        <f>""</f>
        <v/>
      </c>
      <c r="Y115" t="str">
        <f>""</f>
        <v/>
      </c>
      <c r="Z115" t="str">
        <f>""</f>
        <v/>
      </c>
      <c r="AA115" t="str">
        <f>""</f>
        <v/>
      </c>
      <c r="AB115" t="str">
        <f>""</f>
        <v/>
      </c>
      <c r="AC115" t="str">
        <f>""</f>
        <v/>
      </c>
      <c r="AD115" t="str">
        <f>""</f>
        <v/>
      </c>
      <c r="AE115" t="str">
        <f>""</f>
        <v/>
      </c>
      <c r="AF115" t="str">
        <f>""</f>
        <v/>
      </c>
      <c r="AG115" t="str">
        <f>""</f>
        <v/>
      </c>
      <c r="AH115" t="str">
        <f>""</f>
        <v/>
      </c>
      <c r="AI115" t="str">
        <f>""</f>
        <v/>
      </c>
      <c r="AJ115" t="str">
        <f>""</f>
        <v/>
      </c>
      <c r="AK115" t="str">
        <f>""</f>
        <v/>
      </c>
      <c r="AL115" t="str">
        <f>""</f>
        <v/>
      </c>
      <c r="AM115" t="str">
        <f>""</f>
        <v/>
      </c>
      <c r="AN115" t="str">
        <f>""</f>
        <v/>
      </c>
      <c r="AO115" t="str">
        <f>"(0.0941)"</f>
        <v>(0.0941)</v>
      </c>
      <c r="AP115" t="str">
        <f>"(0.0877)"</f>
        <v>(0.0877)</v>
      </c>
      <c r="AQ115" t="str">
        <f>"(0.0368)"</f>
        <v>(0.0368)</v>
      </c>
      <c r="AR115" t="str">
        <f>""</f>
        <v/>
      </c>
      <c r="AS115" t="str">
        <f>""</f>
        <v/>
      </c>
      <c r="AT115" t="str">
        <f>""</f>
        <v/>
      </c>
      <c r="AU115" t="str">
        <f>""</f>
        <v/>
      </c>
      <c r="AV115" t="str">
        <f>""</f>
        <v/>
      </c>
      <c r="AW115" t="str">
        <f>""</f>
        <v/>
      </c>
      <c r="AX115" t="str">
        <f>""</f>
        <v/>
      </c>
      <c r="AY115" t="str">
        <f>""</f>
        <v/>
      </c>
      <c r="AZ115" t="str">
        <f>""</f>
        <v/>
      </c>
      <c r="BA115" t="str">
        <f>""</f>
        <v/>
      </c>
      <c r="BB115" t="str">
        <f>""</f>
        <v/>
      </c>
      <c r="BC115" t="str">
        <f>""</f>
        <v/>
      </c>
      <c r="BD115" t="str">
        <f>""</f>
        <v/>
      </c>
      <c r="BE115" t="str">
        <f>""</f>
        <v/>
      </c>
      <c r="BF115" t="str">
        <f>""</f>
        <v/>
      </c>
      <c r="BG115" t="str">
        <f>""</f>
        <v/>
      </c>
      <c r="BH115" t="str">
        <f>""</f>
        <v/>
      </c>
      <c r="BI115" t="str">
        <f>""</f>
        <v/>
      </c>
      <c r="BJ115" t="str">
        <f>""</f>
        <v/>
      </c>
      <c r="BK115" t="str">
        <f>""</f>
        <v/>
      </c>
      <c r="BL115" t="str">
        <f>""</f>
        <v/>
      </c>
      <c r="BM115" t="str">
        <f>""</f>
        <v/>
      </c>
      <c r="BN115" t="str">
        <f>""</f>
        <v/>
      </c>
      <c r="BO115" t="str">
        <f>""</f>
        <v/>
      </c>
      <c r="BP115" t="str">
        <f>""</f>
        <v/>
      </c>
      <c r="BQ115" t="str">
        <f>""</f>
        <v/>
      </c>
      <c r="BR115" t="str">
        <f>""</f>
        <v/>
      </c>
      <c r="BS115" t="str">
        <f>""</f>
        <v/>
      </c>
      <c r="BT115" t="str">
        <f>""</f>
        <v/>
      </c>
      <c r="BU115" t="str">
        <f>""</f>
        <v/>
      </c>
      <c r="BV115" t="str">
        <f>""</f>
        <v/>
      </c>
      <c r="BW115" t="str">
        <f>""</f>
        <v/>
      </c>
      <c r="BX115" t="str">
        <f>""</f>
        <v/>
      </c>
      <c r="BY115" t="str">
        <f>""</f>
        <v/>
      </c>
      <c r="BZ115" t="str">
        <f>""</f>
        <v/>
      </c>
      <c r="CA115" t="str">
        <f>""</f>
        <v/>
      </c>
      <c r="CB115" t="str">
        <f>""</f>
        <v/>
      </c>
      <c r="CC115" t="str">
        <f>""</f>
        <v/>
      </c>
      <c r="CD115" t="str">
        <f>""</f>
        <v/>
      </c>
      <c r="CE115" t="str">
        <f>""</f>
        <v/>
      </c>
      <c r="CF115" t="str">
        <f>""</f>
        <v/>
      </c>
      <c r="CG115" t="str">
        <f>""</f>
        <v/>
      </c>
      <c r="CH115" t="str">
        <f>"(0.0751)"</f>
        <v>(0.0751)</v>
      </c>
      <c r="CI115" t="str">
        <f>"(0.0893)"</f>
        <v>(0.0893)</v>
      </c>
      <c r="CJ115" t="str">
        <f>"(0.0314)"</f>
        <v>(0.0314)</v>
      </c>
      <c r="CK115" t="str">
        <f>""</f>
        <v/>
      </c>
      <c r="CL115" t="str">
        <f>""</f>
        <v/>
      </c>
      <c r="CM115" t="str">
        <f>""</f>
        <v/>
      </c>
    </row>
    <row r="117" spans="1:91" x14ac:dyDescent="0.3">
      <c r="A117" t="str">
        <f>"c.zMETAB14#c.neflbr"</f>
        <v>c.zMETAB14#c.neflbr</v>
      </c>
      <c r="B117" t="str">
        <f>""</f>
        <v/>
      </c>
      <c r="C117" t="str">
        <f>""</f>
        <v/>
      </c>
      <c r="D117" t="str">
        <f>""</f>
        <v/>
      </c>
      <c r="E117" t="str">
        <f>""</f>
        <v/>
      </c>
      <c r="F117" t="str">
        <f>""</f>
        <v/>
      </c>
      <c r="G117" t="str">
        <f>""</f>
        <v/>
      </c>
      <c r="H117" t="str">
        <f>""</f>
        <v/>
      </c>
      <c r="I117" t="str">
        <f>""</f>
        <v/>
      </c>
      <c r="J117" t="str">
        <f>""</f>
        <v/>
      </c>
      <c r="K117" t="str">
        <f>""</f>
        <v/>
      </c>
      <c r="L117" t="str">
        <f>""</f>
        <v/>
      </c>
      <c r="M117" t="str">
        <f>""</f>
        <v/>
      </c>
      <c r="N117" t="str">
        <f>""</f>
        <v/>
      </c>
      <c r="O117" t="str">
        <f>""</f>
        <v/>
      </c>
      <c r="P117" t="str">
        <f>""</f>
        <v/>
      </c>
      <c r="Q117" t="str">
        <f>""</f>
        <v/>
      </c>
      <c r="R117" t="str">
        <f>""</f>
        <v/>
      </c>
      <c r="S117" t="str">
        <f>""</f>
        <v/>
      </c>
      <c r="T117" t="str">
        <f>""</f>
        <v/>
      </c>
      <c r="U117" t="str">
        <f>""</f>
        <v/>
      </c>
      <c r="V117" t="str">
        <f>""</f>
        <v/>
      </c>
      <c r="W117" t="str">
        <f>""</f>
        <v/>
      </c>
      <c r="X117" t="str">
        <f>""</f>
        <v/>
      </c>
      <c r="Y117" t="str">
        <f>""</f>
        <v/>
      </c>
      <c r="Z117" t="str">
        <f>""</f>
        <v/>
      </c>
      <c r="AA117" t="str">
        <f>""</f>
        <v/>
      </c>
      <c r="AB117" t="str">
        <f>""</f>
        <v/>
      </c>
      <c r="AC117" t="str">
        <f>""</f>
        <v/>
      </c>
      <c r="AD117" t="str">
        <f>""</f>
        <v/>
      </c>
      <c r="AE117" t="str">
        <f>""</f>
        <v/>
      </c>
      <c r="AF117" t="str">
        <f>""</f>
        <v/>
      </c>
      <c r="AG117" t="str">
        <f>""</f>
        <v/>
      </c>
      <c r="AH117" t="str">
        <f>""</f>
        <v/>
      </c>
      <c r="AI117" t="str">
        <f>""</f>
        <v/>
      </c>
      <c r="AJ117" t="str">
        <f>""</f>
        <v/>
      </c>
      <c r="AK117" t="str">
        <f>""</f>
        <v/>
      </c>
      <c r="AL117" t="str">
        <f>""</f>
        <v/>
      </c>
      <c r="AM117" t="str">
        <f>""</f>
        <v/>
      </c>
      <c r="AN117" t="str">
        <f>""</f>
        <v/>
      </c>
      <c r="AO117" t="str">
        <f>"-0.138"</f>
        <v>-0.138</v>
      </c>
      <c r="AP117" t="str">
        <f>"-0.0777"</f>
        <v>-0.0777</v>
      </c>
      <c r="AQ117" t="str">
        <f>"0.0738"</f>
        <v>0.0738</v>
      </c>
      <c r="AR117" t="str">
        <f>""</f>
        <v/>
      </c>
      <c r="AS117" t="str">
        <f>""</f>
        <v/>
      </c>
      <c r="AT117" t="str">
        <f>""</f>
        <v/>
      </c>
      <c r="AU117" t="str">
        <f>""</f>
        <v/>
      </c>
      <c r="AV117" t="str">
        <f>""</f>
        <v/>
      </c>
      <c r="AW117" t="str">
        <f>""</f>
        <v/>
      </c>
      <c r="AX117" t="str">
        <f>""</f>
        <v/>
      </c>
      <c r="AY117" t="str">
        <f>""</f>
        <v/>
      </c>
      <c r="AZ117" t="str">
        <f>""</f>
        <v/>
      </c>
      <c r="BA117" t="str">
        <f>""</f>
        <v/>
      </c>
      <c r="BB117" t="str">
        <f>""</f>
        <v/>
      </c>
      <c r="BC117" t="str">
        <f>""</f>
        <v/>
      </c>
      <c r="BD117" t="str">
        <f>""</f>
        <v/>
      </c>
      <c r="BE117" t="str">
        <f>""</f>
        <v/>
      </c>
      <c r="BF117" t="str">
        <f>""</f>
        <v/>
      </c>
      <c r="BG117" t="str">
        <f>""</f>
        <v/>
      </c>
      <c r="BH117" t="str">
        <f>""</f>
        <v/>
      </c>
      <c r="BI117" t="str">
        <f>""</f>
        <v/>
      </c>
      <c r="BJ117" t="str">
        <f>""</f>
        <v/>
      </c>
      <c r="BK117" t="str">
        <f>""</f>
        <v/>
      </c>
      <c r="BL117" t="str">
        <f>""</f>
        <v/>
      </c>
      <c r="BM117" t="str">
        <f>""</f>
        <v/>
      </c>
      <c r="BN117" t="str">
        <f>""</f>
        <v/>
      </c>
      <c r="BO117" t="str">
        <f>""</f>
        <v/>
      </c>
      <c r="BP117" t="str">
        <f>""</f>
        <v/>
      </c>
      <c r="BQ117" t="str">
        <f>""</f>
        <v/>
      </c>
      <c r="BR117" t="str">
        <f>""</f>
        <v/>
      </c>
      <c r="BS117" t="str">
        <f>""</f>
        <v/>
      </c>
      <c r="BT117" t="str">
        <f>""</f>
        <v/>
      </c>
      <c r="BU117" t="str">
        <f>""</f>
        <v/>
      </c>
      <c r="BV117" t="str">
        <f>""</f>
        <v/>
      </c>
      <c r="BW117" t="str">
        <f>""</f>
        <v/>
      </c>
      <c r="BX117" t="str">
        <f>""</f>
        <v/>
      </c>
      <c r="BY117" t="str">
        <f>""</f>
        <v/>
      </c>
      <c r="BZ117" t="str">
        <f>""</f>
        <v/>
      </c>
      <c r="CA117" t="str">
        <f>""</f>
        <v/>
      </c>
      <c r="CB117" t="str">
        <f>""</f>
        <v/>
      </c>
      <c r="CC117" t="str">
        <f>""</f>
        <v/>
      </c>
      <c r="CD117" t="str">
        <f>""</f>
        <v/>
      </c>
      <c r="CE117" t="str">
        <f>""</f>
        <v/>
      </c>
      <c r="CF117" t="str">
        <f>""</f>
        <v/>
      </c>
      <c r="CG117" t="str">
        <f>""</f>
        <v/>
      </c>
      <c r="CH117" t="str">
        <f>""</f>
        <v/>
      </c>
      <c r="CI117" t="str">
        <f>""</f>
        <v/>
      </c>
      <c r="CJ117" t="str">
        <f>""</f>
        <v/>
      </c>
      <c r="CK117" t="str">
        <f>""</f>
        <v/>
      </c>
      <c r="CL117" t="str">
        <f>""</f>
        <v/>
      </c>
      <c r="CM117" t="str">
        <f>""</f>
        <v/>
      </c>
    </row>
    <row r="118" spans="1:91" x14ac:dyDescent="0.3">
      <c r="A118" t="str">
        <f>""</f>
        <v/>
      </c>
      <c r="B118" t="str">
        <f>""</f>
        <v/>
      </c>
      <c r="C118" t="str">
        <f>""</f>
        <v/>
      </c>
      <c r="D118" t="str">
        <f>""</f>
        <v/>
      </c>
      <c r="E118" t="str">
        <f>""</f>
        <v/>
      </c>
      <c r="F118" t="str">
        <f>""</f>
        <v/>
      </c>
      <c r="G118" t="str">
        <f>""</f>
        <v/>
      </c>
      <c r="H118" t="str">
        <f>""</f>
        <v/>
      </c>
      <c r="I118" t="str">
        <f>""</f>
        <v/>
      </c>
      <c r="J118" t="str">
        <f>""</f>
        <v/>
      </c>
      <c r="K118" t="str">
        <f>""</f>
        <v/>
      </c>
      <c r="L118" t="str">
        <f>""</f>
        <v/>
      </c>
      <c r="M118" t="str">
        <f>""</f>
        <v/>
      </c>
      <c r="N118" t="str">
        <f>""</f>
        <v/>
      </c>
      <c r="O118" t="str">
        <f>""</f>
        <v/>
      </c>
      <c r="P118" t="str">
        <f>""</f>
        <v/>
      </c>
      <c r="Q118" t="str">
        <f>""</f>
        <v/>
      </c>
      <c r="R118" t="str">
        <f>""</f>
        <v/>
      </c>
      <c r="S118" t="str">
        <f>""</f>
        <v/>
      </c>
      <c r="T118" t="str">
        <f>""</f>
        <v/>
      </c>
      <c r="U118" t="str">
        <f>""</f>
        <v/>
      </c>
      <c r="V118" t="str">
        <f>""</f>
        <v/>
      </c>
      <c r="W118" t="str">
        <f>""</f>
        <v/>
      </c>
      <c r="X118" t="str">
        <f>""</f>
        <v/>
      </c>
      <c r="Y118" t="str">
        <f>""</f>
        <v/>
      </c>
      <c r="Z118" t="str">
        <f>""</f>
        <v/>
      </c>
      <c r="AA118" t="str">
        <f>""</f>
        <v/>
      </c>
      <c r="AB118" t="str">
        <f>""</f>
        <v/>
      </c>
      <c r="AC118" t="str">
        <f>""</f>
        <v/>
      </c>
      <c r="AD118" t="str">
        <f>""</f>
        <v/>
      </c>
      <c r="AE118" t="str">
        <f>""</f>
        <v/>
      </c>
      <c r="AF118" t="str">
        <f>""</f>
        <v/>
      </c>
      <c r="AG118" t="str">
        <f>""</f>
        <v/>
      </c>
      <c r="AH118" t="str">
        <f>""</f>
        <v/>
      </c>
      <c r="AI118" t="str">
        <f>""</f>
        <v/>
      </c>
      <c r="AJ118" t="str">
        <f>""</f>
        <v/>
      </c>
      <c r="AK118" t="str">
        <f>""</f>
        <v/>
      </c>
      <c r="AL118" t="str">
        <f>""</f>
        <v/>
      </c>
      <c r="AM118" t="str">
        <f>""</f>
        <v/>
      </c>
      <c r="AN118" t="str">
        <f>""</f>
        <v/>
      </c>
      <c r="AO118" t="str">
        <f>"(0.113)"</f>
        <v>(0.113)</v>
      </c>
      <c r="AP118" t="str">
        <f>"(0.0995)"</f>
        <v>(0.0995)</v>
      </c>
      <c r="AQ118" t="str">
        <f>"(0.0458)"</f>
        <v>(0.0458)</v>
      </c>
      <c r="AR118" t="str">
        <f>""</f>
        <v/>
      </c>
      <c r="AS118" t="str">
        <f>""</f>
        <v/>
      </c>
      <c r="AT118" t="str">
        <f>""</f>
        <v/>
      </c>
      <c r="AU118" t="str">
        <f>""</f>
        <v/>
      </c>
      <c r="AV118" t="str">
        <f>""</f>
        <v/>
      </c>
      <c r="AW118" t="str">
        <f>""</f>
        <v/>
      </c>
      <c r="AX118" t="str">
        <f>""</f>
        <v/>
      </c>
      <c r="AY118" t="str">
        <f>""</f>
        <v/>
      </c>
      <c r="AZ118" t="str">
        <f>""</f>
        <v/>
      </c>
      <c r="BA118" t="str">
        <f>""</f>
        <v/>
      </c>
      <c r="BB118" t="str">
        <f>""</f>
        <v/>
      </c>
      <c r="BC118" t="str">
        <f>""</f>
        <v/>
      </c>
      <c r="BD118" t="str">
        <f>""</f>
        <v/>
      </c>
      <c r="BE118" t="str">
        <f>""</f>
        <v/>
      </c>
      <c r="BF118" t="str">
        <f>""</f>
        <v/>
      </c>
      <c r="BG118" t="str">
        <f>""</f>
        <v/>
      </c>
      <c r="BH118" t="str">
        <f>""</f>
        <v/>
      </c>
      <c r="BI118" t="str">
        <f>""</f>
        <v/>
      </c>
      <c r="BJ118" t="str">
        <f>""</f>
        <v/>
      </c>
      <c r="BK118" t="str">
        <f>""</f>
        <v/>
      </c>
      <c r="BL118" t="str">
        <f>""</f>
        <v/>
      </c>
      <c r="BM118" t="str">
        <f>""</f>
        <v/>
      </c>
      <c r="BN118" t="str">
        <f>""</f>
        <v/>
      </c>
      <c r="BO118" t="str">
        <f>""</f>
        <v/>
      </c>
      <c r="BP118" t="str">
        <f>""</f>
        <v/>
      </c>
      <c r="BQ118" t="str">
        <f>""</f>
        <v/>
      </c>
      <c r="BR118" t="str">
        <f>""</f>
        <v/>
      </c>
      <c r="BS118" t="str">
        <f>""</f>
        <v/>
      </c>
      <c r="BT118" t="str">
        <f>""</f>
        <v/>
      </c>
      <c r="BU118" t="str">
        <f>""</f>
        <v/>
      </c>
      <c r="BV118" t="str">
        <f>""</f>
        <v/>
      </c>
      <c r="BW118" t="str">
        <f>""</f>
        <v/>
      </c>
      <c r="BX118" t="str">
        <f>""</f>
        <v/>
      </c>
      <c r="BY118" t="str">
        <f>""</f>
        <v/>
      </c>
      <c r="BZ118" t="str">
        <f>""</f>
        <v/>
      </c>
      <c r="CA118" t="str">
        <f>""</f>
        <v/>
      </c>
      <c r="CB118" t="str">
        <f>""</f>
        <v/>
      </c>
      <c r="CC118" t="str">
        <f>""</f>
        <v/>
      </c>
      <c r="CD118" t="str">
        <f>""</f>
        <v/>
      </c>
      <c r="CE118" t="str">
        <f>""</f>
        <v/>
      </c>
      <c r="CF118" t="str">
        <f>""</f>
        <v/>
      </c>
      <c r="CG118" t="str">
        <f>""</f>
        <v/>
      </c>
      <c r="CH118" t="str">
        <f>""</f>
        <v/>
      </c>
      <c r="CI118" t="str">
        <f>""</f>
        <v/>
      </c>
      <c r="CJ118" t="str">
        <f>""</f>
        <v/>
      </c>
      <c r="CK118" t="str">
        <f>""</f>
        <v/>
      </c>
      <c r="CL118" t="str">
        <f>""</f>
        <v/>
      </c>
      <c r="CM118" t="str">
        <f>""</f>
        <v/>
      </c>
    </row>
    <row r="120" spans="1:91" x14ac:dyDescent="0.3">
      <c r="A120" t="str">
        <f>"zMETAB15"</f>
        <v>zMETAB15</v>
      </c>
      <c r="B120" t="str">
        <f>""</f>
        <v/>
      </c>
      <c r="C120" t="str">
        <f>""</f>
        <v/>
      </c>
      <c r="D120" t="str">
        <f>""</f>
        <v/>
      </c>
      <c r="E120" t="str">
        <f>""</f>
        <v/>
      </c>
      <c r="F120" t="str">
        <f>""</f>
        <v/>
      </c>
      <c r="G120" t="str">
        <f>""</f>
        <v/>
      </c>
      <c r="H120" t="str">
        <f>""</f>
        <v/>
      </c>
      <c r="I120" t="str">
        <f>""</f>
        <v/>
      </c>
      <c r="J120" t="str">
        <f>""</f>
        <v/>
      </c>
      <c r="K120" t="str">
        <f>""</f>
        <v/>
      </c>
      <c r="L120" t="str">
        <f>""</f>
        <v/>
      </c>
      <c r="M120" t="str">
        <f>""</f>
        <v/>
      </c>
      <c r="N120" t="str">
        <f>""</f>
        <v/>
      </c>
      <c r="O120" t="str">
        <f>""</f>
        <v/>
      </c>
      <c r="P120" t="str">
        <f>""</f>
        <v/>
      </c>
      <c r="Q120" t="str">
        <f>""</f>
        <v/>
      </c>
      <c r="R120" t="str">
        <f>""</f>
        <v/>
      </c>
      <c r="S120" t="str">
        <f>""</f>
        <v/>
      </c>
      <c r="T120" t="str">
        <f>""</f>
        <v/>
      </c>
      <c r="U120" t="str">
        <f>""</f>
        <v/>
      </c>
      <c r="V120" t="str">
        <f>""</f>
        <v/>
      </c>
      <c r="W120" t="str">
        <f>""</f>
        <v/>
      </c>
      <c r="X120" t="str">
        <f>""</f>
        <v/>
      </c>
      <c r="Y120" t="str">
        <f>""</f>
        <v/>
      </c>
      <c r="Z120" t="str">
        <f>""</f>
        <v/>
      </c>
      <c r="AA120" t="str">
        <f>""</f>
        <v/>
      </c>
      <c r="AB120" t="str">
        <f>""</f>
        <v/>
      </c>
      <c r="AC120" t="str">
        <f>""</f>
        <v/>
      </c>
      <c r="AD120" t="str">
        <f>""</f>
        <v/>
      </c>
      <c r="AE120" t="str">
        <f>""</f>
        <v/>
      </c>
      <c r="AF120" t="str">
        <f>""</f>
        <v/>
      </c>
      <c r="AG120" t="str">
        <f>""</f>
        <v/>
      </c>
      <c r="AH120" t="str">
        <f>""</f>
        <v/>
      </c>
      <c r="AI120" t="str">
        <f>""</f>
        <v/>
      </c>
      <c r="AJ120" t="str">
        <f>""</f>
        <v/>
      </c>
      <c r="AK120" t="str">
        <f>""</f>
        <v/>
      </c>
      <c r="AL120" t="str">
        <f>""</f>
        <v/>
      </c>
      <c r="AM120" t="str">
        <f>""</f>
        <v/>
      </c>
      <c r="AN120" t="str">
        <f>""</f>
        <v/>
      </c>
      <c r="AO120" t="str">
        <f>""</f>
        <v/>
      </c>
      <c r="AP120" t="str">
        <f>""</f>
        <v/>
      </c>
      <c r="AQ120" t="str">
        <f>""</f>
        <v/>
      </c>
      <c r="AR120" t="str">
        <f>"-0.192*"</f>
        <v>-0.192*</v>
      </c>
      <c r="AS120" t="str">
        <f>"-0.0572"</f>
        <v>-0.0572</v>
      </c>
      <c r="AT120" t="str">
        <f>"0.0580"</f>
        <v>0.0580</v>
      </c>
      <c r="AU120" t="str">
        <f>""</f>
        <v/>
      </c>
      <c r="AV120" t="str">
        <f>""</f>
        <v/>
      </c>
      <c r="AW120" t="str">
        <f>""</f>
        <v/>
      </c>
      <c r="AX120" t="str">
        <f>""</f>
        <v/>
      </c>
      <c r="AY120" t="str">
        <f>""</f>
        <v/>
      </c>
      <c r="AZ120" t="str">
        <f>""</f>
        <v/>
      </c>
      <c r="BA120" t="str">
        <f>""</f>
        <v/>
      </c>
      <c r="BB120" t="str">
        <f>""</f>
        <v/>
      </c>
      <c r="BC120" t="str">
        <f>""</f>
        <v/>
      </c>
      <c r="BD120" t="str">
        <f>""</f>
        <v/>
      </c>
      <c r="BE120" t="str">
        <f>""</f>
        <v/>
      </c>
      <c r="BF120" t="str">
        <f>""</f>
        <v/>
      </c>
      <c r="BG120" t="str">
        <f>""</f>
        <v/>
      </c>
      <c r="BH120" t="str">
        <f>""</f>
        <v/>
      </c>
      <c r="BI120" t="str">
        <f>""</f>
        <v/>
      </c>
      <c r="BJ120" t="str">
        <f>""</f>
        <v/>
      </c>
      <c r="BK120" t="str">
        <f>""</f>
        <v/>
      </c>
      <c r="BL120" t="str">
        <f>""</f>
        <v/>
      </c>
      <c r="BM120" t="str">
        <f>""</f>
        <v/>
      </c>
      <c r="BN120" t="str">
        <f>""</f>
        <v/>
      </c>
      <c r="BO120" t="str">
        <f>""</f>
        <v/>
      </c>
      <c r="BP120" t="str">
        <f>""</f>
        <v/>
      </c>
      <c r="BQ120" t="str">
        <f>""</f>
        <v/>
      </c>
      <c r="BR120" t="str">
        <f>""</f>
        <v/>
      </c>
      <c r="BS120" t="str">
        <f>""</f>
        <v/>
      </c>
      <c r="BT120" t="str">
        <f>""</f>
        <v/>
      </c>
      <c r="BU120" t="str">
        <f>""</f>
        <v/>
      </c>
      <c r="BV120" t="str">
        <f>""</f>
        <v/>
      </c>
      <c r="BW120" t="str">
        <f>""</f>
        <v/>
      </c>
      <c r="BX120" t="str">
        <f>""</f>
        <v/>
      </c>
      <c r="BY120" t="str">
        <f>""</f>
        <v/>
      </c>
      <c r="BZ120" t="str">
        <f>""</f>
        <v/>
      </c>
      <c r="CA120" t="str">
        <f>""</f>
        <v/>
      </c>
      <c r="CB120" t="str">
        <f>""</f>
        <v/>
      </c>
      <c r="CC120" t="str">
        <f>""</f>
        <v/>
      </c>
      <c r="CD120" t="str">
        <f>""</f>
        <v/>
      </c>
      <c r="CE120" t="str">
        <f>""</f>
        <v/>
      </c>
      <c r="CF120" t="str">
        <f>""</f>
        <v/>
      </c>
      <c r="CG120" t="str">
        <f>""</f>
        <v/>
      </c>
      <c r="CH120" t="str">
        <f>""</f>
        <v/>
      </c>
      <c r="CI120" t="str">
        <f>""</f>
        <v/>
      </c>
      <c r="CJ120" t="str">
        <f>""</f>
        <v/>
      </c>
      <c r="CK120" t="str">
        <f>"-0.0316"</f>
        <v>-0.0316</v>
      </c>
      <c r="CL120" t="str">
        <f>"0.0605"</f>
        <v>0.0605</v>
      </c>
      <c r="CM120" t="str">
        <f>"0.0679*"</f>
        <v>0.0679*</v>
      </c>
    </row>
    <row r="121" spans="1:91" x14ac:dyDescent="0.3">
      <c r="A121" t="str">
        <f>""</f>
        <v/>
      </c>
      <c r="B121" t="str">
        <f>""</f>
        <v/>
      </c>
      <c r="C121" t="str">
        <f>""</f>
        <v/>
      </c>
      <c r="D121" t="str">
        <f>""</f>
        <v/>
      </c>
      <c r="E121" t="str">
        <f>""</f>
        <v/>
      </c>
      <c r="F121" t="str">
        <f>""</f>
        <v/>
      </c>
      <c r="G121" t="str">
        <f>""</f>
        <v/>
      </c>
      <c r="H121" t="str">
        <f>""</f>
        <v/>
      </c>
      <c r="I121" t="str">
        <f>""</f>
        <v/>
      </c>
      <c r="J121" t="str">
        <f>""</f>
        <v/>
      </c>
      <c r="K121" t="str">
        <f>""</f>
        <v/>
      </c>
      <c r="L121" t="str">
        <f>""</f>
        <v/>
      </c>
      <c r="M121" t="str">
        <f>""</f>
        <v/>
      </c>
      <c r="N121" t="str">
        <f>""</f>
        <v/>
      </c>
      <c r="O121" t="str">
        <f>""</f>
        <v/>
      </c>
      <c r="P121" t="str">
        <f>""</f>
        <v/>
      </c>
      <c r="Q121" t="str">
        <f>""</f>
        <v/>
      </c>
      <c r="R121" t="str">
        <f>""</f>
        <v/>
      </c>
      <c r="S121" t="str">
        <f>""</f>
        <v/>
      </c>
      <c r="T121" t="str">
        <f>""</f>
        <v/>
      </c>
      <c r="U121" t="str">
        <f>""</f>
        <v/>
      </c>
      <c r="V121" t="str">
        <f>""</f>
        <v/>
      </c>
      <c r="W121" t="str">
        <f>""</f>
        <v/>
      </c>
      <c r="X121" t="str">
        <f>""</f>
        <v/>
      </c>
      <c r="Y121" t="str">
        <f>""</f>
        <v/>
      </c>
      <c r="Z121" t="str">
        <f>""</f>
        <v/>
      </c>
      <c r="AA121" t="str">
        <f>""</f>
        <v/>
      </c>
      <c r="AB121" t="str">
        <f>""</f>
        <v/>
      </c>
      <c r="AC121" t="str">
        <f>""</f>
        <v/>
      </c>
      <c r="AD121" t="str">
        <f>""</f>
        <v/>
      </c>
      <c r="AE121" t="str">
        <f>""</f>
        <v/>
      </c>
      <c r="AF121" t="str">
        <f>""</f>
        <v/>
      </c>
      <c r="AG121" t="str">
        <f>""</f>
        <v/>
      </c>
      <c r="AH121" t="str">
        <f>""</f>
        <v/>
      </c>
      <c r="AI121" t="str">
        <f>""</f>
        <v/>
      </c>
      <c r="AJ121" t="str">
        <f>""</f>
        <v/>
      </c>
      <c r="AK121" t="str">
        <f>""</f>
        <v/>
      </c>
      <c r="AL121" t="str">
        <f>""</f>
        <v/>
      </c>
      <c r="AM121" t="str">
        <f>""</f>
        <v/>
      </c>
      <c r="AN121" t="str">
        <f>""</f>
        <v/>
      </c>
      <c r="AO121" t="str">
        <f>""</f>
        <v/>
      </c>
      <c r="AP121" t="str">
        <f>""</f>
        <v/>
      </c>
      <c r="AQ121" t="str">
        <f>""</f>
        <v/>
      </c>
      <c r="AR121" t="str">
        <f>"(0.0952)"</f>
        <v>(0.0952)</v>
      </c>
      <c r="AS121" t="str">
        <f>"(0.0905)"</f>
        <v>(0.0905)</v>
      </c>
      <c r="AT121" t="str">
        <f>"(0.0384)"</f>
        <v>(0.0384)</v>
      </c>
      <c r="AU121" t="str">
        <f>""</f>
        <v/>
      </c>
      <c r="AV121" t="str">
        <f>""</f>
        <v/>
      </c>
      <c r="AW121" t="str">
        <f>""</f>
        <v/>
      </c>
      <c r="AX121" t="str">
        <f>""</f>
        <v/>
      </c>
      <c r="AY121" t="str">
        <f>""</f>
        <v/>
      </c>
      <c r="AZ121" t="str">
        <f>""</f>
        <v/>
      </c>
      <c r="BA121" t="str">
        <f>""</f>
        <v/>
      </c>
      <c r="BB121" t="str">
        <f>""</f>
        <v/>
      </c>
      <c r="BC121" t="str">
        <f>""</f>
        <v/>
      </c>
      <c r="BD121" t="str">
        <f>""</f>
        <v/>
      </c>
      <c r="BE121" t="str">
        <f>""</f>
        <v/>
      </c>
      <c r="BF121" t="str">
        <f>""</f>
        <v/>
      </c>
      <c r="BG121" t="str">
        <f>""</f>
        <v/>
      </c>
      <c r="BH121" t="str">
        <f>""</f>
        <v/>
      </c>
      <c r="BI121" t="str">
        <f>""</f>
        <v/>
      </c>
      <c r="BJ121" t="str">
        <f>""</f>
        <v/>
      </c>
      <c r="BK121" t="str">
        <f>""</f>
        <v/>
      </c>
      <c r="BL121" t="str">
        <f>""</f>
        <v/>
      </c>
      <c r="BM121" t="str">
        <f>""</f>
        <v/>
      </c>
      <c r="BN121" t="str">
        <f>""</f>
        <v/>
      </c>
      <c r="BO121" t="str">
        <f>""</f>
        <v/>
      </c>
      <c r="BP121" t="str">
        <f>""</f>
        <v/>
      </c>
      <c r="BQ121" t="str">
        <f>""</f>
        <v/>
      </c>
      <c r="BR121" t="str">
        <f>""</f>
        <v/>
      </c>
      <c r="BS121" t="str">
        <f>""</f>
        <v/>
      </c>
      <c r="BT121" t="str">
        <f>""</f>
        <v/>
      </c>
      <c r="BU121" t="str">
        <f>""</f>
        <v/>
      </c>
      <c r="BV121" t="str">
        <f>""</f>
        <v/>
      </c>
      <c r="BW121" t="str">
        <f>""</f>
        <v/>
      </c>
      <c r="BX121" t="str">
        <f>""</f>
        <v/>
      </c>
      <c r="BY121" t="str">
        <f>""</f>
        <v/>
      </c>
      <c r="BZ121" t="str">
        <f>""</f>
        <v/>
      </c>
      <c r="CA121" t="str">
        <f>""</f>
        <v/>
      </c>
      <c r="CB121" t="str">
        <f>""</f>
        <v/>
      </c>
      <c r="CC121" t="str">
        <f>""</f>
        <v/>
      </c>
      <c r="CD121" t="str">
        <f>""</f>
        <v/>
      </c>
      <c r="CE121" t="str">
        <f>""</f>
        <v/>
      </c>
      <c r="CF121" t="str">
        <f>""</f>
        <v/>
      </c>
      <c r="CG121" t="str">
        <f>""</f>
        <v/>
      </c>
      <c r="CH121" t="str">
        <f>""</f>
        <v/>
      </c>
      <c r="CI121" t="str">
        <f>""</f>
        <v/>
      </c>
      <c r="CJ121" t="str">
        <f>""</f>
        <v/>
      </c>
      <c r="CK121" t="str">
        <f>"(0.0765)"</f>
        <v>(0.0765)</v>
      </c>
      <c r="CL121" t="str">
        <f>"(0.0908)"</f>
        <v>(0.0908)</v>
      </c>
      <c r="CM121" t="str">
        <f>"(0.0324)"</f>
        <v>(0.0324)</v>
      </c>
    </row>
    <row r="123" spans="1:91" x14ac:dyDescent="0.3">
      <c r="A123" t="str">
        <f>"c.zMETAB15#c.neflbr"</f>
        <v>c.zMETAB15#c.neflbr</v>
      </c>
      <c r="B123" t="str">
        <f>""</f>
        <v/>
      </c>
      <c r="C123" t="str">
        <f>""</f>
        <v/>
      </c>
      <c r="D123" t="str">
        <f>""</f>
        <v/>
      </c>
      <c r="E123" t="str">
        <f>""</f>
        <v/>
      </c>
      <c r="F123" t="str">
        <f>""</f>
        <v/>
      </c>
      <c r="G123" t="str">
        <f>""</f>
        <v/>
      </c>
      <c r="H123" t="str">
        <f>""</f>
        <v/>
      </c>
      <c r="I123" t="str">
        <f>""</f>
        <v/>
      </c>
      <c r="J123" t="str">
        <f>""</f>
        <v/>
      </c>
      <c r="K123" t="str">
        <f>""</f>
        <v/>
      </c>
      <c r="L123" t="str">
        <f>""</f>
        <v/>
      </c>
      <c r="M123" t="str">
        <f>""</f>
        <v/>
      </c>
      <c r="N123" t="str">
        <f>""</f>
        <v/>
      </c>
      <c r="O123" t="str">
        <f>""</f>
        <v/>
      </c>
      <c r="P123" t="str">
        <f>""</f>
        <v/>
      </c>
      <c r="Q123" t="str">
        <f>""</f>
        <v/>
      </c>
      <c r="R123" t="str">
        <f>""</f>
        <v/>
      </c>
      <c r="S123" t="str">
        <f>""</f>
        <v/>
      </c>
      <c r="T123" t="str">
        <f>""</f>
        <v/>
      </c>
      <c r="U123" t="str">
        <f>""</f>
        <v/>
      </c>
      <c r="V123" t="str">
        <f>""</f>
        <v/>
      </c>
      <c r="W123" t="str">
        <f>""</f>
        <v/>
      </c>
      <c r="X123" t="str">
        <f>""</f>
        <v/>
      </c>
      <c r="Y123" t="str">
        <f>""</f>
        <v/>
      </c>
      <c r="Z123" t="str">
        <f>""</f>
        <v/>
      </c>
      <c r="AA123" t="str">
        <f>""</f>
        <v/>
      </c>
      <c r="AB123" t="str">
        <f>""</f>
        <v/>
      </c>
      <c r="AC123" t="str">
        <f>""</f>
        <v/>
      </c>
      <c r="AD123" t="str">
        <f>""</f>
        <v/>
      </c>
      <c r="AE123" t="str">
        <f>""</f>
        <v/>
      </c>
      <c r="AF123" t="str">
        <f>""</f>
        <v/>
      </c>
      <c r="AG123" t="str">
        <f>""</f>
        <v/>
      </c>
      <c r="AH123" t="str">
        <f>""</f>
        <v/>
      </c>
      <c r="AI123" t="str">
        <f>""</f>
        <v/>
      </c>
      <c r="AJ123" t="str">
        <f>""</f>
        <v/>
      </c>
      <c r="AK123" t="str">
        <f>""</f>
        <v/>
      </c>
      <c r="AL123" t="str">
        <f>""</f>
        <v/>
      </c>
      <c r="AM123" t="str">
        <f>""</f>
        <v/>
      </c>
      <c r="AN123" t="str">
        <f>""</f>
        <v/>
      </c>
      <c r="AO123" t="str">
        <f>""</f>
        <v/>
      </c>
      <c r="AP123" t="str">
        <f>""</f>
        <v/>
      </c>
      <c r="AQ123" t="str">
        <f>""</f>
        <v/>
      </c>
      <c r="AR123" t="str">
        <f>"0.170"</f>
        <v>0.170</v>
      </c>
      <c r="AS123" t="str">
        <f>"0.0236"</f>
        <v>0.0236</v>
      </c>
      <c r="AT123" t="str">
        <f>"0.0249"</f>
        <v>0.0249</v>
      </c>
      <c r="AU123" t="str">
        <f>""</f>
        <v/>
      </c>
      <c r="AV123" t="str">
        <f>""</f>
        <v/>
      </c>
      <c r="AW123" t="str">
        <f>""</f>
        <v/>
      </c>
      <c r="AX123" t="str">
        <f>""</f>
        <v/>
      </c>
      <c r="AY123" t="str">
        <f>""</f>
        <v/>
      </c>
      <c r="AZ123" t="str">
        <f>""</f>
        <v/>
      </c>
      <c r="BA123" t="str">
        <f>""</f>
        <v/>
      </c>
      <c r="BB123" t="str">
        <f>""</f>
        <v/>
      </c>
      <c r="BC123" t="str">
        <f>""</f>
        <v/>
      </c>
      <c r="BD123" t="str">
        <f>""</f>
        <v/>
      </c>
      <c r="BE123" t="str">
        <f>""</f>
        <v/>
      </c>
      <c r="BF123" t="str">
        <f>""</f>
        <v/>
      </c>
      <c r="BG123" t="str">
        <f>""</f>
        <v/>
      </c>
      <c r="BH123" t="str">
        <f>""</f>
        <v/>
      </c>
      <c r="BI123" t="str">
        <f>""</f>
        <v/>
      </c>
      <c r="BJ123" t="str">
        <f>""</f>
        <v/>
      </c>
      <c r="BK123" t="str">
        <f>""</f>
        <v/>
      </c>
      <c r="BL123" t="str">
        <f>""</f>
        <v/>
      </c>
      <c r="BM123" t="str">
        <f>""</f>
        <v/>
      </c>
      <c r="BN123" t="str">
        <f>""</f>
        <v/>
      </c>
      <c r="BO123" t="str">
        <f>""</f>
        <v/>
      </c>
      <c r="BP123" t="str">
        <f>""</f>
        <v/>
      </c>
      <c r="BQ123" t="str">
        <f>""</f>
        <v/>
      </c>
      <c r="BR123" t="str">
        <f>""</f>
        <v/>
      </c>
      <c r="BS123" t="str">
        <f>""</f>
        <v/>
      </c>
      <c r="BT123" t="str">
        <f>""</f>
        <v/>
      </c>
      <c r="BU123" t="str">
        <f>""</f>
        <v/>
      </c>
      <c r="BV123" t="str">
        <f>""</f>
        <v/>
      </c>
      <c r="BW123" t="str">
        <f>""</f>
        <v/>
      </c>
      <c r="BX123" t="str">
        <f>""</f>
        <v/>
      </c>
      <c r="BY123" t="str">
        <f>""</f>
        <v/>
      </c>
      <c r="BZ123" t="str">
        <f>""</f>
        <v/>
      </c>
      <c r="CA123" t="str">
        <f>""</f>
        <v/>
      </c>
      <c r="CB123" t="str">
        <f>""</f>
        <v/>
      </c>
      <c r="CC123" t="str">
        <f>""</f>
        <v/>
      </c>
      <c r="CD123" t="str">
        <f>""</f>
        <v/>
      </c>
      <c r="CE123" t="str">
        <f>""</f>
        <v/>
      </c>
      <c r="CF123" t="str">
        <f>""</f>
        <v/>
      </c>
      <c r="CG123" t="str">
        <f>""</f>
        <v/>
      </c>
      <c r="CH123" t="str">
        <f>""</f>
        <v/>
      </c>
      <c r="CI123" t="str">
        <f>""</f>
        <v/>
      </c>
      <c r="CJ123" t="str">
        <f>""</f>
        <v/>
      </c>
      <c r="CK123" t="str">
        <f>""</f>
        <v/>
      </c>
      <c r="CL123" t="str">
        <f>""</f>
        <v/>
      </c>
      <c r="CM123" t="str">
        <f>""</f>
        <v/>
      </c>
    </row>
    <row r="124" spans="1:91" x14ac:dyDescent="0.3">
      <c r="A124" t="str">
        <f>""</f>
        <v/>
      </c>
      <c r="B124" t="str">
        <f>""</f>
        <v/>
      </c>
      <c r="C124" t="str">
        <f>""</f>
        <v/>
      </c>
      <c r="D124" t="str">
        <f>""</f>
        <v/>
      </c>
      <c r="E124" t="str">
        <f>""</f>
        <v/>
      </c>
      <c r="F124" t="str">
        <f>""</f>
        <v/>
      </c>
      <c r="G124" t="str">
        <f>""</f>
        <v/>
      </c>
      <c r="H124" t="str">
        <f>""</f>
        <v/>
      </c>
      <c r="I124" t="str">
        <f>""</f>
        <v/>
      </c>
      <c r="J124" t="str">
        <f>""</f>
        <v/>
      </c>
      <c r="K124" t="str">
        <f>""</f>
        <v/>
      </c>
      <c r="L124" t="str">
        <f>""</f>
        <v/>
      </c>
      <c r="M124" t="str">
        <f>""</f>
        <v/>
      </c>
      <c r="N124" t="str">
        <f>""</f>
        <v/>
      </c>
      <c r="O124" t="str">
        <f>""</f>
        <v/>
      </c>
      <c r="P124" t="str">
        <f>""</f>
        <v/>
      </c>
      <c r="Q124" t="str">
        <f>""</f>
        <v/>
      </c>
      <c r="R124" t="str">
        <f>""</f>
        <v/>
      </c>
      <c r="S124" t="str">
        <f>""</f>
        <v/>
      </c>
      <c r="T124" t="str">
        <f>""</f>
        <v/>
      </c>
      <c r="U124" t="str">
        <f>""</f>
        <v/>
      </c>
      <c r="V124" t="str">
        <f>""</f>
        <v/>
      </c>
      <c r="W124" t="str">
        <f>""</f>
        <v/>
      </c>
      <c r="X124" t="str">
        <f>""</f>
        <v/>
      </c>
      <c r="Y124" t="str">
        <f>""</f>
        <v/>
      </c>
      <c r="Z124" t="str">
        <f>""</f>
        <v/>
      </c>
      <c r="AA124" t="str">
        <f>""</f>
        <v/>
      </c>
      <c r="AB124" t="str">
        <f>""</f>
        <v/>
      </c>
      <c r="AC124" t="str">
        <f>""</f>
        <v/>
      </c>
      <c r="AD124" t="str">
        <f>""</f>
        <v/>
      </c>
      <c r="AE124" t="str">
        <f>""</f>
        <v/>
      </c>
      <c r="AF124" t="str">
        <f>""</f>
        <v/>
      </c>
      <c r="AG124" t="str">
        <f>""</f>
        <v/>
      </c>
      <c r="AH124" t="str">
        <f>""</f>
        <v/>
      </c>
      <c r="AI124" t="str">
        <f>""</f>
        <v/>
      </c>
      <c r="AJ124" t="str">
        <f>""</f>
        <v/>
      </c>
      <c r="AK124" t="str">
        <f>""</f>
        <v/>
      </c>
      <c r="AL124" t="str">
        <f>""</f>
        <v/>
      </c>
      <c r="AM124" t="str">
        <f>""</f>
        <v/>
      </c>
      <c r="AN124" t="str">
        <f>""</f>
        <v/>
      </c>
      <c r="AO124" t="str">
        <f>""</f>
        <v/>
      </c>
      <c r="AP124" t="str">
        <f>""</f>
        <v/>
      </c>
      <c r="AQ124" t="str">
        <f>""</f>
        <v/>
      </c>
      <c r="AR124" t="str">
        <f>"(0.114)"</f>
        <v>(0.114)</v>
      </c>
      <c r="AS124" t="str">
        <f>"(0.102)"</f>
        <v>(0.102)</v>
      </c>
      <c r="AT124" t="str">
        <f>"(0.0471)"</f>
        <v>(0.0471)</v>
      </c>
      <c r="AU124" t="str">
        <f>""</f>
        <v/>
      </c>
      <c r="AV124" t="str">
        <f>""</f>
        <v/>
      </c>
      <c r="AW124" t="str">
        <f>""</f>
        <v/>
      </c>
      <c r="AX124" t="str">
        <f>""</f>
        <v/>
      </c>
      <c r="AY124" t="str">
        <f>""</f>
        <v/>
      </c>
      <c r="AZ124" t="str">
        <f>""</f>
        <v/>
      </c>
      <c r="BA124" t="str">
        <f>""</f>
        <v/>
      </c>
      <c r="BB124" t="str">
        <f>""</f>
        <v/>
      </c>
      <c r="BC124" t="str">
        <f>""</f>
        <v/>
      </c>
      <c r="BD124" t="str">
        <f>""</f>
        <v/>
      </c>
      <c r="BE124" t="str">
        <f>""</f>
        <v/>
      </c>
      <c r="BF124" t="str">
        <f>""</f>
        <v/>
      </c>
      <c r="BG124" t="str">
        <f>""</f>
        <v/>
      </c>
      <c r="BH124" t="str">
        <f>""</f>
        <v/>
      </c>
      <c r="BI124" t="str">
        <f>""</f>
        <v/>
      </c>
      <c r="BJ124" t="str">
        <f>""</f>
        <v/>
      </c>
      <c r="BK124" t="str">
        <f>""</f>
        <v/>
      </c>
      <c r="BL124" t="str">
        <f>""</f>
        <v/>
      </c>
      <c r="BM124" t="str">
        <f>""</f>
        <v/>
      </c>
      <c r="BN124" t="str">
        <f>""</f>
        <v/>
      </c>
      <c r="BO124" t="str">
        <f>""</f>
        <v/>
      </c>
      <c r="BP124" t="str">
        <f>""</f>
        <v/>
      </c>
      <c r="BQ124" t="str">
        <f>""</f>
        <v/>
      </c>
      <c r="BR124" t="str">
        <f>""</f>
        <v/>
      </c>
      <c r="BS124" t="str">
        <f>""</f>
        <v/>
      </c>
      <c r="BT124" t="str">
        <f>""</f>
        <v/>
      </c>
      <c r="BU124" t="str">
        <f>""</f>
        <v/>
      </c>
      <c r="BV124" t="str">
        <f>""</f>
        <v/>
      </c>
      <c r="BW124" t="str">
        <f>""</f>
        <v/>
      </c>
      <c r="BX124" t="str">
        <f>""</f>
        <v/>
      </c>
      <c r="BY124" t="str">
        <f>""</f>
        <v/>
      </c>
      <c r="BZ124" t="str">
        <f>""</f>
        <v/>
      </c>
      <c r="CA124" t="str">
        <f>""</f>
        <v/>
      </c>
      <c r="CB124" t="str">
        <f>""</f>
        <v/>
      </c>
      <c r="CC124" t="str">
        <f>""</f>
        <v/>
      </c>
      <c r="CD124" t="str">
        <f>""</f>
        <v/>
      </c>
      <c r="CE124" t="str">
        <f>""</f>
        <v/>
      </c>
      <c r="CF124" t="str">
        <f>""</f>
        <v/>
      </c>
      <c r="CG124" t="str">
        <f>""</f>
        <v/>
      </c>
      <c r="CH124" t="str">
        <f>""</f>
        <v/>
      </c>
      <c r="CI124" t="str">
        <f>""</f>
        <v/>
      </c>
      <c r="CJ124" t="str">
        <f>""</f>
        <v/>
      </c>
      <c r="CK124" t="str">
        <f>""</f>
        <v/>
      </c>
      <c r="CL124" t="str">
        <f>""</f>
        <v/>
      </c>
      <c r="CM124" t="str">
        <f>""</f>
        <v/>
      </c>
    </row>
    <row r="126" spans="1:91" x14ac:dyDescent="0.3">
      <c r="A126" t="str">
        <f>"gfapbr"</f>
        <v>gfapbr</v>
      </c>
      <c r="B126" t="str">
        <f>""</f>
        <v/>
      </c>
      <c r="C126" t="str">
        <f>""</f>
        <v/>
      </c>
      <c r="D126" t="str">
        <f>""</f>
        <v/>
      </c>
      <c r="E126" t="str">
        <f>""</f>
        <v/>
      </c>
      <c r="F126" t="str">
        <f>""</f>
        <v/>
      </c>
      <c r="G126" t="str">
        <f>""</f>
        <v/>
      </c>
      <c r="H126" t="str">
        <f>""</f>
        <v/>
      </c>
      <c r="I126" t="str">
        <f>""</f>
        <v/>
      </c>
      <c r="J126" t="str">
        <f>""</f>
        <v/>
      </c>
      <c r="K126" t="str">
        <f>""</f>
        <v/>
      </c>
      <c r="L126" t="str">
        <f>""</f>
        <v/>
      </c>
      <c r="M126" t="str">
        <f>""</f>
        <v/>
      </c>
      <c r="N126" t="str">
        <f>""</f>
        <v/>
      </c>
      <c r="O126" t="str">
        <f>""</f>
        <v/>
      </c>
      <c r="P126" t="str">
        <f>""</f>
        <v/>
      </c>
      <c r="Q126" t="str">
        <f>""</f>
        <v/>
      </c>
      <c r="R126" t="str">
        <f>""</f>
        <v/>
      </c>
      <c r="S126" t="str">
        <f>""</f>
        <v/>
      </c>
      <c r="T126" t="str">
        <f>""</f>
        <v/>
      </c>
      <c r="U126" t="str">
        <f>""</f>
        <v/>
      </c>
      <c r="V126" t="str">
        <f>""</f>
        <v/>
      </c>
      <c r="W126" t="str">
        <f>""</f>
        <v/>
      </c>
      <c r="X126" t="str">
        <f>""</f>
        <v/>
      </c>
      <c r="Y126" t="str">
        <f>""</f>
        <v/>
      </c>
      <c r="Z126" t="str">
        <f>""</f>
        <v/>
      </c>
      <c r="AA126" t="str">
        <f>""</f>
        <v/>
      </c>
      <c r="AB126" t="str">
        <f>""</f>
        <v/>
      </c>
      <c r="AC126" t="str">
        <f>""</f>
        <v/>
      </c>
      <c r="AD126" t="str">
        <f>""</f>
        <v/>
      </c>
      <c r="AE126" t="str">
        <f>""</f>
        <v/>
      </c>
      <c r="AF126" t="str">
        <f>""</f>
        <v/>
      </c>
      <c r="AG126" t="str">
        <f>""</f>
        <v/>
      </c>
      <c r="AH126" t="str">
        <f>""</f>
        <v/>
      </c>
      <c r="AI126" t="str">
        <f>""</f>
        <v/>
      </c>
      <c r="AJ126" t="str">
        <f>""</f>
        <v/>
      </c>
      <c r="AK126" t="str">
        <f>""</f>
        <v/>
      </c>
      <c r="AL126" t="str">
        <f>""</f>
        <v/>
      </c>
      <c r="AM126" t="str">
        <f>""</f>
        <v/>
      </c>
      <c r="AN126" t="str">
        <f>""</f>
        <v/>
      </c>
      <c r="AO126" t="str">
        <f>""</f>
        <v/>
      </c>
      <c r="AP126" t="str">
        <f>""</f>
        <v/>
      </c>
      <c r="AQ126" t="str">
        <f>""</f>
        <v/>
      </c>
      <c r="AR126" t="str">
        <f>""</f>
        <v/>
      </c>
      <c r="AS126" t="str">
        <f>""</f>
        <v/>
      </c>
      <c r="AT126" t="str">
        <f>""</f>
        <v/>
      </c>
      <c r="AU126" t="str">
        <f>"-0.0735"</f>
        <v>-0.0735</v>
      </c>
      <c r="AV126" t="str">
        <f>"0.975***"</f>
        <v>0.975***</v>
      </c>
      <c r="AW126" t="str">
        <f>"0.00968"</f>
        <v>0.00968</v>
      </c>
      <c r="AX126" t="str">
        <f>"-0.0586"</f>
        <v>-0.0586</v>
      </c>
      <c r="AY126" t="str">
        <f>"1.021***"</f>
        <v>1.021***</v>
      </c>
      <c r="AZ126" t="str">
        <f>"-0.0233"</f>
        <v>-0.0233</v>
      </c>
      <c r="BA126" t="str">
        <f>"-0.0541"</f>
        <v>-0.0541</v>
      </c>
      <c r="BB126" t="str">
        <f>"1.040***"</f>
        <v>1.040***</v>
      </c>
      <c r="BC126" t="str">
        <f>"-0.0145"</f>
        <v>-0.0145</v>
      </c>
      <c r="BD126" t="str">
        <f>"-0.0293"</f>
        <v>-0.0293</v>
      </c>
      <c r="BE126" t="str">
        <f>"1.017***"</f>
        <v>1.017***</v>
      </c>
      <c r="BF126" t="str">
        <f>"0.00605"</f>
        <v>0.00605</v>
      </c>
      <c r="BG126" t="str">
        <f>"-0.0474"</f>
        <v>-0.0474</v>
      </c>
      <c r="BH126" t="str">
        <f>"1.022***"</f>
        <v>1.022***</v>
      </c>
      <c r="BI126" t="str">
        <f>"-0.0111"</f>
        <v>-0.0111</v>
      </c>
      <c r="BJ126" t="str">
        <f>"-0.0718"</f>
        <v>-0.0718</v>
      </c>
      <c r="BK126" t="str">
        <f>"1.039***"</f>
        <v>1.039***</v>
      </c>
      <c r="BL126" t="str">
        <f>"-0.0260"</f>
        <v>-0.0260</v>
      </c>
      <c r="BM126" t="str">
        <f>"-0.0498"</f>
        <v>-0.0498</v>
      </c>
      <c r="BN126" t="str">
        <f>"0.975***"</f>
        <v>0.975***</v>
      </c>
      <c r="BO126" t="str">
        <f>"-0.00389"</f>
        <v>-0.00389</v>
      </c>
      <c r="BP126" t="str">
        <f>"-0.0673"</f>
        <v>-0.0673</v>
      </c>
      <c r="BQ126" t="str">
        <f>"1.039***"</f>
        <v>1.039***</v>
      </c>
      <c r="BR126" t="str">
        <f>"-0.0171"</f>
        <v>-0.0171</v>
      </c>
      <c r="BS126" t="str">
        <f>"-0.0517"</f>
        <v>-0.0517</v>
      </c>
      <c r="BT126" t="str">
        <f>"0.979***"</f>
        <v>0.979***</v>
      </c>
      <c r="BU126" t="str">
        <f>"-0.00123"</f>
        <v>-0.00123</v>
      </c>
      <c r="BV126" t="str">
        <f>"-0.0534"</f>
        <v>-0.0534</v>
      </c>
      <c r="BW126" t="str">
        <f>"0.988***"</f>
        <v>0.988***</v>
      </c>
      <c r="BX126" t="str">
        <f>"-0.0155"</f>
        <v>-0.0155</v>
      </c>
      <c r="BY126" t="str">
        <f>"-0.0484"</f>
        <v>-0.0484</v>
      </c>
      <c r="BZ126" t="str">
        <f>"0.988***"</f>
        <v>0.988***</v>
      </c>
      <c r="CA126" t="str">
        <f>"-0.00274"</f>
        <v>-0.00274</v>
      </c>
      <c r="CB126" t="str">
        <f>"-0.0518"</f>
        <v>-0.0518</v>
      </c>
      <c r="CC126" t="str">
        <f>"0.983***"</f>
        <v>0.983***</v>
      </c>
      <c r="CD126" t="str">
        <f>"-0.0108"</f>
        <v>-0.0108</v>
      </c>
      <c r="CE126" t="str">
        <f>"-0.0564"</f>
        <v>-0.0564</v>
      </c>
      <c r="CF126" t="str">
        <f>"0.984***"</f>
        <v>0.984***</v>
      </c>
      <c r="CG126" t="str">
        <f>"-0.00486"</f>
        <v>-0.00486</v>
      </c>
      <c r="CH126" t="str">
        <f>"-0.0490"</f>
        <v>-0.0490</v>
      </c>
      <c r="CI126" t="str">
        <f>"0.982***"</f>
        <v>0.982***</v>
      </c>
      <c r="CJ126" t="str">
        <f>"-0.00957"</f>
        <v>-0.00957</v>
      </c>
      <c r="CK126" t="str">
        <f>"-0.0566"</f>
        <v>-0.0566</v>
      </c>
      <c r="CL126" t="str">
        <f>"0.976***"</f>
        <v>0.976***</v>
      </c>
      <c r="CM126" t="str">
        <f>"-0.00864"</f>
        <v>-0.00864</v>
      </c>
    </row>
    <row r="127" spans="1:91" x14ac:dyDescent="0.3">
      <c r="A127" t="str">
        <f>""</f>
        <v/>
      </c>
      <c r="B127" t="str">
        <f>""</f>
        <v/>
      </c>
      <c r="C127" t="str">
        <f>""</f>
        <v/>
      </c>
      <c r="D127" t="str">
        <f>""</f>
        <v/>
      </c>
      <c r="E127" t="str">
        <f>""</f>
        <v/>
      </c>
      <c r="F127" t="str">
        <f>""</f>
        <v/>
      </c>
      <c r="G127" t="str">
        <f>""</f>
        <v/>
      </c>
      <c r="H127" t="str">
        <f>""</f>
        <v/>
      </c>
      <c r="I127" t="str">
        <f>""</f>
        <v/>
      </c>
      <c r="J127" t="str">
        <f>""</f>
        <v/>
      </c>
      <c r="K127" t="str">
        <f>""</f>
        <v/>
      </c>
      <c r="L127" t="str">
        <f>""</f>
        <v/>
      </c>
      <c r="M127" t="str">
        <f>""</f>
        <v/>
      </c>
      <c r="N127" t="str">
        <f>""</f>
        <v/>
      </c>
      <c r="O127" t="str">
        <f>""</f>
        <v/>
      </c>
      <c r="P127" t="str">
        <f>""</f>
        <v/>
      </c>
      <c r="Q127" t="str">
        <f>""</f>
        <v/>
      </c>
      <c r="R127" t="str">
        <f>""</f>
        <v/>
      </c>
      <c r="S127" t="str">
        <f>""</f>
        <v/>
      </c>
      <c r="T127" t="str">
        <f>""</f>
        <v/>
      </c>
      <c r="U127" t="str">
        <f>""</f>
        <v/>
      </c>
      <c r="V127" t="str">
        <f>""</f>
        <v/>
      </c>
      <c r="W127" t="str">
        <f>""</f>
        <v/>
      </c>
      <c r="X127" t="str">
        <f>""</f>
        <v/>
      </c>
      <c r="Y127" t="str">
        <f>""</f>
        <v/>
      </c>
      <c r="Z127" t="str">
        <f>""</f>
        <v/>
      </c>
      <c r="AA127" t="str">
        <f>""</f>
        <v/>
      </c>
      <c r="AB127" t="str">
        <f>""</f>
        <v/>
      </c>
      <c r="AC127" t="str">
        <f>""</f>
        <v/>
      </c>
      <c r="AD127" t="str">
        <f>""</f>
        <v/>
      </c>
      <c r="AE127" t="str">
        <f>""</f>
        <v/>
      </c>
      <c r="AF127" t="str">
        <f>""</f>
        <v/>
      </c>
      <c r="AG127" t="str">
        <f>""</f>
        <v/>
      </c>
      <c r="AH127" t="str">
        <f>""</f>
        <v/>
      </c>
      <c r="AI127" t="str">
        <f>""</f>
        <v/>
      </c>
      <c r="AJ127" t="str">
        <f>""</f>
        <v/>
      </c>
      <c r="AK127" t="str">
        <f>""</f>
        <v/>
      </c>
      <c r="AL127" t="str">
        <f>""</f>
        <v/>
      </c>
      <c r="AM127" t="str">
        <f>""</f>
        <v/>
      </c>
      <c r="AN127" t="str">
        <f>""</f>
        <v/>
      </c>
      <c r="AO127" t="str">
        <f>""</f>
        <v/>
      </c>
      <c r="AP127" t="str">
        <f>""</f>
        <v/>
      </c>
      <c r="AQ127" t="str">
        <f>""</f>
        <v/>
      </c>
      <c r="AR127" t="str">
        <f>""</f>
        <v/>
      </c>
      <c r="AS127" t="str">
        <f>""</f>
        <v/>
      </c>
      <c r="AT127" t="str">
        <f>""</f>
        <v/>
      </c>
      <c r="AU127" t="str">
        <f>"(0.110)"</f>
        <v>(0.110)</v>
      </c>
      <c r="AV127" t="str">
        <f>"(0.106)"</f>
        <v>(0.106)</v>
      </c>
      <c r="AW127" t="str">
        <f>"(0.0471)"</f>
        <v>(0.0471)</v>
      </c>
      <c r="AX127" t="str">
        <f>"(0.108)"</f>
        <v>(0.108)</v>
      </c>
      <c r="AY127" t="str">
        <f>"(0.109)"</f>
        <v>(0.109)</v>
      </c>
      <c r="AZ127" t="str">
        <f>"(0.0470)"</f>
        <v>(0.0470)</v>
      </c>
      <c r="BA127" t="str">
        <f>"(0.109)"</f>
        <v>(0.109)</v>
      </c>
      <c r="BB127" t="str">
        <f>"(0.109)"</f>
        <v>(0.109)</v>
      </c>
      <c r="BC127" t="str">
        <f>"(0.0480)"</f>
        <v>(0.0480)</v>
      </c>
      <c r="BD127" t="str">
        <f>"(0.111)"</f>
        <v>(0.111)</v>
      </c>
      <c r="BE127" t="str">
        <f>"(0.108)"</f>
        <v>(0.108)</v>
      </c>
      <c r="BF127" t="str">
        <f>"(0.0481)"</f>
        <v>(0.0481)</v>
      </c>
      <c r="BG127" t="str">
        <f>"(0.109)"</f>
        <v>(0.109)</v>
      </c>
      <c r="BH127" t="str">
        <f>"(0.108)"</f>
        <v>(0.108)</v>
      </c>
      <c r="BI127" t="str">
        <f>"(0.0479)"</f>
        <v>(0.0479)</v>
      </c>
      <c r="BJ127" t="str">
        <f>"(0.108)"</f>
        <v>(0.108)</v>
      </c>
      <c r="BK127" t="str">
        <f>"(0.110)"</f>
        <v>(0.110)</v>
      </c>
      <c r="BL127" t="str">
        <f>"(0.0467)"</f>
        <v>(0.0467)</v>
      </c>
      <c r="BM127" t="str">
        <f>"(0.109)"</f>
        <v>(0.109)</v>
      </c>
      <c r="BN127" t="str">
        <f>"(0.104)"</f>
        <v>(0.104)</v>
      </c>
      <c r="BO127" t="str">
        <f>"(0.0474)"</f>
        <v>(0.0474)</v>
      </c>
      <c r="BP127" t="str">
        <f>"(0.108)"</f>
        <v>(0.108)</v>
      </c>
      <c r="BQ127" t="str">
        <f>"(0.111)"</f>
        <v>(0.111)</v>
      </c>
      <c r="BR127" t="str">
        <f>"(0.0465)"</f>
        <v>(0.0465)</v>
      </c>
      <c r="BS127" t="str">
        <f>"(0.108)"</f>
        <v>(0.108)</v>
      </c>
      <c r="BT127" t="str">
        <f>"(0.104)"</f>
        <v>(0.104)</v>
      </c>
      <c r="BU127" t="str">
        <f>"(0.0463)"</f>
        <v>(0.0463)</v>
      </c>
      <c r="BV127" t="str">
        <f>"(0.108)"</f>
        <v>(0.108)</v>
      </c>
      <c r="BW127" t="str">
        <f>"(0.105)"</f>
        <v>(0.105)</v>
      </c>
      <c r="BX127" t="str">
        <f>"(0.0462)"</f>
        <v>(0.0462)</v>
      </c>
      <c r="BY127" t="str">
        <f>"(0.109)"</f>
        <v>(0.109)</v>
      </c>
      <c r="BZ127" t="str">
        <f>"(0.106)"</f>
        <v>(0.106)</v>
      </c>
      <c r="CA127" t="str">
        <f>"(0.0472)"</f>
        <v>(0.0472)</v>
      </c>
      <c r="CB127" t="str">
        <f>"(0.108)"</f>
        <v>(0.108)</v>
      </c>
      <c r="CC127" t="str">
        <f>"(0.105)"</f>
        <v>(0.105)</v>
      </c>
      <c r="CD127" t="str">
        <f>"(0.0462)"</f>
        <v>(0.0462)</v>
      </c>
      <c r="CE127" t="str">
        <f>"(0.109)"</f>
        <v>(0.109)</v>
      </c>
      <c r="CF127" t="str">
        <f>"(0.104)"</f>
        <v>(0.104)</v>
      </c>
      <c r="CG127" t="str">
        <f>"(0.0469)"</f>
        <v>(0.0469)</v>
      </c>
      <c r="CH127" t="str">
        <f>"(0.108)"</f>
        <v>(0.108)</v>
      </c>
      <c r="CI127" t="str">
        <f>"(0.104)"</f>
        <v>(0.104)</v>
      </c>
      <c r="CJ127" t="str">
        <f>"(0.0464)"</f>
        <v>(0.0464)</v>
      </c>
      <c r="CK127" t="str">
        <f>"(0.108)"</f>
        <v>(0.108)</v>
      </c>
      <c r="CL127" t="str">
        <f>"(0.104)"</f>
        <v>(0.104)</v>
      </c>
      <c r="CM127" t="str">
        <f>"(0.0464)"</f>
        <v>(0.0464)</v>
      </c>
    </row>
    <row r="129" spans="1:91" x14ac:dyDescent="0.3">
      <c r="A129" t="str">
        <f>"c.zMETAB1#c.gfapbr"</f>
        <v>c.zMETAB1#c.gfapbr</v>
      </c>
      <c r="B129" t="str">
        <f>""</f>
        <v/>
      </c>
      <c r="C129" t="str">
        <f>""</f>
        <v/>
      </c>
      <c r="D129" t="str">
        <f>""</f>
        <v/>
      </c>
      <c r="E129" t="str">
        <f>""</f>
        <v/>
      </c>
      <c r="F129" t="str">
        <f>""</f>
        <v/>
      </c>
      <c r="G129" t="str">
        <f>""</f>
        <v/>
      </c>
      <c r="H129" t="str">
        <f>""</f>
        <v/>
      </c>
      <c r="I129" t="str">
        <f>""</f>
        <v/>
      </c>
      <c r="J129" t="str">
        <f>""</f>
        <v/>
      </c>
      <c r="K129" t="str">
        <f>""</f>
        <v/>
      </c>
      <c r="L129" t="str">
        <f>""</f>
        <v/>
      </c>
      <c r="M129" t="str">
        <f>""</f>
        <v/>
      </c>
      <c r="N129" t="str">
        <f>""</f>
        <v/>
      </c>
      <c r="O129" t="str">
        <f>""</f>
        <v/>
      </c>
      <c r="P129" t="str">
        <f>""</f>
        <v/>
      </c>
      <c r="Q129" t="str">
        <f>""</f>
        <v/>
      </c>
      <c r="R129" t="str">
        <f>""</f>
        <v/>
      </c>
      <c r="S129" t="str">
        <f>""</f>
        <v/>
      </c>
      <c r="T129" t="str">
        <f>""</f>
        <v/>
      </c>
      <c r="U129" t="str">
        <f>""</f>
        <v/>
      </c>
      <c r="V129" t="str">
        <f>""</f>
        <v/>
      </c>
      <c r="W129" t="str">
        <f>""</f>
        <v/>
      </c>
      <c r="X129" t="str">
        <f>""</f>
        <v/>
      </c>
      <c r="Y129" t="str">
        <f>""</f>
        <v/>
      </c>
      <c r="Z129" t="str">
        <f>""</f>
        <v/>
      </c>
      <c r="AA129" t="str">
        <f>""</f>
        <v/>
      </c>
      <c r="AB129" t="str">
        <f>""</f>
        <v/>
      </c>
      <c r="AC129" t="str">
        <f>""</f>
        <v/>
      </c>
      <c r="AD129" t="str">
        <f>""</f>
        <v/>
      </c>
      <c r="AE129" t="str">
        <f>""</f>
        <v/>
      </c>
      <c r="AF129" t="str">
        <f>""</f>
        <v/>
      </c>
      <c r="AG129" t="str">
        <f>""</f>
        <v/>
      </c>
      <c r="AH129" t="str">
        <f>""</f>
        <v/>
      </c>
      <c r="AI129" t="str">
        <f>""</f>
        <v/>
      </c>
      <c r="AJ129" t="str">
        <f>""</f>
        <v/>
      </c>
      <c r="AK129" t="str">
        <f>""</f>
        <v/>
      </c>
      <c r="AL129" t="str">
        <f>""</f>
        <v/>
      </c>
      <c r="AM129" t="str">
        <f>""</f>
        <v/>
      </c>
      <c r="AN129" t="str">
        <f>""</f>
        <v/>
      </c>
      <c r="AO129" t="str">
        <f>""</f>
        <v/>
      </c>
      <c r="AP129" t="str">
        <f>""</f>
        <v/>
      </c>
      <c r="AQ129" t="str">
        <f>""</f>
        <v/>
      </c>
      <c r="AR129" t="str">
        <f>""</f>
        <v/>
      </c>
      <c r="AS129" t="str">
        <f>""</f>
        <v/>
      </c>
      <c r="AT129" t="str">
        <f>""</f>
        <v/>
      </c>
      <c r="AU129" t="str">
        <f>"-0.159"</f>
        <v>-0.159</v>
      </c>
      <c r="AV129" t="str">
        <f>"-0.0862"</f>
        <v>-0.0862</v>
      </c>
      <c r="AW129" t="str">
        <f>"-0.0124"</f>
        <v>-0.0124</v>
      </c>
      <c r="AX129" t="str">
        <f>""</f>
        <v/>
      </c>
      <c r="AY129" t="str">
        <f>""</f>
        <v/>
      </c>
      <c r="AZ129" t="str">
        <f>""</f>
        <v/>
      </c>
      <c r="BA129" t="str">
        <f>""</f>
        <v/>
      </c>
      <c r="BB129" t="str">
        <f>""</f>
        <v/>
      </c>
      <c r="BC129" t="str">
        <f>""</f>
        <v/>
      </c>
      <c r="BD129" t="str">
        <f>""</f>
        <v/>
      </c>
      <c r="BE129" t="str">
        <f>""</f>
        <v/>
      </c>
      <c r="BF129" t="str">
        <f>""</f>
        <v/>
      </c>
      <c r="BG129" t="str">
        <f>""</f>
        <v/>
      </c>
      <c r="BH129" t="str">
        <f>""</f>
        <v/>
      </c>
      <c r="BI129" t="str">
        <f>""</f>
        <v/>
      </c>
      <c r="BJ129" t="str">
        <f>""</f>
        <v/>
      </c>
      <c r="BK129" t="str">
        <f>""</f>
        <v/>
      </c>
      <c r="BL129" t="str">
        <f>""</f>
        <v/>
      </c>
      <c r="BM129" t="str">
        <f>""</f>
        <v/>
      </c>
      <c r="BN129" t="str">
        <f>""</f>
        <v/>
      </c>
      <c r="BO129" t="str">
        <f>""</f>
        <v/>
      </c>
      <c r="BP129" t="str">
        <f>""</f>
        <v/>
      </c>
      <c r="BQ129" t="str">
        <f>""</f>
        <v/>
      </c>
      <c r="BR129" t="str">
        <f>""</f>
        <v/>
      </c>
      <c r="BS129" t="str">
        <f>""</f>
        <v/>
      </c>
      <c r="BT129" t="str">
        <f>""</f>
        <v/>
      </c>
      <c r="BU129" t="str">
        <f>""</f>
        <v/>
      </c>
      <c r="BV129" t="str">
        <f>""</f>
        <v/>
      </c>
      <c r="BW129" t="str">
        <f>""</f>
        <v/>
      </c>
      <c r="BX129" t="str">
        <f>""</f>
        <v/>
      </c>
      <c r="BY129" t="str">
        <f>""</f>
        <v/>
      </c>
      <c r="BZ129" t="str">
        <f>""</f>
        <v/>
      </c>
      <c r="CA129" t="str">
        <f>""</f>
        <v/>
      </c>
      <c r="CB129" t="str">
        <f>""</f>
        <v/>
      </c>
      <c r="CC129" t="str">
        <f>""</f>
        <v/>
      </c>
      <c r="CD129" t="str">
        <f>""</f>
        <v/>
      </c>
      <c r="CE129" t="str">
        <f>""</f>
        <v/>
      </c>
      <c r="CF129" t="str">
        <f>""</f>
        <v/>
      </c>
      <c r="CG129" t="str">
        <f>""</f>
        <v/>
      </c>
      <c r="CH129" t="str">
        <f>""</f>
        <v/>
      </c>
      <c r="CI129" t="str">
        <f>""</f>
        <v/>
      </c>
      <c r="CJ129" t="str">
        <f>""</f>
        <v/>
      </c>
      <c r="CK129" t="str">
        <f>""</f>
        <v/>
      </c>
      <c r="CL129" t="str">
        <f>""</f>
        <v/>
      </c>
      <c r="CM129" t="str">
        <f>""</f>
        <v/>
      </c>
    </row>
    <row r="130" spans="1:91" x14ac:dyDescent="0.3">
      <c r="A130" t="str">
        <f>""</f>
        <v/>
      </c>
      <c r="B130" t="str">
        <f>""</f>
        <v/>
      </c>
      <c r="C130" t="str">
        <f>""</f>
        <v/>
      </c>
      <c r="D130" t="str">
        <f>""</f>
        <v/>
      </c>
      <c r="E130" t="str">
        <f>""</f>
        <v/>
      </c>
      <c r="F130" t="str">
        <f>""</f>
        <v/>
      </c>
      <c r="G130" t="str">
        <f>""</f>
        <v/>
      </c>
      <c r="H130" t="str">
        <f>""</f>
        <v/>
      </c>
      <c r="I130" t="str">
        <f>""</f>
        <v/>
      </c>
      <c r="J130" t="str">
        <f>""</f>
        <v/>
      </c>
      <c r="K130" t="str">
        <f>""</f>
        <v/>
      </c>
      <c r="L130" t="str">
        <f>""</f>
        <v/>
      </c>
      <c r="M130" t="str">
        <f>""</f>
        <v/>
      </c>
      <c r="N130" t="str">
        <f>""</f>
        <v/>
      </c>
      <c r="O130" t="str">
        <f>""</f>
        <v/>
      </c>
      <c r="P130" t="str">
        <f>""</f>
        <v/>
      </c>
      <c r="Q130" t="str">
        <f>""</f>
        <v/>
      </c>
      <c r="R130" t="str">
        <f>""</f>
        <v/>
      </c>
      <c r="S130" t="str">
        <f>""</f>
        <v/>
      </c>
      <c r="T130" t="str">
        <f>""</f>
        <v/>
      </c>
      <c r="U130" t="str">
        <f>""</f>
        <v/>
      </c>
      <c r="V130" t="str">
        <f>""</f>
        <v/>
      </c>
      <c r="W130" t="str">
        <f>""</f>
        <v/>
      </c>
      <c r="X130" t="str">
        <f>""</f>
        <v/>
      </c>
      <c r="Y130" t="str">
        <f>""</f>
        <v/>
      </c>
      <c r="Z130" t="str">
        <f>""</f>
        <v/>
      </c>
      <c r="AA130" t="str">
        <f>""</f>
        <v/>
      </c>
      <c r="AB130" t="str">
        <f>""</f>
        <v/>
      </c>
      <c r="AC130" t="str">
        <f>""</f>
        <v/>
      </c>
      <c r="AD130" t="str">
        <f>""</f>
        <v/>
      </c>
      <c r="AE130" t="str">
        <f>""</f>
        <v/>
      </c>
      <c r="AF130" t="str">
        <f>""</f>
        <v/>
      </c>
      <c r="AG130" t="str">
        <f>""</f>
        <v/>
      </c>
      <c r="AH130" t="str">
        <f>""</f>
        <v/>
      </c>
      <c r="AI130" t="str">
        <f>""</f>
        <v/>
      </c>
      <c r="AJ130" t="str">
        <f>""</f>
        <v/>
      </c>
      <c r="AK130" t="str">
        <f>""</f>
        <v/>
      </c>
      <c r="AL130" t="str">
        <f>""</f>
        <v/>
      </c>
      <c r="AM130" t="str">
        <f>""</f>
        <v/>
      </c>
      <c r="AN130" t="str">
        <f>""</f>
        <v/>
      </c>
      <c r="AO130" t="str">
        <f>""</f>
        <v/>
      </c>
      <c r="AP130" t="str">
        <f>""</f>
        <v/>
      </c>
      <c r="AQ130" t="str">
        <f>""</f>
        <v/>
      </c>
      <c r="AR130" t="str">
        <f>""</f>
        <v/>
      </c>
      <c r="AS130" t="str">
        <f>""</f>
        <v/>
      </c>
      <c r="AT130" t="str">
        <f>""</f>
        <v/>
      </c>
      <c r="AU130" t="str">
        <f>"(0.105)"</f>
        <v>(0.105)</v>
      </c>
      <c r="AV130" t="str">
        <f>"(0.101)"</f>
        <v>(0.101)</v>
      </c>
      <c r="AW130" t="str">
        <f>"(0.0440)"</f>
        <v>(0.0440)</v>
      </c>
      <c r="AX130" t="str">
        <f>""</f>
        <v/>
      </c>
      <c r="AY130" t="str">
        <f>""</f>
        <v/>
      </c>
      <c r="AZ130" t="str">
        <f>""</f>
        <v/>
      </c>
      <c r="BA130" t="str">
        <f>""</f>
        <v/>
      </c>
      <c r="BB130" t="str">
        <f>""</f>
        <v/>
      </c>
      <c r="BC130" t="str">
        <f>""</f>
        <v/>
      </c>
      <c r="BD130" t="str">
        <f>""</f>
        <v/>
      </c>
      <c r="BE130" t="str">
        <f>""</f>
        <v/>
      </c>
      <c r="BF130" t="str">
        <f>""</f>
        <v/>
      </c>
      <c r="BG130" t="str">
        <f>""</f>
        <v/>
      </c>
      <c r="BH130" t="str">
        <f>""</f>
        <v/>
      </c>
      <c r="BI130" t="str">
        <f>""</f>
        <v/>
      </c>
      <c r="BJ130" t="str">
        <f>""</f>
        <v/>
      </c>
      <c r="BK130" t="str">
        <f>""</f>
        <v/>
      </c>
      <c r="BL130" t="str">
        <f>""</f>
        <v/>
      </c>
      <c r="BM130" t="str">
        <f>""</f>
        <v/>
      </c>
      <c r="BN130" t="str">
        <f>""</f>
        <v/>
      </c>
      <c r="BO130" t="str">
        <f>""</f>
        <v/>
      </c>
      <c r="BP130" t="str">
        <f>""</f>
        <v/>
      </c>
      <c r="BQ130" t="str">
        <f>""</f>
        <v/>
      </c>
      <c r="BR130" t="str">
        <f>""</f>
        <v/>
      </c>
      <c r="BS130" t="str">
        <f>""</f>
        <v/>
      </c>
      <c r="BT130" t="str">
        <f>""</f>
        <v/>
      </c>
      <c r="BU130" t="str">
        <f>""</f>
        <v/>
      </c>
      <c r="BV130" t="str">
        <f>""</f>
        <v/>
      </c>
      <c r="BW130" t="str">
        <f>""</f>
        <v/>
      </c>
      <c r="BX130" t="str">
        <f>""</f>
        <v/>
      </c>
      <c r="BY130" t="str">
        <f>""</f>
        <v/>
      </c>
      <c r="BZ130" t="str">
        <f>""</f>
        <v/>
      </c>
      <c r="CA130" t="str">
        <f>""</f>
        <v/>
      </c>
      <c r="CB130" t="str">
        <f>""</f>
        <v/>
      </c>
      <c r="CC130" t="str">
        <f>""</f>
        <v/>
      </c>
      <c r="CD130" t="str">
        <f>""</f>
        <v/>
      </c>
      <c r="CE130" t="str">
        <f>""</f>
        <v/>
      </c>
      <c r="CF130" t="str">
        <f>""</f>
        <v/>
      </c>
      <c r="CG130" t="str">
        <f>""</f>
        <v/>
      </c>
      <c r="CH130" t="str">
        <f>""</f>
        <v/>
      </c>
      <c r="CI130" t="str">
        <f>""</f>
        <v/>
      </c>
      <c r="CJ130" t="str">
        <f>""</f>
        <v/>
      </c>
      <c r="CK130" t="str">
        <f>""</f>
        <v/>
      </c>
      <c r="CL130" t="str">
        <f>""</f>
        <v/>
      </c>
      <c r="CM130" t="str">
        <f>""</f>
        <v/>
      </c>
    </row>
    <row r="132" spans="1:91" x14ac:dyDescent="0.3">
      <c r="A132" t="str">
        <f>"c.zMETAB2#c.gfapbr"</f>
        <v>c.zMETAB2#c.gfapbr</v>
      </c>
      <c r="B132" t="str">
        <f>""</f>
        <v/>
      </c>
      <c r="C132" t="str">
        <f>""</f>
        <v/>
      </c>
      <c r="D132" t="str">
        <f>""</f>
        <v/>
      </c>
      <c r="E132" t="str">
        <f>""</f>
        <v/>
      </c>
      <c r="F132" t="str">
        <f>""</f>
        <v/>
      </c>
      <c r="G132" t="str">
        <f>""</f>
        <v/>
      </c>
      <c r="H132" t="str">
        <f>""</f>
        <v/>
      </c>
      <c r="I132" t="str">
        <f>""</f>
        <v/>
      </c>
      <c r="J132" t="str">
        <f>""</f>
        <v/>
      </c>
      <c r="K132" t="str">
        <f>""</f>
        <v/>
      </c>
      <c r="L132" t="str">
        <f>""</f>
        <v/>
      </c>
      <c r="M132" t="str">
        <f>""</f>
        <v/>
      </c>
      <c r="N132" t="str">
        <f>""</f>
        <v/>
      </c>
      <c r="O132" t="str">
        <f>""</f>
        <v/>
      </c>
      <c r="P132" t="str">
        <f>""</f>
        <v/>
      </c>
      <c r="Q132" t="str">
        <f>""</f>
        <v/>
      </c>
      <c r="R132" t="str">
        <f>""</f>
        <v/>
      </c>
      <c r="S132" t="str">
        <f>""</f>
        <v/>
      </c>
      <c r="T132" t="str">
        <f>""</f>
        <v/>
      </c>
      <c r="U132" t="str">
        <f>""</f>
        <v/>
      </c>
      <c r="V132" t="str">
        <f>""</f>
        <v/>
      </c>
      <c r="W132" t="str">
        <f>""</f>
        <v/>
      </c>
      <c r="X132" t="str">
        <f>""</f>
        <v/>
      </c>
      <c r="Y132" t="str">
        <f>""</f>
        <v/>
      </c>
      <c r="Z132" t="str">
        <f>""</f>
        <v/>
      </c>
      <c r="AA132" t="str">
        <f>""</f>
        <v/>
      </c>
      <c r="AB132" t="str">
        <f>""</f>
        <v/>
      </c>
      <c r="AC132" t="str">
        <f>""</f>
        <v/>
      </c>
      <c r="AD132" t="str">
        <f>""</f>
        <v/>
      </c>
      <c r="AE132" t="str">
        <f>""</f>
        <v/>
      </c>
      <c r="AF132" t="str">
        <f>""</f>
        <v/>
      </c>
      <c r="AG132" t="str">
        <f>""</f>
        <v/>
      </c>
      <c r="AH132" t="str">
        <f>""</f>
        <v/>
      </c>
      <c r="AI132" t="str">
        <f>""</f>
        <v/>
      </c>
      <c r="AJ132" t="str">
        <f>""</f>
        <v/>
      </c>
      <c r="AK132" t="str">
        <f>""</f>
        <v/>
      </c>
      <c r="AL132" t="str">
        <f>""</f>
        <v/>
      </c>
      <c r="AM132" t="str">
        <f>""</f>
        <v/>
      </c>
      <c r="AN132" t="str">
        <f>""</f>
        <v/>
      </c>
      <c r="AO132" t="str">
        <f>""</f>
        <v/>
      </c>
      <c r="AP132" t="str">
        <f>""</f>
        <v/>
      </c>
      <c r="AQ132" t="str">
        <f>""</f>
        <v/>
      </c>
      <c r="AR132" t="str">
        <f>""</f>
        <v/>
      </c>
      <c r="AS132" t="str">
        <f>""</f>
        <v/>
      </c>
      <c r="AT132" t="str">
        <f>""</f>
        <v/>
      </c>
      <c r="AU132" t="str">
        <f>""</f>
        <v/>
      </c>
      <c r="AV132" t="str">
        <f>""</f>
        <v/>
      </c>
      <c r="AW132" t="str">
        <f>""</f>
        <v/>
      </c>
      <c r="AX132" t="str">
        <f>"-0.0407"</f>
        <v>-0.0407</v>
      </c>
      <c r="AY132" t="str">
        <f>"0.209*"</f>
        <v>0.209*</v>
      </c>
      <c r="AZ132" t="str">
        <f>"-0.0467"</f>
        <v>-0.0467</v>
      </c>
      <c r="BA132" t="str">
        <f>""</f>
        <v/>
      </c>
      <c r="BB132" t="str">
        <f>""</f>
        <v/>
      </c>
      <c r="BC132" t="str">
        <f>""</f>
        <v/>
      </c>
      <c r="BD132" t="str">
        <f>""</f>
        <v/>
      </c>
      <c r="BE132" t="str">
        <f>""</f>
        <v/>
      </c>
      <c r="BF132" t="str">
        <f>""</f>
        <v/>
      </c>
      <c r="BG132" t="str">
        <f>""</f>
        <v/>
      </c>
      <c r="BH132" t="str">
        <f>""</f>
        <v/>
      </c>
      <c r="BI132" t="str">
        <f>""</f>
        <v/>
      </c>
      <c r="BJ132" t="str">
        <f>""</f>
        <v/>
      </c>
      <c r="BK132" t="str">
        <f>""</f>
        <v/>
      </c>
      <c r="BL132" t="str">
        <f>""</f>
        <v/>
      </c>
      <c r="BM132" t="str">
        <f>""</f>
        <v/>
      </c>
      <c r="BN132" t="str">
        <f>""</f>
        <v/>
      </c>
      <c r="BO132" t="str">
        <f>""</f>
        <v/>
      </c>
      <c r="BP132" t="str">
        <f>""</f>
        <v/>
      </c>
      <c r="BQ132" t="str">
        <f>""</f>
        <v/>
      </c>
      <c r="BR132" t="str">
        <f>""</f>
        <v/>
      </c>
      <c r="BS132" t="str">
        <f>""</f>
        <v/>
      </c>
      <c r="BT132" t="str">
        <f>""</f>
        <v/>
      </c>
      <c r="BU132" t="str">
        <f>""</f>
        <v/>
      </c>
      <c r="BV132" t="str">
        <f>""</f>
        <v/>
      </c>
      <c r="BW132" t="str">
        <f>""</f>
        <v/>
      </c>
      <c r="BX132" t="str">
        <f>""</f>
        <v/>
      </c>
      <c r="BY132" t="str">
        <f>""</f>
        <v/>
      </c>
      <c r="BZ132" t="str">
        <f>""</f>
        <v/>
      </c>
      <c r="CA132" t="str">
        <f>""</f>
        <v/>
      </c>
      <c r="CB132" t="str">
        <f>""</f>
        <v/>
      </c>
      <c r="CC132" t="str">
        <f>""</f>
        <v/>
      </c>
      <c r="CD132" t="str">
        <f>""</f>
        <v/>
      </c>
      <c r="CE132" t="str">
        <f>""</f>
        <v/>
      </c>
      <c r="CF132" t="str">
        <f>""</f>
        <v/>
      </c>
      <c r="CG132" t="str">
        <f>""</f>
        <v/>
      </c>
      <c r="CH132" t="str">
        <f>""</f>
        <v/>
      </c>
      <c r="CI132" t="str">
        <f>""</f>
        <v/>
      </c>
      <c r="CJ132" t="str">
        <f>""</f>
        <v/>
      </c>
      <c r="CK132" t="str">
        <f>""</f>
        <v/>
      </c>
      <c r="CL132" t="str">
        <f>""</f>
        <v/>
      </c>
      <c r="CM132" t="str">
        <f>""</f>
        <v/>
      </c>
    </row>
    <row r="133" spans="1:91" x14ac:dyDescent="0.3">
      <c r="A133" t="str">
        <f>""</f>
        <v/>
      </c>
      <c r="B133" t="str">
        <f>""</f>
        <v/>
      </c>
      <c r="C133" t="str">
        <f>""</f>
        <v/>
      </c>
      <c r="D133" t="str">
        <f>""</f>
        <v/>
      </c>
      <c r="E133" t="str">
        <f>""</f>
        <v/>
      </c>
      <c r="F133" t="str">
        <f>""</f>
        <v/>
      </c>
      <c r="G133" t="str">
        <f>""</f>
        <v/>
      </c>
      <c r="H133" t="str">
        <f>""</f>
        <v/>
      </c>
      <c r="I133" t="str">
        <f>""</f>
        <v/>
      </c>
      <c r="J133" t="str">
        <f>""</f>
        <v/>
      </c>
      <c r="K133" t="str">
        <f>""</f>
        <v/>
      </c>
      <c r="L133" t="str">
        <f>""</f>
        <v/>
      </c>
      <c r="M133" t="str">
        <f>""</f>
        <v/>
      </c>
      <c r="N133" t="str">
        <f>""</f>
        <v/>
      </c>
      <c r="O133" t="str">
        <f>""</f>
        <v/>
      </c>
      <c r="P133" t="str">
        <f>""</f>
        <v/>
      </c>
      <c r="Q133" t="str">
        <f>""</f>
        <v/>
      </c>
      <c r="R133" t="str">
        <f>""</f>
        <v/>
      </c>
      <c r="S133" t="str">
        <f>""</f>
        <v/>
      </c>
      <c r="T133" t="str">
        <f>""</f>
        <v/>
      </c>
      <c r="U133" t="str">
        <f>""</f>
        <v/>
      </c>
      <c r="V133" t="str">
        <f>""</f>
        <v/>
      </c>
      <c r="W133" t="str">
        <f>""</f>
        <v/>
      </c>
      <c r="X133" t="str">
        <f>""</f>
        <v/>
      </c>
      <c r="Y133" t="str">
        <f>""</f>
        <v/>
      </c>
      <c r="Z133" t="str">
        <f>""</f>
        <v/>
      </c>
      <c r="AA133" t="str">
        <f>""</f>
        <v/>
      </c>
      <c r="AB133" t="str">
        <f>""</f>
        <v/>
      </c>
      <c r="AC133" t="str">
        <f>""</f>
        <v/>
      </c>
      <c r="AD133" t="str">
        <f>""</f>
        <v/>
      </c>
      <c r="AE133" t="str">
        <f>""</f>
        <v/>
      </c>
      <c r="AF133" t="str">
        <f>""</f>
        <v/>
      </c>
      <c r="AG133" t="str">
        <f>""</f>
        <v/>
      </c>
      <c r="AH133" t="str">
        <f>""</f>
        <v/>
      </c>
      <c r="AI133" t="str">
        <f>""</f>
        <v/>
      </c>
      <c r="AJ133" t="str">
        <f>""</f>
        <v/>
      </c>
      <c r="AK133" t="str">
        <f>""</f>
        <v/>
      </c>
      <c r="AL133" t="str">
        <f>""</f>
        <v/>
      </c>
      <c r="AM133" t="str">
        <f>""</f>
        <v/>
      </c>
      <c r="AN133" t="str">
        <f>""</f>
        <v/>
      </c>
      <c r="AO133" t="str">
        <f>""</f>
        <v/>
      </c>
      <c r="AP133" t="str">
        <f>""</f>
        <v/>
      </c>
      <c r="AQ133" t="str">
        <f>""</f>
        <v/>
      </c>
      <c r="AR133" t="str">
        <f>""</f>
        <v/>
      </c>
      <c r="AS133" t="str">
        <f>""</f>
        <v/>
      </c>
      <c r="AT133" t="str">
        <f>""</f>
        <v/>
      </c>
      <c r="AU133" t="str">
        <f>""</f>
        <v/>
      </c>
      <c r="AV133" t="str">
        <f>""</f>
        <v/>
      </c>
      <c r="AW133" t="str">
        <f>""</f>
        <v/>
      </c>
      <c r="AX133" t="str">
        <f>"(0.103)"</f>
        <v>(0.103)</v>
      </c>
      <c r="AY133" t="str">
        <f>"(0.103)"</f>
        <v>(0.103)</v>
      </c>
      <c r="AZ133" t="str">
        <f>"(0.0450)"</f>
        <v>(0.0450)</v>
      </c>
      <c r="BA133" t="str">
        <f>""</f>
        <v/>
      </c>
      <c r="BB133" t="str">
        <f>""</f>
        <v/>
      </c>
      <c r="BC133" t="str">
        <f>""</f>
        <v/>
      </c>
      <c r="BD133" t="str">
        <f>""</f>
        <v/>
      </c>
      <c r="BE133" t="str">
        <f>""</f>
        <v/>
      </c>
      <c r="BF133" t="str">
        <f>""</f>
        <v/>
      </c>
      <c r="BG133" t="str">
        <f>""</f>
        <v/>
      </c>
      <c r="BH133" t="str">
        <f>""</f>
        <v/>
      </c>
      <c r="BI133" t="str">
        <f>""</f>
        <v/>
      </c>
      <c r="BJ133" t="str">
        <f>""</f>
        <v/>
      </c>
      <c r="BK133" t="str">
        <f>""</f>
        <v/>
      </c>
      <c r="BL133" t="str">
        <f>""</f>
        <v/>
      </c>
      <c r="BM133" t="str">
        <f>""</f>
        <v/>
      </c>
      <c r="BN133" t="str">
        <f>""</f>
        <v/>
      </c>
      <c r="BO133" t="str">
        <f>""</f>
        <v/>
      </c>
      <c r="BP133" t="str">
        <f>""</f>
        <v/>
      </c>
      <c r="BQ133" t="str">
        <f>""</f>
        <v/>
      </c>
      <c r="BR133" t="str">
        <f>""</f>
        <v/>
      </c>
      <c r="BS133" t="str">
        <f>""</f>
        <v/>
      </c>
      <c r="BT133" t="str">
        <f>""</f>
        <v/>
      </c>
      <c r="BU133" t="str">
        <f>""</f>
        <v/>
      </c>
      <c r="BV133" t="str">
        <f>""</f>
        <v/>
      </c>
      <c r="BW133" t="str">
        <f>""</f>
        <v/>
      </c>
      <c r="BX133" t="str">
        <f>""</f>
        <v/>
      </c>
      <c r="BY133" t="str">
        <f>""</f>
        <v/>
      </c>
      <c r="BZ133" t="str">
        <f>""</f>
        <v/>
      </c>
      <c r="CA133" t="str">
        <f>""</f>
        <v/>
      </c>
      <c r="CB133" t="str">
        <f>""</f>
        <v/>
      </c>
      <c r="CC133" t="str">
        <f>""</f>
        <v/>
      </c>
      <c r="CD133" t="str">
        <f>""</f>
        <v/>
      </c>
      <c r="CE133" t="str">
        <f>""</f>
        <v/>
      </c>
      <c r="CF133" t="str">
        <f>""</f>
        <v/>
      </c>
      <c r="CG133" t="str">
        <f>""</f>
        <v/>
      </c>
      <c r="CH133" t="str">
        <f>""</f>
        <v/>
      </c>
      <c r="CI133" t="str">
        <f>""</f>
        <v/>
      </c>
      <c r="CJ133" t="str">
        <f>""</f>
        <v/>
      </c>
      <c r="CK133" t="str">
        <f>""</f>
        <v/>
      </c>
      <c r="CL133" t="str">
        <f>""</f>
        <v/>
      </c>
      <c r="CM133" t="str">
        <f>""</f>
        <v/>
      </c>
    </row>
    <row r="135" spans="1:91" x14ac:dyDescent="0.3">
      <c r="A135" t="str">
        <f>"c.zMETAB3#c.gfapbr"</f>
        <v>c.zMETAB3#c.gfapbr</v>
      </c>
      <c r="B135" t="str">
        <f>""</f>
        <v/>
      </c>
      <c r="C135" t="str">
        <f>""</f>
        <v/>
      </c>
      <c r="D135" t="str">
        <f>""</f>
        <v/>
      </c>
      <c r="E135" t="str">
        <f>""</f>
        <v/>
      </c>
      <c r="F135" t="str">
        <f>""</f>
        <v/>
      </c>
      <c r="G135" t="str">
        <f>""</f>
        <v/>
      </c>
      <c r="H135" t="str">
        <f>""</f>
        <v/>
      </c>
      <c r="I135" t="str">
        <f>""</f>
        <v/>
      </c>
      <c r="J135" t="str">
        <f>""</f>
        <v/>
      </c>
      <c r="K135" t="str">
        <f>""</f>
        <v/>
      </c>
      <c r="L135" t="str">
        <f>""</f>
        <v/>
      </c>
      <c r="M135" t="str">
        <f>""</f>
        <v/>
      </c>
      <c r="N135" t="str">
        <f>""</f>
        <v/>
      </c>
      <c r="O135" t="str">
        <f>""</f>
        <v/>
      </c>
      <c r="P135" t="str">
        <f>""</f>
        <v/>
      </c>
      <c r="Q135" t="str">
        <f>""</f>
        <v/>
      </c>
      <c r="R135" t="str">
        <f>""</f>
        <v/>
      </c>
      <c r="S135" t="str">
        <f>""</f>
        <v/>
      </c>
      <c r="T135" t="str">
        <f>""</f>
        <v/>
      </c>
      <c r="U135" t="str">
        <f>""</f>
        <v/>
      </c>
      <c r="V135" t="str">
        <f>""</f>
        <v/>
      </c>
      <c r="W135" t="str">
        <f>""</f>
        <v/>
      </c>
      <c r="X135" t="str">
        <f>""</f>
        <v/>
      </c>
      <c r="Y135" t="str">
        <f>""</f>
        <v/>
      </c>
      <c r="Z135" t="str">
        <f>""</f>
        <v/>
      </c>
      <c r="AA135" t="str">
        <f>""</f>
        <v/>
      </c>
      <c r="AB135" t="str">
        <f>""</f>
        <v/>
      </c>
      <c r="AC135" t="str">
        <f>""</f>
        <v/>
      </c>
      <c r="AD135" t="str">
        <f>""</f>
        <v/>
      </c>
      <c r="AE135" t="str">
        <f>""</f>
        <v/>
      </c>
      <c r="AF135" t="str">
        <f>""</f>
        <v/>
      </c>
      <c r="AG135" t="str">
        <f>""</f>
        <v/>
      </c>
      <c r="AH135" t="str">
        <f>""</f>
        <v/>
      </c>
      <c r="AI135" t="str">
        <f>""</f>
        <v/>
      </c>
      <c r="AJ135" t="str">
        <f>""</f>
        <v/>
      </c>
      <c r="AK135" t="str">
        <f>""</f>
        <v/>
      </c>
      <c r="AL135" t="str">
        <f>""</f>
        <v/>
      </c>
      <c r="AM135" t="str">
        <f>""</f>
        <v/>
      </c>
      <c r="AN135" t="str">
        <f>""</f>
        <v/>
      </c>
      <c r="AO135" t="str">
        <f>""</f>
        <v/>
      </c>
      <c r="AP135" t="str">
        <f>""</f>
        <v/>
      </c>
      <c r="AQ135" t="str">
        <f>""</f>
        <v/>
      </c>
      <c r="AR135" t="str">
        <f>""</f>
        <v/>
      </c>
      <c r="AS135" t="str">
        <f>""</f>
        <v/>
      </c>
      <c r="AT135" t="str">
        <f>""</f>
        <v/>
      </c>
      <c r="AU135" t="str">
        <f>""</f>
        <v/>
      </c>
      <c r="AV135" t="str">
        <f>""</f>
        <v/>
      </c>
      <c r="AW135" t="str">
        <f>""</f>
        <v/>
      </c>
      <c r="AX135" t="str">
        <f>""</f>
        <v/>
      </c>
      <c r="AY135" t="str">
        <f>""</f>
        <v/>
      </c>
      <c r="AZ135" t="str">
        <f>""</f>
        <v/>
      </c>
      <c r="BA135" t="str">
        <f>"-0.160"</f>
        <v>-0.160</v>
      </c>
      <c r="BB135" t="str">
        <f>"-0.295**"</f>
        <v>-0.295**</v>
      </c>
      <c r="BC135" t="str">
        <f>"0.0354"</f>
        <v>0.0354</v>
      </c>
      <c r="BD135" t="str">
        <f>""</f>
        <v/>
      </c>
      <c r="BE135" t="str">
        <f>""</f>
        <v/>
      </c>
      <c r="BF135" t="str">
        <f>""</f>
        <v/>
      </c>
      <c r="BG135" t="str">
        <f>""</f>
        <v/>
      </c>
      <c r="BH135" t="str">
        <f>""</f>
        <v/>
      </c>
      <c r="BI135" t="str">
        <f>""</f>
        <v/>
      </c>
      <c r="BJ135" t="str">
        <f>""</f>
        <v/>
      </c>
      <c r="BK135" t="str">
        <f>""</f>
        <v/>
      </c>
      <c r="BL135" t="str">
        <f>""</f>
        <v/>
      </c>
      <c r="BM135" t="str">
        <f>""</f>
        <v/>
      </c>
      <c r="BN135" t="str">
        <f>""</f>
        <v/>
      </c>
      <c r="BO135" t="str">
        <f>""</f>
        <v/>
      </c>
      <c r="BP135" t="str">
        <f>""</f>
        <v/>
      </c>
      <c r="BQ135" t="str">
        <f>""</f>
        <v/>
      </c>
      <c r="BR135" t="str">
        <f>""</f>
        <v/>
      </c>
      <c r="BS135" t="str">
        <f>""</f>
        <v/>
      </c>
      <c r="BT135" t="str">
        <f>""</f>
        <v/>
      </c>
      <c r="BU135" t="str">
        <f>""</f>
        <v/>
      </c>
      <c r="BV135" t="str">
        <f>""</f>
        <v/>
      </c>
      <c r="BW135" t="str">
        <f>""</f>
        <v/>
      </c>
      <c r="BX135" t="str">
        <f>""</f>
        <v/>
      </c>
      <c r="BY135" t="str">
        <f>""</f>
        <v/>
      </c>
      <c r="BZ135" t="str">
        <f>""</f>
        <v/>
      </c>
      <c r="CA135" t="str">
        <f>""</f>
        <v/>
      </c>
      <c r="CB135" t="str">
        <f>""</f>
        <v/>
      </c>
      <c r="CC135" t="str">
        <f>""</f>
        <v/>
      </c>
      <c r="CD135" t="str">
        <f>""</f>
        <v/>
      </c>
      <c r="CE135" t="str">
        <f>""</f>
        <v/>
      </c>
      <c r="CF135" t="str">
        <f>""</f>
        <v/>
      </c>
      <c r="CG135" t="str">
        <f>""</f>
        <v/>
      </c>
      <c r="CH135" t="str">
        <f>""</f>
        <v/>
      </c>
      <c r="CI135" t="str">
        <f>""</f>
        <v/>
      </c>
      <c r="CJ135" t="str">
        <f>""</f>
        <v/>
      </c>
      <c r="CK135" t="str">
        <f>""</f>
        <v/>
      </c>
      <c r="CL135" t="str">
        <f>""</f>
        <v/>
      </c>
      <c r="CM135" t="str">
        <f>""</f>
        <v/>
      </c>
    </row>
    <row r="136" spans="1:91" x14ac:dyDescent="0.3">
      <c r="A136" t="str">
        <f>""</f>
        <v/>
      </c>
      <c r="B136" t="str">
        <f>""</f>
        <v/>
      </c>
      <c r="C136" t="str">
        <f>""</f>
        <v/>
      </c>
      <c r="D136" t="str">
        <f>""</f>
        <v/>
      </c>
      <c r="E136" t="str">
        <f>""</f>
        <v/>
      </c>
      <c r="F136" t="str">
        <f>""</f>
        <v/>
      </c>
      <c r="G136" t="str">
        <f>""</f>
        <v/>
      </c>
      <c r="H136" t="str">
        <f>""</f>
        <v/>
      </c>
      <c r="I136" t="str">
        <f>""</f>
        <v/>
      </c>
      <c r="J136" t="str">
        <f>""</f>
        <v/>
      </c>
      <c r="K136" t="str">
        <f>""</f>
        <v/>
      </c>
      <c r="L136" t="str">
        <f>""</f>
        <v/>
      </c>
      <c r="M136" t="str">
        <f>""</f>
        <v/>
      </c>
      <c r="N136" t="str">
        <f>""</f>
        <v/>
      </c>
      <c r="O136" t="str">
        <f>""</f>
        <v/>
      </c>
      <c r="P136" t="str">
        <f>""</f>
        <v/>
      </c>
      <c r="Q136" t="str">
        <f>""</f>
        <v/>
      </c>
      <c r="R136" t="str">
        <f>""</f>
        <v/>
      </c>
      <c r="S136" t="str">
        <f>""</f>
        <v/>
      </c>
      <c r="T136" t="str">
        <f>""</f>
        <v/>
      </c>
      <c r="U136" t="str">
        <f>""</f>
        <v/>
      </c>
      <c r="V136" t="str">
        <f>""</f>
        <v/>
      </c>
      <c r="W136" t="str">
        <f>""</f>
        <v/>
      </c>
      <c r="X136" t="str">
        <f>""</f>
        <v/>
      </c>
      <c r="Y136" t="str">
        <f>""</f>
        <v/>
      </c>
      <c r="Z136" t="str">
        <f>""</f>
        <v/>
      </c>
      <c r="AA136" t="str">
        <f>""</f>
        <v/>
      </c>
      <c r="AB136" t="str">
        <f>""</f>
        <v/>
      </c>
      <c r="AC136" t="str">
        <f>""</f>
        <v/>
      </c>
      <c r="AD136" t="str">
        <f>""</f>
        <v/>
      </c>
      <c r="AE136" t="str">
        <f>""</f>
        <v/>
      </c>
      <c r="AF136" t="str">
        <f>""</f>
        <v/>
      </c>
      <c r="AG136" t="str">
        <f>""</f>
        <v/>
      </c>
      <c r="AH136" t="str">
        <f>""</f>
        <v/>
      </c>
      <c r="AI136" t="str">
        <f>""</f>
        <v/>
      </c>
      <c r="AJ136" t="str">
        <f>""</f>
        <v/>
      </c>
      <c r="AK136" t="str">
        <f>""</f>
        <v/>
      </c>
      <c r="AL136" t="str">
        <f>""</f>
        <v/>
      </c>
      <c r="AM136" t="str">
        <f>""</f>
        <v/>
      </c>
      <c r="AN136" t="str">
        <f>""</f>
        <v/>
      </c>
      <c r="AO136" t="str">
        <f>""</f>
        <v/>
      </c>
      <c r="AP136" t="str">
        <f>""</f>
        <v/>
      </c>
      <c r="AQ136" t="str">
        <f>""</f>
        <v/>
      </c>
      <c r="AR136" t="str">
        <f>""</f>
        <v/>
      </c>
      <c r="AS136" t="str">
        <f>""</f>
        <v/>
      </c>
      <c r="AT136" t="str">
        <f>""</f>
        <v/>
      </c>
      <c r="AU136" t="str">
        <f>""</f>
        <v/>
      </c>
      <c r="AV136" t="str">
        <f>""</f>
        <v/>
      </c>
      <c r="AW136" t="str">
        <f>""</f>
        <v/>
      </c>
      <c r="AX136" t="str">
        <f>""</f>
        <v/>
      </c>
      <c r="AY136" t="str">
        <f>""</f>
        <v/>
      </c>
      <c r="AZ136" t="str">
        <f>""</f>
        <v/>
      </c>
      <c r="BA136" t="str">
        <f>"(0.107)"</f>
        <v>(0.107)</v>
      </c>
      <c r="BB136" t="str">
        <f>"(0.0954)"</f>
        <v>(0.0954)</v>
      </c>
      <c r="BC136" t="str">
        <f>"(0.0414)"</f>
        <v>(0.0414)</v>
      </c>
      <c r="BD136" t="str">
        <f>""</f>
        <v/>
      </c>
      <c r="BE136" t="str">
        <f>""</f>
        <v/>
      </c>
      <c r="BF136" t="str">
        <f>""</f>
        <v/>
      </c>
      <c r="BG136" t="str">
        <f>""</f>
        <v/>
      </c>
      <c r="BH136" t="str">
        <f>""</f>
        <v/>
      </c>
      <c r="BI136" t="str">
        <f>""</f>
        <v/>
      </c>
      <c r="BJ136" t="str">
        <f>""</f>
        <v/>
      </c>
      <c r="BK136" t="str">
        <f>""</f>
        <v/>
      </c>
      <c r="BL136" t="str">
        <f>""</f>
        <v/>
      </c>
      <c r="BM136" t="str">
        <f>""</f>
        <v/>
      </c>
      <c r="BN136" t="str">
        <f>""</f>
        <v/>
      </c>
      <c r="BO136" t="str">
        <f>""</f>
        <v/>
      </c>
      <c r="BP136" t="str">
        <f>""</f>
        <v/>
      </c>
      <c r="BQ136" t="str">
        <f>""</f>
        <v/>
      </c>
      <c r="BR136" t="str">
        <f>""</f>
        <v/>
      </c>
      <c r="BS136" t="str">
        <f>""</f>
        <v/>
      </c>
      <c r="BT136" t="str">
        <f>""</f>
        <v/>
      </c>
      <c r="BU136" t="str">
        <f>""</f>
        <v/>
      </c>
      <c r="BV136" t="str">
        <f>""</f>
        <v/>
      </c>
      <c r="BW136" t="str">
        <f>""</f>
        <v/>
      </c>
      <c r="BX136" t="str">
        <f>""</f>
        <v/>
      </c>
      <c r="BY136" t="str">
        <f>""</f>
        <v/>
      </c>
      <c r="BZ136" t="str">
        <f>""</f>
        <v/>
      </c>
      <c r="CA136" t="str">
        <f>""</f>
        <v/>
      </c>
      <c r="CB136" t="str">
        <f>""</f>
        <v/>
      </c>
      <c r="CC136" t="str">
        <f>""</f>
        <v/>
      </c>
      <c r="CD136" t="str">
        <f>""</f>
        <v/>
      </c>
      <c r="CE136" t="str">
        <f>""</f>
        <v/>
      </c>
      <c r="CF136" t="str">
        <f>""</f>
        <v/>
      </c>
      <c r="CG136" t="str">
        <f>""</f>
        <v/>
      </c>
      <c r="CH136" t="str">
        <f>""</f>
        <v/>
      </c>
      <c r="CI136" t="str">
        <f>""</f>
        <v/>
      </c>
      <c r="CJ136" t="str">
        <f>""</f>
        <v/>
      </c>
      <c r="CK136" t="str">
        <f>""</f>
        <v/>
      </c>
      <c r="CL136" t="str">
        <f>""</f>
        <v/>
      </c>
      <c r="CM136" t="str">
        <f>""</f>
        <v/>
      </c>
    </row>
    <row r="138" spans="1:91" x14ac:dyDescent="0.3">
      <c r="A138" t="str">
        <f>"c.zMETAB4#c.gfapbr"</f>
        <v>c.zMETAB4#c.gfapbr</v>
      </c>
      <c r="B138" t="str">
        <f>""</f>
        <v/>
      </c>
      <c r="C138" t="str">
        <f>""</f>
        <v/>
      </c>
      <c r="D138" t="str">
        <f>""</f>
        <v/>
      </c>
      <c r="E138" t="str">
        <f>""</f>
        <v/>
      </c>
      <c r="F138" t="str">
        <f>""</f>
        <v/>
      </c>
      <c r="G138" t="str">
        <f>""</f>
        <v/>
      </c>
      <c r="H138" t="str">
        <f>""</f>
        <v/>
      </c>
      <c r="I138" t="str">
        <f>""</f>
        <v/>
      </c>
      <c r="J138" t="str">
        <f>""</f>
        <v/>
      </c>
      <c r="K138" t="str">
        <f>""</f>
        <v/>
      </c>
      <c r="L138" t="str">
        <f>""</f>
        <v/>
      </c>
      <c r="M138" t="str">
        <f>""</f>
        <v/>
      </c>
      <c r="N138" t="str">
        <f>""</f>
        <v/>
      </c>
      <c r="O138" t="str">
        <f>""</f>
        <v/>
      </c>
      <c r="P138" t="str">
        <f>""</f>
        <v/>
      </c>
      <c r="Q138" t="str">
        <f>""</f>
        <v/>
      </c>
      <c r="R138" t="str">
        <f>""</f>
        <v/>
      </c>
      <c r="S138" t="str">
        <f>""</f>
        <v/>
      </c>
      <c r="T138" t="str">
        <f>""</f>
        <v/>
      </c>
      <c r="U138" t="str">
        <f>""</f>
        <v/>
      </c>
      <c r="V138" t="str">
        <f>""</f>
        <v/>
      </c>
      <c r="W138" t="str">
        <f>""</f>
        <v/>
      </c>
      <c r="X138" t="str">
        <f>""</f>
        <v/>
      </c>
      <c r="Y138" t="str">
        <f>""</f>
        <v/>
      </c>
      <c r="Z138" t="str">
        <f>""</f>
        <v/>
      </c>
      <c r="AA138" t="str">
        <f>""</f>
        <v/>
      </c>
      <c r="AB138" t="str">
        <f>""</f>
        <v/>
      </c>
      <c r="AC138" t="str">
        <f>""</f>
        <v/>
      </c>
      <c r="AD138" t="str">
        <f>""</f>
        <v/>
      </c>
      <c r="AE138" t="str">
        <f>""</f>
        <v/>
      </c>
      <c r="AF138" t="str">
        <f>""</f>
        <v/>
      </c>
      <c r="AG138" t="str">
        <f>""</f>
        <v/>
      </c>
      <c r="AH138" t="str">
        <f>""</f>
        <v/>
      </c>
      <c r="AI138" t="str">
        <f>""</f>
        <v/>
      </c>
      <c r="AJ138" t="str">
        <f>""</f>
        <v/>
      </c>
      <c r="AK138" t="str">
        <f>""</f>
        <v/>
      </c>
      <c r="AL138" t="str">
        <f>""</f>
        <v/>
      </c>
      <c r="AM138" t="str">
        <f>""</f>
        <v/>
      </c>
      <c r="AN138" t="str">
        <f>""</f>
        <v/>
      </c>
      <c r="AO138" t="str">
        <f>""</f>
        <v/>
      </c>
      <c r="AP138" t="str">
        <f>""</f>
        <v/>
      </c>
      <c r="AQ138" t="str">
        <f>""</f>
        <v/>
      </c>
      <c r="AR138" t="str">
        <f>""</f>
        <v/>
      </c>
      <c r="AS138" t="str">
        <f>""</f>
        <v/>
      </c>
      <c r="AT138" t="str">
        <f>""</f>
        <v/>
      </c>
      <c r="AU138" t="str">
        <f>""</f>
        <v/>
      </c>
      <c r="AV138" t="str">
        <f>""</f>
        <v/>
      </c>
      <c r="AW138" t="str">
        <f>""</f>
        <v/>
      </c>
      <c r="AX138" t="str">
        <f>""</f>
        <v/>
      </c>
      <c r="AY138" t="str">
        <f>""</f>
        <v/>
      </c>
      <c r="AZ138" t="str">
        <f>""</f>
        <v/>
      </c>
      <c r="BA138" t="str">
        <f>""</f>
        <v/>
      </c>
      <c r="BB138" t="str">
        <f>""</f>
        <v/>
      </c>
      <c r="BC138" t="str">
        <f>""</f>
        <v/>
      </c>
      <c r="BD138" t="str">
        <f>"0.0848"</f>
        <v>0.0848</v>
      </c>
      <c r="BE138" t="str">
        <f>"0.144"</f>
        <v>0.144</v>
      </c>
      <c r="BF138" t="str">
        <f>"0.0311"</f>
        <v>0.0311</v>
      </c>
      <c r="BG138" t="str">
        <f>""</f>
        <v/>
      </c>
      <c r="BH138" t="str">
        <f>""</f>
        <v/>
      </c>
      <c r="BI138" t="str">
        <f>""</f>
        <v/>
      </c>
      <c r="BJ138" t="str">
        <f>""</f>
        <v/>
      </c>
      <c r="BK138" t="str">
        <f>""</f>
        <v/>
      </c>
      <c r="BL138" t="str">
        <f>""</f>
        <v/>
      </c>
      <c r="BM138" t="str">
        <f>""</f>
        <v/>
      </c>
      <c r="BN138" t="str">
        <f>""</f>
        <v/>
      </c>
      <c r="BO138" t="str">
        <f>""</f>
        <v/>
      </c>
      <c r="BP138" t="str">
        <f>""</f>
        <v/>
      </c>
      <c r="BQ138" t="str">
        <f>""</f>
        <v/>
      </c>
      <c r="BR138" t="str">
        <f>""</f>
        <v/>
      </c>
      <c r="BS138" t="str">
        <f>""</f>
        <v/>
      </c>
      <c r="BT138" t="str">
        <f>""</f>
        <v/>
      </c>
      <c r="BU138" t="str">
        <f>""</f>
        <v/>
      </c>
      <c r="BV138" t="str">
        <f>""</f>
        <v/>
      </c>
      <c r="BW138" t="str">
        <f>""</f>
        <v/>
      </c>
      <c r="BX138" t="str">
        <f>""</f>
        <v/>
      </c>
      <c r="BY138" t="str">
        <f>""</f>
        <v/>
      </c>
      <c r="BZ138" t="str">
        <f>""</f>
        <v/>
      </c>
      <c r="CA138" t="str">
        <f>""</f>
        <v/>
      </c>
      <c r="CB138" t="str">
        <f>""</f>
        <v/>
      </c>
      <c r="CC138" t="str">
        <f>""</f>
        <v/>
      </c>
      <c r="CD138" t="str">
        <f>""</f>
        <v/>
      </c>
      <c r="CE138" t="str">
        <f>""</f>
        <v/>
      </c>
      <c r="CF138" t="str">
        <f>""</f>
        <v/>
      </c>
      <c r="CG138" t="str">
        <f>""</f>
        <v/>
      </c>
      <c r="CH138" t="str">
        <f>""</f>
        <v/>
      </c>
      <c r="CI138" t="str">
        <f>""</f>
        <v/>
      </c>
      <c r="CJ138" t="str">
        <f>""</f>
        <v/>
      </c>
      <c r="CK138" t="str">
        <f>""</f>
        <v/>
      </c>
      <c r="CL138" t="str">
        <f>""</f>
        <v/>
      </c>
      <c r="CM138" t="str">
        <f>""</f>
        <v/>
      </c>
    </row>
    <row r="139" spans="1:91" x14ac:dyDescent="0.3">
      <c r="A139" t="str">
        <f>""</f>
        <v/>
      </c>
      <c r="B139" t="str">
        <f>""</f>
        <v/>
      </c>
      <c r="C139" t="str">
        <f>""</f>
        <v/>
      </c>
      <c r="D139" t="str">
        <f>""</f>
        <v/>
      </c>
      <c r="E139" t="str">
        <f>""</f>
        <v/>
      </c>
      <c r="F139" t="str">
        <f>""</f>
        <v/>
      </c>
      <c r="G139" t="str">
        <f>""</f>
        <v/>
      </c>
      <c r="H139" t="str">
        <f>""</f>
        <v/>
      </c>
      <c r="I139" t="str">
        <f>""</f>
        <v/>
      </c>
      <c r="J139" t="str">
        <f>""</f>
        <v/>
      </c>
      <c r="K139" t="str">
        <f>""</f>
        <v/>
      </c>
      <c r="L139" t="str">
        <f>""</f>
        <v/>
      </c>
      <c r="M139" t="str">
        <f>""</f>
        <v/>
      </c>
      <c r="N139" t="str">
        <f>""</f>
        <v/>
      </c>
      <c r="O139" t="str">
        <f>""</f>
        <v/>
      </c>
      <c r="P139" t="str">
        <f>""</f>
        <v/>
      </c>
      <c r="Q139" t="str">
        <f>""</f>
        <v/>
      </c>
      <c r="R139" t="str">
        <f>""</f>
        <v/>
      </c>
      <c r="S139" t="str">
        <f>""</f>
        <v/>
      </c>
      <c r="T139" t="str">
        <f>""</f>
        <v/>
      </c>
      <c r="U139" t="str">
        <f>""</f>
        <v/>
      </c>
      <c r="V139" t="str">
        <f>""</f>
        <v/>
      </c>
      <c r="W139" t="str">
        <f>""</f>
        <v/>
      </c>
      <c r="X139" t="str">
        <f>""</f>
        <v/>
      </c>
      <c r="Y139" t="str">
        <f>""</f>
        <v/>
      </c>
      <c r="Z139" t="str">
        <f>""</f>
        <v/>
      </c>
      <c r="AA139" t="str">
        <f>""</f>
        <v/>
      </c>
      <c r="AB139" t="str">
        <f>""</f>
        <v/>
      </c>
      <c r="AC139" t="str">
        <f>""</f>
        <v/>
      </c>
      <c r="AD139" t="str">
        <f>""</f>
        <v/>
      </c>
      <c r="AE139" t="str">
        <f>""</f>
        <v/>
      </c>
      <c r="AF139" t="str">
        <f>""</f>
        <v/>
      </c>
      <c r="AG139" t="str">
        <f>""</f>
        <v/>
      </c>
      <c r="AH139" t="str">
        <f>""</f>
        <v/>
      </c>
      <c r="AI139" t="str">
        <f>""</f>
        <v/>
      </c>
      <c r="AJ139" t="str">
        <f>""</f>
        <v/>
      </c>
      <c r="AK139" t="str">
        <f>""</f>
        <v/>
      </c>
      <c r="AL139" t="str">
        <f>""</f>
        <v/>
      </c>
      <c r="AM139" t="str">
        <f>""</f>
        <v/>
      </c>
      <c r="AN139" t="str">
        <f>""</f>
        <v/>
      </c>
      <c r="AO139" t="str">
        <f>""</f>
        <v/>
      </c>
      <c r="AP139" t="str">
        <f>""</f>
        <v/>
      </c>
      <c r="AQ139" t="str">
        <f>""</f>
        <v/>
      </c>
      <c r="AR139" t="str">
        <f>""</f>
        <v/>
      </c>
      <c r="AS139" t="str">
        <f>""</f>
        <v/>
      </c>
      <c r="AT139" t="str">
        <f>""</f>
        <v/>
      </c>
      <c r="AU139" t="str">
        <f>""</f>
        <v/>
      </c>
      <c r="AV139" t="str">
        <f>""</f>
        <v/>
      </c>
      <c r="AW139" t="str">
        <f>""</f>
        <v/>
      </c>
      <c r="AX139" t="str">
        <f>""</f>
        <v/>
      </c>
      <c r="AY139" t="str">
        <f>""</f>
        <v/>
      </c>
      <c r="AZ139" t="str">
        <f>""</f>
        <v/>
      </c>
      <c r="BA139" t="str">
        <f>""</f>
        <v/>
      </c>
      <c r="BB139" t="str">
        <f>""</f>
        <v/>
      </c>
      <c r="BC139" t="str">
        <f>""</f>
        <v/>
      </c>
      <c r="BD139" t="str">
        <f>"(0.103)"</f>
        <v>(0.103)</v>
      </c>
      <c r="BE139" t="str">
        <f>"(0.0997)"</f>
        <v>(0.0997)</v>
      </c>
      <c r="BF139" t="str">
        <f>"(0.0438)"</f>
        <v>(0.0438)</v>
      </c>
      <c r="BG139" t="str">
        <f>""</f>
        <v/>
      </c>
      <c r="BH139" t="str">
        <f>""</f>
        <v/>
      </c>
      <c r="BI139" t="str">
        <f>""</f>
        <v/>
      </c>
      <c r="BJ139" t="str">
        <f>""</f>
        <v/>
      </c>
      <c r="BK139" t="str">
        <f>""</f>
        <v/>
      </c>
      <c r="BL139" t="str">
        <f>""</f>
        <v/>
      </c>
      <c r="BM139" t="str">
        <f>""</f>
        <v/>
      </c>
      <c r="BN139" t="str">
        <f>""</f>
        <v/>
      </c>
      <c r="BO139" t="str">
        <f>""</f>
        <v/>
      </c>
      <c r="BP139" t="str">
        <f>""</f>
        <v/>
      </c>
      <c r="BQ139" t="str">
        <f>""</f>
        <v/>
      </c>
      <c r="BR139" t="str">
        <f>""</f>
        <v/>
      </c>
      <c r="BS139" t="str">
        <f>""</f>
        <v/>
      </c>
      <c r="BT139" t="str">
        <f>""</f>
        <v/>
      </c>
      <c r="BU139" t="str">
        <f>""</f>
        <v/>
      </c>
      <c r="BV139" t="str">
        <f>""</f>
        <v/>
      </c>
      <c r="BW139" t="str">
        <f>""</f>
        <v/>
      </c>
      <c r="BX139" t="str">
        <f>""</f>
        <v/>
      </c>
      <c r="BY139" t="str">
        <f>""</f>
        <v/>
      </c>
      <c r="BZ139" t="str">
        <f>""</f>
        <v/>
      </c>
      <c r="CA139" t="str">
        <f>""</f>
        <v/>
      </c>
      <c r="CB139" t="str">
        <f>""</f>
        <v/>
      </c>
      <c r="CC139" t="str">
        <f>""</f>
        <v/>
      </c>
      <c r="CD139" t="str">
        <f>""</f>
        <v/>
      </c>
      <c r="CE139" t="str">
        <f>""</f>
        <v/>
      </c>
      <c r="CF139" t="str">
        <f>""</f>
        <v/>
      </c>
      <c r="CG139" t="str">
        <f>""</f>
        <v/>
      </c>
      <c r="CH139" t="str">
        <f>""</f>
        <v/>
      </c>
      <c r="CI139" t="str">
        <f>""</f>
        <v/>
      </c>
      <c r="CJ139" t="str">
        <f>""</f>
        <v/>
      </c>
      <c r="CK139" t="str">
        <f>""</f>
        <v/>
      </c>
      <c r="CL139" t="str">
        <f>""</f>
        <v/>
      </c>
      <c r="CM139" t="str">
        <f>""</f>
        <v/>
      </c>
    </row>
    <row r="141" spans="1:91" x14ac:dyDescent="0.3">
      <c r="A141" t="str">
        <f>"c.zMETAB5#c.gfapbr"</f>
        <v>c.zMETAB5#c.gfapbr</v>
      </c>
      <c r="B141" t="str">
        <f>""</f>
        <v/>
      </c>
      <c r="C141" t="str">
        <f>""</f>
        <v/>
      </c>
      <c r="D141" t="str">
        <f>""</f>
        <v/>
      </c>
      <c r="E141" t="str">
        <f>""</f>
        <v/>
      </c>
      <c r="F141" t="str">
        <f>""</f>
        <v/>
      </c>
      <c r="G141" t="str">
        <f>""</f>
        <v/>
      </c>
      <c r="H141" t="str">
        <f>""</f>
        <v/>
      </c>
      <c r="I141" t="str">
        <f>""</f>
        <v/>
      </c>
      <c r="J141" t="str">
        <f>""</f>
        <v/>
      </c>
      <c r="K141" t="str">
        <f>""</f>
        <v/>
      </c>
      <c r="L141" t="str">
        <f>""</f>
        <v/>
      </c>
      <c r="M141" t="str">
        <f>""</f>
        <v/>
      </c>
      <c r="N141" t="str">
        <f>""</f>
        <v/>
      </c>
      <c r="O141" t="str">
        <f>""</f>
        <v/>
      </c>
      <c r="P141" t="str">
        <f>""</f>
        <v/>
      </c>
      <c r="Q141" t="str">
        <f>""</f>
        <v/>
      </c>
      <c r="R141" t="str">
        <f>""</f>
        <v/>
      </c>
      <c r="S141" t="str">
        <f>""</f>
        <v/>
      </c>
      <c r="T141" t="str">
        <f>""</f>
        <v/>
      </c>
      <c r="U141" t="str">
        <f>""</f>
        <v/>
      </c>
      <c r="V141" t="str">
        <f>""</f>
        <v/>
      </c>
      <c r="W141" t="str">
        <f>""</f>
        <v/>
      </c>
      <c r="X141" t="str">
        <f>""</f>
        <v/>
      </c>
      <c r="Y141" t="str">
        <f>""</f>
        <v/>
      </c>
      <c r="Z141" t="str">
        <f>""</f>
        <v/>
      </c>
      <c r="AA141" t="str">
        <f>""</f>
        <v/>
      </c>
      <c r="AB141" t="str">
        <f>""</f>
        <v/>
      </c>
      <c r="AC141" t="str">
        <f>""</f>
        <v/>
      </c>
      <c r="AD141" t="str">
        <f>""</f>
        <v/>
      </c>
      <c r="AE141" t="str">
        <f>""</f>
        <v/>
      </c>
      <c r="AF141" t="str">
        <f>""</f>
        <v/>
      </c>
      <c r="AG141" t="str">
        <f>""</f>
        <v/>
      </c>
      <c r="AH141" t="str">
        <f>""</f>
        <v/>
      </c>
      <c r="AI141" t="str">
        <f>""</f>
        <v/>
      </c>
      <c r="AJ141" t="str">
        <f>""</f>
        <v/>
      </c>
      <c r="AK141" t="str">
        <f>""</f>
        <v/>
      </c>
      <c r="AL141" t="str">
        <f>""</f>
        <v/>
      </c>
      <c r="AM141" t="str">
        <f>""</f>
        <v/>
      </c>
      <c r="AN141" t="str">
        <f>""</f>
        <v/>
      </c>
      <c r="AO141" t="str">
        <f>""</f>
        <v/>
      </c>
      <c r="AP141" t="str">
        <f>""</f>
        <v/>
      </c>
      <c r="AQ141" t="str">
        <f>""</f>
        <v/>
      </c>
      <c r="AR141" t="str">
        <f>""</f>
        <v/>
      </c>
      <c r="AS141" t="str">
        <f>""</f>
        <v/>
      </c>
      <c r="AT141" t="str">
        <f>""</f>
        <v/>
      </c>
      <c r="AU141" t="str">
        <f>""</f>
        <v/>
      </c>
      <c r="AV141" t="str">
        <f>""</f>
        <v/>
      </c>
      <c r="AW141" t="str">
        <f>""</f>
        <v/>
      </c>
      <c r="AX141" t="str">
        <f>""</f>
        <v/>
      </c>
      <c r="AY141" t="str">
        <f>""</f>
        <v/>
      </c>
      <c r="AZ141" t="str">
        <f>""</f>
        <v/>
      </c>
      <c r="BA141" t="str">
        <f>""</f>
        <v/>
      </c>
      <c r="BB141" t="str">
        <f>""</f>
        <v/>
      </c>
      <c r="BC141" t="str">
        <f>""</f>
        <v/>
      </c>
      <c r="BD141" t="str">
        <f>""</f>
        <v/>
      </c>
      <c r="BE141" t="str">
        <f>""</f>
        <v/>
      </c>
      <c r="BF141" t="str">
        <f>""</f>
        <v/>
      </c>
      <c r="BG141" t="str">
        <f>"0.0788"</f>
        <v>0.0788</v>
      </c>
      <c r="BH141" t="str">
        <f>"0.195*"</f>
        <v>0.195*</v>
      </c>
      <c r="BI141" t="str">
        <f>"-0.0789"</f>
        <v>-0.0789</v>
      </c>
      <c r="BJ141" t="str">
        <f>""</f>
        <v/>
      </c>
      <c r="BK141" t="str">
        <f>""</f>
        <v/>
      </c>
      <c r="BL141" t="str">
        <f>""</f>
        <v/>
      </c>
      <c r="BM141" t="str">
        <f>""</f>
        <v/>
      </c>
      <c r="BN141" t="str">
        <f>""</f>
        <v/>
      </c>
      <c r="BO141" t="str">
        <f>""</f>
        <v/>
      </c>
      <c r="BP141" t="str">
        <f>""</f>
        <v/>
      </c>
      <c r="BQ141" t="str">
        <f>""</f>
        <v/>
      </c>
      <c r="BR141" t="str">
        <f>""</f>
        <v/>
      </c>
      <c r="BS141" t="str">
        <f>""</f>
        <v/>
      </c>
      <c r="BT141" t="str">
        <f>""</f>
        <v/>
      </c>
      <c r="BU141" t="str">
        <f>""</f>
        <v/>
      </c>
      <c r="BV141" t="str">
        <f>""</f>
        <v/>
      </c>
      <c r="BW141" t="str">
        <f>""</f>
        <v/>
      </c>
      <c r="BX141" t="str">
        <f>""</f>
        <v/>
      </c>
      <c r="BY141" t="str">
        <f>""</f>
        <v/>
      </c>
      <c r="BZ141" t="str">
        <f>""</f>
        <v/>
      </c>
      <c r="CA141" t="str">
        <f>""</f>
        <v/>
      </c>
      <c r="CB141" t="str">
        <f>""</f>
        <v/>
      </c>
      <c r="CC141" t="str">
        <f>""</f>
        <v/>
      </c>
      <c r="CD141" t="str">
        <f>""</f>
        <v/>
      </c>
      <c r="CE141" t="str">
        <f>""</f>
        <v/>
      </c>
      <c r="CF141" t="str">
        <f>""</f>
        <v/>
      </c>
      <c r="CG141" t="str">
        <f>""</f>
        <v/>
      </c>
      <c r="CH141" t="str">
        <f>""</f>
        <v/>
      </c>
      <c r="CI141" t="str">
        <f>""</f>
        <v/>
      </c>
      <c r="CJ141" t="str">
        <f>""</f>
        <v/>
      </c>
      <c r="CK141" t="str">
        <f>""</f>
        <v/>
      </c>
      <c r="CL141" t="str">
        <f>""</f>
        <v/>
      </c>
      <c r="CM141" t="str">
        <f>""</f>
        <v/>
      </c>
    </row>
    <row r="142" spans="1:91" x14ac:dyDescent="0.3">
      <c r="A142" t="str">
        <f>""</f>
        <v/>
      </c>
      <c r="B142" t="str">
        <f>""</f>
        <v/>
      </c>
      <c r="C142" t="str">
        <f>""</f>
        <v/>
      </c>
      <c r="D142" t="str">
        <f>""</f>
        <v/>
      </c>
      <c r="E142" t="str">
        <f>""</f>
        <v/>
      </c>
      <c r="F142" t="str">
        <f>""</f>
        <v/>
      </c>
      <c r="G142" t="str">
        <f>""</f>
        <v/>
      </c>
      <c r="H142" t="str">
        <f>""</f>
        <v/>
      </c>
      <c r="I142" t="str">
        <f>""</f>
        <v/>
      </c>
      <c r="J142" t="str">
        <f>""</f>
        <v/>
      </c>
      <c r="K142" t="str">
        <f>""</f>
        <v/>
      </c>
      <c r="L142" t="str">
        <f>""</f>
        <v/>
      </c>
      <c r="M142" t="str">
        <f>""</f>
        <v/>
      </c>
      <c r="N142" t="str">
        <f>""</f>
        <v/>
      </c>
      <c r="O142" t="str">
        <f>""</f>
        <v/>
      </c>
      <c r="P142" t="str">
        <f>""</f>
        <v/>
      </c>
      <c r="Q142" t="str">
        <f>""</f>
        <v/>
      </c>
      <c r="R142" t="str">
        <f>""</f>
        <v/>
      </c>
      <c r="S142" t="str">
        <f>""</f>
        <v/>
      </c>
      <c r="T142" t="str">
        <f>""</f>
        <v/>
      </c>
      <c r="U142" t="str">
        <f>""</f>
        <v/>
      </c>
      <c r="V142" t="str">
        <f>""</f>
        <v/>
      </c>
      <c r="W142" t="str">
        <f>""</f>
        <v/>
      </c>
      <c r="X142" t="str">
        <f>""</f>
        <v/>
      </c>
      <c r="Y142" t="str">
        <f>""</f>
        <v/>
      </c>
      <c r="Z142" t="str">
        <f>""</f>
        <v/>
      </c>
      <c r="AA142" t="str">
        <f>""</f>
        <v/>
      </c>
      <c r="AB142" t="str">
        <f>""</f>
        <v/>
      </c>
      <c r="AC142" t="str">
        <f>""</f>
        <v/>
      </c>
      <c r="AD142" t="str">
        <f>""</f>
        <v/>
      </c>
      <c r="AE142" t="str">
        <f>""</f>
        <v/>
      </c>
      <c r="AF142" t="str">
        <f>""</f>
        <v/>
      </c>
      <c r="AG142" t="str">
        <f>""</f>
        <v/>
      </c>
      <c r="AH142" t="str">
        <f>""</f>
        <v/>
      </c>
      <c r="AI142" t="str">
        <f>""</f>
        <v/>
      </c>
      <c r="AJ142" t="str">
        <f>""</f>
        <v/>
      </c>
      <c r="AK142" t="str">
        <f>""</f>
        <v/>
      </c>
      <c r="AL142" t="str">
        <f>""</f>
        <v/>
      </c>
      <c r="AM142" t="str">
        <f>""</f>
        <v/>
      </c>
      <c r="AN142" t="str">
        <f>""</f>
        <v/>
      </c>
      <c r="AO142" t="str">
        <f>""</f>
        <v/>
      </c>
      <c r="AP142" t="str">
        <f>""</f>
        <v/>
      </c>
      <c r="AQ142" t="str">
        <f>""</f>
        <v/>
      </c>
      <c r="AR142" t="str">
        <f>""</f>
        <v/>
      </c>
      <c r="AS142" t="str">
        <f>""</f>
        <v/>
      </c>
      <c r="AT142" t="str">
        <f>""</f>
        <v/>
      </c>
      <c r="AU142" t="str">
        <f>""</f>
        <v/>
      </c>
      <c r="AV142" t="str">
        <f>""</f>
        <v/>
      </c>
      <c r="AW142" t="str">
        <f>""</f>
        <v/>
      </c>
      <c r="AX142" t="str">
        <f>""</f>
        <v/>
      </c>
      <c r="AY142" t="str">
        <f>""</f>
        <v/>
      </c>
      <c r="AZ142" t="str">
        <f>""</f>
        <v/>
      </c>
      <c r="BA142" t="str">
        <f>""</f>
        <v/>
      </c>
      <c r="BB142" t="str">
        <f>""</f>
        <v/>
      </c>
      <c r="BC142" t="str">
        <f>""</f>
        <v/>
      </c>
      <c r="BD142" t="str">
        <f>""</f>
        <v/>
      </c>
      <c r="BE142" t="str">
        <f>""</f>
        <v/>
      </c>
      <c r="BF142" t="str">
        <f>""</f>
        <v/>
      </c>
      <c r="BG142" t="str">
        <f>"(0.103)"</f>
        <v>(0.103)</v>
      </c>
      <c r="BH142" t="str">
        <f>"(0.0962)"</f>
        <v>(0.0962)</v>
      </c>
      <c r="BI142" t="str">
        <f>"(0.0412)"</f>
        <v>(0.0412)</v>
      </c>
      <c r="BJ142" t="str">
        <f>""</f>
        <v/>
      </c>
      <c r="BK142" t="str">
        <f>""</f>
        <v/>
      </c>
      <c r="BL142" t="str">
        <f>""</f>
        <v/>
      </c>
      <c r="BM142" t="str">
        <f>""</f>
        <v/>
      </c>
      <c r="BN142" t="str">
        <f>""</f>
        <v/>
      </c>
      <c r="BO142" t="str">
        <f>""</f>
        <v/>
      </c>
      <c r="BP142" t="str">
        <f>""</f>
        <v/>
      </c>
      <c r="BQ142" t="str">
        <f>""</f>
        <v/>
      </c>
      <c r="BR142" t="str">
        <f>""</f>
        <v/>
      </c>
      <c r="BS142" t="str">
        <f>""</f>
        <v/>
      </c>
      <c r="BT142" t="str">
        <f>""</f>
        <v/>
      </c>
      <c r="BU142" t="str">
        <f>""</f>
        <v/>
      </c>
      <c r="BV142" t="str">
        <f>""</f>
        <v/>
      </c>
      <c r="BW142" t="str">
        <f>""</f>
        <v/>
      </c>
      <c r="BX142" t="str">
        <f>""</f>
        <v/>
      </c>
      <c r="BY142" t="str">
        <f>""</f>
        <v/>
      </c>
      <c r="BZ142" t="str">
        <f>""</f>
        <v/>
      </c>
      <c r="CA142" t="str">
        <f>""</f>
        <v/>
      </c>
      <c r="CB142" t="str">
        <f>""</f>
        <v/>
      </c>
      <c r="CC142" t="str">
        <f>""</f>
        <v/>
      </c>
      <c r="CD142" t="str">
        <f>""</f>
        <v/>
      </c>
      <c r="CE142" t="str">
        <f>""</f>
        <v/>
      </c>
      <c r="CF142" t="str">
        <f>""</f>
        <v/>
      </c>
      <c r="CG142" t="str">
        <f>""</f>
        <v/>
      </c>
      <c r="CH142" t="str">
        <f>""</f>
        <v/>
      </c>
      <c r="CI142" t="str">
        <f>""</f>
        <v/>
      </c>
      <c r="CJ142" t="str">
        <f>""</f>
        <v/>
      </c>
      <c r="CK142" t="str">
        <f>""</f>
        <v/>
      </c>
      <c r="CL142" t="str">
        <f>""</f>
        <v/>
      </c>
      <c r="CM142" t="str">
        <f>""</f>
        <v/>
      </c>
    </row>
    <row r="144" spans="1:91" x14ac:dyDescent="0.3">
      <c r="A144" t="str">
        <f>"c.zMETAB6#c.gfapbr"</f>
        <v>c.zMETAB6#c.gfapbr</v>
      </c>
      <c r="B144" t="str">
        <f>""</f>
        <v/>
      </c>
      <c r="C144" t="str">
        <f>""</f>
        <v/>
      </c>
      <c r="D144" t="str">
        <f>""</f>
        <v/>
      </c>
      <c r="E144" t="str">
        <f>""</f>
        <v/>
      </c>
      <c r="F144" t="str">
        <f>""</f>
        <v/>
      </c>
      <c r="G144" t="str">
        <f>""</f>
        <v/>
      </c>
      <c r="H144" t="str">
        <f>""</f>
        <v/>
      </c>
      <c r="I144" t="str">
        <f>""</f>
        <v/>
      </c>
      <c r="J144" t="str">
        <f>""</f>
        <v/>
      </c>
      <c r="K144" t="str">
        <f>""</f>
        <v/>
      </c>
      <c r="L144" t="str">
        <f>""</f>
        <v/>
      </c>
      <c r="M144" t="str">
        <f>""</f>
        <v/>
      </c>
      <c r="N144" t="str">
        <f>""</f>
        <v/>
      </c>
      <c r="O144" t="str">
        <f>""</f>
        <v/>
      </c>
      <c r="P144" t="str">
        <f>""</f>
        <v/>
      </c>
      <c r="Q144" t="str">
        <f>""</f>
        <v/>
      </c>
      <c r="R144" t="str">
        <f>""</f>
        <v/>
      </c>
      <c r="S144" t="str">
        <f>""</f>
        <v/>
      </c>
      <c r="T144" t="str">
        <f>""</f>
        <v/>
      </c>
      <c r="U144" t="str">
        <f>""</f>
        <v/>
      </c>
      <c r="V144" t="str">
        <f>""</f>
        <v/>
      </c>
      <c r="W144" t="str">
        <f>""</f>
        <v/>
      </c>
      <c r="X144" t="str">
        <f>""</f>
        <v/>
      </c>
      <c r="Y144" t="str">
        <f>""</f>
        <v/>
      </c>
      <c r="Z144" t="str">
        <f>""</f>
        <v/>
      </c>
      <c r="AA144" t="str">
        <f>""</f>
        <v/>
      </c>
      <c r="AB144" t="str">
        <f>""</f>
        <v/>
      </c>
      <c r="AC144" t="str">
        <f>""</f>
        <v/>
      </c>
      <c r="AD144" t="str">
        <f>""</f>
        <v/>
      </c>
      <c r="AE144" t="str">
        <f>""</f>
        <v/>
      </c>
      <c r="AF144" t="str">
        <f>""</f>
        <v/>
      </c>
      <c r="AG144" t="str">
        <f>""</f>
        <v/>
      </c>
      <c r="AH144" t="str">
        <f>""</f>
        <v/>
      </c>
      <c r="AI144" t="str">
        <f>""</f>
        <v/>
      </c>
      <c r="AJ144" t="str">
        <f>""</f>
        <v/>
      </c>
      <c r="AK144" t="str">
        <f>""</f>
        <v/>
      </c>
      <c r="AL144" t="str">
        <f>""</f>
        <v/>
      </c>
      <c r="AM144" t="str">
        <f>""</f>
        <v/>
      </c>
      <c r="AN144" t="str">
        <f>""</f>
        <v/>
      </c>
      <c r="AO144" t="str">
        <f>""</f>
        <v/>
      </c>
      <c r="AP144" t="str">
        <f>""</f>
        <v/>
      </c>
      <c r="AQ144" t="str">
        <f>""</f>
        <v/>
      </c>
      <c r="AR144" t="str">
        <f>""</f>
        <v/>
      </c>
      <c r="AS144" t="str">
        <f>""</f>
        <v/>
      </c>
      <c r="AT144" t="str">
        <f>""</f>
        <v/>
      </c>
      <c r="AU144" t="str">
        <f>""</f>
        <v/>
      </c>
      <c r="AV144" t="str">
        <f>""</f>
        <v/>
      </c>
      <c r="AW144" t="str">
        <f>""</f>
        <v/>
      </c>
      <c r="AX144" t="str">
        <f>""</f>
        <v/>
      </c>
      <c r="AY144" t="str">
        <f>""</f>
        <v/>
      </c>
      <c r="AZ144" t="str">
        <f>""</f>
        <v/>
      </c>
      <c r="BA144" t="str">
        <f>""</f>
        <v/>
      </c>
      <c r="BB144" t="str">
        <f>""</f>
        <v/>
      </c>
      <c r="BC144" t="str">
        <f>""</f>
        <v/>
      </c>
      <c r="BD144" t="str">
        <f>""</f>
        <v/>
      </c>
      <c r="BE144" t="str">
        <f>""</f>
        <v/>
      </c>
      <c r="BF144" t="str">
        <f>""</f>
        <v/>
      </c>
      <c r="BG144" t="str">
        <f>""</f>
        <v/>
      </c>
      <c r="BH144" t="str">
        <f>""</f>
        <v/>
      </c>
      <c r="BI144" t="str">
        <f>""</f>
        <v/>
      </c>
      <c r="BJ144" t="str">
        <f>"-0.0938"</f>
        <v>-0.0938</v>
      </c>
      <c r="BK144" t="str">
        <f>"0.259**"</f>
        <v>0.259**</v>
      </c>
      <c r="BL144" t="str">
        <f>"-0.0683"</f>
        <v>-0.0683</v>
      </c>
      <c r="BM144" t="str">
        <f>""</f>
        <v/>
      </c>
      <c r="BN144" t="str">
        <f>""</f>
        <v/>
      </c>
      <c r="BO144" t="str">
        <f>""</f>
        <v/>
      </c>
      <c r="BP144" t="str">
        <f>""</f>
        <v/>
      </c>
      <c r="BQ144" t="str">
        <f>""</f>
        <v/>
      </c>
      <c r="BR144" t="str">
        <f>""</f>
        <v/>
      </c>
      <c r="BS144" t="str">
        <f>""</f>
        <v/>
      </c>
      <c r="BT144" t="str">
        <f>""</f>
        <v/>
      </c>
      <c r="BU144" t="str">
        <f>""</f>
        <v/>
      </c>
      <c r="BV144" t="str">
        <f>""</f>
        <v/>
      </c>
      <c r="BW144" t="str">
        <f>""</f>
        <v/>
      </c>
      <c r="BX144" t="str">
        <f>""</f>
        <v/>
      </c>
      <c r="BY144" t="str">
        <f>""</f>
        <v/>
      </c>
      <c r="BZ144" t="str">
        <f>""</f>
        <v/>
      </c>
      <c r="CA144" t="str">
        <f>""</f>
        <v/>
      </c>
      <c r="CB144" t="str">
        <f>""</f>
        <v/>
      </c>
      <c r="CC144" t="str">
        <f>""</f>
        <v/>
      </c>
      <c r="CD144" t="str">
        <f>""</f>
        <v/>
      </c>
      <c r="CE144" t="str">
        <f>""</f>
        <v/>
      </c>
      <c r="CF144" t="str">
        <f>""</f>
        <v/>
      </c>
      <c r="CG144" t="str">
        <f>""</f>
        <v/>
      </c>
      <c r="CH144" t="str">
        <f>""</f>
        <v/>
      </c>
      <c r="CI144" t="str">
        <f>""</f>
        <v/>
      </c>
      <c r="CJ144" t="str">
        <f>""</f>
        <v/>
      </c>
      <c r="CK144" t="str">
        <f>""</f>
        <v/>
      </c>
      <c r="CL144" t="str">
        <f>""</f>
        <v/>
      </c>
      <c r="CM144" t="str">
        <f>""</f>
        <v/>
      </c>
    </row>
    <row r="145" spans="1:91" x14ac:dyDescent="0.3">
      <c r="A145" t="str">
        <f>""</f>
        <v/>
      </c>
      <c r="B145" t="str">
        <f>""</f>
        <v/>
      </c>
      <c r="C145" t="str">
        <f>""</f>
        <v/>
      </c>
      <c r="D145" t="str">
        <f>""</f>
        <v/>
      </c>
      <c r="E145" t="str">
        <f>""</f>
        <v/>
      </c>
      <c r="F145" t="str">
        <f>""</f>
        <v/>
      </c>
      <c r="G145" t="str">
        <f>""</f>
        <v/>
      </c>
      <c r="H145" t="str">
        <f>""</f>
        <v/>
      </c>
      <c r="I145" t="str">
        <f>""</f>
        <v/>
      </c>
      <c r="J145" t="str">
        <f>""</f>
        <v/>
      </c>
      <c r="K145" t="str">
        <f>""</f>
        <v/>
      </c>
      <c r="L145" t="str">
        <f>""</f>
        <v/>
      </c>
      <c r="M145" t="str">
        <f>""</f>
        <v/>
      </c>
      <c r="N145" t="str">
        <f>""</f>
        <v/>
      </c>
      <c r="O145" t="str">
        <f>""</f>
        <v/>
      </c>
      <c r="P145" t="str">
        <f>""</f>
        <v/>
      </c>
      <c r="Q145" t="str">
        <f>""</f>
        <v/>
      </c>
      <c r="R145" t="str">
        <f>""</f>
        <v/>
      </c>
      <c r="S145" t="str">
        <f>""</f>
        <v/>
      </c>
      <c r="T145" t="str">
        <f>""</f>
        <v/>
      </c>
      <c r="U145" t="str">
        <f>""</f>
        <v/>
      </c>
      <c r="V145" t="str">
        <f>""</f>
        <v/>
      </c>
      <c r="W145" t="str">
        <f>""</f>
        <v/>
      </c>
      <c r="X145" t="str">
        <f>""</f>
        <v/>
      </c>
      <c r="Y145" t="str">
        <f>""</f>
        <v/>
      </c>
      <c r="Z145" t="str">
        <f>""</f>
        <v/>
      </c>
      <c r="AA145" t="str">
        <f>""</f>
        <v/>
      </c>
      <c r="AB145" t="str">
        <f>""</f>
        <v/>
      </c>
      <c r="AC145" t="str">
        <f>""</f>
        <v/>
      </c>
      <c r="AD145" t="str">
        <f>""</f>
        <v/>
      </c>
      <c r="AE145" t="str">
        <f>""</f>
        <v/>
      </c>
      <c r="AF145" t="str">
        <f>""</f>
        <v/>
      </c>
      <c r="AG145" t="str">
        <f>""</f>
        <v/>
      </c>
      <c r="AH145" t="str">
        <f>""</f>
        <v/>
      </c>
      <c r="AI145" t="str">
        <f>""</f>
        <v/>
      </c>
      <c r="AJ145" t="str">
        <f>""</f>
        <v/>
      </c>
      <c r="AK145" t="str">
        <f>""</f>
        <v/>
      </c>
      <c r="AL145" t="str">
        <f>""</f>
        <v/>
      </c>
      <c r="AM145" t="str">
        <f>""</f>
        <v/>
      </c>
      <c r="AN145" t="str">
        <f>""</f>
        <v/>
      </c>
      <c r="AO145" t="str">
        <f>""</f>
        <v/>
      </c>
      <c r="AP145" t="str">
        <f>""</f>
        <v/>
      </c>
      <c r="AQ145" t="str">
        <f>""</f>
        <v/>
      </c>
      <c r="AR145" t="str">
        <f>""</f>
        <v/>
      </c>
      <c r="AS145" t="str">
        <f>""</f>
        <v/>
      </c>
      <c r="AT145" t="str">
        <f>""</f>
        <v/>
      </c>
      <c r="AU145" t="str">
        <f>""</f>
        <v/>
      </c>
      <c r="AV145" t="str">
        <f>""</f>
        <v/>
      </c>
      <c r="AW145" t="str">
        <f>""</f>
        <v/>
      </c>
      <c r="AX145" t="str">
        <f>""</f>
        <v/>
      </c>
      <c r="AY145" t="str">
        <f>""</f>
        <v/>
      </c>
      <c r="AZ145" t="str">
        <f>""</f>
        <v/>
      </c>
      <c r="BA145" t="str">
        <f>""</f>
        <v/>
      </c>
      <c r="BB145" t="str">
        <f>""</f>
        <v/>
      </c>
      <c r="BC145" t="str">
        <f>""</f>
        <v/>
      </c>
      <c r="BD145" t="str">
        <f>""</f>
        <v/>
      </c>
      <c r="BE145" t="str">
        <f>""</f>
        <v/>
      </c>
      <c r="BF145" t="str">
        <f>""</f>
        <v/>
      </c>
      <c r="BG145" t="str">
        <f>""</f>
        <v/>
      </c>
      <c r="BH145" t="str">
        <f>""</f>
        <v/>
      </c>
      <c r="BI145" t="str">
        <f>""</f>
        <v/>
      </c>
      <c r="BJ145" t="str">
        <f>"(0.104)"</f>
        <v>(0.104)</v>
      </c>
      <c r="BK145" t="str">
        <f>"(0.0999)"</f>
        <v>(0.0999)</v>
      </c>
      <c r="BL145" t="str">
        <f>"(0.0439)"</f>
        <v>(0.0439)</v>
      </c>
      <c r="BM145" t="str">
        <f>""</f>
        <v/>
      </c>
      <c r="BN145" t="str">
        <f>""</f>
        <v/>
      </c>
      <c r="BO145" t="str">
        <f>""</f>
        <v/>
      </c>
      <c r="BP145" t="str">
        <f>""</f>
        <v/>
      </c>
      <c r="BQ145" t="str">
        <f>""</f>
        <v/>
      </c>
      <c r="BR145" t="str">
        <f>""</f>
        <v/>
      </c>
      <c r="BS145" t="str">
        <f>""</f>
        <v/>
      </c>
      <c r="BT145" t="str">
        <f>""</f>
        <v/>
      </c>
      <c r="BU145" t="str">
        <f>""</f>
        <v/>
      </c>
      <c r="BV145" t="str">
        <f>""</f>
        <v/>
      </c>
      <c r="BW145" t="str">
        <f>""</f>
        <v/>
      </c>
      <c r="BX145" t="str">
        <f>""</f>
        <v/>
      </c>
      <c r="BY145" t="str">
        <f>""</f>
        <v/>
      </c>
      <c r="BZ145" t="str">
        <f>""</f>
        <v/>
      </c>
      <c r="CA145" t="str">
        <f>""</f>
        <v/>
      </c>
      <c r="CB145" t="str">
        <f>""</f>
        <v/>
      </c>
      <c r="CC145" t="str">
        <f>""</f>
        <v/>
      </c>
      <c r="CD145" t="str">
        <f>""</f>
        <v/>
      </c>
      <c r="CE145" t="str">
        <f>""</f>
        <v/>
      </c>
      <c r="CF145" t="str">
        <f>""</f>
        <v/>
      </c>
      <c r="CG145" t="str">
        <f>""</f>
        <v/>
      </c>
      <c r="CH145" t="str">
        <f>""</f>
        <v/>
      </c>
      <c r="CI145" t="str">
        <f>""</f>
        <v/>
      </c>
      <c r="CJ145" t="str">
        <f>""</f>
        <v/>
      </c>
      <c r="CK145" t="str">
        <f>""</f>
        <v/>
      </c>
      <c r="CL145" t="str">
        <f>""</f>
        <v/>
      </c>
      <c r="CM145" t="str">
        <f>""</f>
        <v/>
      </c>
    </row>
    <row r="147" spans="1:91" x14ac:dyDescent="0.3">
      <c r="A147" t="str">
        <f>"c.zMETAB7#c.gfapbr"</f>
        <v>c.zMETAB7#c.gfapbr</v>
      </c>
      <c r="B147" t="str">
        <f>""</f>
        <v/>
      </c>
      <c r="C147" t="str">
        <f>""</f>
        <v/>
      </c>
      <c r="D147" t="str">
        <f>""</f>
        <v/>
      </c>
      <c r="E147" t="str">
        <f>""</f>
        <v/>
      </c>
      <c r="F147" t="str">
        <f>""</f>
        <v/>
      </c>
      <c r="G147" t="str">
        <f>""</f>
        <v/>
      </c>
      <c r="H147" t="str">
        <f>""</f>
        <v/>
      </c>
      <c r="I147" t="str">
        <f>""</f>
        <v/>
      </c>
      <c r="J147" t="str">
        <f>""</f>
        <v/>
      </c>
      <c r="K147" t="str">
        <f>""</f>
        <v/>
      </c>
      <c r="L147" t="str">
        <f>""</f>
        <v/>
      </c>
      <c r="M147" t="str">
        <f>""</f>
        <v/>
      </c>
      <c r="N147" t="str">
        <f>""</f>
        <v/>
      </c>
      <c r="O147" t="str">
        <f>""</f>
        <v/>
      </c>
      <c r="P147" t="str">
        <f>""</f>
        <v/>
      </c>
      <c r="Q147" t="str">
        <f>""</f>
        <v/>
      </c>
      <c r="R147" t="str">
        <f>""</f>
        <v/>
      </c>
      <c r="S147" t="str">
        <f>""</f>
        <v/>
      </c>
      <c r="T147" t="str">
        <f>""</f>
        <v/>
      </c>
      <c r="U147" t="str">
        <f>""</f>
        <v/>
      </c>
      <c r="V147" t="str">
        <f>""</f>
        <v/>
      </c>
      <c r="W147" t="str">
        <f>""</f>
        <v/>
      </c>
      <c r="X147" t="str">
        <f>""</f>
        <v/>
      </c>
      <c r="Y147" t="str">
        <f>""</f>
        <v/>
      </c>
      <c r="Z147" t="str">
        <f>""</f>
        <v/>
      </c>
      <c r="AA147" t="str">
        <f>""</f>
        <v/>
      </c>
      <c r="AB147" t="str">
        <f>""</f>
        <v/>
      </c>
      <c r="AC147" t="str">
        <f>""</f>
        <v/>
      </c>
      <c r="AD147" t="str">
        <f>""</f>
        <v/>
      </c>
      <c r="AE147" t="str">
        <f>""</f>
        <v/>
      </c>
      <c r="AF147" t="str">
        <f>""</f>
        <v/>
      </c>
      <c r="AG147" t="str">
        <f>""</f>
        <v/>
      </c>
      <c r="AH147" t="str">
        <f>""</f>
        <v/>
      </c>
      <c r="AI147" t="str">
        <f>""</f>
        <v/>
      </c>
      <c r="AJ147" t="str">
        <f>""</f>
        <v/>
      </c>
      <c r="AK147" t="str">
        <f>""</f>
        <v/>
      </c>
      <c r="AL147" t="str">
        <f>""</f>
        <v/>
      </c>
      <c r="AM147" t="str">
        <f>""</f>
        <v/>
      </c>
      <c r="AN147" t="str">
        <f>""</f>
        <v/>
      </c>
      <c r="AO147" t="str">
        <f>""</f>
        <v/>
      </c>
      <c r="AP147" t="str">
        <f>""</f>
        <v/>
      </c>
      <c r="AQ147" t="str">
        <f>""</f>
        <v/>
      </c>
      <c r="AR147" t="str">
        <f>""</f>
        <v/>
      </c>
      <c r="AS147" t="str">
        <f>""</f>
        <v/>
      </c>
      <c r="AT147" t="str">
        <f>""</f>
        <v/>
      </c>
      <c r="AU147" t="str">
        <f>""</f>
        <v/>
      </c>
      <c r="AV147" t="str">
        <f>""</f>
        <v/>
      </c>
      <c r="AW147" t="str">
        <f>""</f>
        <v/>
      </c>
      <c r="AX147" t="str">
        <f>""</f>
        <v/>
      </c>
      <c r="AY147" t="str">
        <f>""</f>
        <v/>
      </c>
      <c r="AZ147" t="str">
        <f>""</f>
        <v/>
      </c>
      <c r="BA147" t="str">
        <f>""</f>
        <v/>
      </c>
      <c r="BB147" t="str">
        <f>""</f>
        <v/>
      </c>
      <c r="BC147" t="str">
        <f>""</f>
        <v/>
      </c>
      <c r="BD147" t="str">
        <f>""</f>
        <v/>
      </c>
      <c r="BE147" t="str">
        <f>""</f>
        <v/>
      </c>
      <c r="BF147" t="str">
        <f>""</f>
        <v/>
      </c>
      <c r="BG147" t="str">
        <f>""</f>
        <v/>
      </c>
      <c r="BH147" t="str">
        <f>""</f>
        <v/>
      </c>
      <c r="BI147" t="str">
        <f>""</f>
        <v/>
      </c>
      <c r="BJ147" t="str">
        <f>""</f>
        <v/>
      </c>
      <c r="BK147" t="str">
        <f>""</f>
        <v/>
      </c>
      <c r="BL147" t="str">
        <f>""</f>
        <v/>
      </c>
      <c r="BM147" t="str">
        <f>"0.165"</f>
        <v>0.165</v>
      </c>
      <c r="BN147" t="str">
        <f>"-0.0176"</f>
        <v>-0.0176</v>
      </c>
      <c r="BO147" t="str">
        <f>"0.0261"</f>
        <v>0.0261</v>
      </c>
      <c r="BP147" t="str">
        <f>""</f>
        <v/>
      </c>
      <c r="BQ147" t="str">
        <f>""</f>
        <v/>
      </c>
      <c r="BR147" t="str">
        <f>""</f>
        <v/>
      </c>
      <c r="BS147" t="str">
        <f>""</f>
        <v/>
      </c>
      <c r="BT147" t="str">
        <f>""</f>
        <v/>
      </c>
      <c r="BU147" t="str">
        <f>""</f>
        <v/>
      </c>
      <c r="BV147" t="str">
        <f>""</f>
        <v/>
      </c>
      <c r="BW147" t="str">
        <f>""</f>
        <v/>
      </c>
      <c r="BX147" t="str">
        <f>""</f>
        <v/>
      </c>
      <c r="BY147" t="str">
        <f>""</f>
        <v/>
      </c>
      <c r="BZ147" t="str">
        <f>""</f>
        <v/>
      </c>
      <c r="CA147" t="str">
        <f>""</f>
        <v/>
      </c>
      <c r="CB147" t="str">
        <f>""</f>
        <v/>
      </c>
      <c r="CC147" t="str">
        <f>""</f>
        <v/>
      </c>
      <c r="CD147" t="str">
        <f>""</f>
        <v/>
      </c>
      <c r="CE147" t="str">
        <f>""</f>
        <v/>
      </c>
      <c r="CF147" t="str">
        <f>""</f>
        <v/>
      </c>
      <c r="CG147" t="str">
        <f>""</f>
        <v/>
      </c>
      <c r="CH147" t="str">
        <f>""</f>
        <v/>
      </c>
      <c r="CI147" t="str">
        <f>""</f>
        <v/>
      </c>
      <c r="CJ147" t="str">
        <f>""</f>
        <v/>
      </c>
      <c r="CK147" t="str">
        <f>""</f>
        <v/>
      </c>
      <c r="CL147" t="str">
        <f>""</f>
        <v/>
      </c>
      <c r="CM147" t="str">
        <f>""</f>
        <v/>
      </c>
    </row>
    <row r="148" spans="1:91" x14ac:dyDescent="0.3">
      <c r="A148" t="str">
        <f>""</f>
        <v/>
      </c>
      <c r="B148" t="str">
        <f>""</f>
        <v/>
      </c>
      <c r="C148" t="str">
        <f>""</f>
        <v/>
      </c>
      <c r="D148" t="str">
        <f>""</f>
        <v/>
      </c>
      <c r="E148" t="str">
        <f>""</f>
        <v/>
      </c>
      <c r="F148" t="str">
        <f>""</f>
        <v/>
      </c>
      <c r="G148" t="str">
        <f>""</f>
        <v/>
      </c>
      <c r="H148" t="str">
        <f>""</f>
        <v/>
      </c>
      <c r="I148" t="str">
        <f>""</f>
        <v/>
      </c>
      <c r="J148" t="str">
        <f>""</f>
        <v/>
      </c>
      <c r="K148" t="str">
        <f>""</f>
        <v/>
      </c>
      <c r="L148" t="str">
        <f>""</f>
        <v/>
      </c>
      <c r="M148" t="str">
        <f>""</f>
        <v/>
      </c>
      <c r="N148" t="str">
        <f>""</f>
        <v/>
      </c>
      <c r="O148" t="str">
        <f>""</f>
        <v/>
      </c>
      <c r="P148" t="str">
        <f>""</f>
        <v/>
      </c>
      <c r="Q148" t="str">
        <f>""</f>
        <v/>
      </c>
      <c r="R148" t="str">
        <f>""</f>
        <v/>
      </c>
      <c r="S148" t="str">
        <f>""</f>
        <v/>
      </c>
      <c r="T148" t="str">
        <f>""</f>
        <v/>
      </c>
      <c r="U148" t="str">
        <f>""</f>
        <v/>
      </c>
      <c r="V148" t="str">
        <f>""</f>
        <v/>
      </c>
      <c r="W148" t="str">
        <f>""</f>
        <v/>
      </c>
      <c r="X148" t="str">
        <f>""</f>
        <v/>
      </c>
      <c r="Y148" t="str">
        <f>""</f>
        <v/>
      </c>
      <c r="Z148" t="str">
        <f>""</f>
        <v/>
      </c>
      <c r="AA148" t="str">
        <f>""</f>
        <v/>
      </c>
      <c r="AB148" t="str">
        <f>""</f>
        <v/>
      </c>
      <c r="AC148" t="str">
        <f>""</f>
        <v/>
      </c>
      <c r="AD148" t="str">
        <f>""</f>
        <v/>
      </c>
      <c r="AE148" t="str">
        <f>""</f>
        <v/>
      </c>
      <c r="AF148" t="str">
        <f>""</f>
        <v/>
      </c>
      <c r="AG148" t="str">
        <f>""</f>
        <v/>
      </c>
      <c r="AH148" t="str">
        <f>""</f>
        <v/>
      </c>
      <c r="AI148" t="str">
        <f>""</f>
        <v/>
      </c>
      <c r="AJ148" t="str">
        <f>""</f>
        <v/>
      </c>
      <c r="AK148" t="str">
        <f>""</f>
        <v/>
      </c>
      <c r="AL148" t="str">
        <f>""</f>
        <v/>
      </c>
      <c r="AM148" t="str">
        <f>""</f>
        <v/>
      </c>
      <c r="AN148" t="str">
        <f>""</f>
        <v/>
      </c>
      <c r="AO148" t="str">
        <f>""</f>
        <v/>
      </c>
      <c r="AP148" t="str">
        <f>""</f>
        <v/>
      </c>
      <c r="AQ148" t="str">
        <f>""</f>
        <v/>
      </c>
      <c r="AR148" t="str">
        <f>""</f>
        <v/>
      </c>
      <c r="AS148" t="str">
        <f>""</f>
        <v/>
      </c>
      <c r="AT148" t="str">
        <f>""</f>
        <v/>
      </c>
      <c r="AU148" t="str">
        <f>""</f>
        <v/>
      </c>
      <c r="AV148" t="str">
        <f>""</f>
        <v/>
      </c>
      <c r="AW148" t="str">
        <f>""</f>
        <v/>
      </c>
      <c r="AX148" t="str">
        <f>""</f>
        <v/>
      </c>
      <c r="AY148" t="str">
        <f>""</f>
        <v/>
      </c>
      <c r="AZ148" t="str">
        <f>""</f>
        <v/>
      </c>
      <c r="BA148" t="str">
        <f>""</f>
        <v/>
      </c>
      <c r="BB148" t="str">
        <f>""</f>
        <v/>
      </c>
      <c r="BC148" t="str">
        <f>""</f>
        <v/>
      </c>
      <c r="BD148" t="str">
        <f>""</f>
        <v/>
      </c>
      <c r="BE148" t="str">
        <f>""</f>
        <v/>
      </c>
      <c r="BF148" t="str">
        <f>""</f>
        <v/>
      </c>
      <c r="BG148" t="str">
        <f>""</f>
        <v/>
      </c>
      <c r="BH148" t="str">
        <f>""</f>
        <v/>
      </c>
      <c r="BI148" t="str">
        <f>""</f>
        <v/>
      </c>
      <c r="BJ148" t="str">
        <f>""</f>
        <v/>
      </c>
      <c r="BK148" t="str">
        <f>""</f>
        <v/>
      </c>
      <c r="BL148" t="str">
        <f>""</f>
        <v/>
      </c>
      <c r="BM148" t="str">
        <f>"(0.104)"</f>
        <v>(0.104)</v>
      </c>
      <c r="BN148" t="str">
        <f>"(0.103)"</f>
        <v>(0.103)</v>
      </c>
      <c r="BO148" t="str">
        <f>"(0.0456)"</f>
        <v>(0.0456)</v>
      </c>
      <c r="BP148" t="str">
        <f>""</f>
        <v/>
      </c>
      <c r="BQ148" t="str">
        <f>""</f>
        <v/>
      </c>
      <c r="BR148" t="str">
        <f>""</f>
        <v/>
      </c>
      <c r="BS148" t="str">
        <f>""</f>
        <v/>
      </c>
      <c r="BT148" t="str">
        <f>""</f>
        <v/>
      </c>
      <c r="BU148" t="str">
        <f>""</f>
        <v/>
      </c>
      <c r="BV148" t="str">
        <f>""</f>
        <v/>
      </c>
      <c r="BW148" t="str">
        <f>""</f>
        <v/>
      </c>
      <c r="BX148" t="str">
        <f>""</f>
        <v/>
      </c>
      <c r="BY148" t="str">
        <f>""</f>
        <v/>
      </c>
      <c r="BZ148" t="str">
        <f>""</f>
        <v/>
      </c>
      <c r="CA148" t="str">
        <f>""</f>
        <v/>
      </c>
      <c r="CB148" t="str">
        <f>""</f>
        <v/>
      </c>
      <c r="CC148" t="str">
        <f>""</f>
        <v/>
      </c>
      <c r="CD148" t="str">
        <f>""</f>
        <v/>
      </c>
      <c r="CE148" t="str">
        <f>""</f>
        <v/>
      </c>
      <c r="CF148" t="str">
        <f>""</f>
        <v/>
      </c>
      <c r="CG148" t="str">
        <f>""</f>
        <v/>
      </c>
      <c r="CH148" t="str">
        <f>""</f>
        <v/>
      </c>
      <c r="CI148" t="str">
        <f>""</f>
        <v/>
      </c>
      <c r="CJ148" t="str">
        <f>""</f>
        <v/>
      </c>
      <c r="CK148" t="str">
        <f>""</f>
        <v/>
      </c>
      <c r="CL148" t="str">
        <f>""</f>
        <v/>
      </c>
      <c r="CM148" t="str">
        <f>""</f>
        <v/>
      </c>
    </row>
    <row r="150" spans="1:91" x14ac:dyDescent="0.3">
      <c r="A150" t="str">
        <f>"c.zMETAB8#c.gfapbr"</f>
        <v>c.zMETAB8#c.gfapbr</v>
      </c>
      <c r="B150" t="str">
        <f>""</f>
        <v/>
      </c>
      <c r="C150" t="str">
        <f>""</f>
        <v/>
      </c>
      <c r="D150" t="str">
        <f>""</f>
        <v/>
      </c>
      <c r="E150" t="str">
        <f>""</f>
        <v/>
      </c>
      <c r="F150" t="str">
        <f>""</f>
        <v/>
      </c>
      <c r="G150" t="str">
        <f>""</f>
        <v/>
      </c>
      <c r="H150" t="str">
        <f>""</f>
        <v/>
      </c>
      <c r="I150" t="str">
        <f>""</f>
        <v/>
      </c>
      <c r="J150" t="str">
        <f>""</f>
        <v/>
      </c>
      <c r="K150" t="str">
        <f>""</f>
        <v/>
      </c>
      <c r="L150" t="str">
        <f>""</f>
        <v/>
      </c>
      <c r="M150" t="str">
        <f>""</f>
        <v/>
      </c>
      <c r="N150" t="str">
        <f>""</f>
        <v/>
      </c>
      <c r="O150" t="str">
        <f>""</f>
        <v/>
      </c>
      <c r="P150" t="str">
        <f>""</f>
        <v/>
      </c>
      <c r="Q150" t="str">
        <f>""</f>
        <v/>
      </c>
      <c r="R150" t="str">
        <f>""</f>
        <v/>
      </c>
      <c r="S150" t="str">
        <f>""</f>
        <v/>
      </c>
      <c r="T150" t="str">
        <f>""</f>
        <v/>
      </c>
      <c r="U150" t="str">
        <f>""</f>
        <v/>
      </c>
      <c r="V150" t="str">
        <f>""</f>
        <v/>
      </c>
      <c r="W150" t="str">
        <f>""</f>
        <v/>
      </c>
      <c r="X150" t="str">
        <f>""</f>
        <v/>
      </c>
      <c r="Y150" t="str">
        <f>""</f>
        <v/>
      </c>
      <c r="Z150" t="str">
        <f>""</f>
        <v/>
      </c>
      <c r="AA150" t="str">
        <f>""</f>
        <v/>
      </c>
      <c r="AB150" t="str">
        <f>""</f>
        <v/>
      </c>
      <c r="AC150" t="str">
        <f>""</f>
        <v/>
      </c>
      <c r="AD150" t="str">
        <f>""</f>
        <v/>
      </c>
      <c r="AE150" t="str">
        <f>""</f>
        <v/>
      </c>
      <c r="AF150" t="str">
        <f>""</f>
        <v/>
      </c>
      <c r="AG150" t="str">
        <f>""</f>
        <v/>
      </c>
      <c r="AH150" t="str">
        <f>""</f>
        <v/>
      </c>
      <c r="AI150" t="str">
        <f>""</f>
        <v/>
      </c>
      <c r="AJ150" t="str">
        <f>""</f>
        <v/>
      </c>
      <c r="AK150" t="str">
        <f>""</f>
        <v/>
      </c>
      <c r="AL150" t="str">
        <f>""</f>
        <v/>
      </c>
      <c r="AM150" t="str">
        <f>""</f>
        <v/>
      </c>
      <c r="AN150" t="str">
        <f>""</f>
        <v/>
      </c>
      <c r="AO150" t="str">
        <f>""</f>
        <v/>
      </c>
      <c r="AP150" t="str">
        <f>""</f>
        <v/>
      </c>
      <c r="AQ150" t="str">
        <f>""</f>
        <v/>
      </c>
      <c r="AR150" t="str">
        <f>""</f>
        <v/>
      </c>
      <c r="AS150" t="str">
        <f>""</f>
        <v/>
      </c>
      <c r="AT150" t="str">
        <f>""</f>
        <v/>
      </c>
      <c r="AU150" t="str">
        <f>""</f>
        <v/>
      </c>
      <c r="AV150" t="str">
        <f>""</f>
        <v/>
      </c>
      <c r="AW150" t="str">
        <f>""</f>
        <v/>
      </c>
      <c r="AX150" t="str">
        <f>""</f>
        <v/>
      </c>
      <c r="AY150" t="str">
        <f>""</f>
        <v/>
      </c>
      <c r="AZ150" t="str">
        <f>""</f>
        <v/>
      </c>
      <c r="BA150" t="str">
        <f>""</f>
        <v/>
      </c>
      <c r="BB150" t="str">
        <f>""</f>
        <v/>
      </c>
      <c r="BC150" t="str">
        <f>""</f>
        <v/>
      </c>
      <c r="BD150" t="str">
        <f>""</f>
        <v/>
      </c>
      <c r="BE150" t="str">
        <f>""</f>
        <v/>
      </c>
      <c r="BF150" t="str">
        <f>""</f>
        <v/>
      </c>
      <c r="BG150" t="str">
        <f>""</f>
        <v/>
      </c>
      <c r="BH150" t="str">
        <f>""</f>
        <v/>
      </c>
      <c r="BI150" t="str">
        <f>""</f>
        <v/>
      </c>
      <c r="BJ150" t="str">
        <f>""</f>
        <v/>
      </c>
      <c r="BK150" t="str">
        <f>""</f>
        <v/>
      </c>
      <c r="BL150" t="str">
        <f>""</f>
        <v/>
      </c>
      <c r="BM150" t="str">
        <f>""</f>
        <v/>
      </c>
      <c r="BN150" t="str">
        <f>""</f>
        <v/>
      </c>
      <c r="BO150" t="str">
        <f>""</f>
        <v/>
      </c>
      <c r="BP150" t="str">
        <f>"0.0441"</f>
        <v>0.0441</v>
      </c>
      <c r="BQ150" t="str">
        <f>"-0.476***"</f>
        <v>-0.476***</v>
      </c>
      <c r="BR150" t="str">
        <f>"0.0406"</f>
        <v>0.0406</v>
      </c>
      <c r="BS150" t="str">
        <f>""</f>
        <v/>
      </c>
      <c r="BT150" t="str">
        <f>""</f>
        <v/>
      </c>
      <c r="BU150" t="str">
        <f>""</f>
        <v/>
      </c>
      <c r="BV150" t="str">
        <f>""</f>
        <v/>
      </c>
      <c r="BW150" t="str">
        <f>""</f>
        <v/>
      </c>
      <c r="BX150" t="str">
        <f>""</f>
        <v/>
      </c>
      <c r="BY150" t="str">
        <f>""</f>
        <v/>
      </c>
      <c r="BZ150" t="str">
        <f>""</f>
        <v/>
      </c>
      <c r="CA150" t="str">
        <f>""</f>
        <v/>
      </c>
      <c r="CB150" t="str">
        <f>""</f>
        <v/>
      </c>
      <c r="CC150" t="str">
        <f>""</f>
        <v/>
      </c>
      <c r="CD150" t="str">
        <f>""</f>
        <v/>
      </c>
      <c r="CE150" t="str">
        <f>""</f>
        <v/>
      </c>
      <c r="CF150" t="str">
        <f>""</f>
        <v/>
      </c>
      <c r="CG150" t="str">
        <f>""</f>
        <v/>
      </c>
      <c r="CH150" t="str">
        <f>""</f>
        <v/>
      </c>
      <c r="CI150" t="str">
        <f>""</f>
        <v/>
      </c>
      <c r="CJ150" t="str">
        <f>""</f>
        <v/>
      </c>
      <c r="CK150" t="str">
        <f>""</f>
        <v/>
      </c>
      <c r="CL150" t="str">
        <f>""</f>
        <v/>
      </c>
      <c r="CM150" t="str">
        <f>""</f>
        <v/>
      </c>
    </row>
    <row r="151" spans="1:91" x14ac:dyDescent="0.3">
      <c r="A151" t="str">
        <f>""</f>
        <v/>
      </c>
      <c r="B151" t="str">
        <f>""</f>
        <v/>
      </c>
      <c r="C151" t="str">
        <f>""</f>
        <v/>
      </c>
      <c r="D151" t="str">
        <f>""</f>
        <v/>
      </c>
      <c r="E151" t="str">
        <f>""</f>
        <v/>
      </c>
      <c r="F151" t="str">
        <f>""</f>
        <v/>
      </c>
      <c r="G151" t="str">
        <f>""</f>
        <v/>
      </c>
      <c r="H151" t="str">
        <f>""</f>
        <v/>
      </c>
      <c r="I151" t="str">
        <f>""</f>
        <v/>
      </c>
      <c r="J151" t="str">
        <f>""</f>
        <v/>
      </c>
      <c r="K151" t="str">
        <f>""</f>
        <v/>
      </c>
      <c r="L151" t="str">
        <f>""</f>
        <v/>
      </c>
      <c r="M151" t="str">
        <f>""</f>
        <v/>
      </c>
      <c r="N151" t="str">
        <f>""</f>
        <v/>
      </c>
      <c r="O151" t="str">
        <f>""</f>
        <v/>
      </c>
      <c r="P151" t="str">
        <f>""</f>
        <v/>
      </c>
      <c r="Q151" t="str">
        <f>""</f>
        <v/>
      </c>
      <c r="R151" t="str">
        <f>""</f>
        <v/>
      </c>
      <c r="S151" t="str">
        <f>""</f>
        <v/>
      </c>
      <c r="T151" t="str">
        <f>""</f>
        <v/>
      </c>
      <c r="U151" t="str">
        <f>""</f>
        <v/>
      </c>
      <c r="V151" t="str">
        <f>""</f>
        <v/>
      </c>
      <c r="W151" t="str">
        <f>""</f>
        <v/>
      </c>
      <c r="X151" t="str">
        <f>""</f>
        <v/>
      </c>
      <c r="Y151" t="str">
        <f>""</f>
        <v/>
      </c>
      <c r="Z151" t="str">
        <f>""</f>
        <v/>
      </c>
      <c r="AA151" t="str">
        <f>""</f>
        <v/>
      </c>
      <c r="AB151" t="str">
        <f>""</f>
        <v/>
      </c>
      <c r="AC151" t="str">
        <f>""</f>
        <v/>
      </c>
      <c r="AD151" t="str">
        <f>""</f>
        <v/>
      </c>
      <c r="AE151" t="str">
        <f>""</f>
        <v/>
      </c>
      <c r="AF151" t="str">
        <f>""</f>
        <v/>
      </c>
      <c r="AG151" t="str">
        <f>""</f>
        <v/>
      </c>
      <c r="AH151" t="str">
        <f>""</f>
        <v/>
      </c>
      <c r="AI151" t="str">
        <f>""</f>
        <v/>
      </c>
      <c r="AJ151" t="str">
        <f>""</f>
        <v/>
      </c>
      <c r="AK151" t="str">
        <f>""</f>
        <v/>
      </c>
      <c r="AL151" t="str">
        <f>""</f>
        <v/>
      </c>
      <c r="AM151" t="str">
        <f>""</f>
        <v/>
      </c>
      <c r="AN151" t="str">
        <f>""</f>
        <v/>
      </c>
      <c r="AO151" t="str">
        <f>""</f>
        <v/>
      </c>
      <c r="AP151" t="str">
        <f>""</f>
        <v/>
      </c>
      <c r="AQ151" t="str">
        <f>""</f>
        <v/>
      </c>
      <c r="AR151" t="str">
        <f>""</f>
        <v/>
      </c>
      <c r="AS151" t="str">
        <f>""</f>
        <v/>
      </c>
      <c r="AT151" t="str">
        <f>""</f>
        <v/>
      </c>
      <c r="AU151" t="str">
        <f>""</f>
        <v/>
      </c>
      <c r="AV151" t="str">
        <f>""</f>
        <v/>
      </c>
      <c r="AW151" t="str">
        <f>""</f>
        <v/>
      </c>
      <c r="AX151" t="str">
        <f>""</f>
        <v/>
      </c>
      <c r="AY151" t="str">
        <f>""</f>
        <v/>
      </c>
      <c r="AZ151" t="str">
        <f>""</f>
        <v/>
      </c>
      <c r="BA151" t="str">
        <f>""</f>
        <v/>
      </c>
      <c r="BB151" t="str">
        <f>""</f>
        <v/>
      </c>
      <c r="BC151" t="str">
        <f>""</f>
        <v/>
      </c>
      <c r="BD151" t="str">
        <f>""</f>
        <v/>
      </c>
      <c r="BE151" t="str">
        <f>""</f>
        <v/>
      </c>
      <c r="BF151" t="str">
        <f>""</f>
        <v/>
      </c>
      <c r="BG151" t="str">
        <f>""</f>
        <v/>
      </c>
      <c r="BH151" t="str">
        <f>""</f>
        <v/>
      </c>
      <c r="BI151" t="str">
        <f>""</f>
        <v/>
      </c>
      <c r="BJ151" t="str">
        <f>""</f>
        <v/>
      </c>
      <c r="BK151" t="str">
        <f>""</f>
        <v/>
      </c>
      <c r="BL151" t="str">
        <f>""</f>
        <v/>
      </c>
      <c r="BM151" t="str">
        <f>""</f>
        <v/>
      </c>
      <c r="BN151" t="str">
        <f>""</f>
        <v/>
      </c>
      <c r="BO151" t="str">
        <f>""</f>
        <v/>
      </c>
      <c r="BP151" t="str">
        <f>"(0.109)"</f>
        <v>(0.109)</v>
      </c>
      <c r="BQ151" t="str">
        <f>"(0.0965)"</f>
        <v>(0.0965)</v>
      </c>
      <c r="BR151" t="str">
        <f>"(0.0456)"</f>
        <v>(0.0456)</v>
      </c>
      <c r="BS151" t="str">
        <f>""</f>
        <v/>
      </c>
      <c r="BT151" t="str">
        <f>""</f>
        <v/>
      </c>
      <c r="BU151" t="str">
        <f>""</f>
        <v/>
      </c>
      <c r="BV151" t="str">
        <f>""</f>
        <v/>
      </c>
      <c r="BW151" t="str">
        <f>""</f>
        <v/>
      </c>
      <c r="BX151" t="str">
        <f>""</f>
        <v/>
      </c>
      <c r="BY151" t="str">
        <f>""</f>
        <v/>
      </c>
      <c r="BZ151" t="str">
        <f>""</f>
        <v/>
      </c>
      <c r="CA151" t="str">
        <f>""</f>
        <v/>
      </c>
      <c r="CB151" t="str">
        <f>""</f>
        <v/>
      </c>
      <c r="CC151" t="str">
        <f>""</f>
        <v/>
      </c>
      <c r="CD151" t="str">
        <f>""</f>
        <v/>
      </c>
      <c r="CE151" t="str">
        <f>""</f>
        <v/>
      </c>
      <c r="CF151" t="str">
        <f>""</f>
        <v/>
      </c>
      <c r="CG151" t="str">
        <f>""</f>
        <v/>
      </c>
      <c r="CH151" t="str">
        <f>""</f>
        <v/>
      </c>
      <c r="CI151" t="str">
        <f>""</f>
        <v/>
      </c>
      <c r="CJ151" t="str">
        <f>""</f>
        <v/>
      </c>
      <c r="CK151" t="str">
        <f>""</f>
        <v/>
      </c>
      <c r="CL151" t="str">
        <f>""</f>
        <v/>
      </c>
      <c r="CM151" t="str">
        <f>""</f>
        <v/>
      </c>
    </row>
    <row r="153" spans="1:91" x14ac:dyDescent="0.3">
      <c r="A153" t="str">
        <f>"c.zMETAB9#c.gfapbr"</f>
        <v>c.zMETAB9#c.gfapbr</v>
      </c>
      <c r="B153" t="str">
        <f>""</f>
        <v/>
      </c>
      <c r="C153" t="str">
        <f>""</f>
        <v/>
      </c>
      <c r="D153" t="str">
        <f>""</f>
        <v/>
      </c>
      <c r="E153" t="str">
        <f>""</f>
        <v/>
      </c>
      <c r="F153" t="str">
        <f>""</f>
        <v/>
      </c>
      <c r="G153" t="str">
        <f>""</f>
        <v/>
      </c>
      <c r="H153" t="str">
        <f>""</f>
        <v/>
      </c>
      <c r="I153" t="str">
        <f>""</f>
        <v/>
      </c>
      <c r="J153" t="str">
        <f>""</f>
        <v/>
      </c>
      <c r="K153" t="str">
        <f>""</f>
        <v/>
      </c>
      <c r="L153" t="str">
        <f>""</f>
        <v/>
      </c>
      <c r="M153" t="str">
        <f>""</f>
        <v/>
      </c>
      <c r="N153" t="str">
        <f>""</f>
        <v/>
      </c>
      <c r="O153" t="str">
        <f>""</f>
        <v/>
      </c>
      <c r="P153" t="str">
        <f>""</f>
        <v/>
      </c>
      <c r="Q153" t="str">
        <f>""</f>
        <v/>
      </c>
      <c r="R153" t="str">
        <f>""</f>
        <v/>
      </c>
      <c r="S153" t="str">
        <f>""</f>
        <v/>
      </c>
      <c r="T153" t="str">
        <f>""</f>
        <v/>
      </c>
      <c r="U153" t="str">
        <f>""</f>
        <v/>
      </c>
      <c r="V153" t="str">
        <f>""</f>
        <v/>
      </c>
      <c r="W153" t="str">
        <f>""</f>
        <v/>
      </c>
      <c r="X153" t="str">
        <f>""</f>
        <v/>
      </c>
      <c r="Y153" t="str">
        <f>""</f>
        <v/>
      </c>
      <c r="Z153" t="str">
        <f>""</f>
        <v/>
      </c>
      <c r="AA153" t="str">
        <f>""</f>
        <v/>
      </c>
      <c r="AB153" t="str">
        <f>""</f>
        <v/>
      </c>
      <c r="AC153" t="str">
        <f>""</f>
        <v/>
      </c>
      <c r="AD153" t="str">
        <f>""</f>
        <v/>
      </c>
      <c r="AE153" t="str">
        <f>""</f>
        <v/>
      </c>
      <c r="AF153" t="str">
        <f>""</f>
        <v/>
      </c>
      <c r="AG153" t="str">
        <f>""</f>
        <v/>
      </c>
      <c r="AH153" t="str">
        <f>""</f>
        <v/>
      </c>
      <c r="AI153" t="str">
        <f>""</f>
        <v/>
      </c>
      <c r="AJ153" t="str">
        <f>""</f>
        <v/>
      </c>
      <c r="AK153" t="str">
        <f>""</f>
        <v/>
      </c>
      <c r="AL153" t="str">
        <f>""</f>
        <v/>
      </c>
      <c r="AM153" t="str">
        <f>""</f>
        <v/>
      </c>
      <c r="AN153" t="str">
        <f>""</f>
        <v/>
      </c>
      <c r="AO153" t="str">
        <f>""</f>
        <v/>
      </c>
      <c r="AP153" t="str">
        <f>""</f>
        <v/>
      </c>
      <c r="AQ153" t="str">
        <f>""</f>
        <v/>
      </c>
      <c r="AR153" t="str">
        <f>""</f>
        <v/>
      </c>
      <c r="AS153" t="str">
        <f>""</f>
        <v/>
      </c>
      <c r="AT153" t="str">
        <f>""</f>
        <v/>
      </c>
      <c r="AU153" t="str">
        <f>""</f>
        <v/>
      </c>
      <c r="AV153" t="str">
        <f>""</f>
        <v/>
      </c>
      <c r="AW153" t="str">
        <f>""</f>
        <v/>
      </c>
      <c r="AX153" t="str">
        <f>""</f>
        <v/>
      </c>
      <c r="AY153" t="str">
        <f>""</f>
        <v/>
      </c>
      <c r="AZ153" t="str">
        <f>""</f>
        <v/>
      </c>
      <c r="BA153" t="str">
        <f>""</f>
        <v/>
      </c>
      <c r="BB153" t="str">
        <f>""</f>
        <v/>
      </c>
      <c r="BC153" t="str">
        <f>""</f>
        <v/>
      </c>
      <c r="BD153" t="str">
        <f>""</f>
        <v/>
      </c>
      <c r="BE153" t="str">
        <f>""</f>
        <v/>
      </c>
      <c r="BF153" t="str">
        <f>""</f>
        <v/>
      </c>
      <c r="BG153" t="str">
        <f>""</f>
        <v/>
      </c>
      <c r="BH153" t="str">
        <f>""</f>
        <v/>
      </c>
      <c r="BI153" t="str">
        <f>""</f>
        <v/>
      </c>
      <c r="BJ153" t="str">
        <f>""</f>
        <v/>
      </c>
      <c r="BK153" t="str">
        <f>""</f>
        <v/>
      </c>
      <c r="BL153" t="str">
        <f>""</f>
        <v/>
      </c>
      <c r="BM153" t="str">
        <f>""</f>
        <v/>
      </c>
      <c r="BN153" t="str">
        <f>""</f>
        <v/>
      </c>
      <c r="BO153" t="str">
        <f>""</f>
        <v/>
      </c>
      <c r="BP153" t="str">
        <f>""</f>
        <v/>
      </c>
      <c r="BQ153" t="str">
        <f>""</f>
        <v/>
      </c>
      <c r="BR153" t="str">
        <f>""</f>
        <v/>
      </c>
      <c r="BS153" t="str">
        <f>"-0.129"</f>
        <v>-0.129</v>
      </c>
      <c r="BT153" t="str">
        <f>"-0.186"</f>
        <v>-0.186</v>
      </c>
      <c r="BU153" t="str">
        <f>"0.0372"</f>
        <v>0.0372</v>
      </c>
      <c r="BV153" t="str">
        <f>""</f>
        <v/>
      </c>
      <c r="BW153" t="str">
        <f>""</f>
        <v/>
      </c>
      <c r="BX153" t="str">
        <f>""</f>
        <v/>
      </c>
      <c r="BY153" t="str">
        <f>""</f>
        <v/>
      </c>
      <c r="BZ153" t="str">
        <f>""</f>
        <v/>
      </c>
      <c r="CA153" t="str">
        <f>""</f>
        <v/>
      </c>
      <c r="CB153" t="str">
        <f>""</f>
        <v/>
      </c>
      <c r="CC153" t="str">
        <f>""</f>
        <v/>
      </c>
      <c r="CD153" t="str">
        <f>""</f>
        <v/>
      </c>
      <c r="CE153" t="str">
        <f>""</f>
        <v/>
      </c>
      <c r="CF153" t="str">
        <f>""</f>
        <v/>
      </c>
      <c r="CG153" t="str">
        <f>""</f>
        <v/>
      </c>
      <c r="CH153" t="str">
        <f>""</f>
        <v/>
      </c>
      <c r="CI153" t="str">
        <f>""</f>
        <v/>
      </c>
      <c r="CJ153" t="str">
        <f>""</f>
        <v/>
      </c>
      <c r="CK153" t="str">
        <f>""</f>
        <v/>
      </c>
      <c r="CL153" t="str">
        <f>""</f>
        <v/>
      </c>
      <c r="CM153" t="str">
        <f>""</f>
        <v/>
      </c>
    </row>
    <row r="154" spans="1:91" x14ac:dyDescent="0.3">
      <c r="A154" t="str">
        <f>""</f>
        <v/>
      </c>
      <c r="B154" t="str">
        <f>""</f>
        <v/>
      </c>
      <c r="C154" t="str">
        <f>""</f>
        <v/>
      </c>
      <c r="D154" t="str">
        <f>""</f>
        <v/>
      </c>
      <c r="E154" t="str">
        <f>""</f>
        <v/>
      </c>
      <c r="F154" t="str">
        <f>""</f>
        <v/>
      </c>
      <c r="G154" t="str">
        <f>""</f>
        <v/>
      </c>
      <c r="H154" t="str">
        <f>""</f>
        <v/>
      </c>
      <c r="I154" t="str">
        <f>""</f>
        <v/>
      </c>
      <c r="J154" t="str">
        <f>""</f>
        <v/>
      </c>
      <c r="K154" t="str">
        <f>""</f>
        <v/>
      </c>
      <c r="L154" t="str">
        <f>""</f>
        <v/>
      </c>
      <c r="M154" t="str">
        <f>""</f>
        <v/>
      </c>
      <c r="N154" t="str">
        <f>""</f>
        <v/>
      </c>
      <c r="O154" t="str">
        <f>""</f>
        <v/>
      </c>
      <c r="P154" t="str">
        <f>""</f>
        <v/>
      </c>
      <c r="Q154" t="str">
        <f>""</f>
        <v/>
      </c>
      <c r="R154" t="str">
        <f>""</f>
        <v/>
      </c>
      <c r="S154" t="str">
        <f>""</f>
        <v/>
      </c>
      <c r="T154" t="str">
        <f>""</f>
        <v/>
      </c>
      <c r="U154" t="str">
        <f>""</f>
        <v/>
      </c>
      <c r="V154" t="str">
        <f>""</f>
        <v/>
      </c>
      <c r="W154" t="str">
        <f>""</f>
        <v/>
      </c>
      <c r="X154" t="str">
        <f>""</f>
        <v/>
      </c>
      <c r="Y154" t="str">
        <f>""</f>
        <v/>
      </c>
      <c r="Z154" t="str">
        <f>""</f>
        <v/>
      </c>
      <c r="AA154" t="str">
        <f>""</f>
        <v/>
      </c>
      <c r="AB154" t="str">
        <f>""</f>
        <v/>
      </c>
      <c r="AC154" t="str">
        <f>""</f>
        <v/>
      </c>
      <c r="AD154" t="str">
        <f>""</f>
        <v/>
      </c>
      <c r="AE154" t="str">
        <f>""</f>
        <v/>
      </c>
      <c r="AF154" t="str">
        <f>""</f>
        <v/>
      </c>
      <c r="AG154" t="str">
        <f>""</f>
        <v/>
      </c>
      <c r="AH154" t="str">
        <f>""</f>
        <v/>
      </c>
      <c r="AI154" t="str">
        <f>""</f>
        <v/>
      </c>
      <c r="AJ154" t="str">
        <f>""</f>
        <v/>
      </c>
      <c r="AK154" t="str">
        <f>""</f>
        <v/>
      </c>
      <c r="AL154" t="str">
        <f>""</f>
        <v/>
      </c>
      <c r="AM154" t="str">
        <f>""</f>
        <v/>
      </c>
      <c r="AN154" t="str">
        <f>""</f>
        <v/>
      </c>
      <c r="AO154" t="str">
        <f>""</f>
        <v/>
      </c>
      <c r="AP154" t="str">
        <f>""</f>
        <v/>
      </c>
      <c r="AQ154" t="str">
        <f>""</f>
        <v/>
      </c>
      <c r="AR154" t="str">
        <f>""</f>
        <v/>
      </c>
      <c r="AS154" t="str">
        <f>""</f>
        <v/>
      </c>
      <c r="AT154" t="str">
        <f>""</f>
        <v/>
      </c>
      <c r="AU154" t="str">
        <f>""</f>
        <v/>
      </c>
      <c r="AV154" t="str">
        <f>""</f>
        <v/>
      </c>
      <c r="AW154" t="str">
        <f>""</f>
        <v/>
      </c>
      <c r="AX154" t="str">
        <f>""</f>
        <v/>
      </c>
      <c r="AY154" t="str">
        <f>""</f>
        <v/>
      </c>
      <c r="AZ154" t="str">
        <f>""</f>
        <v/>
      </c>
      <c r="BA154" t="str">
        <f>""</f>
        <v/>
      </c>
      <c r="BB154" t="str">
        <f>""</f>
        <v/>
      </c>
      <c r="BC154" t="str">
        <f>""</f>
        <v/>
      </c>
      <c r="BD154" t="str">
        <f>""</f>
        <v/>
      </c>
      <c r="BE154" t="str">
        <f>""</f>
        <v/>
      </c>
      <c r="BF154" t="str">
        <f>""</f>
        <v/>
      </c>
      <c r="BG154" t="str">
        <f>""</f>
        <v/>
      </c>
      <c r="BH154" t="str">
        <f>""</f>
        <v/>
      </c>
      <c r="BI154" t="str">
        <f>""</f>
        <v/>
      </c>
      <c r="BJ154" t="str">
        <f>""</f>
        <v/>
      </c>
      <c r="BK154" t="str">
        <f>""</f>
        <v/>
      </c>
      <c r="BL154" t="str">
        <f>""</f>
        <v/>
      </c>
      <c r="BM154" t="str">
        <f>""</f>
        <v/>
      </c>
      <c r="BN154" t="str">
        <f>""</f>
        <v/>
      </c>
      <c r="BO154" t="str">
        <f>""</f>
        <v/>
      </c>
      <c r="BP154" t="str">
        <f>""</f>
        <v/>
      </c>
      <c r="BQ154" t="str">
        <f>""</f>
        <v/>
      </c>
      <c r="BR154" t="str">
        <f>""</f>
        <v/>
      </c>
      <c r="BS154" t="str">
        <f>"(0.106)"</f>
        <v>(0.106)</v>
      </c>
      <c r="BT154" t="str">
        <f>"(0.103)"</f>
        <v>(0.103)</v>
      </c>
      <c r="BU154" t="str">
        <f>"(0.0455)"</f>
        <v>(0.0455)</v>
      </c>
      <c r="BV154" t="str">
        <f>""</f>
        <v/>
      </c>
      <c r="BW154" t="str">
        <f>""</f>
        <v/>
      </c>
      <c r="BX154" t="str">
        <f>""</f>
        <v/>
      </c>
      <c r="BY154" t="str">
        <f>""</f>
        <v/>
      </c>
      <c r="BZ154" t="str">
        <f>""</f>
        <v/>
      </c>
      <c r="CA154" t="str">
        <f>""</f>
        <v/>
      </c>
      <c r="CB154" t="str">
        <f>""</f>
        <v/>
      </c>
      <c r="CC154" t="str">
        <f>""</f>
        <v/>
      </c>
      <c r="CD154" t="str">
        <f>""</f>
        <v/>
      </c>
      <c r="CE154" t="str">
        <f>""</f>
        <v/>
      </c>
      <c r="CF154" t="str">
        <f>""</f>
        <v/>
      </c>
      <c r="CG154" t="str">
        <f>""</f>
        <v/>
      </c>
      <c r="CH154" t="str">
        <f>""</f>
        <v/>
      </c>
      <c r="CI154" t="str">
        <f>""</f>
        <v/>
      </c>
      <c r="CJ154" t="str">
        <f>""</f>
        <v/>
      </c>
      <c r="CK154" t="str">
        <f>""</f>
        <v/>
      </c>
      <c r="CL154" t="str">
        <f>""</f>
        <v/>
      </c>
      <c r="CM154" t="str">
        <f>""</f>
        <v/>
      </c>
    </row>
    <row r="156" spans="1:91" x14ac:dyDescent="0.3">
      <c r="A156" t="str">
        <f>"c.zMETAB10#c.gfapbr"</f>
        <v>c.zMETAB10#c.gfapbr</v>
      </c>
      <c r="B156" t="str">
        <f>""</f>
        <v/>
      </c>
      <c r="C156" t="str">
        <f>""</f>
        <v/>
      </c>
      <c r="D156" t="str">
        <f>""</f>
        <v/>
      </c>
      <c r="E156" t="str">
        <f>""</f>
        <v/>
      </c>
      <c r="F156" t="str">
        <f>""</f>
        <v/>
      </c>
      <c r="G156" t="str">
        <f>""</f>
        <v/>
      </c>
      <c r="H156" t="str">
        <f>""</f>
        <v/>
      </c>
      <c r="I156" t="str">
        <f>""</f>
        <v/>
      </c>
      <c r="J156" t="str">
        <f>""</f>
        <v/>
      </c>
      <c r="K156" t="str">
        <f>""</f>
        <v/>
      </c>
      <c r="L156" t="str">
        <f>""</f>
        <v/>
      </c>
      <c r="M156" t="str">
        <f>""</f>
        <v/>
      </c>
      <c r="N156" t="str">
        <f>""</f>
        <v/>
      </c>
      <c r="O156" t="str">
        <f>""</f>
        <v/>
      </c>
      <c r="P156" t="str">
        <f>""</f>
        <v/>
      </c>
      <c r="Q156" t="str">
        <f>""</f>
        <v/>
      </c>
      <c r="R156" t="str">
        <f>""</f>
        <v/>
      </c>
      <c r="S156" t="str">
        <f>""</f>
        <v/>
      </c>
      <c r="T156" t="str">
        <f>""</f>
        <v/>
      </c>
      <c r="U156" t="str">
        <f>""</f>
        <v/>
      </c>
      <c r="V156" t="str">
        <f>""</f>
        <v/>
      </c>
      <c r="W156" t="str">
        <f>""</f>
        <v/>
      </c>
      <c r="X156" t="str">
        <f>""</f>
        <v/>
      </c>
      <c r="Y156" t="str">
        <f>""</f>
        <v/>
      </c>
      <c r="Z156" t="str">
        <f>""</f>
        <v/>
      </c>
      <c r="AA156" t="str">
        <f>""</f>
        <v/>
      </c>
      <c r="AB156" t="str">
        <f>""</f>
        <v/>
      </c>
      <c r="AC156" t="str">
        <f>""</f>
        <v/>
      </c>
      <c r="AD156" t="str">
        <f>""</f>
        <v/>
      </c>
      <c r="AE156" t="str">
        <f>""</f>
        <v/>
      </c>
      <c r="AF156" t="str">
        <f>""</f>
        <v/>
      </c>
      <c r="AG156" t="str">
        <f>""</f>
        <v/>
      </c>
      <c r="AH156" t="str">
        <f>""</f>
        <v/>
      </c>
      <c r="AI156" t="str">
        <f>""</f>
        <v/>
      </c>
      <c r="AJ156" t="str">
        <f>""</f>
        <v/>
      </c>
      <c r="AK156" t="str">
        <f>""</f>
        <v/>
      </c>
      <c r="AL156" t="str">
        <f>""</f>
        <v/>
      </c>
      <c r="AM156" t="str">
        <f>""</f>
        <v/>
      </c>
      <c r="AN156" t="str">
        <f>""</f>
        <v/>
      </c>
      <c r="AO156" t="str">
        <f>""</f>
        <v/>
      </c>
      <c r="AP156" t="str">
        <f>""</f>
        <v/>
      </c>
      <c r="AQ156" t="str">
        <f>""</f>
        <v/>
      </c>
      <c r="AR156" t="str">
        <f>""</f>
        <v/>
      </c>
      <c r="AS156" t="str">
        <f>""</f>
        <v/>
      </c>
      <c r="AT156" t="str">
        <f>""</f>
        <v/>
      </c>
      <c r="AU156" t="str">
        <f>""</f>
        <v/>
      </c>
      <c r="AV156" t="str">
        <f>""</f>
        <v/>
      </c>
      <c r="AW156" t="str">
        <f>""</f>
        <v/>
      </c>
      <c r="AX156" t="str">
        <f>""</f>
        <v/>
      </c>
      <c r="AY156" t="str">
        <f>""</f>
        <v/>
      </c>
      <c r="AZ156" t="str">
        <f>""</f>
        <v/>
      </c>
      <c r="BA156" t="str">
        <f>""</f>
        <v/>
      </c>
      <c r="BB156" t="str">
        <f>""</f>
        <v/>
      </c>
      <c r="BC156" t="str">
        <f>""</f>
        <v/>
      </c>
      <c r="BD156" t="str">
        <f>""</f>
        <v/>
      </c>
      <c r="BE156" t="str">
        <f>""</f>
        <v/>
      </c>
      <c r="BF156" t="str">
        <f>""</f>
        <v/>
      </c>
      <c r="BG156" t="str">
        <f>""</f>
        <v/>
      </c>
      <c r="BH156" t="str">
        <f>""</f>
        <v/>
      </c>
      <c r="BI156" t="str">
        <f>""</f>
        <v/>
      </c>
      <c r="BJ156" t="str">
        <f>""</f>
        <v/>
      </c>
      <c r="BK156" t="str">
        <f>""</f>
        <v/>
      </c>
      <c r="BL156" t="str">
        <f>""</f>
        <v/>
      </c>
      <c r="BM156" t="str">
        <f>""</f>
        <v/>
      </c>
      <c r="BN156" t="str">
        <f>""</f>
        <v/>
      </c>
      <c r="BO156" t="str">
        <f>""</f>
        <v/>
      </c>
      <c r="BP156" t="str">
        <f>""</f>
        <v/>
      </c>
      <c r="BQ156" t="str">
        <f>""</f>
        <v/>
      </c>
      <c r="BR156" t="str">
        <f>""</f>
        <v/>
      </c>
      <c r="BS156" t="str">
        <f>""</f>
        <v/>
      </c>
      <c r="BT156" t="str">
        <f>""</f>
        <v/>
      </c>
      <c r="BU156" t="str">
        <f>""</f>
        <v/>
      </c>
      <c r="BV156" t="str">
        <f>"-0.108"</f>
        <v>-0.108</v>
      </c>
      <c r="BW156" t="str">
        <f>"0.0794"</f>
        <v>0.0794</v>
      </c>
      <c r="BX156" t="str">
        <f>"-0.0464"</f>
        <v>-0.0464</v>
      </c>
      <c r="BY156" t="str">
        <f>""</f>
        <v/>
      </c>
      <c r="BZ156" t="str">
        <f>""</f>
        <v/>
      </c>
      <c r="CA156" t="str">
        <f>""</f>
        <v/>
      </c>
      <c r="CB156" t="str">
        <f>""</f>
        <v/>
      </c>
      <c r="CC156" t="str">
        <f>""</f>
        <v/>
      </c>
      <c r="CD156" t="str">
        <f>""</f>
        <v/>
      </c>
      <c r="CE156" t="str">
        <f>""</f>
        <v/>
      </c>
      <c r="CF156" t="str">
        <f>""</f>
        <v/>
      </c>
      <c r="CG156" t="str">
        <f>""</f>
        <v/>
      </c>
      <c r="CH156" t="str">
        <f>""</f>
        <v/>
      </c>
      <c r="CI156" t="str">
        <f>""</f>
        <v/>
      </c>
      <c r="CJ156" t="str">
        <f>""</f>
        <v/>
      </c>
      <c r="CK156" t="str">
        <f>""</f>
        <v/>
      </c>
      <c r="CL156" t="str">
        <f>""</f>
        <v/>
      </c>
      <c r="CM156" t="str">
        <f>""</f>
        <v/>
      </c>
    </row>
    <row r="157" spans="1:91" x14ac:dyDescent="0.3">
      <c r="A157" t="str">
        <f>""</f>
        <v/>
      </c>
      <c r="B157" t="str">
        <f>""</f>
        <v/>
      </c>
      <c r="C157" t="str">
        <f>""</f>
        <v/>
      </c>
      <c r="D157" t="str">
        <f>""</f>
        <v/>
      </c>
      <c r="E157" t="str">
        <f>""</f>
        <v/>
      </c>
      <c r="F157" t="str">
        <f>""</f>
        <v/>
      </c>
      <c r="G157" t="str">
        <f>""</f>
        <v/>
      </c>
      <c r="H157" t="str">
        <f>""</f>
        <v/>
      </c>
      <c r="I157" t="str">
        <f>""</f>
        <v/>
      </c>
      <c r="J157" t="str">
        <f>""</f>
        <v/>
      </c>
      <c r="K157" t="str">
        <f>""</f>
        <v/>
      </c>
      <c r="L157" t="str">
        <f>""</f>
        <v/>
      </c>
      <c r="M157" t="str">
        <f>""</f>
        <v/>
      </c>
      <c r="N157" t="str">
        <f>""</f>
        <v/>
      </c>
      <c r="O157" t="str">
        <f>""</f>
        <v/>
      </c>
      <c r="P157" t="str">
        <f>""</f>
        <v/>
      </c>
      <c r="Q157" t="str">
        <f>""</f>
        <v/>
      </c>
      <c r="R157" t="str">
        <f>""</f>
        <v/>
      </c>
      <c r="S157" t="str">
        <f>""</f>
        <v/>
      </c>
      <c r="T157" t="str">
        <f>""</f>
        <v/>
      </c>
      <c r="U157" t="str">
        <f>""</f>
        <v/>
      </c>
      <c r="V157" t="str">
        <f>""</f>
        <v/>
      </c>
      <c r="W157" t="str">
        <f>""</f>
        <v/>
      </c>
      <c r="X157" t="str">
        <f>""</f>
        <v/>
      </c>
      <c r="Y157" t="str">
        <f>""</f>
        <v/>
      </c>
      <c r="Z157" t="str">
        <f>""</f>
        <v/>
      </c>
      <c r="AA157" t="str">
        <f>""</f>
        <v/>
      </c>
      <c r="AB157" t="str">
        <f>""</f>
        <v/>
      </c>
      <c r="AC157" t="str">
        <f>""</f>
        <v/>
      </c>
      <c r="AD157" t="str">
        <f>""</f>
        <v/>
      </c>
      <c r="AE157" t="str">
        <f>""</f>
        <v/>
      </c>
      <c r="AF157" t="str">
        <f>""</f>
        <v/>
      </c>
      <c r="AG157" t="str">
        <f>""</f>
        <v/>
      </c>
      <c r="AH157" t="str">
        <f>""</f>
        <v/>
      </c>
      <c r="AI157" t="str">
        <f>""</f>
        <v/>
      </c>
      <c r="AJ157" t="str">
        <f>""</f>
        <v/>
      </c>
      <c r="AK157" t="str">
        <f>""</f>
        <v/>
      </c>
      <c r="AL157" t="str">
        <f>""</f>
        <v/>
      </c>
      <c r="AM157" t="str">
        <f>""</f>
        <v/>
      </c>
      <c r="AN157" t="str">
        <f>""</f>
        <v/>
      </c>
      <c r="AO157" t="str">
        <f>""</f>
        <v/>
      </c>
      <c r="AP157" t="str">
        <f>""</f>
        <v/>
      </c>
      <c r="AQ157" t="str">
        <f>""</f>
        <v/>
      </c>
      <c r="AR157" t="str">
        <f>""</f>
        <v/>
      </c>
      <c r="AS157" t="str">
        <f>""</f>
        <v/>
      </c>
      <c r="AT157" t="str">
        <f>""</f>
        <v/>
      </c>
      <c r="AU157" t="str">
        <f>""</f>
        <v/>
      </c>
      <c r="AV157" t="str">
        <f>""</f>
        <v/>
      </c>
      <c r="AW157" t="str">
        <f>""</f>
        <v/>
      </c>
      <c r="AX157" t="str">
        <f>""</f>
        <v/>
      </c>
      <c r="AY157" t="str">
        <f>""</f>
        <v/>
      </c>
      <c r="AZ157" t="str">
        <f>""</f>
        <v/>
      </c>
      <c r="BA157" t="str">
        <f>""</f>
        <v/>
      </c>
      <c r="BB157" t="str">
        <f>""</f>
        <v/>
      </c>
      <c r="BC157" t="str">
        <f>""</f>
        <v/>
      </c>
      <c r="BD157" t="str">
        <f>""</f>
        <v/>
      </c>
      <c r="BE157" t="str">
        <f>""</f>
        <v/>
      </c>
      <c r="BF157" t="str">
        <f>""</f>
        <v/>
      </c>
      <c r="BG157" t="str">
        <f>""</f>
        <v/>
      </c>
      <c r="BH157" t="str">
        <f>""</f>
        <v/>
      </c>
      <c r="BI157" t="str">
        <f>""</f>
        <v/>
      </c>
      <c r="BJ157" t="str">
        <f>""</f>
        <v/>
      </c>
      <c r="BK157" t="str">
        <f>""</f>
        <v/>
      </c>
      <c r="BL157" t="str">
        <f>""</f>
        <v/>
      </c>
      <c r="BM157" t="str">
        <f>""</f>
        <v/>
      </c>
      <c r="BN157" t="str">
        <f>""</f>
        <v/>
      </c>
      <c r="BO157" t="str">
        <f>""</f>
        <v/>
      </c>
      <c r="BP157" t="str">
        <f>""</f>
        <v/>
      </c>
      <c r="BQ157" t="str">
        <f>""</f>
        <v/>
      </c>
      <c r="BR157" t="str">
        <f>""</f>
        <v/>
      </c>
      <c r="BS157" t="str">
        <f>""</f>
        <v/>
      </c>
      <c r="BT157" t="str">
        <f>""</f>
        <v/>
      </c>
      <c r="BU157" t="str">
        <f>""</f>
        <v/>
      </c>
      <c r="BV157" t="str">
        <f>"(0.102)"</f>
        <v>(0.102)</v>
      </c>
      <c r="BW157" t="str">
        <f>"(0.104)"</f>
        <v>(0.104)</v>
      </c>
      <c r="BX157" t="str">
        <f>"(0.0437)"</f>
        <v>(0.0437)</v>
      </c>
      <c r="BY157" t="str">
        <f>""</f>
        <v/>
      </c>
      <c r="BZ157" t="str">
        <f>""</f>
        <v/>
      </c>
      <c r="CA157" t="str">
        <f>""</f>
        <v/>
      </c>
      <c r="CB157" t="str">
        <f>""</f>
        <v/>
      </c>
      <c r="CC157" t="str">
        <f>""</f>
        <v/>
      </c>
      <c r="CD157" t="str">
        <f>""</f>
        <v/>
      </c>
      <c r="CE157" t="str">
        <f>""</f>
        <v/>
      </c>
      <c r="CF157" t="str">
        <f>""</f>
        <v/>
      </c>
      <c r="CG157" t="str">
        <f>""</f>
        <v/>
      </c>
      <c r="CH157" t="str">
        <f>""</f>
        <v/>
      </c>
      <c r="CI157" t="str">
        <f>""</f>
        <v/>
      </c>
      <c r="CJ157" t="str">
        <f>""</f>
        <v/>
      </c>
      <c r="CK157" t="str">
        <f>""</f>
        <v/>
      </c>
      <c r="CL157" t="str">
        <f>""</f>
        <v/>
      </c>
      <c r="CM157" t="str">
        <f>""</f>
        <v/>
      </c>
    </row>
    <row r="159" spans="1:91" x14ac:dyDescent="0.3">
      <c r="A159" t="str">
        <f>"c.zMETAB11#c.gfapbr"</f>
        <v>c.zMETAB11#c.gfapbr</v>
      </c>
      <c r="B159" t="str">
        <f>""</f>
        <v/>
      </c>
      <c r="C159" t="str">
        <f>""</f>
        <v/>
      </c>
      <c r="D159" t="str">
        <f>""</f>
        <v/>
      </c>
      <c r="E159" t="str">
        <f>""</f>
        <v/>
      </c>
      <c r="F159" t="str">
        <f>""</f>
        <v/>
      </c>
      <c r="G159" t="str">
        <f>""</f>
        <v/>
      </c>
      <c r="H159" t="str">
        <f>""</f>
        <v/>
      </c>
      <c r="I159" t="str">
        <f>""</f>
        <v/>
      </c>
      <c r="J159" t="str">
        <f>""</f>
        <v/>
      </c>
      <c r="K159" t="str">
        <f>""</f>
        <v/>
      </c>
      <c r="L159" t="str">
        <f>""</f>
        <v/>
      </c>
      <c r="M159" t="str">
        <f>""</f>
        <v/>
      </c>
      <c r="N159" t="str">
        <f>""</f>
        <v/>
      </c>
      <c r="O159" t="str">
        <f>""</f>
        <v/>
      </c>
      <c r="P159" t="str">
        <f>""</f>
        <v/>
      </c>
      <c r="Q159" t="str">
        <f>""</f>
        <v/>
      </c>
      <c r="R159" t="str">
        <f>""</f>
        <v/>
      </c>
      <c r="S159" t="str">
        <f>""</f>
        <v/>
      </c>
      <c r="T159" t="str">
        <f>""</f>
        <v/>
      </c>
      <c r="U159" t="str">
        <f>""</f>
        <v/>
      </c>
      <c r="V159" t="str">
        <f>""</f>
        <v/>
      </c>
      <c r="W159" t="str">
        <f>""</f>
        <v/>
      </c>
      <c r="X159" t="str">
        <f>""</f>
        <v/>
      </c>
      <c r="Y159" t="str">
        <f>""</f>
        <v/>
      </c>
      <c r="Z159" t="str">
        <f>""</f>
        <v/>
      </c>
      <c r="AA159" t="str">
        <f>""</f>
        <v/>
      </c>
      <c r="AB159" t="str">
        <f>""</f>
        <v/>
      </c>
      <c r="AC159" t="str">
        <f>""</f>
        <v/>
      </c>
      <c r="AD159" t="str">
        <f>""</f>
        <v/>
      </c>
      <c r="AE159" t="str">
        <f>""</f>
        <v/>
      </c>
      <c r="AF159" t="str">
        <f>""</f>
        <v/>
      </c>
      <c r="AG159" t="str">
        <f>""</f>
        <v/>
      </c>
      <c r="AH159" t="str">
        <f>""</f>
        <v/>
      </c>
      <c r="AI159" t="str">
        <f>""</f>
        <v/>
      </c>
      <c r="AJ159" t="str">
        <f>""</f>
        <v/>
      </c>
      <c r="AK159" t="str">
        <f>""</f>
        <v/>
      </c>
      <c r="AL159" t="str">
        <f>""</f>
        <v/>
      </c>
      <c r="AM159" t="str">
        <f>""</f>
        <v/>
      </c>
      <c r="AN159" t="str">
        <f>""</f>
        <v/>
      </c>
      <c r="AO159" t="str">
        <f>""</f>
        <v/>
      </c>
      <c r="AP159" t="str">
        <f>""</f>
        <v/>
      </c>
      <c r="AQ159" t="str">
        <f>""</f>
        <v/>
      </c>
      <c r="AR159" t="str">
        <f>""</f>
        <v/>
      </c>
      <c r="AS159" t="str">
        <f>""</f>
        <v/>
      </c>
      <c r="AT159" t="str">
        <f>""</f>
        <v/>
      </c>
      <c r="AU159" t="str">
        <f>""</f>
        <v/>
      </c>
      <c r="AV159" t="str">
        <f>""</f>
        <v/>
      </c>
      <c r="AW159" t="str">
        <f>""</f>
        <v/>
      </c>
      <c r="AX159" t="str">
        <f>""</f>
        <v/>
      </c>
      <c r="AY159" t="str">
        <f>""</f>
        <v/>
      </c>
      <c r="AZ159" t="str">
        <f>""</f>
        <v/>
      </c>
      <c r="BA159" t="str">
        <f>""</f>
        <v/>
      </c>
      <c r="BB159" t="str">
        <f>""</f>
        <v/>
      </c>
      <c r="BC159" t="str">
        <f>""</f>
        <v/>
      </c>
      <c r="BD159" t="str">
        <f>""</f>
        <v/>
      </c>
      <c r="BE159" t="str">
        <f>""</f>
        <v/>
      </c>
      <c r="BF159" t="str">
        <f>""</f>
        <v/>
      </c>
      <c r="BG159" t="str">
        <f>""</f>
        <v/>
      </c>
      <c r="BH159" t="str">
        <f>""</f>
        <v/>
      </c>
      <c r="BI159" t="str">
        <f>""</f>
        <v/>
      </c>
      <c r="BJ159" t="str">
        <f>""</f>
        <v/>
      </c>
      <c r="BK159" t="str">
        <f>""</f>
        <v/>
      </c>
      <c r="BL159" t="str">
        <f>""</f>
        <v/>
      </c>
      <c r="BM159" t="str">
        <f>""</f>
        <v/>
      </c>
      <c r="BN159" t="str">
        <f>""</f>
        <v/>
      </c>
      <c r="BO159" t="str">
        <f>""</f>
        <v/>
      </c>
      <c r="BP159" t="str">
        <f>""</f>
        <v/>
      </c>
      <c r="BQ159" t="str">
        <f>""</f>
        <v/>
      </c>
      <c r="BR159" t="str">
        <f>""</f>
        <v/>
      </c>
      <c r="BS159" t="str">
        <f>""</f>
        <v/>
      </c>
      <c r="BT159" t="str">
        <f>""</f>
        <v/>
      </c>
      <c r="BU159" t="str">
        <f>""</f>
        <v/>
      </c>
      <c r="BV159" t="str">
        <f>""</f>
        <v/>
      </c>
      <c r="BW159" t="str">
        <f>""</f>
        <v/>
      </c>
      <c r="BX159" t="str">
        <f>""</f>
        <v/>
      </c>
      <c r="BY159" t="str">
        <f>"0.0773"</f>
        <v>0.0773</v>
      </c>
      <c r="BZ159" t="str">
        <f>"0.0519"</f>
        <v>0.0519</v>
      </c>
      <c r="CA159" t="str">
        <f>"0.000178"</f>
        <v>0.000178</v>
      </c>
      <c r="CB159" t="str">
        <f>""</f>
        <v/>
      </c>
      <c r="CC159" t="str">
        <f>""</f>
        <v/>
      </c>
      <c r="CD159" t="str">
        <f>""</f>
        <v/>
      </c>
      <c r="CE159" t="str">
        <f>""</f>
        <v/>
      </c>
      <c r="CF159" t="str">
        <f>""</f>
        <v/>
      </c>
      <c r="CG159" t="str">
        <f>""</f>
        <v/>
      </c>
      <c r="CH159" t="str">
        <f>""</f>
        <v/>
      </c>
      <c r="CI159" t="str">
        <f>""</f>
        <v/>
      </c>
      <c r="CJ159" t="str">
        <f>""</f>
        <v/>
      </c>
      <c r="CK159" t="str">
        <f>""</f>
        <v/>
      </c>
      <c r="CL159" t="str">
        <f>""</f>
        <v/>
      </c>
      <c r="CM159" t="str">
        <f>""</f>
        <v/>
      </c>
    </row>
    <row r="160" spans="1:91" x14ac:dyDescent="0.3">
      <c r="A160" t="str">
        <f>""</f>
        <v/>
      </c>
      <c r="B160" t="str">
        <f>""</f>
        <v/>
      </c>
      <c r="C160" t="str">
        <f>""</f>
        <v/>
      </c>
      <c r="D160" t="str">
        <f>""</f>
        <v/>
      </c>
      <c r="E160" t="str">
        <f>""</f>
        <v/>
      </c>
      <c r="F160" t="str">
        <f>""</f>
        <v/>
      </c>
      <c r="G160" t="str">
        <f>""</f>
        <v/>
      </c>
      <c r="H160" t="str">
        <f>""</f>
        <v/>
      </c>
      <c r="I160" t="str">
        <f>""</f>
        <v/>
      </c>
      <c r="J160" t="str">
        <f>""</f>
        <v/>
      </c>
      <c r="K160" t="str">
        <f>""</f>
        <v/>
      </c>
      <c r="L160" t="str">
        <f>""</f>
        <v/>
      </c>
      <c r="M160" t="str">
        <f>""</f>
        <v/>
      </c>
      <c r="N160" t="str">
        <f>""</f>
        <v/>
      </c>
      <c r="O160" t="str">
        <f>""</f>
        <v/>
      </c>
      <c r="P160" t="str">
        <f>""</f>
        <v/>
      </c>
      <c r="Q160" t="str">
        <f>""</f>
        <v/>
      </c>
      <c r="R160" t="str">
        <f>""</f>
        <v/>
      </c>
      <c r="S160" t="str">
        <f>""</f>
        <v/>
      </c>
      <c r="T160" t="str">
        <f>""</f>
        <v/>
      </c>
      <c r="U160" t="str">
        <f>""</f>
        <v/>
      </c>
      <c r="V160" t="str">
        <f>""</f>
        <v/>
      </c>
      <c r="W160" t="str">
        <f>""</f>
        <v/>
      </c>
      <c r="X160" t="str">
        <f>""</f>
        <v/>
      </c>
      <c r="Y160" t="str">
        <f>""</f>
        <v/>
      </c>
      <c r="Z160" t="str">
        <f>""</f>
        <v/>
      </c>
      <c r="AA160" t="str">
        <f>""</f>
        <v/>
      </c>
      <c r="AB160" t="str">
        <f>""</f>
        <v/>
      </c>
      <c r="AC160" t="str">
        <f>""</f>
        <v/>
      </c>
      <c r="AD160" t="str">
        <f>""</f>
        <v/>
      </c>
      <c r="AE160" t="str">
        <f>""</f>
        <v/>
      </c>
      <c r="AF160" t="str">
        <f>""</f>
        <v/>
      </c>
      <c r="AG160" t="str">
        <f>""</f>
        <v/>
      </c>
      <c r="AH160" t="str">
        <f>""</f>
        <v/>
      </c>
      <c r="AI160" t="str">
        <f>""</f>
        <v/>
      </c>
      <c r="AJ160" t="str">
        <f>""</f>
        <v/>
      </c>
      <c r="AK160" t="str">
        <f>""</f>
        <v/>
      </c>
      <c r="AL160" t="str">
        <f>""</f>
        <v/>
      </c>
      <c r="AM160" t="str">
        <f>""</f>
        <v/>
      </c>
      <c r="AN160" t="str">
        <f>""</f>
        <v/>
      </c>
      <c r="AO160" t="str">
        <f>""</f>
        <v/>
      </c>
      <c r="AP160" t="str">
        <f>""</f>
        <v/>
      </c>
      <c r="AQ160" t="str">
        <f>""</f>
        <v/>
      </c>
      <c r="AR160" t="str">
        <f>""</f>
        <v/>
      </c>
      <c r="AS160" t="str">
        <f>""</f>
        <v/>
      </c>
      <c r="AT160" t="str">
        <f>""</f>
        <v/>
      </c>
      <c r="AU160" t="str">
        <f>""</f>
        <v/>
      </c>
      <c r="AV160" t="str">
        <f>""</f>
        <v/>
      </c>
      <c r="AW160" t="str">
        <f>""</f>
        <v/>
      </c>
      <c r="AX160" t="str">
        <f>""</f>
        <v/>
      </c>
      <c r="AY160" t="str">
        <f>""</f>
        <v/>
      </c>
      <c r="AZ160" t="str">
        <f>""</f>
        <v/>
      </c>
      <c r="BA160" t="str">
        <f>""</f>
        <v/>
      </c>
      <c r="BB160" t="str">
        <f>""</f>
        <v/>
      </c>
      <c r="BC160" t="str">
        <f>""</f>
        <v/>
      </c>
      <c r="BD160" t="str">
        <f>""</f>
        <v/>
      </c>
      <c r="BE160" t="str">
        <f>""</f>
        <v/>
      </c>
      <c r="BF160" t="str">
        <f>""</f>
        <v/>
      </c>
      <c r="BG160" t="str">
        <f>""</f>
        <v/>
      </c>
      <c r="BH160" t="str">
        <f>""</f>
        <v/>
      </c>
      <c r="BI160" t="str">
        <f>""</f>
        <v/>
      </c>
      <c r="BJ160" t="str">
        <f>""</f>
        <v/>
      </c>
      <c r="BK160" t="str">
        <f>""</f>
        <v/>
      </c>
      <c r="BL160" t="str">
        <f>""</f>
        <v/>
      </c>
      <c r="BM160" t="str">
        <f>""</f>
        <v/>
      </c>
      <c r="BN160" t="str">
        <f>""</f>
        <v/>
      </c>
      <c r="BO160" t="str">
        <f>""</f>
        <v/>
      </c>
      <c r="BP160" t="str">
        <f>""</f>
        <v/>
      </c>
      <c r="BQ160" t="str">
        <f>""</f>
        <v/>
      </c>
      <c r="BR160" t="str">
        <f>""</f>
        <v/>
      </c>
      <c r="BS160" t="str">
        <f>""</f>
        <v/>
      </c>
      <c r="BT160" t="str">
        <f>""</f>
        <v/>
      </c>
      <c r="BU160" t="str">
        <f>""</f>
        <v/>
      </c>
      <c r="BV160" t="str">
        <f>""</f>
        <v/>
      </c>
      <c r="BW160" t="str">
        <f>""</f>
        <v/>
      </c>
      <c r="BX160" t="str">
        <f>""</f>
        <v/>
      </c>
      <c r="BY160" t="str">
        <f>"(0.101)"</f>
        <v>(0.101)</v>
      </c>
      <c r="BZ160" t="str">
        <f>"(0.0959)"</f>
        <v>(0.0959)</v>
      </c>
      <c r="CA160" t="str">
        <f>"(0.0409)"</f>
        <v>(0.0409)</v>
      </c>
      <c r="CB160" t="str">
        <f>""</f>
        <v/>
      </c>
      <c r="CC160" t="str">
        <f>""</f>
        <v/>
      </c>
      <c r="CD160" t="str">
        <f>""</f>
        <v/>
      </c>
      <c r="CE160" t="str">
        <f>""</f>
        <v/>
      </c>
      <c r="CF160" t="str">
        <f>""</f>
        <v/>
      </c>
      <c r="CG160" t="str">
        <f>""</f>
        <v/>
      </c>
      <c r="CH160" t="str">
        <f>""</f>
        <v/>
      </c>
      <c r="CI160" t="str">
        <f>""</f>
        <v/>
      </c>
      <c r="CJ160" t="str">
        <f>""</f>
        <v/>
      </c>
      <c r="CK160" t="str">
        <f>""</f>
        <v/>
      </c>
      <c r="CL160" t="str">
        <f>""</f>
        <v/>
      </c>
      <c r="CM160" t="str">
        <f>""</f>
        <v/>
      </c>
    </row>
    <row r="162" spans="1:91" x14ac:dyDescent="0.3">
      <c r="A162" t="str">
        <f>"c.zMETAB12#c.gfapbr"</f>
        <v>c.zMETAB12#c.gfapbr</v>
      </c>
      <c r="B162" t="str">
        <f>""</f>
        <v/>
      </c>
      <c r="C162" t="str">
        <f>""</f>
        <v/>
      </c>
      <c r="D162" t="str">
        <f>""</f>
        <v/>
      </c>
      <c r="E162" t="str">
        <f>""</f>
        <v/>
      </c>
      <c r="F162" t="str">
        <f>""</f>
        <v/>
      </c>
      <c r="G162" t="str">
        <f>""</f>
        <v/>
      </c>
      <c r="H162" t="str">
        <f>""</f>
        <v/>
      </c>
      <c r="I162" t="str">
        <f>""</f>
        <v/>
      </c>
      <c r="J162" t="str">
        <f>""</f>
        <v/>
      </c>
      <c r="K162" t="str">
        <f>""</f>
        <v/>
      </c>
      <c r="L162" t="str">
        <f>""</f>
        <v/>
      </c>
      <c r="M162" t="str">
        <f>""</f>
        <v/>
      </c>
      <c r="N162" t="str">
        <f>""</f>
        <v/>
      </c>
      <c r="O162" t="str">
        <f>""</f>
        <v/>
      </c>
      <c r="P162" t="str">
        <f>""</f>
        <v/>
      </c>
      <c r="Q162" t="str">
        <f>""</f>
        <v/>
      </c>
      <c r="R162" t="str">
        <f>""</f>
        <v/>
      </c>
      <c r="S162" t="str">
        <f>""</f>
        <v/>
      </c>
      <c r="T162" t="str">
        <f>""</f>
        <v/>
      </c>
      <c r="U162" t="str">
        <f>""</f>
        <v/>
      </c>
      <c r="V162" t="str">
        <f>""</f>
        <v/>
      </c>
      <c r="W162" t="str">
        <f>""</f>
        <v/>
      </c>
      <c r="X162" t="str">
        <f>""</f>
        <v/>
      </c>
      <c r="Y162" t="str">
        <f>""</f>
        <v/>
      </c>
      <c r="Z162" t="str">
        <f>""</f>
        <v/>
      </c>
      <c r="AA162" t="str">
        <f>""</f>
        <v/>
      </c>
      <c r="AB162" t="str">
        <f>""</f>
        <v/>
      </c>
      <c r="AC162" t="str">
        <f>""</f>
        <v/>
      </c>
      <c r="AD162" t="str">
        <f>""</f>
        <v/>
      </c>
      <c r="AE162" t="str">
        <f>""</f>
        <v/>
      </c>
      <c r="AF162" t="str">
        <f>""</f>
        <v/>
      </c>
      <c r="AG162" t="str">
        <f>""</f>
        <v/>
      </c>
      <c r="AH162" t="str">
        <f>""</f>
        <v/>
      </c>
      <c r="AI162" t="str">
        <f>""</f>
        <v/>
      </c>
      <c r="AJ162" t="str">
        <f>""</f>
        <v/>
      </c>
      <c r="AK162" t="str">
        <f>""</f>
        <v/>
      </c>
      <c r="AL162" t="str">
        <f>""</f>
        <v/>
      </c>
      <c r="AM162" t="str">
        <f>""</f>
        <v/>
      </c>
      <c r="AN162" t="str">
        <f>""</f>
        <v/>
      </c>
      <c r="AO162" t="str">
        <f>""</f>
        <v/>
      </c>
      <c r="AP162" t="str">
        <f>""</f>
        <v/>
      </c>
      <c r="AQ162" t="str">
        <f>""</f>
        <v/>
      </c>
      <c r="AR162" t="str">
        <f>""</f>
        <v/>
      </c>
      <c r="AS162" t="str">
        <f>""</f>
        <v/>
      </c>
      <c r="AT162" t="str">
        <f>""</f>
        <v/>
      </c>
      <c r="AU162" t="str">
        <f>""</f>
        <v/>
      </c>
      <c r="AV162" t="str">
        <f>""</f>
        <v/>
      </c>
      <c r="AW162" t="str">
        <f>""</f>
        <v/>
      </c>
      <c r="AX162" t="str">
        <f>""</f>
        <v/>
      </c>
      <c r="AY162" t="str">
        <f>""</f>
        <v/>
      </c>
      <c r="AZ162" t="str">
        <f>""</f>
        <v/>
      </c>
      <c r="BA162" t="str">
        <f>""</f>
        <v/>
      </c>
      <c r="BB162" t="str">
        <f>""</f>
        <v/>
      </c>
      <c r="BC162" t="str">
        <f>""</f>
        <v/>
      </c>
      <c r="BD162" t="str">
        <f>""</f>
        <v/>
      </c>
      <c r="BE162" t="str">
        <f>""</f>
        <v/>
      </c>
      <c r="BF162" t="str">
        <f>""</f>
        <v/>
      </c>
      <c r="BG162" t="str">
        <f>""</f>
        <v/>
      </c>
      <c r="BH162" t="str">
        <f>""</f>
        <v/>
      </c>
      <c r="BI162" t="str">
        <f>""</f>
        <v/>
      </c>
      <c r="BJ162" t="str">
        <f>""</f>
        <v/>
      </c>
      <c r="BK162" t="str">
        <f>""</f>
        <v/>
      </c>
      <c r="BL162" t="str">
        <f>""</f>
        <v/>
      </c>
      <c r="BM162" t="str">
        <f>""</f>
        <v/>
      </c>
      <c r="BN162" t="str">
        <f>""</f>
        <v/>
      </c>
      <c r="BO162" t="str">
        <f>""</f>
        <v/>
      </c>
      <c r="BP162" t="str">
        <f>""</f>
        <v/>
      </c>
      <c r="BQ162" t="str">
        <f>""</f>
        <v/>
      </c>
      <c r="BR162" t="str">
        <f>""</f>
        <v/>
      </c>
      <c r="BS162" t="str">
        <f>""</f>
        <v/>
      </c>
      <c r="BT162" t="str">
        <f>""</f>
        <v/>
      </c>
      <c r="BU162" t="str">
        <f>""</f>
        <v/>
      </c>
      <c r="BV162" t="str">
        <f>""</f>
        <v/>
      </c>
      <c r="BW162" t="str">
        <f>""</f>
        <v/>
      </c>
      <c r="BX162" t="str">
        <f>""</f>
        <v/>
      </c>
      <c r="BY162" t="str">
        <f>""</f>
        <v/>
      </c>
      <c r="BZ162" t="str">
        <f>""</f>
        <v/>
      </c>
      <c r="CA162" t="str">
        <f>""</f>
        <v/>
      </c>
      <c r="CB162" t="str">
        <f>"0.0121"</f>
        <v>0.0121</v>
      </c>
      <c r="CC162" t="str">
        <f>"-0.215*"</f>
        <v>-0.215*</v>
      </c>
      <c r="CD162" t="str">
        <f>"0.0107"</f>
        <v>0.0107</v>
      </c>
      <c r="CE162" t="str">
        <f>""</f>
        <v/>
      </c>
      <c r="CF162" t="str">
        <f>""</f>
        <v/>
      </c>
      <c r="CG162" t="str">
        <f>""</f>
        <v/>
      </c>
      <c r="CH162" t="str">
        <f>""</f>
        <v/>
      </c>
      <c r="CI162" t="str">
        <f>""</f>
        <v/>
      </c>
      <c r="CJ162" t="str">
        <f>""</f>
        <v/>
      </c>
      <c r="CK162" t="str">
        <f>""</f>
        <v/>
      </c>
      <c r="CL162" t="str">
        <f>""</f>
        <v/>
      </c>
      <c r="CM162" t="str">
        <f>""</f>
        <v/>
      </c>
    </row>
    <row r="163" spans="1:91" x14ac:dyDescent="0.3">
      <c r="A163" t="str">
        <f>""</f>
        <v/>
      </c>
      <c r="B163" t="str">
        <f>""</f>
        <v/>
      </c>
      <c r="C163" t="str">
        <f>""</f>
        <v/>
      </c>
      <c r="D163" t="str">
        <f>""</f>
        <v/>
      </c>
      <c r="E163" t="str">
        <f>""</f>
        <v/>
      </c>
      <c r="F163" t="str">
        <f>""</f>
        <v/>
      </c>
      <c r="G163" t="str">
        <f>""</f>
        <v/>
      </c>
      <c r="H163" t="str">
        <f>""</f>
        <v/>
      </c>
      <c r="I163" t="str">
        <f>""</f>
        <v/>
      </c>
      <c r="J163" t="str">
        <f>""</f>
        <v/>
      </c>
      <c r="K163" t="str">
        <f>""</f>
        <v/>
      </c>
      <c r="L163" t="str">
        <f>""</f>
        <v/>
      </c>
      <c r="M163" t="str">
        <f>""</f>
        <v/>
      </c>
      <c r="N163" t="str">
        <f>""</f>
        <v/>
      </c>
      <c r="O163" t="str">
        <f>""</f>
        <v/>
      </c>
      <c r="P163" t="str">
        <f>""</f>
        <v/>
      </c>
      <c r="Q163" t="str">
        <f>""</f>
        <v/>
      </c>
      <c r="R163" t="str">
        <f>""</f>
        <v/>
      </c>
      <c r="S163" t="str">
        <f>""</f>
        <v/>
      </c>
      <c r="T163" t="str">
        <f>""</f>
        <v/>
      </c>
      <c r="U163" t="str">
        <f>""</f>
        <v/>
      </c>
      <c r="V163" t="str">
        <f>""</f>
        <v/>
      </c>
      <c r="W163" t="str">
        <f>""</f>
        <v/>
      </c>
      <c r="X163" t="str">
        <f>""</f>
        <v/>
      </c>
      <c r="Y163" t="str">
        <f>""</f>
        <v/>
      </c>
      <c r="Z163" t="str">
        <f>""</f>
        <v/>
      </c>
      <c r="AA163" t="str">
        <f>""</f>
        <v/>
      </c>
      <c r="AB163" t="str">
        <f>""</f>
        <v/>
      </c>
      <c r="AC163" t="str">
        <f>""</f>
        <v/>
      </c>
      <c r="AD163" t="str">
        <f>""</f>
        <v/>
      </c>
      <c r="AE163" t="str">
        <f>""</f>
        <v/>
      </c>
      <c r="AF163" t="str">
        <f>""</f>
        <v/>
      </c>
      <c r="AG163" t="str">
        <f>""</f>
        <v/>
      </c>
      <c r="AH163" t="str">
        <f>""</f>
        <v/>
      </c>
      <c r="AI163" t="str">
        <f>""</f>
        <v/>
      </c>
      <c r="AJ163" t="str">
        <f>""</f>
        <v/>
      </c>
      <c r="AK163" t="str">
        <f>""</f>
        <v/>
      </c>
      <c r="AL163" t="str">
        <f>""</f>
        <v/>
      </c>
      <c r="AM163" t="str">
        <f>""</f>
        <v/>
      </c>
      <c r="AN163" t="str">
        <f>""</f>
        <v/>
      </c>
      <c r="AO163" t="str">
        <f>""</f>
        <v/>
      </c>
      <c r="AP163" t="str">
        <f>""</f>
        <v/>
      </c>
      <c r="AQ163" t="str">
        <f>""</f>
        <v/>
      </c>
      <c r="AR163" t="str">
        <f>""</f>
        <v/>
      </c>
      <c r="AS163" t="str">
        <f>""</f>
        <v/>
      </c>
      <c r="AT163" t="str">
        <f>""</f>
        <v/>
      </c>
      <c r="AU163" t="str">
        <f>""</f>
        <v/>
      </c>
      <c r="AV163" t="str">
        <f>""</f>
        <v/>
      </c>
      <c r="AW163" t="str">
        <f>""</f>
        <v/>
      </c>
      <c r="AX163" t="str">
        <f>""</f>
        <v/>
      </c>
      <c r="AY163" t="str">
        <f>""</f>
        <v/>
      </c>
      <c r="AZ163" t="str">
        <f>""</f>
        <v/>
      </c>
      <c r="BA163" t="str">
        <f>""</f>
        <v/>
      </c>
      <c r="BB163" t="str">
        <f>""</f>
        <v/>
      </c>
      <c r="BC163" t="str">
        <f>""</f>
        <v/>
      </c>
      <c r="BD163" t="str">
        <f>""</f>
        <v/>
      </c>
      <c r="BE163" t="str">
        <f>""</f>
        <v/>
      </c>
      <c r="BF163" t="str">
        <f>""</f>
        <v/>
      </c>
      <c r="BG163" t="str">
        <f>""</f>
        <v/>
      </c>
      <c r="BH163" t="str">
        <f>""</f>
        <v/>
      </c>
      <c r="BI163" t="str">
        <f>""</f>
        <v/>
      </c>
      <c r="BJ163" t="str">
        <f>""</f>
        <v/>
      </c>
      <c r="BK163" t="str">
        <f>""</f>
        <v/>
      </c>
      <c r="BL163" t="str">
        <f>""</f>
        <v/>
      </c>
      <c r="BM163" t="str">
        <f>""</f>
        <v/>
      </c>
      <c r="BN163" t="str">
        <f>""</f>
        <v/>
      </c>
      <c r="BO163" t="str">
        <f>""</f>
        <v/>
      </c>
      <c r="BP163" t="str">
        <f>""</f>
        <v/>
      </c>
      <c r="BQ163" t="str">
        <f>""</f>
        <v/>
      </c>
      <c r="BR163" t="str">
        <f>""</f>
        <v/>
      </c>
      <c r="BS163" t="str">
        <f>""</f>
        <v/>
      </c>
      <c r="BT163" t="str">
        <f>""</f>
        <v/>
      </c>
      <c r="BU163" t="str">
        <f>""</f>
        <v/>
      </c>
      <c r="BV163" t="str">
        <f>""</f>
        <v/>
      </c>
      <c r="BW163" t="str">
        <f>""</f>
        <v/>
      </c>
      <c r="BX163" t="str">
        <f>""</f>
        <v/>
      </c>
      <c r="BY163" t="str">
        <f>""</f>
        <v/>
      </c>
      <c r="BZ163" t="str">
        <f>""</f>
        <v/>
      </c>
      <c r="CA163" t="str">
        <f>""</f>
        <v/>
      </c>
      <c r="CB163" t="str">
        <f>"(0.102)"</f>
        <v>(0.102)</v>
      </c>
      <c r="CC163" t="str">
        <f>"(0.0979)"</f>
        <v>(0.0979)</v>
      </c>
      <c r="CD163" t="str">
        <f>"(0.0423)"</f>
        <v>(0.0423)</v>
      </c>
      <c r="CE163" t="str">
        <f>""</f>
        <v/>
      </c>
      <c r="CF163" t="str">
        <f>""</f>
        <v/>
      </c>
      <c r="CG163" t="str">
        <f>""</f>
        <v/>
      </c>
      <c r="CH163" t="str">
        <f>""</f>
        <v/>
      </c>
      <c r="CI163" t="str">
        <f>""</f>
        <v/>
      </c>
      <c r="CJ163" t="str">
        <f>""</f>
        <v/>
      </c>
      <c r="CK163" t="str">
        <f>""</f>
        <v/>
      </c>
      <c r="CL163" t="str">
        <f>""</f>
        <v/>
      </c>
      <c r="CM163" t="str">
        <f>""</f>
        <v/>
      </c>
    </row>
    <row r="165" spans="1:91" x14ac:dyDescent="0.3">
      <c r="A165" t="str">
        <f>"c.zMETAB13#c.gfapbr"</f>
        <v>c.zMETAB13#c.gfapbr</v>
      </c>
      <c r="B165" t="str">
        <f>""</f>
        <v/>
      </c>
      <c r="C165" t="str">
        <f>""</f>
        <v/>
      </c>
      <c r="D165" t="str">
        <f>""</f>
        <v/>
      </c>
      <c r="E165" t="str">
        <f>""</f>
        <v/>
      </c>
      <c r="F165" t="str">
        <f>""</f>
        <v/>
      </c>
      <c r="G165" t="str">
        <f>""</f>
        <v/>
      </c>
      <c r="H165" t="str">
        <f>""</f>
        <v/>
      </c>
      <c r="I165" t="str">
        <f>""</f>
        <v/>
      </c>
      <c r="J165" t="str">
        <f>""</f>
        <v/>
      </c>
      <c r="K165" t="str">
        <f>""</f>
        <v/>
      </c>
      <c r="L165" t="str">
        <f>""</f>
        <v/>
      </c>
      <c r="M165" t="str">
        <f>""</f>
        <v/>
      </c>
      <c r="N165" t="str">
        <f>""</f>
        <v/>
      </c>
      <c r="O165" t="str">
        <f>""</f>
        <v/>
      </c>
      <c r="P165" t="str">
        <f>""</f>
        <v/>
      </c>
      <c r="Q165" t="str">
        <f>""</f>
        <v/>
      </c>
      <c r="R165" t="str">
        <f>""</f>
        <v/>
      </c>
      <c r="S165" t="str">
        <f>""</f>
        <v/>
      </c>
      <c r="T165" t="str">
        <f>""</f>
        <v/>
      </c>
      <c r="U165" t="str">
        <f>""</f>
        <v/>
      </c>
      <c r="V165" t="str">
        <f>""</f>
        <v/>
      </c>
      <c r="W165" t="str">
        <f>""</f>
        <v/>
      </c>
      <c r="X165" t="str">
        <f>""</f>
        <v/>
      </c>
      <c r="Y165" t="str">
        <f>""</f>
        <v/>
      </c>
      <c r="Z165" t="str">
        <f>""</f>
        <v/>
      </c>
      <c r="AA165" t="str">
        <f>""</f>
        <v/>
      </c>
      <c r="AB165" t="str">
        <f>""</f>
        <v/>
      </c>
      <c r="AC165" t="str">
        <f>""</f>
        <v/>
      </c>
      <c r="AD165" t="str">
        <f>""</f>
        <v/>
      </c>
      <c r="AE165" t="str">
        <f>""</f>
        <v/>
      </c>
      <c r="AF165" t="str">
        <f>""</f>
        <v/>
      </c>
      <c r="AG165" t="str">
        <f>""</f>
        <v/>
      </c>
      <c r="AH165" t="str">
        <f>""</f>
        <v/>
      </c>
      <c r="AI165" t="str">
        <f>""</f>
        <v/>
      </c>
      <c r="AJ165" t="str">
        <f>""</f>
        <v/>
      </c>
      <c r="AK165" t="str">
        <f>""</f>
        <v/>
      </c>
      <c r="AL165" t="str">
        <f>""</f>
        <v/>
      </c>
      <c r="AM165" t="str">
        <f>""</f>
        <v/>
      </c>
      <c r="AN165" t="str">
        <f>""</f>
        <v/>
      </c>
      <c r="AO165" t="str">
        <f>""</f>
        <v/>
      </c>
      <c r="AP165" t="str">
        <f>""</f>
        <v/>
      </c>
      <c r="AQ165" t="str">
        <f>""</f>
        <v/>
      </c>
      <c r="AR165" t="str">
        <f>""</f>
        <v/>
      </c>
      <c r="AS165" t="str">
        <f>""</f>
        <v/>
      </c>
      <c r="AT165" t="str">
        <f>""</f>
        <v/>
      </c>
      <c r="AU165" t="str">
        <f>""</f>
        <v/>
      </c>
      <c r="AV165" t="str">
        <f>""</f>
        <v/>
      </c>
      <c r="AW165" t="str">
        <f>""</f>
        <v/>
      </c>
      <c r="AX165" t="str">
        <f>""</f>
        <v/>
      </c>
      <c r="AY165" t="str">
        <f>""</f>
        <v/>
      </c>
      <c r="AZ165" t="str">
        <f>""</f>
        <v/>
      </c>
      <c r="BA165" t="str">
        <f>""</f>
        <v/>
      </c>
      <c r="BB165" t="str">
        <f>""</f>
        <v/>
      </c>
      <c r="BC165" t="str">
        <f>""</f>
        <v/>
      </c>
      <c r="BD165" t="str">
        <f>""</f>
        <v/>
      </c>
      <c r="BE165" t="str">
        <f>""</f>
        <v/>
      </c>
      <c r="BF165" t="str">
        <f>""</f>
        <v/>
      </c>
      <c r="BG165" t="str">
        <f>""</f>
        <v/>
      </c>
      <c r="BH165" t="str">
        <f>""</f>
        <v/>
      </c>
      <c r="BI165" t="str">
        <f>""</f>
        <v/>
      </c>
      <c r="BJ165" t="str">
        <f>""</f>
        <v/>
      </c>
      <c r="BK165" t="str">
        <f>""</f>
        <v/>
      </c>
      <c r="BL165" t="str">
        <f>""</f>
        <v/>
      </c>
      <c r="BM165" t="str">
        <f>""</f>
        <v/>
      </c>
      <c r="BN165" t="str">
        <f>""</f>
        <v/>
      </c>
      <c r="BO165" t="str">
        <f>""</f>
        <v/>
      </c>
      <c r="BP165" t="str">
        <f>""</f>
        <v/>
      </c>
      <c r="BQ165" t="str">
        <f>""</f>
        <v/>
      </c>
      <c r="BR165" t="str">
        <f>""</f>
        <v/>
      </c>
      <c r="BS165" t="str">
        <f>""</f>
        <v/>
      </c>
      <c r="BT165" t="str">
        <f>""</f>
        <v/>
      </c>
      <c r="BU165" t="str">
        <f>""</f>
        <v/>
      </c>
      <c r="BV165" t="str">
        <f>""</f>
        <v/>
      </c>
      <c r="BW165" t="str">
        <f>""</f>
        <v/>
      </c>
      <c r="BX165" t="str">
        <f>""</f>
        <v/>
      </c>
      <c r="BY165" t="str">
        <f>""</f>
        <v/>
      </c>
      <c r="BZ165" t="str">
        <f>""</f>
        <v/>
      </c>
      <c r="CA165" t="str">
        <f>""</f>
        <v/>
      </c>
      <c r="CB165" t="str">
        <f>""</f>
        <v/>
      </c>
      <c r="CC165" t="str">
        <f>""</f>
        <v/>
      </c>
      <c r="CD165" t="str">
        <f>""</f>
        <v/>
      </c>
      <c r="CE165" t="str">
        <f>"0.0353"</f>
        <v>0.0353</v>
      </c>
      <c r="CF165" t="str">
        <f>"-0.0877"</f>
        <v>-0.0877</v>
      </c>
      <c r="CG165" t="str">
        <f>"-0.0368"</f>
        <v>-0.0368</v>
      </c>
      <c r="CH165" t="str">
        <f>""</f>
        <v/>
      </c>
      <c r="CI165" t="str">
        <f>""</f>
        <v/>
      </c>
      <c r="CJ165" t="str">
        <f>""</f>
        <v/>
      </c>
      <c r="CK165" t="str">
        <f>""</f>
        <v/>
      </c>
      <c r="CL165" t="str">
        <f>""</f>
        <v/>
      </c>
      <c r="CM165" t="str">
        <f>""</f>
        <v/>
      </c>
    </row>
    <row r="166" spans="1:91" x14ac:dyDescent="0.3">
      <c r="A166" t="str">
        <f>""</f>
        <v/>
      </c>
      <c r="B166" t="str">
        <f>""</f>
        <v/>
      </c>
      <c r="C166" t="str">
        <f>""</f>
        <v/>
      </c>
      <c r="D166" t="str">
        <f>""</f>
        <v/>
      </c>
      <c r="E166" t="str">
        <f>""</f>
        <v/>
      </c>
      <c r="F166" t="str">
        <f>""</f>
        <v/>
      </c>
      <c r="G166" t="str">
        <f>""</f>
        <v/>
      </c>
      <c r="H166" t="str">
        <f>""</f>
        <v/>
      </c>
      <c r="I166" t="str">
        <f>""</f>
        <v/>
      </c>
      <c r="J166" t="str">
        <f>""</f>
        <v/>
      </c>
      <c r="K166" t="str">
        <f>""</f>
        <v/>
      </c>
      <c r="L166" t="str">
        <f>""</f>
        <v/>
      </c>
      <c r="M166" t="str">
        <f>""</f>
        <v/>
      </c>
      <c r="N166" t="str">
        <f>""</f>
        <v/>
      </c>
      <c r="O166" t="str">
        <f>""</f>
        <v/>
      </c>
      <c r="P166" t="str">
        <f>""</f>
        <v/>
      </c>
      <c r="Q166" t="str">
        <f>""</f>
        <v/>
      </c>
      <c r="R166" t="str">
        <f>""</f>
        <v/>
      </c>
      <c r="S166" t="str">
        <f>""</f>
        <v/>
      </c>
      <c r="T166" t="str">
        <f>""</f>
        <v/>
      </c>
      <c r="U166" t="str">
        <f>""</f>
        <v/>
      </c>
      <c r="V166" t="str">
        <f>""</f>
        <v/>
      </c>
      <c r="W166" t="str">
        <f>""</f>
        <v/>
      </c>
      <c r="X166" t="str">
        <f>""</f>
        <v/>
      </c>
      <c r="Y166" t="str">
        <f>""</f>
        <v/>
      </c>
      <c r="Z166" t="str">
        <f>""</f>
        <v/>
      </c>
      <c r="AA166" t="str">
        <f>""</f>
        <v/>
      </c>
      <c r="AB166" t="str">
        <f>""</f>
        <v/>
      </c>
      <c r="AC166" t="str">
        <f>""</f>
        <v/>
      </c>
      <c r="AD166" t="str">
        <f>""</f>
        <v/>
      </c>
      <c r="AE166" t="str">
        <f>""</f>
        <v/>
      </c>
      <c r="AF166" t="str">
        <f>""</f>
        <v/>
      </c>
      <c r="AG166" t="str">
        <f>""</f>
        <v/>
      </c>
      <c r="AH166" t="str">
        <f>""</f>
        <v/>
      </c>
      <c r="AI166" t="str">
        <f>""</f>
        <v/>
      </c>
      <c r="AJ166" t="str">
        <f>""</f>
        <v/>
      </c>
      <c r="AK166" t="str">
        <f>""</f>
        <v/>
      </c>
      <c r="AL166" t="str">
        <f>""</f>
        <v/>
      </c>
      <c r="AM166" t="str">
        <f>""</f>
        <v/>
      </c>
      <c r="AN166" t="str">
        <f>""</f>
        <v/>
      </c>
      <c r="AO166" t="str">
        <f>""</f>
        <v/>
      </c>
      <c r="AP166" t="str">
        <f>""</f>
        <v/>
      </c>
      <c r="AQ166" t="str">
        <f>""</f>
        <v/>
      </c>
      <c r="AR166" t="str">
        <f>""</f>
        <v/>
      </c>
      <c r="AS166" t="str">
        <f>""</f>
        <v/>
      </c>
      <c r="AT166" t="str">
        <f>""</f>
        <v/>
      </c>
      <c r="AU166" t="str">
        <f>""</f>
        <v/>
      </c>
      <c r="AV166" t="str">
        <f>""</f>
        <v/>
      </c>
      <c r="AW166" t="str">
        <f>""</f>
        <v/>
      </c>
      <c r="AX166" t="str">
        <f>""</f>
        <v/>
      </c>
      <c r="AY166" t="str">
        <f>""</f>
        <v/>
      </c>
      <c r="AZ166" t="str">
        <f>""</f>
        <v/>
      </c>
      <c r="BA166" t="str">
        <f>""</f>
        <v/>
      </c>
      <c r="BB166" t="str">
        <f>""</f>
        <v/>
      </c>
      <c r="BC166" t="str">
        <f>""</f>
        <v/>
      </c>
      <c r="BD166" t="str">
        <f>""</f>
        <v/>
      </c>
      <c r="BE166" t="str">
        <f>""</f>
        <v/>
      </c>
      <c r="BF166" t="str">
        <f>""</f>
        <v/>
      </c>
      <c r="BG166" t="str">
        <f>""</f>
        <v/>
      </c>
      <c r="BH166" t="str">
        <f>""</f>
        <v/>
      </c>
      <c r="BI166" t="str">
        <f>""</f>
        <v/>
      </c>
      <c r="BJ166" t="str">
        <f>""</f>
        <v/>
      </c>
      <c r="BK166" t="str">
        <f>""</f>
        <v/>
      </c>
      <c r="BL166" t="str">
        <f>""</f>
        <v/>
      </c>
      <c r="BM166" t="str">
        <f>""</f>
        <v/>
      </c>
      <c r="BN166" t="str">
        <f>""</f>
        <v/>
      </c>
      <c r="BO166" t="str">
        <f>""</f>
        <v/>
      </c>
      <c r="BP166" t="str">
        <f>""</f>
        <v/>
      </c>
      <c r="BQ166" t="str">
        <f>""</f>
        <v/>
      </c>
      <c r="BR166" t="str">
        <f>""</f>
        <v/>
      </c>
      <c r="BS166" t="str">
        <f>""</f>
        <v/>
      </c>
      <c r="BT166" t="str">
        <f>""</f>
        <v/>
      </c>
      <c r="BU166" t="str">
        <f>""</f>
        <v/>
      </c>
      <c r="BV166" t="str">
        <f>""</f>
        <v/>
      </c>
      <c r="BW166" t="str">
        <f>""</f>
        <v/>
      </c>
      <c r="BX166" t="str">
        <f>""</f>
        <v/>
      </c>
      <c r="BY166" t="str">
        <f>""</f>
        <v/>
      </c>
      <c r="BZ166" t="str">
        <f>""</f>
        <v/>
      </c>
      <c r="CA166" t="str">
        <f>""</f>
        <v/>
      </c>
      <c r="CB166" t="str">
        <f>""</f>
        <v/>
      </c>
      <c r="CC166" t="str">
        <f>""</f>
        <v/>
      </c>
      <c r="CD166" t="str">
        <f>""</f>
        <v/>
      </c>
      <c r="CE166" t="str">
        <f>"(0.103)"</f>
        <v>(0.103)</v>
      </c>
      <c r="CF166" t="str">
        <f>"(0.100)"</f>
        <v>(0.100)</v>
      </c>
      <c r="CG166" t="str">
        <f>"(0.0437)"</f>
        <v>(0.0437)</v>
      </c>
      <c r="CH166" t="str">
        <f>""</f>
        <v/>
      </c>
      <c r="CI166" t="str">
        <f>""</f>
        <v/>
      </c>
      <c r="CJ166" t="str">
        <f>""</f>
        <v/>
      </c>
      <c r="CK166" t="str">
        <f>""</f>
        <v/>
      </c>
      <c r="CL166" t="str">
        <f>""</f>
        <v/>
      </c>
      <c r="CM166" t="str">
        <f>""</f>
        <v/>
      </c>
    </row>
    <row r="168" spans="1:91" x14ac:dyDescent="0.3">
      <c r="A168" t="str">
        <f>"c.zMETAB14#c.gfapbr"</f>
        <v>c.zMETAB14#c.gfapbr</v>
      </c>
      <c r="B168" t="str">
        <f>""</f>
        <v/>
      </c>
      <c r="C168" t="str">
        <f>""</f>
        <v/>
      </c>
      <c r="D168" t="str">
        <f>""</f>
        <v/>
      </c>
      <c r="E168" t="str">
        <f>""</f>
        <v/>
      </c>
      <c r="F168" t="str">
        <f>""</f>
        <v/>
      </c>
      <c r="G168" t="str">
        <f>""</f>
        <v/>
      </c>
      <c r="H168" t="str">
        <f>""</f>
        <v/>
      </c>
      <c r="I168" t="str">
        <f>""</f>
        <v/>
      </c>
      <c r="J168" t="str">
        <f>""</f>
        <v/>
      </c>
      <c r="K168" t="str">
        <f>""</f>
        <v/>
      </c>
      <c r="L168" t="str">
        <f>""</f>
        <v/>
      </c>
      <c r="M168" t="str">
        <f>""</f>
        <v/>
      </c>
      <c r="N168" t="str">
        <f>""</f>
        <v/>
      </c>
      <c r="O168" t="str">
        <f>""</f>
        <v/>
      </c>
      <c r="P168" t="str">
        <f>""</f>
        <v/>
      </c>
      <c r="Q168" t="str">
        <f>""</f>
        <v/>
      </c>
      <c r="R168" t="str">
        <f>""</f>
        <v/>
      </c>
      <c r="S168" t="str">
        <f>""</f>
        <v/>
      </c>
      <c r="T168" t="str">
        <f>""</f>
        <v/>
      </c>
      <c r="U168" t="str">
        <f>""</f>
        <v/>
      </c>
      <c r="V168" t="str">
        <f>""</f>
        <v/>
      </c>
      <c r="W168" t="str">
        <f>""</f>
        <v/>
      </c>
      <c r="X168" t="str">
        <f>""</f>
        <v/>
      </c>
      <c r="Y168" t="str">
        <f>""</f>
        <v/>
      </c>
      <c r="Z168" t="str">
        <f>""</f>
        <v/>
      </c>
      <c r="AA168" t="str">
        <f>""</f>
        <v/>
      </c>
      <c r="AB168" t="str">
        <f>""</f>
        <v/>
      </c>
      <c r="AC168" t="str">
        <f>""</f>
        <v/>
      </c>
      <c r="AD168" t="str">
        <f>""</f>
        <v/>
      </c>
      <c r="AE168" t="str">
        <f>""</f>
        <v/>
      </c>
      <c r="AF168" t="str">
        <f>""</f>
        <v/>
      </c>
      <c r="AG168" t="str">
        <f>""</f>
        <v/>
      </c>
      <c r="AH168" t="str">
        <f>""</f>
        <v/>
      </c>
      <c r="AI168" t="str">
        <f>""</f>
        <v/>
      </c>
      <c r="AJ168" t="str">
        <f>""</f>
        <v/>
      </c>
      <c r="AK168" t="str">
        <f>""</f>
        <v/>
      </c>
      <c r="AL168" t="str">
        <f>""</f>
        <v/>
      </c>
      <c r="AM168" t="str">
        <f>""</f>
        <v/>
      </c>
      <c r="AN168" t="str">
        <f>""</f>
        <v/>
      </c>
      <c r="AO168" t="str">
        <f>""</f>
        <v/>
      </c>
      <c r="AP168" t="str">
        <f>""</f>
        <v/>
      </c>
      <c r="AQ168" t="str">
        <f>""</f>
        <v/>
      </c>
      <c r="AR168" t="str">
        <f>""</f>
        <v/>
      </c>
      <c r="AS168" t="str">
        <f>""</f>
        <v/>
      </c>
      <c r="AT168" t="str">
        <f>""</f>
        <v/>
      </c>
      <c r="AU168" t="str">
        <f>""</f>
        <v/>
      </c>
      <c r="AV168" t="str">
        <f>""</f>
        <v/>
      </c>
      <c r="AW168" t="str">
        <f>""</f>
        <v/>
      </c>
      <c r="AX168" t="str">
        <f>""</f>
        <v/>
      </c>
      <c r="AY168" t="str">
        <f>""</f>
        <v/>
      </c>
      <c r="AZ168" t="str">
        <f>""</f>
        <v/>
      </c>
      <c r="BA168" t="str">
        <f>""</f>
        <v/>
      </c>
      <c r="BB168" t="str">
        <f>""</f>
        <v/>
      </c>
      <c r="BC168" t="str">
        <f>""</f>
        <v/>
      </c>
      <c r="BD168" t="str">
        <f>""</f>
        <v/>
      </c>
      <c r="BE168" t="str">
        <f>""</f>
        <v/>
      </c>
      <c r="BF168" t="str">
        <f>""</f>
        <v/>
      </c>
      <c r="BG168" t="str">
        <f>""</f>
        <v/>
      </c>
      <c r="BH168" t="str">
        <f>""</f>
        <v/>
      </c>
      <c r="BI168" t="str">
        <f>""</f>
        <v/>
      </c>
      <c r="BJ168" t="str">
        <f>""</f>
        <v/>
      </c>
      <c r="BK168" t="str">
        <f>""</f>
        <v/>
      </c>
      <c r="BL168" t="str">
        <f>""</f>
        <v/>
      </c>
      <c r="BM168" t="str">
        <f>""</f>
        <v/>
      </c>
      <c r="BN168" t="str">
        <f>""</f>
        <v/>
      </c>
      <c r="BO168" t="str">
        <f>""</f>
        <v/>
      </c>
      <c r="BP168" t="str">
        <f>""</f>
        <v/>
      </c>
      <c r="BQ168" t="str">
        <f>""</f>
        <v/>
      </c>
      <c r="BR168" t="str">
        <f>""</f>
        <v/>
      </c>
      <c r="BS168" t="str">
        <f>""</f>
        <v/>
      </c>
      <c r="BT168" t="str">
        <f>""</f>
        <v/>
      </c>
      <c r="BU168" t="str">
        <f>""</f>
        <v/>
      </c>
      <c r="BV168" t="str">
        <f>""</f>
        <v/>
      </c>
      <c r="BW168" t="str">
        <f>""</f>
        <v/>
      </c>
      <c r="BX168" t="str">
        <f>""</f>
        <v/>
      </c>
      <c r="BY168" t="str">
        <f>""</f>
        <v/>
      </c>
      <c r="BZ168" t="str">
        <f>""</f>
        <v/>
      </c>
      <c r="CA168" t="str">
        <f>""</f>
        <v/>
      </c>
      <c r="CB168" t="str">
        <f>""</f>
        <v/>
      </c>
      <c r="CC168" t="str">
        <f>""</f>
        <v/>
      </c>
      <c r="CD168" t="str">
        <f>""</f>
        <v/>
      </c>
      <c r="CE168" t="str">
        <f>""</f>
        <v/>
      </c>
      <c r="CF168" t="str">
        <f>""</f>
        <v/>
      </c>
      <c r="CG168" t="str">
        <f>""</f>
        <v/>
      </c>
      <c r="CH168" t="str">
        <f>"0.0486"</f>
        <v>0.0486</v>
      </c>
      <c r="CI168" t="str">
        <f>"-0.0822"</f>
        <v>-0.0822</v>
      </c>
      <c r="CJ168" t="str">
        <f>"-0.0177"</f>
        <v>-0.0177</v>
      </c>
      <c r="CK168" t="str">
        <f>""</f>
        <v/>
      </c>
      <c r="CL168" t="str">
        <f>""</f>
        <v/>
      </c>
      <c r="CM168" t="str">
        <f>""</f>
        <v/>
      </c>
    </row>
    <row r="169" spans="1:91" x14ac:dyDescent="0.3">
      <c r="A169" t="str">
        <f>""</f>
        <v/>
      </c>
      <c r="B169" t="str">
        <f>""</f>
        <v/>
      </c>
      <c r="C169" t="str">
        <f>""</f>
        <v/>
      </c>
      <c r="D169" t="str">
        <f>""</f>
        <v/>
      </c>
      <c r="E169" t="str">
        <f>""</f>
        <v/>
      </c>
      <c r="F169" t="str">
        <f>""</f>
        <v/>
      </c>
      <c r="G169" t="str">
        <f>""</f>
        <v/>
      </c>
      <c r="H169" t="str">
        <f>""</f>
        <v/>
      </c>
      <c r="I169" t="str">
        <f>""</f>
        <v/>
      </c>
      <c r="J169" t="str">
        <f>""</f>
        <v/>
      </c>
      <c r="K169" t="str">
        <f>""</f>
        <v/>
      </c>
      <c r="L169" t="str">
        <f>""</f>
        <v/>
      </c>
      <c r="M169" t="str">
        <f>""</f>
        <v/>
      </c>
      <c r="N169" t="str">
        <f>""</f>
        <v/>
      </c>
      <c r="O169" t="str">
        <f>""</f>
        <v/>
      </c>
      <c r="P169" t="str">
        <f>""</f>
        <v/>
      </c>
      <c r="Q169" t="str">
        <f>""</f>
        <v/>
      </c>
      <c r="R169" t="str">
        <f>""</f>
        <v/>
      </c>
      <c r="S169" t="str">
        <f>""</f>
        <v/>
      </c>
      <c r="T169" t="str">
        <f>""</f>
        <v/>
      </c>
      <c r="U169" t="str">
        <f>""</f>
        <v/>
      </c>
      <c r="V169" t="str">
        <f>""</f>
        <v/>
      </c>
      <c r="W169" t="str">
        <f>""</f>
        <v/>
      </c>
      <c r="X169" t="str">
        <f>""</f>
        <v/>
      </c>
      <c r="Y169" t="str">
        <f>""</f>
        <v/>
      </c>
      <c r="Z169" t="str">
        <f>""</f>
        <v/>
      </c>
      <c r="AA169" t="str">
        <f>""</f>
        <v/>
      </c>
      <c r="AB169" t="str">
        <f>""</f>
        <v/>
      </c>
      <c r="AC169" t="str">
        <f>""</f>
        <v/>
      </c>
      <c r="AD169" t="str">
        <f>""</f>
        <v/>
      </c>
      <c r="AE169" t="str">
        <f>""</f>
        <v/>
      </c>
      <c r="AF169" t="str">
        <f>""</f>
        <v/>
      </c>
      <c r="AG169" t="str">
        <f>""</f>
        <v/>
      </c>
      <c r="AH169" t="str">
        <f>""</f>
        <v/>
      </c>
      <c r="AI169" t="str">
        <f>""</f>
        <v/>
      </c>
      <c r="AJ169" t="str">
        <f>""</f>
        <v/>
      </c>
      <c r="AK169" t="str">
        <f>""</f>
        <v/>
      </c>
      <c r="AL169" t="str">
        <f>""</f>
        <v/>
      </c>
      <c r="AM169" t="str">
        <f>""</f>
        <v/>
      </c>
      <c r="AN169" t="str">
        <f>""</f>
        <v/>
      </c>
      <c r="AO169" t="str">
        <f>""</f>
        <v/>
      </c>
      <c r="AP169" t="str">
        <f>""</f>
        <v/>
      </c>
      <c r="AQ169" t="str">
        <f>""</f>
        <v/>
      </c>
      <c r="AR169" t="str">
        <f>""</f>
        <v/>
      </c>
      <c r="AS169" t="str">
        <f>""</f>
        <v/>
      </c>
      <c r="AT169" t="str">
        <f>""</f>
        <v/>
      </c>
      <c r="AU169" t="str">
        <f>""</f>
        <v/>
      </c>
      <c r="AV169" t="str">
        <f>""</f>
        <v/>
      </c>
      <c r="AW169" t="str">
        <f>""</f>
        <v/>
      </c>
      <c r="AX169" t="str">
        <f>""</f>
        <v/>
      </c>
      <c r="AY169" t="str">
        <f>""</f>
        <v/>
      </c>
      <c r="AZ169" t="str">
        <f>""</f>
        <v/>
      </c>
      <c r="BA169" t="str">
        <f>""</f>
        <v/>
      </c>
      <c r="BB169" t="str">
        <f>""</f>
        <v/>
      </c>
      <c r="BC169" t="str">
        <f>""</f>
        <v/>
      </c>
      <c r="BD169" t="str">
        <f>""</f>
        <v/>
      </c>
      <c r="BE169" t="str">
        <f>""</f>
        <v/>
      </c>
      <c r="BF169" t="str">
        <f>""</f>
        <v/>
      </c>
      <c r="BG169" t="str">
        <f>""</f>
        <v/>
      </c>
      <c r="BH169" t="str">
        <f>""</f>
        <v/>
      </c>
      <c r="BI169" t="str">
        <f>""</f>
        <v/>
      </c>
      <c r="BJ169" t="str">
        <f>""</f>
        <v/>
      </c>
      <c r="BK169" t="str">
        <f>""</f>
        <v/>
      </c>
      <c r="BL169" t="str">
        <f>""</f>
        <v/>
      </c>
      <c r="BM169" t="str">
        <f>""</f>
        <v/>
      </c>
      <c r="BN169" t="str">
        <f>""</f>
        <v/>
      </c>
      <c r="BO169" t="str">
        <f>""</f>
        <v/>
      </c>
      <c r="BP169" t="str">
        <f>""</f>
        <v/>
      </c>
      <c r="BQ169" t="str">
        <f>""</f>
        <v/>
      </c>
      <c r="BR169" t="str">
        <f>""</f>
        <v/>
      </c>
      <c r="BS169" t="str">
        <f>""</f>
        <v/>
      </c>
      <c r="BT169" t="str">
        <f>""</f>
        <v/>
      </c>
      <c r="BU169" t="str">
        <f>""</f>
        <v/>
      </c>
      <c r="BV169" t="str">
        <f>""</f>
        <v/>
      </c>
      <c r="BW169" t="str">
        <f>""</f>
        <v/>
      </c>
      <c r="BX169" t="str">
        <f>""</f>
        <v/>
      </c>
      <c r="BY169" t="str">
        <f>""</f>
        <v/>
      </c>
      <c r="BZ169" t="str">
        <f>""</f>
        <v/>
      </c>
      <c r="CA169" t="str">
        <f>""</f>
        <v/>
      </c>
      <c r="CB169" t="str">
        <f>""</f>
        <v/>
      </c>
      <c r="CC169" t="str">
        <f>""</f>
        <v/>
      </c>
      <c r="CD169" t="str">
        <f>""</f>
        <v/>
      </c>
      <c r="CE169" t="str">
        <f>""</f>
        <v/>
      </c>
      <c r="CF169" t="str">
        <f>""</f>
        <v/>
      </c>
      <c r="CG169" t="str">
        <f>""</f>
        <v/>
      </c>
      <c r="CH169" t="str">
        <f>"(0.104)"</f>
        <v>(0.104)</v>
      </c>
      <c r="CI169" t="str">
        <f>"(0.101)"</f>
        <v>(0.101)</v>
      </c>
      <c r="CJ169" t="str">
        <f>"(0.0440)"</f>
        <v>(0.0440)</v>
      </c>
      <c r="CK169" t="str">
        <f>""</f>
        <v/>
      </c>
      <c r="CL169" t="str">
        <f>""</f>
        <v/>
      </c>
      <c r="CM169" t="str">
        <f>""</f>
        <v/>
      </c>
    </row>
    <row r="171" spans="1:91" x14ac:dyDescent="0.3">
      <c r="A171" t="str">
        <f>"c.zMETAB15#c.gfapbr"</f>
        <v>c.zMETAB15#c.gfapbr</v>
      </c>
      <c r="B171" t="str">
        <f>""</f>
        <v/>
      </c>
      <c r="C171" t="str">
        <f>""</f>
        <v/>
      </c>
      <c r="D171" t="str">
        <f>""</f>
        <v/>
      </c>
      <c r="E171" t="str">
        <f>""</f>
        <v/>
      </c>
      <c r="F171" t="str">
        <f>""</f>
        <v/>
      </c>
      <c r="G171" t="str">
        <f>""</f>
        <v/>
      </c>
      <c r="H171" t="str">
        <f>""</f>
        <v/>
      </c>
      <c r="I171" t="str">
        <f>""</f>
        <v/>
      </c>
      <c r="J171" t="str">
        <f>""</f>
        <v/>
      </c>
      <c r="K171" t="str">
        <f>""</f>
        <v/>
      </c>
      <c r="L171" t="str">
        <f>""</f>
        <v/>
      </c>
      <c r="M171" t="str">
        <f>""</f>
        <v/>
      </c>
      <c r="N171" t="str">
        <f>""</f>
        <v/>
      </c>
      <c r="O171" t="str">
        <f>""</f>
        <v/>
      </c>
      <c r="P171" t="str">
        <f>""</f>
        <v/>
      </c>
      <c r="Q171" t="str">
        <f>""</f>
        <v/>
      </c>
      <c r="R171" t="str">
        <f>""</f>
        <v/>
      </c>
      <c r="S171" t="str">
        <f>""</f>
        <v/>
      </c>
      <c r="T171" t="str">
        <f>""</f>
        <v/>
      </c>
      <c r="U171" t="str">
        <f>""</f>
        <v/>
      </c>
      <c r="V171" t="str">
        <f>""</f>
        <v/>
      </c>
      <c r="W171" t="str">
        <f>""</f>
        <v/>
      </c>
      <c r="X171" t="str">
        <f>""</f>
        <v/>
      </c>
      <c r="Y171" t="str">
        <f>""</f>
        <v/>
      </c>
      <c r="Z171" t="str">
        <f>""</f>
        <v/>
      </c>
      <c r="AA171" t="str">
        <f>""</f>
        <v/>
      </c>
      <c r="AB171" t="str">
        <f>""</f>
        <v/>
      </c>
      <c r="AC171" t="str">
        <f>""</f>
        <v/>
      </c>
      <c r="AD171" t="str">
        <f>""</f>
        <v/>
      </c>
      <c r="AE171" t="str">
        <f>""</f>
        <v/>
      </c>
      <c r="AF171" t="str">
        <f>""</f>
        <v/>
      </c>
      <c r="AG171" t="str">
        <f>""</f>
        <v/>
      </c>
      <c r="AH171" t="str">
        <f>""</f>
        <v/>
      </c>
      <c r="AI171" t="str">
        <f>""</f>
        <v/>
      </c>
      <c r="AJ171" t="str">
        <f>""</f>
        <v/>
      </c>
      <c r="AK171" t="str">
        <f>""</f>
        <v/>
      </c>
      <c r="AL171" t="str">
        <f>""</f>
        <v/>
      </c>
      <c r="AM171" t="str">
        <f>""</f>
        <v/>
      </c>
      <c r="AN171" t="str">
        <f>""</f>
        <v/>
      </c>
      <c r="AO171" t="str">
        <f>""</f>
        <v/>
      </c>
      <c r="AP171" t="str">
        <f>""</f>
        <v/>
      </c>
      <c r="AQ171" t="str">
        <f>""</f>
        <v/>
      </c>
      <c r="AR171" t="str">
        <f>""</f>
        <v/>
      </c>
      <c r="AS171" t="str">
        <f>""</f>
        <v/>
      </c>
      <c r="AT171" t="str">
        <f>""</f>
        <v/>
      </c>
      <c r="AU171" t="str">
        <f>""</f>
        <v/>
      </c>
      <c r="AV171" t="str">
        <f>""</f>
        <v/>
      </c>
      <c r="AW171" t="str">
        <f>""</f>
        <v/>
      </c>
      <c r="AX171" t="str">
        <f>""</f>
        <v/>
      </c>
      <c r="AY171" t="str">
        <f>""</f>
        <v/>
      </c>
      <c r="AZ171" t="str">
        <f>""</f>
        <v/>
      </c>
      <c r="BA171" t="str">
        <f>""</f>
        <v/>
      </c>
      <c r="BB171" t="str">
        <f>""</f>
        <v/>
      </c>
      <c r="BC171" t="str">
        <f>""</f>
        <v/>
      </c>
      <c r="BD171" t="str">
        <f>""</f>
        <v/>
      </c>
      <c r="BE171" t="str">
        <f>""</f>
        <v/>
      </c>
      <c r="BF171" t="str">
        <f>""</f>
        <v/>
      </c>
      <c r="BG171" t="str">
        <f>""</f>
        <v/>
      </c>
      <c r="BH171" t="str">
        <f>""</f>
        <v/>
      </c>
      <c r="BI171" t="str">
        <f>""</f>
        <v/>
      </c>
      <c r="BJ171" t="str">
        <f>""</f>
        <v/>
      </c>
      <c r="BK171" t="str">
        <f>""</f>
        <v/>
      </c>
      <c r="BL171" t="str">
        <f>""</f>
        <v/>
      </c>
      <c r="BM171" t="str">
        <f>""</f>
        <v/>
      </c>
      <c r="BN171" t="str">
        <f>""</f>
        <v/>
      </c>
      <c r="BO171" t="str">
        <f>""</f>
        <v/>
      </c>
      <c r="BP171" t="str">
        <f>""</f>
        <v/>
      </c>
      <c r="BQ171" t="str">
        <f>""</f>
        <v/>
      </c>
      <c r="BR171" t="str">
        <f>""</f>
        <v/>
      </c>
      <c r="BS171" t="str">
        <f>""</f>
        <v/>
      </c>
      <c r="BT171" t="str">
        <f>""</f>
        <v/>
      </c>
      <c r="BU171" t="str">
        <f>""</f>
        <v/>
      </c>
      <c r="BV171" t="str">
        <f>""</f>
        <v/>
      </c>
      <c r="BW171" t="str">
        <f>""</f>
        <v/>
      </c>
      <c r="BX171" t="str">
        <f>""</f>
        <v/>
      </c>
      <c r="BY171" t="str">
        <f>""</f>
        <v/>
      </c>
      <c r="BZ171" t="str">
        <f>""</f>
        <v/>
      </c>
      <c r="CA171" t="str">
        <f>""</f>
        <v/>
      </c>
      <c r="CB171" t="str">
        <f>""</f>
        <v/>
      </c>
      <c r="CC171" t="str">
        <f>""</f>
        <v/>
      </c>
      <c r="CD171" t="str">
        <f>""</f>
        <v/>
      </c>
      <c r="CE171" t="str">
        <f>""</f>
        <v/>
      </c>
      <c r="CF171" t="str">
        <f>""</f>
        <v/>
      </c>
      <c r="CG171" t="str">
        <f>""</f>
        <v/>
      </c>
      <c r="CH171" t="str">
        <f>""</f>
        <v/>
      </c>
      <c r="CI171" t="str">
        <f>""</f>
        <v/>
      </c>
      <c r="CJ171" t="str">
        <f>""</f>
        <v/>
      </c>
      <c r="CK171" t="str">
        <f>"-0.0781"</f>
        <v>-0.0781</v>
      </c>
      <c r="CL171" t="str">
        <f>"-0.123"</f>
        <v>-0.123</v>
      </c>
      <c r="CM171" t="str">
        <f>"0.0163"</f>
        <v>0.0163</v>
      </c>
    </row>
    <row r="172" spans="1:91" x14ac:dyDescent="0.3">
      <c r="A172" t="str">
        <f>""</f>
        <v/>
      </c>
      <c r="B172" t="str">
        <f>""</f>
        <v/>
      </c>
      <c r="C172" t="str">
        <f>""</f>
        <v/>
      </c>
      <c r="D172" t="str">
        <f>""</f>
        <v/>
      </c>
      <c r="E172" t="str">
        <f>""</f>
        <v/>
      </c>
      <c r="F172" t="str">
        <f>""</f>
        <v/>
      </c>
      <c r="G172" t="str">
        <f>""</f>
        <v/>
      </c>
      <c r="H172" t="str">
        <f>""</f>
        <v/>
      </c>
      <c r="I172" t="str">
        <f>""</f>
        <v/>
      </c>
      <c r="J172" t="str">
        <f>""</f>
        <v/>
      </c>
      <c r="K172" t="str">
        <f>""</f>
        <v/>
      </c>
      <c r="L172" t="str">
        <f>""</f>
        <v/>
      </c>
      <c r="M172" t="str">
        <f>""</f>
        <v/>
      </c>
      <c r="N172" t="str">
        <f>""</f>
        <v/>
      </c>
      <c r="O172" t="str">
        <f>""</f>
        <v/>
      </c>
      <c r="P172" t="str">
        <f>""</f>
        <v/>
      </c>
      <c r="Q172" t="str">
        <f>""</f>
        <v/>
      </c>
      <c r="R172" t="str">
        <f>""</f>
        <v/>
      </c>
      <c r="S172" t="str">
        <f>""</f>
        <v/>
      </c>
      <c r="T172" t="str">
        <f>""</f>
        <v/>
      </c>
      <c r="U172" t="str">
        <f>""</f>
        <v/>
      </c>
      <c r="V172" t="str">
        <f>""</f>
        <v/>
      </c>
      <c r="W172" t="str">
        <f>""</f>
        <v/>
      </c>
      <c r="X172" t="str">
        <f>""</f>
        <v/>
      </c>
      <c r="Y172" t="str">
        <f>""</f>
        <v/>
      </c>
      <c r="Z172" t="str">
        <f>""</f>
        <v/>
      </c>
      <c r="AA172" t="str">
        <f>""</f>
        <v/>
      </c>
      <c r="AB172" t="str">
        <f>""</f>
        <v/>
      </c>
      <c r="AC172" t="str">
        <f>""</f>
        <v/>
      </c>
      <c r="AD172" t="str">
        <f>""</f>
        <v/>
      </c>
      <c r="AE172" t="str">
        <f>""</f>
        <v/>
      </c>
      <c r="AF172" t="str">
        <f>""</f>
        <v/>
      </c>
      <c r="AG172" t="str">
        <f>""</f>
        <v/>
      </c>
      <c r="AH172" t="str">
        <f>""</f>
        <v/>
      </c>
      <c r="AI172" t="str">
        <f>""</f>
        <v/>
      </c>
      <c r="AJ172" t="str">
        <f>""</f>
        <v/>
      </c>
      <c r="AK172" t="str">
        <f>""</f>
        <v/>
      </c>
      <c r="AL172" t="str">
        <f>""</f>
        <v/>
      </c>
      <c r="AM172" t="str">
        <f>""</f>
        <v/>
      </c>
      <c r="AN172" t="str">
        <f>""</f>
        <v/>
      </c>
      <c r="AO172" t="str">
        <f>""</f>
        <v/>
      </c>
      <c r="AP172" t="str">
        <f>""</f>
        <v/>
      </c>
      <c r="AQ172" t="str">
        <f>""</f>
        <v/>
      </c>
      <c r="AR172" t="str">
        <f>""</f>
        <v/>
      </c>
      <c r="AS172" t="str">
        <f>""</f>
        <v/>
      </c>
      <c r="AT172" t="str">
        <f>""</f>
        <v/>
      </c>
      <c r="AU172" t="str">
        <f>""</f>
        <v/>
      </c>
      <c r="AV172" t="str">
        <f>""</f>
        <v/>
      </c>
      <c r="AW172" t="str">
        <f>""</f>
        <v/>
      </c>
      <c r="AX172" t="str">
        <f>""</f>
        <v/>
      </c>
      <c r="AY172" t="str">
        <f>""</f>
        <v/>
      </c>
      <c r="AZ172" t="str">
        <f>""</f>
        <v/>
      </c>
      <c r="BA172" t="str">
        <f>""</f>
        <v/>
      </c>
      <c r="BB172" t="str">
        <f>""</f>
        <v/>
      </c>
      <c r="BC172" t="str">
        <f>""</f>
        <v/>
      </c>
      <c r="BD172" t="str">
        <f>""</f>
        <v/>
      </c>
      <c r="BE172" t="str">
        <f>""</f>
        <v/>
      </c>
      <c r="BF172" t="str">
        <f>""</f>
        <v/>
      </c>
      <c r="BG172" t="str">
        <f>""</f>
        <v/>
      </c>
      <c r="BH172" t="str">
        <f>""</f>
        <v/>
      </c>
      <c r="BI172" t="str">
        <f>""</f>
        <v/>
      </c>
      <c r="BJ172" t="str">
        <f>""</f>
        <v/>
      </c>
      <c r="BK172" t="str">
        <f>""</f>
        <v/>
      </c>
      <c r="BL172" t="str">
        <f>""</f>
        <v/>
      </c>
      <c r="BM172" t="str">
        <f>""</f>
        <v/>
      </c>
      <c r="BN172" t="str">
        <f>""</f>
        <v/>
      </c>
      <c r="BO172" t="str">
        <f>""</f>
        <v/>
      </c>
      <c r="BP172" t="str">
        <f>""</f>
        <v/>
      </c>
      <c r="BQ172" t="str">
        <f>""</f>
        <v/>
      </c>
      <c r="BR172" t="str">
        <f>""</f>
        <v/>
      </c>
      <c r="BS172" t="str">
        <f>""</f>
        <v/>
      </c>
      <c r="BT172" t="str">
        <f>""</f>
        <v/>
      </c>
      <c r="BU172" t="str">
        <f>""</f>
        <v/>
      </c>
      <c r="BV172" t="str">
        <f>""</f>
        <v/>
      </c>
      <c r="BW172" t="str">
        <f>""</f>
        <v/>
      </c>
      <c r="BX172" t="str">
        <f>""</f>
        <v/>
      </c>
      <c r="BY172" t="str">
        <f>""</f>
        <v/>
      </c>
      <c r="BZ172" t="str">
        <f>""</f>
        <v/>
      </c>
      <c r="CA172" t="str">
        <f>""</f>
        <v/>
      </c>
      <c r="CB172" t="str">
        <f>""</f>
        <v/>
      </c>
      <c r="CC172" t="str">
        <f>""</f>
        <v/>
      </c>
      <c r="CD172" t="str">
        <f>""</f>
        <v/>
      </c>
      <c r="CE172" t="str">
        <f>""</f>
        <v/>
      </c>
      <c r="CF172" t="str">
        <f>""</f>
        <v/>
      </c>
      <c r="CG172" t="str">
        <f>""</f>
        <v/>
      </c>
      <c r="CH172" t="str">
        <f>""</f>
        <v/>
      </c>
      <c r="CI172" t="str">
        <f>""</f>
        <v/>
      </c>
      <c r="CJ172" t="str">
        <f>""</f>
        <v/>
      </c>
      <c r="CK172" t="str">
        <f>"(0.105)"</f>
        <v>(0.105)</v>
      </c>
      <c r="CL172" t="str">
        <f>"(0.102)"</f>
        <v>(0.102)</v>
      </c>
      <c r="CM172" t="str">
        <f>"(0.0447)"</f>
        <v>(0.0447)</v>
      </c>
    </row>
    <row r="174" spans="1:91" x14ac:dyDescent="0.3">
      <c r="A174" t="str">
        <f>"_cons"</f>
        <v>_cons</v>
      </c>
      <c r="B174" t="str">
        <f>"-44.36***"</f>
        <v>-44.36***</v>
      </c>
      <c r="C174" t="str">
        <f>"-68.91***"</f>
        <v>-68.91***</v>
      </c>
      <c r="D174" t="str">
        <f>"-50.22***"</f>
        <v>-50.22***</v>
      </c>
      <c r="E174" t="str">
        <f>"-44.32***"</f>
        <v>-44.32***</v>
      </c>
      <c r="F174" t="str">
        <f>"-68.87***"</f>
        <v>-68.87***</v>
      </c>
      <c r="G174" t="str">
        <f>"-50.18***"</f>
        <v>-50.18***</v>
      </c>
      <c r="H174" t="str">
        <f>"-44.48***"</f>
        <v>-44.48***</v>
      </c>
      <c r="I174" t="str">
        <f>"-68.95***"</f>
        <v>-68.95***</v>
      </c>
      <c r="J174" t="str">
        <f>"-50.22***"</f>
        <v>-50.22***</v>
      </c>
      <c r="K174" t="str">
        <f>"-44.43***"</f>
        <v>-44.43***</v>
      </c>
      <c r="L174" t="str">
        <f>"-68.95***"</f>
        <v>-68.95***</v>
      </c>
      <c r="M174" t="str">
        <f>"-50.33***"</f>
        <v>-50.33***</v>
      </c>
      <c r="N174" t="str">
        <f>"-44.48***"</f>
        <v>-44.48***</v>
      </c>
      <c r="O174" t="str">
        <f>"-68.97***"</f>
        <v>-68.97***</v>
      </c>
      <c r="P174" t="str">
        <f>"-50.15***"</f>
        <v>-50.15***</v>
      </c>
      <c r="Q174" t="str">
        <f>"-44.42***"</f>
        <v>-44.42***</v>
      </c>
      <c r="R174" t="str">
        <f>"-68.89***"</f>
        <v>-68.89***</v>
      </c>
      <c r="S174" t="str">
        <f>"-50.25***"</f>
        <v>-50.25***</v>
      </c>
      <c r="T174" t="str">
        <f>"-44.37***"</f>
        <v>-44.37***</v>
      </c>
      <c r="U174" t="str">
        <f>"-69.12***"</f>
        <v>-69.12***</v>
      </c>
      <c r="V174" t="str">
        <f>"-50.64***"</f>
        <v>-50.64***</v>
      </c>
      <c r="W174" t="str">
        <f>"-44.40***"</f>
        <v>-44.40***</v>
      </c>
      <c r="X174" t="str">
        <f>"-68.92***"</f>
        <v>-68.92***</v>
      </c>
      <c r="Y174" t="str">
        <f>"-50.24***"</f>
        <v>-50.24***</v>
      </c>
      <c r="Z174" t="str">
        <f>"-44.38***"</f>
        <v>-44.38***</v>
      </c>
      <c r="AA174" t="str">
        <f>"-68.92***"</f>
        <v>-68.92***</v>
      </c>
      <c r="AB174" t="str">
        <f>"-50.22***"</f>
        <v>-50.22***</v>
      </c>
      <c r="AC174" t="str">
        <f>"-44.39***"</f>
        <v>-44.39***</v>
      </c>
      <c r="AD174" t="str">
        <f>"-68.91***"</f>
        <v>-68.91***</v>
      </c>
      <c r="AE174" t="str">
        <f>"-50.23***"</f>
        <v>-50.23***</v>
      </c>
      <c r="AF174" t="str">
        <f>"-44.41***"</f>
        <v>-44.41***</v>
      </c>
      <c r="AG174" t="str">
        <f>"-68.90***"</f>
        <v>-68.90***</v>
      </c>
      <c r="AH174" t="str">
        <f>"-50.24***"</f>
        <v>-50.24***</v>
      </c>
      <c r="AI174" t="str">
        <f>"-44.40***"</f>
        <v>-44.40***</v>
      </c>
      <c r="AJ174" t="str">
        <f>"-68.92***"</f>
        <v>-68.92***</v>
      </c>
      <c r="AK174" t="str">
        <f>"-50.24***"</f>
        <v>-50.24***</v>
      </c>
      <c r="AL174" t="str">
        <f>"-44.38***"</f>
        <v>-44.38***</v>
      </c>
      <c r="AM174" t="str">
        <f>"-68.90***"</f>
        <v>-68.90***</v>
      </c>
      <c r="AN174" t="str">
        <f>"-50.23***"</f>
        <v>-50.23***</v>
      </c>
      <c r="AO174" t="str">
        <f>"-44.42***"</f>
        <v>-44.42***</v>
      </c>
      <c r="AP174" t="str">
        <f>"-68.92***"</f>
        <v>-68.92***</v>
      </c>
      <c r="AQ174" t="str">
        <f>"-50.24***"</f>
        <v>-50.24***</v>
      </c>
      <c r="AR174" t="str">
        <f>"-44.41***"</f>
        <v>-44.41***</v>
      </c>
      <c r="AS174" t="str">
        <f>"-68.87***"</f>
        <v>-68.87***</v>
      </c>
      <c r="AT174" t="str">
        <f>"-50.31***"</f>
        <v>-50.31***</v>
      </c>
      <c r="AU174" t="str">
        <f>"-44.96***"</f>
        <v>-44.96***</v>
      </c>
      <c r="AV174" t="str">
        <f>"-68.72***"</f>
        <v>-68.72***</v>
      </c>
      <c r="AW174" t="str">
        <f>"-50.63***"</f>
        <v>-50.63***</v>
      </c>
      <c r="AX174" t="str">
        <f>"-44.88***"</f>
        <v>-44.88***</v>
      </c>
      <c r="AY174" t="str">
        <f>"-68.79***"</f>
        <v>-68.79***</v>
      </c>
      <c r="AZ174" t="str">
        <f>"-50.59***"</f>
        <v>-50.59***</v>
      </c>
      <c r="BA174" t="str">
        <f>"-45.10***"</f>
        <v>-45.10***</v>
      </c>
      <c r="BB174" t="str">
        <f>"-68.93***"</f>
        <v>-68.93***</v>
      </c>
      <c r="BC174" t="str">
        <f>"-50.63***"</f>
        <v>-50.63***</v>
      </c>
      <c r="BD174" t="str">
        <f>"-45.02***"</f>
        <v>-45.02***</v>
      </c>
      <c r="BE174" t="str">
        <f>"-68.79***"</f>
        <v>-68.79***</v>
      </c>
      <c r="BF174" t="str">
        <f>"-50.77***"</f>
        <v>-50.77***</v>
      </c>
      <c r="BG174" t="str">
        <f>"-45.04***"</f>
        <v>-45.04***</v>
      </c>
      <c r="BH174" t="str">
        <f>"-68.78***"</f>
        <v>-68.78***</v>
      </c>
      <c r="BI174" t="str">
        <f>"-50.54***"</f>
        <v>-50.54***</v>
      </c>
      <c r="BJ174" t="str">
        <f>"-45.02***"</f>
        <v>-45.02***</v>
      </c>
      <c r="BK174" t="str">
        <f>"-68.80***"</f>
        <v>-68.80***</v>
      </c>
      <c r="BL174" t="str">
        <f>"-50.67***"</f>
        <v>-50.67***</v>
      </c>
      <c r="BM174" t="str">
        <f>"-44.98***"</f>
        <v>-44.98***</v>
      </c>
      <c r="BN174" t="str">
        <f>"-68.98***"</f>
        <v>-68.98***</v>
      </c>
      <c r="BO174" t="str">
        <f>"-51.10***"</f>
        <v>-51.10***</v>
      </c>
      <c r="BP174" t="str">
        <f>"-44.99***"</f>
        <v>-44.99***</v>
      </c>
      <c r="BQ174" t="str">
        <f>"-68.89***"</f>
        <v>-68.89***</v>
      </c>
      <c r="BR174" t="str">
        <f>"-50.67***"</f>
        <v>-50.67***</v>
      </c>
      <c r="BS174" t="str">
        <f>"-44.96***"</f>
        <v>-44.96***</v>
      </c>
      <c r="BT174" t="str">
        <f>"-68.75***"</f>
        <v>-68.75***</v>
      </c>
      <c r="BU174" t="str">
        <f>"-50.65***"</f>
        <v>-50.65***</v>
      </c>
      <c r="BV174" t="str">
        <f>"-44.99***"</f>
        <v>-44.99***</v>
      </c>
      <c r="BW174" t="str">
        <f>"-68.74***"</f>
        <v>-68.74***</v>
      </c>
      <c r="BX174" t="str">
        <f>"-50.66***"</f>
        <v>-50.66***</v>
      </c>
      <c r="BY174" t="str">
        <f>"-45.00***"</f>
        <v>-45.00***</v>
      </c>
      <c r="BZ174" t="str">
        <f>"-68.74***"</f>
        <v>-68.74***</v>
      </c>
      <c r="CA174" t="str">
        <f>"-50.67***"</f>
        <v>-50.67***</v>
      </c>
      <c r="CB174" t="str">
        <f>"-44.99***"</f>
        <v>-44.99***</v>
      </c>
      <c r="CC174" t="str">
        <f>"-68.79***"</f>
        <v>-68.79***</v>
      </c>
      <c r="CD174" t="str">
        <f>"-50.67***"</f>
        <v>-50.67***</v>
      </c>
      <c r="CE174" t="str">
        <f>"-44.97***"</f>
        <v>-44.97***</v>
      </c>
      <c r="CF174" t="str">
        <f>"-68.74***"</f>
        <v>-68.74***</v>
      </c>
      <c r="CG174" t="str">
        <f>"-50.67***"</f>
        <v>-50.67***</v>
      </c>
      <c r="CH174" t="str">
        <f>"-44.99***"</f>
        <v>-44.99***</v>
      </c>
      <c r="CI174" t="str">
        <f>"-68.75***"</f>
        <v>-68.75***</v>
      </c>
      <c r="CJ174" t="str">
        <f>"-50.67***"</f>
        <v>-50.67***</v>
      </c>
      <c r="CK174" t="str">
        <f>"-44.96***"</f>
        <v>-44.96***</v>
      </c>
      <c r="CL174" t="str">
        <f>"-68.69***"</f>
        <v>-68.69***</v>
      </c>
      <c r="CM174" t="str">
        <f>"-50.73***"</f>
        <v>-50.73***</v>
      </c>
    </row>
    <row r="175" spans="1:91" x14ac:dyDescent="0.3">
      <c r="A175" t="str">
        <f>""</f>
        <v/>
      </c>
      <c r="B175" t="str">
        <f>"(1.923)"</f>
        <v>(1.923)</v>
      </c>
      <c r="C175" t="str">
        <f>"(2.152)"</f>
        <v>(2.152)</v>
      </c>
      <c r="D175" t="str">
        <f>"(0.976)"</f>
        <v>(0.976)</v>
      </c>
      <c r="E175" t="str">
        <f>"(1.923)"</f>
        <v>(1.923)</v>
      </c>
      <c r="F175" t="str">
        <f>"(2.151)"</f>
        <v>(2.151)</v>
      </c>
      <c r="G175" t="str">
        <f>"(0.975)"</f>
        <v>(0.975)</v>
      </c>
      <c r="H175" t="str">
        <f>"(1.922)"</f>
        <v>(1.922)</v>
      </c>
      <c r="I175" t="str">
        <f>"(2.151)"</f>
        <v>(2.151)</v>
      </c>
      <c r="J175" t="str">
        <f>"(0.975)"</f>
        <v>(0.975)</v>
      </c>
      <c r="K175" t="str">
        <f>"(1.922)"</f>
        <v>(1.922)</v>
      </c>
      <c r="L175" t="str">
        <f>"(2.151)"</f>
        <v>(2.151)</v>
      </c>
      <c r="M175" t="str">
        <f>"(0.976)"</f>
        <v>(0.976)</v>
      </c>
      <c r="N175" t="str">
        <f>"(1.924)"</f>
        <v>(1.924)</v>
      </c>
      <c r="O175" t="str">
        <f>"(2.152)"</f>
        <v>(2.152)</v>
      </c>
      <c r="P175" t="str">
        <f>"(0.976)"</f>
        <v>(0.976)</v>
      </c>
      <c r="Q175" t="str">
        <f>"(1.922)"</f>
        <v>(1.922)</v>
      </c>
      <c r="R175" t="str">
        <f>"(2.150)"</f>
        <v>(2.150)</v>
      </c>
      <c r="S175" t="str">
        <f>"(0.975)"</f>
        <v>(0.975)</v>
      </c>
      <c r="T175" t="str">
        <f>"(1.926)"</f>
        <v>(1.926)</v>
      </c>
      <c r="U175" t="str">
        <f>"(2.155)"</f>
        <v>(2.155)</v>
      </c>
      <c r="V175" t="str">
        <f>"(0.978)"</f>
        <v>(0.978)</v>
      </c>
      <c r="W175" t="str">
        <f>"(1.922)"</f>
        <v>(1.922)</v>
      </c>
      <c r="X175" t="str">
        <f>"(2.151)"</f>
        <v>(2.151)</v>
      </c>
      <c r="Y175" t="str">
        <f>"(0.975)"</f>
        <v>(0.975)</v>
      </c>
      <c r="Z175" t="str">
        <f>"(1.922)"</f>
        <v>(1.922)</v>
      </c>
      <c r="AA175" t="str">
        <f>"(2.151)"</f>
        <v>(2.151)</v>
      </c>
      <c r="AB175" t="str">
        <f>"(0.975)"</f>
        <v>(0.975)</v>
      </c>
      <c r="AC175" t="str">
        <f>"(1.922)"</f>
        <v>(1.922)</v>
      </c>
      <c r="AD175" t="str">
        <f>"(2.150)"</f>
        <v>(2.150)</v>
      </c>
      <c r="AE175" t="str">
        <f>"(0.975)"</f>
        <v>(0.975)</v>
      </c>
      <c r="AF175" t="str">
        <f>"(1.922)"</f>
        <v>(1.922)</v>
      </c>
      <c r="AG175" t="str">
        <f>"(2.150)"</f>
        <v>(2.150)</v>
      </c>
      <c r="AH175" t="str">
        <f>"(0.975)"</f>
        <v>(0.975)</v>
      </c>
      <c r="AI175" t="str">
        <f>"(1.922)"</f>
        <v>(1.922)</v>
      </c>
      <c r="AJ175" t="str">
        <f>"(2.151)"</f>
        <v>(2.151)</v>
      </c>
      <c r="AK175" t="str">
        <f>"(0.975)"</f>
        <v>(0.975)</v>
      </c>
      <c r="AL175" t="str">
        <f>"(1.923)"</f>
        <v>(1.923)</v>
      </c>
      <c r="AM175" t="str">
        <f>"(2.151)"</f>
        <v>(2.151)</v>
      </c>
      <c r="AN175" t="str">
        <f>"(0.976)"</f>
        <v>(0.976)</v>
      </c>
      <c r="AO175" t="str">
        <f>"(1.923)"</f>
        <v>(1.923)</v>
      </c>
      <c r="AP175" t="str">
        <f>"(2.151)"</f>
        <v>(2.151)</v>
      </c>
      <c r="AQ175" t="str">
        <f>"(0.975)"</f>
        <v>(0.975)</v>
      </c>
      <c r="AR175" t="str">
        <f>"(1.921)"</f>
        <v>(1.921)</v>
      </c>
      <c r="AS175" t="str">
        <f>"(2.150)"</f>
        <v>(2.150)</v>
      </c>
      <c r="AT175" t="str">
        <f>"(0.976)"</f>
        <v>(0.976)</v>
      </c>
      <c r="AU175" t="str">
        <f>"(1.921)"</f>
        <v>(1.921)</v>
      </c>
      <c r="AV175" t="str">
        <f>"(2.149)"</f>
        <v>(2.149)</v>
      </c>
      <c r="AW175" t="str">
        <f>"(0.975)"</f>
        <v>(0.975)</v>
      </c>
      <c r="AX175" t="str">
        <f>"(1.921)"</f>
        <v>(1.921)</v>
      </c>
      <c r="AY175" t="str">
        <f>"(2.150)"</f>
        <v>(2.150)</v>
      </c>
      <c r="AZ175" t="str">
        <f>"(0.974)"</f>
        <v>(0.974)</v>
      </c>
      <c r="BA175" t="str">
        <f>"(1.920)"</f>
        <v>(1.920)</v>
      </c>
      <c r="BB175" t="str">
        <f>"(2.150)"</f>
        <v>(2.150)</v>
      </c>
      <c r="BC175" t="str">
        <f>"(0.974)"</f>
        <v>(0.974)</v>
      </c>
      <c r="BD175" t="str">
        <f>"(1.920)"</f>
        <v>(1.920)</v>
      </c>
      <c r="BE175" t="str">
        <f>"(2.148)"</f>
        <v>(2.148)</v>
      </c>
      <c r="BF175" t="str">
        <f>"(0.974)"</f>
        <v>(0.974)</v>
      </c>
      <c r="BG175" t="str">
        <f>"(1.921)"</f>
        <v>(1.921)</v>
      </c>
      <c r="BH175" t="str">
        <f>"(2.148)"</f>
        <v>(2.148)</v>
      </c>
      <c r="BI175" t="str">
        <f>"(0.975)"</f>
        <v>(0.975)</v>
      </c>
      <c r="BJ175" t="str">
        <f>"(1.920)"</f>
        <v>(1.920)</v>
      </c>
      <c r="BK175" t="str">
        <f>"(2.148)"</f>
        <v>(2.148)</v>
      </c>
      <c r="BL175" t="str">
        <f>"(0.974)"</f>
        <v>(0.974)</v>
      </c>
      <c r="BM175" t="str">
        <f>"(1.923)"</f>
        <v>(1.923)</v>
      </c>
      <c r="BN175" t="str">
        <f>"(2.153)"</f>
        <v>(2.153)</v>
      </c>
      <c r="BO175" t="str">
        <f>"(0.977)"</f>
        <v>(0.977)</v>
      </c>
      <c r="BP175" t="str">
        <f>"(1.920)"</f>
        <v>(1.920)</v>
      </c>
      <c r="BQ175" t="str">
        <f>"(2.149)"</f>
        <v>(2.149)</v>
      </c>
      <c r="BR175" t="str">
        <f>"(0.974)"</f>
        <v>(0.974)</v>
      </c>
      <c r="BS175" t="str">
        <f>"(1.920)"</f>
        <v>(1.920)</v>
      </c>
      <c r="BT175" t="str">
        <f>"(2.148)"</f>
        <v>(2.148)</v>
      </c>
      <c r="BU175" t="str">
        <f>"(0.974)"</f>
        <v>(0.974)</v>
      </c>
      <c r="BV175" t="str">
        <f>"(1.920)"</f>
        <v>(1.920)</v>
      </c>
      <c r="BW175" t="str">
        <f>"(2.147)"</f>
        <v>(2.147)</v>
      </c>
      <c r="BX175" t="str">
        <f>"(0.974)"</f>
        <v>(0.974)</v>
      </c>
      <c r="BY175" t="str">
        <f>"(1.919)"</f>
        <v>(1.919)</v>
      </c>
      <c r="BZ175" t="str">
        <f>"(2.148)"</f>
        <v>(2.148)</v>
      </c>
      <c r="CA175" t="str">
        <f>"(0.974)"</f>
        <v>(0.974)</v>
      </c>
      <c r="CB175" t="str">
        <f>"(1.920)"</f>
        <v>(1.920)</v>
      </c>
      <c r="CC175" t="str">
        <f>"(2.149)"</f>
        <v>(2.149)</v>
      </c>
      <c r="CD175" t="str">
        <f>"(0.974)"</f>
        <v>(0.974)</v>
      </c>
      <c r="CE175" t="str">
        <f>"(1.921)"</f>
        <v>(1.921)</v>
      </c>
      <c r="CF175" t="str">
        <f>"(2.148)"</f>
        <v>(2.148)</v>
      </c>
      <c r="CG175" t="str">
        <f>"(0.975)"</f>
        <v>(0.975)</v>
      </c>
      <c r="CH175" t="str">
        <f>"(1.920)"</f>
        <v>(1.920)</v>
      </c>
      <c r="CI175" t="str">
        <f>"(2.148)"</f>
        <v>(2.148)</v>
      </c>
      <c r="CJ175" t="str">
        <f>"(0.974)"</f>
        <v>(0.974)</v>
      </c>
      <c r="CK175" t="str">
        <f>"(1.918)"</f>
        <v>(1.918)</v>
      </c>
      <c r="CL175" t="str">
        <f>"(2.147)"</f>
        <v>(2.147)</v>
      </c>
      <c r="CM175" t="str">
        <f>"(0.975)"</f>
        <v>(0.975)</v>
      </c>
    </row>
    <row r="177" spans="1:91" x14ac:dyDescent="0.3">
      <c r="A177" t="str">
        <f>"/"</f>
        <v>/</v>
      </c>
      <c r="B177" t="str">
        <f>""</f>
        <v/>
      </c>
      <c r="C177" t="str">
        <f>""</f>
        <v/>
      </c>
      <c r="D177" t="str">
        <f>""</f>
        <v/>
      </c>
      <c r="E177" t="str">
        <f>""</f>
        <v/>
      </c>
      <c r="F177" t="str">
        <f>""</f>
        <v/>
      </c>
      <c r="G177" t="str">
        <f>""</f>
        <v/>
      </c>
      <c r="H177" t="str">
        <f>""</f>
        <v/>
      </c>
      <c r="I177" t="str">
        <f>""</f>
        <v/>
      </c>
      <c r="J177" t="str">
        <f>""</f>
        <v/>
      </c>
      <c r="K177" t="str">
        <f>""</f>
        <v/>
      </c>
      <c r="L177" t="str">
        <f>""</f>
        <v/>
      </c>
      <c r="M177" t="str">
        <f>""</f>
        <v/>
      </c>
      <c r="N177" t="str">
        <f>""</f>
        <v/>
      </c>
      <c r="O177" t="str">
        <f>""</f>
        <v/>
      </c>
      <c r="P177" t="str">
        <f>""</f>
        <v/>
      </c>
      <c r="Q177" t="str">
        <f>""</f>
        <v/>
      </c>
      <c r="R177" t="str">
        <f>""</f>
        <v/>
      </c>
      <c r="S177" t="str">
        <f>""</f>
        <v/>
      </c>
      <c r="T177" t="str">
        <f>""</f>
        <v/>
      </c>
      <c r="U177" t="str">
        <f>""</f>
        <v/>
      </c>
      <c r="V177" t="str">
        <f>""</f>
        <v/>
      </c>
      <c r="W177" t="str">
        <f>""</f>
        <v/>
      </c>
      <c r="X177" t="str">
        <f>""</f>
        <v/>
      </c>
      <c r="Y177" t="str">
        <f>""</f>
        <v/>
      </c>
      <c r="Z177" t="str">
        <f>""</f>
        <v/>
      </c>
      <c r="AA177" t="str">
        <f>""</f>
        <v/>
      </c>
      <c r="AB177" t="str">
        <f>""</f>
        <v/>
      </c>
      <c r="AC177" t="str">
        <f>""</f>
        <v/>
      </c>
      <c r="AD177" t="str">
        <f>""</f>
        <v/>
      </c>
      <c r="AE177" t="str">
        <f>""</f>
        <v/>
      </c>
      <c r="AF177" t="str">
        <f>""</f>
        <v/>
      </c>
      <c r="AG177" t="str">
        <f>""</f>
        <v/>
      </c>
      <c r="AH177" t="str">
        <f>""</f>
        <v/>
      </c>
      <c r="AI177" t="str">
        <f>""</f>
        <v/>
      </c>
      <c r="AJ177" t="str">
        <f>""</f>
        <v/>
      </c>
      <c r="AK177" t="str">
        <f>""</f>
        <v/>
      </c>
      <c r="AL177" t="str">
        <f>""</f>
        <v/>
      </c>
      <c r="AM177" t="str">
        <f>""</f>
        <v/>
      </c>
      <c r="AN177" t="str">
        <f>""</f>
        <v/>
      </c>
      <c r="AO177" t="str">
        <f>""</f>
        <v/>
      </c>
      <c r="AP177" t="str">
        <f>""</f>
        <v/>
      </c>
      <c r="AQ177" t="str">
        <f>""</f>
        <v/>
      </c>
      <c r="AR177" t="str">
        <f>""</f>
        <v/>
      </c>
      <c r="AS177" t="str">
        <f>""</f>
        <v/>
      </c>
      <c r="AT177" t="str">
        <f>""</f>
        <v/>
      </c>
      <c r="AU177" t="str">
        <f>""</f>
        <v/>
      </c>
      <c r="AV177" t="str">
        <f>""</f>
        <v/>
      </c>
      <c r="AW177" t="str">
        <f>""</f>
        <v/>
      </c>
      <c r="AX177" t="str">
        <f>""</f>
        <v/>
      </c>
      <c r="AY177" t="str">
        <f>""</f>
        <v/>
      </c>
      <c r="AZ177" t="str">
        <f>""</f>
        <v/>
      </c>
      <c r="BA177" t="str">
        <f>""</f>
        <v/>
      </c>
      <c r="BB177" t="str">
        <f>""</f>
        <v/>
      </c>
      <c r="BC177" t="str">
        <f>""</f>
        <v/>
      </c>
      <c r="BD177" t="str">
        <f>""</f>
        <v/>
      </c>
      <c r="BE177" t="str">
        <f>""</f>
        <v/>
      </c>
      <c r="BF177" t="str">
        <f>""</f>
        <v/>
      </c>
      <c r="BG177" t="str">
        <f>""</f>
        <v/>
      </c>
      <c r="BH177" t="str">
        <f>""</f>
        <v/>
      </c>
      <c r="BI177" t="str">
        <f>""</f>
        <v/>
      </c>
      <c r="BJ177" t="str">
        <f>""</f>
        <v/>
      </c>
      <c r="BK177" t="str">
        <f>""</f>
        <v/>
      </c>
      <c r="BL177" t="str">
        <f>""</f>
        <v/>
      </c>
      <c r="BM177" t="str">
        <f>""</f>
        <v/>
      </c>
      <c r="BN177" t="str">
        <f>""</f>
        <v/>
      </c>
      <c r="BO177" t="str">
        <f>""</f>
        <v/>
      </c>
      <c r="BP177" t="str">
        <f>""</f>
        <v/>
      </c>
      <c r="BQ177" t="str">
        <f>""</f>
        <v/>
      </c>
      <c r="BR177" t="str">
        <f>""</f>
        <v/>
      </c>
      <c r="BS177" t="str">
        <f>""</f>
        <v/>
      </c>
      <c r="BT177" t="str">
        <f>""</f>
        <v/>
      </c>
      <c r="BU177" t="str">
        <f>""</f>
        <v/>
      </c>
      <c r="BV177" t="str">
        <f>""</f>
        <v/>
      </c>
      <c r="BW177" t="str">
        <f>""</f>
        <v/>
      </c>
      <c r="BX177" t="str">
        <f>""</f>
        <v/>
      </c>
      <c r="BY177" t="str">
        <f>""</f>
        <v/>
      </c>
      <c r="BZ177" t="str">
        <f>""</f>
        <v/>
      </c>
      <c r="CA177" t="str">
        <f>""</f>
        <v/>
      </c>
      <c r="CB177" t="str">
        <f>""</f>
        <v/>
      </c>
      <c r="CC177" t="str">
        <f>""</f>
        <v/>
      </c>
      <c r="CD177" t="str">
        <f>""</f>
        <v/>
      </c>
      <c r="CE177" t="str">
        <f>""</f>
        <v/>
      </c>
      <c r="CF177" t="str">
        <f>""</f>
        <v/>
      </c>
      <c r="CG177" t="str">
        <f>""</f>
        <v/>
      </c>
      <c r="CH177" t="str">
        <f>""</f>
        <v/>
      </c>
      <c r="CI177" t="str">
        <f>""</f>
        <v/>
      </c>
      <c r="CJ177" t="str">
        <f>""</f>
        <v/>
      </c>
      <c r="CK177" t="str">
        <f>""</f>
        <v/>
      </c>
      <c r="CL177" t="str">
        <f>""</f>
        <v/>
      </c>
      <c r="CM177" t="str">
        <f>""</f>
        <v/>
      </c>
    </row>
    <row r="178" spans="1:91" x14ac:dyDescent="0.3">
      <c r="A178" t="str">
        <f>"ln_p"</f>
        <v>ln_p</v>
      </c>
      <c r="B178" t="str">
        <f>"2.260***"</f>
        <v>2.260***</v>
      </c>
      <c r="C178" t="str">
        <f>"2.676***"</f>
        <v>2.676***</v>
      </c>
      <c r="D178" t="str">
        <f>"2.494***"</f>
        <v>2.494***</v>
      </c>
      <c r="E178" t="str">
        <f>"2.259***"</f>
        <v>2.259***</v>
      </c>
      <c r="F178" t="str">
        <f>"2.674***"</f>
        <v>2.674***</v>
      </c>
      <c r="G178" t="str">
        <f>"2.491***"</f>
        <v>2.491***</v>
      </c>
      <c r="H178" t="str">
        <f>"2.259***"</f>
        <v>2.259***</v>
      </c>
      <c r="I178" t="str">
        <f>"2.674***"</f>
        <v>2.674***</v>
      </c>
      <c r="J178" t="str">
        <f>"2.491***"</f>
        <v>2.491***</v>
      </c>
      <c r="K178" t="str">
        <f>"2.258***"</f>
        <v>2.258***</v>
      </c>
      <c r="L178" t="str">
        <f>"2.674***"</f>
        <v>2.674***</v>
      </c>
      <c r="M178" t="str">
        <f>"2.492***"</f>
        <v>2.492***</v>
      </c>
      <c r="N178" t="str">
        <f>"2.259***"</f>
        <v>2.259***</v>
      </c>
      <c r="O178" t="str">
        <f>"2.674***"</f>
        <v>2.674***</v>
      </c>
      <c r="P178" t="str">
        <f>"2.493***"</f>
        <v>2.493***</v>
      </c>
      <c r="Q178" t="str">
        <f>"2.259***"</f>
        <v>2.259***</v>
      </c>
      <c r="R178" t="str">
        <f>"2.674***"</f>
        <v>2.674***</v>
      </c>
      <c r="S178" t="str">
        <f>"2.491***"</f>
        <v>2.491***</v>
      </c>
      <c r="T178" t="str">
        <f>"2.258***"</f>
        <v>2.258***</v>
      </c>
      <c r="U178" t="str">
        <f>"2.675***"</f>
        <v>2.675***</v>
      </c>
      <c r="V178" t="str">
        <f>"2.493***"</f>
        <v>2.493***</v>
      </c>
      <c r="W178" t="str">
        <f>"2.259***"</f>
        <v>2.259***</v>
      </c>
      <c r="X178" t="str">
        <f>"2.674***"</f>
        <v>2.674***</v>
      </c>
      <c r="Y178" t="str">
        <f>"2.491***"</f>
        <v>2.491***</v>
      </c>
      <c r="Z178" t="str">
        <f>"2.259***"</f>
        <v>2.259***</v>
      </c>
      <c r="AA178" t="str">
        <f>"2.675***"</f>
        <v>2.675***</v>
      </c>
      <c r="AB178" t="str">
        <f>"2.491***"</f>
        <v>2.491***</v>
      </c>
      <c r="AC178" t="str">
        <f>"2.259***"</f>
        <v>2.259***</v>
      </c>
      <c r="AD178" t="str">
        <f>"2.673***"</f>
        <v>2.673***</v>
      </c>
      <c r="AE178" t="str">
        <f>"2.491***"</f>
        <v>2.491***</v>
      </c>
      <c r="AF178" t="str">
        <f>"2.259***"</f>
        <v>2.259***</v>
      </c>
      <c r="AG178" t="str">
        <f>"2.674***"</f>
        <v>2.674***</v>
      </c>
      <c r="AH178" t="str">
        <f>"2.491***"</f>
        <v>2.491***</v>
      </c>
      <c r="AI178" t="str">
        <f>"2.260***"</f>
        <v>2.260***</v>
      </c>
      <c r="AJ178" t="str">
        <f>"2.675***"</f>
        <v>2.675***</v>
      </c>
      <c r="AK178" t="str">
        <f>"2.492***"</f>
        <v>2.492***</v>
      </c>
      <c r="AL178" t="str">
        <f>"2.260***"</f>
        <v>2.260***</v>
      </c>
      <c r="AM178" t="str">
        <f>"2.674***"</f>
        <v>2.674***</v>
      </c>
      <c r="AN178" t="str">
        <f>"2.492***"</f>
        <v>2.492***</v>
      </c>
      <c r="AO178" t="str">
        <f>"2.259***"</f>
        <v>2.259***</v>
      </c>
      <c r="AP178" t="str">
        <f>"2.674***"</f>
        <v>2.674***</v>
      </c>
      <c r="AQ178" t="str">
        <f>"2.490***"</f>
        <v>2.490***</v>
      </c>
      <c r="AR178" t="str">
        <f>"2.258***"</f>
        <v>2.258***</v>
      </c>
      <c r="AS178" t="str">
        <f>"2.673***"</f>
        <v>2.673***</v>
      </c>
      <c r="AT178" t="str">
        <f>"2.492***"</f>
        <v>2.492***</v>
      </c>
      <c r="AU178" t="str">
        <f>"2.256***"</f>
        <v>2.256***</v>
      </c>
      <c r="AV178" t="str">
        <f>"2.673***"</f>
        <v>2.673***</v>
      </c>
      <c r="AW178" t="str">
        <f>"2.490***"</f>
        <v>2.490***</v>
      </c>
      <c r="AX178" t="str">
        <f>"2.256***"</f>
        <v>2.256***</v>
      </c>
      <c r="AY178" t="str">
        <f>"2.671***"</f>
        <v>2.671***</v>
      </c>
      <c r="AZ178" t="str">
        <f>"2.488***"</f>
        <v>2.488***</v>
      </c>
      <c r="BA178" t="str">
        <f>"2.255***"</f>
        <v>2.255***</v>
      </c>
      <c r="BB178" t="str">
        <f>"2.671***"</f>
        <v>2.671***</v>
      </c>
      <c r="BC178" t="str">
        <f>"2.487***"</f>
        <v>2.487***</v>
      </c>
      <c r="BD178" t="str">
        <f>"2.255***"</f>
        <v>2.255***</v>
      </c>
      <c r="BE178" t="str">
        <f>"2.671***"</f>
        <v>2.671***</v>
      </c>
      <c r="BF178" t="str">
        <f>"2.488***"</f>
        <v>2.488***</v>
      </c>
      <c r="BG178" t="str">
        <f>"2.255***"</f>
        <v>2.255***</v>
      </c>
      <c r="BH178" t="str">
        <f>"2.670***"</f>
        <v>2.670***</v>
      </c>
      <c r="BI178" t="str">
        <f>"2.489***"</f>
        <v>2.489***</v>
      </c>
      <c r="BJ178" t="str">
        <f>"2.256***"</f>
        <v>2.256***</v>
      </c>
      <c r="BK178" t="str">
        <f>"2.671***"</f>
        <v>2.671***</v>
      </c>
      <c r="BL178" t="str">
        <f>"2.488***"</f>
        <v>2.488***</v>
      </c>
      <c r="BM178" t="str">
        <f>"2.255***"</f>
        <v>2.255***</v>
      </c>
      <c r="BN178" t="str">
        <f>"2.672***"</f>
        <v>2.672***</v>
      </c>
      <c r="BO178" t="str">
        <f>"2.489***"</f>
        <v>2.489***</v>
      </c>
      <c r="BP178" t="str">
        <f>"2.256***"</f>
        <v>2.256***</v>
      </c>
      <c r="BQ178" t="str">
        <f>"2.671***"</f>
        <v>2.671***</v>
      </c>
      <c r="BR178" t="str">
        <f>"2.487***"</f>
        <v>2.487***</v>
      </c>
      <c r="BS178" t="str">
        <f>"2.256***"</f>
        <v>2.256***</v>
      </c>
      <c r="BT178" t="str">
        <f>"2.671***"</f>
        <v>2.671***</v>
      </c>
      <c r="BU178" t="str">
        <f>"2.488***"</f>
        <v>2.488***</v>
      </c>
      <c r="BV178" t="str">
        <f>"2.256***"</f>
        <v>2.256***</v>
      </c>
      <c r="BW178" t="str">
        <f>"2.670***"</f>
        <v>2.670***</v>
      </c>
      <c r="BX178" t="str">
        <f>"2.488***"</f>
        <v>2.488***</v>
      </c>
      <c r="BY178" t="str">
        <f>"2.255***"</f>
        <v>2.255***</v>
      </c>
      <c r="BZ178" t="str">
        <f>"2.671***"</f>
        <v>2.671***</v>
      </c>
      <c r="CA178" t="str">
        <f>"2.487***"</f>
        <v>2.487***</v>
      </c>
      <c r="CB178" t="str">
        <f>"2.256***"</f>
        <v>2.256***</v>
      </c>
      <c r="CC178" t="str">
        <f>"2.671***"</f>
        <v>2.671***</v>
      </c>
      <c r="CD178" t="str">
        <f>"2.488***"</f>
        <v>2.488***</v>
      </c>
      <c r="CE178" t="str">
        <f>"2.256***"</f>
        <v>2.256***</v>
      </c>
      <c r="CF178" t="str">
        <f>"2.671***"</f>
        <v>2.671***</v>
      </c>
      <c r="CG178" t="str">
        <f>"2.489***"</f>
        <v>2.489***</v>
      </c>
      <c r="CH178" t="str">
        <f>"2.255***"</f>
        <v>2.255***</v>
      </c>
      <c r="CI178" t="str">
        <f>"2.671***"</f>
        <v>2.671***</v>
      </c>
      <c r="CJ178" t="str">
        <f>"2.487***"</f>
        <v>2.487***</v>
      </c>
      <c r="CK178" t="str">
        <f>"2.254***"</f>
        <v>2.254***</v>
      </c>
      <c r="CL178" t="str">
        <f>"2.670***"</f>
        <v>2.670***</v>
      </c>
      <c r="CM178" t="str">
        <f>"2.488***"</f>
        <v>2.488***</v>
      </c>
    </row>
    <row r="179" spans="1:91" x14ac:dyDescent="0.3">
      <c r="A179" t="str">
        <f>""</f>
        <v/>
      </c>
      <c r="B179" t="str">
        <f>"(0.0499)"</f>
        <v>(0.0499)</v>
      </c>
      <c r="C179" t="str">
        <f>"(0.0382)"</f>
        <v>(0.0382)</v>
      </c>
      <c r="D179" t="str">
        <f>"(0.0210)"</f>
        <v>(0.0210)</v>
      </c>
      <c r="E179" t="str">
        <f>"(0.0499)"</f>
        <v>(0.0499)</v>
      </c>
      <c r="F179" t="str">
        <f>"(0.0382)"</f>
        <v>(0.0382)</v>
      </c>
      <c r="G179" t="str">
        <f>"(0.0210)"</f>
        <v>(0.0210)</v>
      </c>
      <c r="H179" t="str">
        <f>"(0.0499)"</f>
        <v>(0.0499)</v>
      </c>
      <c r="I179" t="str">
        <f>"(0.0383)"</f>
        <v>(0.0383)</v>
      </c>
      <c r="J179" t="str">
        <f>"(0.0210)"</f>
        <v>(0.0210)</v>
      </c>
      <c r="K179" t="str">
        <f>"(0.0499)"</f>
        <v>(0.0499)</v>
      </c>
      <c r="L179" t="str">
        <f>"(0.0382)"</f>
        <v>(0.0382)</v>
      </c>
      <c r="M179" t="str">
        <f>"(0.0210)"</f>
        <v>(0.0210)</v>
      </c>
      <c r="N179" t="str">
        <f>"(0.0499)"</f>
        <v>(0.0499)</v>
      </c>
      <c r="O179" t="str">
        <f>"(0.0383)"</f>
        <v>(0.0383)</v>
      </c>
      <c r="P179" t="str">
        <f>"(0.0210)"</f>
        <v>(0.0210)</v>
      </c>
      <c r="Q179" t="str">
        <f>"(0.0499)"</f>
        <v>(0.0499)</v>
      </c>
      <c r="R179" t="str">
        <f>"(0.0383)"</f>
        <v>(0.0383)</v>
      </c>
      <c r="S179" t="str">
        <f>"(0.0210)"</f>
        <v>(0.0210)</v>
      </c>
      <c r="T179" t="str">
        <f>"(0.0499)"</f>
        <v>(0.0499)</v>
      </c>
      <c r="U179" t="str">
        <f>"(0.0382)"</f>
        <v>(0.0382)</v>
      </c>
      <c r="V179" t="str">
        <f>"(0.0210)"</f>
        <v>(0.0210)</v>
      </c>
      <c r="W179" t="str">
        <f>"(0.0499)"</f>
        <v>(0.0499)</v>
      </c>
      <c r="X179" t="str">
        <f>"(0.0382)"</f>
        <v>(0.0382)</v>
      </c>
      <c r="Y179" t="str">
        <f>"(0.0210)"</f>
        <v>(0.0210)</v>
      </c>
      <c r="Z179" t="str">
        <f>"(0.0499)"</f>
        <v>(0.0499)</v>
      </c>
      <c r="AA179" t="str">
        <f>"(0.0382)"</f>
        <v>(0.0382)</v>
      </c>
      <c r="AB179" t="str">
        <f>"(0.0210)"</f>
        <v>(0.0210)</v>
      </c>
      <c r="AC179" t="str">
        <f>"(0.0499)"</f>
        <v>(0.0499)</v>
      </c>
      <c r="AD179" t="str">
        <f>"(0.0383)"</f>
        <v>(0.0383)</v>
      </c>
      <c r="AE179" t="str">
        <f>"(0.0210)"</f>
        <v>(0.0210)</v>
      </c>
      <c r="AF179" t="str">
        <f>"(0.0499)"</f>
        <v>(0.0499)</v>
      </c>
      <c r="AG179" t="str">
        <f>"(0.0383)"</f>
        <v>(0.0383)</v>
      </c>
      <c r="AH179" t="str">
        <f>"(0.0210)"</f>
        <v>(0.0210)</v>
      </c>
      <c r="AI179" t="str">
        <f>"(0.0499)"</f>
        <v>(0.0499)</v>
      </c>
      <c r="AJ179" t="str">
        <f>"(0.0382)"</f>
        <v>(0.0382)</v>
      </c>
      <c r="AK179" t="str">
        <f>"(0.0210)"</f>
        <v>(0.0210)</v>
      </c>
      <c r="AL179" t="str">
        <f>"(0.0499)"</f>
        <v>(0.0499)</v>
      </c>
      <c r="AM179" t="str">
        <f>"(0.0383)"</f>
        <v>(0.0383)</v>
      </c>
      <c r="AN179" t="str">
        <f>"(0.0210)"</f>
        <v>(0.0210)</v>
      </c>
      <c r="AO179" t="str">
        <f>"(0.0499)"</f>
        <v>(0.0499)</v>
      </c>
      <c r="AP179" t="str">
        <f>"(0.0383)"</f>
        <v>(0.0383)</v>
      </c>
      <c r="AQ179" t="str">
        <f>"(0.0210)"</f>
        <v>(0.0210)</v>
      </c>
      <c r="AR179" t="str">
        <f>"(0.0499)"</f>
        <v>(0.0499)</v>
      </c>
      <c r="AS179" t="str">
        <f>"(0.0383)"</f>
        <v>(0.0383)</v>
      </c>
      <c r="AT179" t="str">
        <f>"(0.0210)"</f>
        <v>(0.0210)</v>
      </c>
      <c r="AU179" t="str">
        <f>"(0.0500)"</f>
        <v>(0.0500)</v>
      </c>
      <c r="AV179" t="str">
        <f>"(0.0383)"</f>
        <v>(0.0383)</v>
      </c>
      <c r="AW179" t="str">
        <f>"(0.0210)"</f>
        <v>(0.0210)</v>
      </c>
      <c r="AX179" t="str">
        <f>"(0.0500)"</f>
        <v>(0.0500)</v>
      </c>
      <c r="AY179" t="str">
        <f>"(0.0383)"</f>
        <v>(0.0383)</v>
      </c>
      <c r="AZ179" t="str">
        <f>"(0.0210)"</f>
        <v>(0.0210)</v>
      </c>
      <c r="BA179" t="str">
        <f>"(0.0500)"</f>
        <v>(0.0500)</v>
      </c>
      <c r="BB179" t="str">
        <f>"(0.0383)"</f>
        <v>(0.0383)</v>
      </c>
      <c r="BC179" t="str">
        <f>"(0.0210)"</f>
        <v>(0.0210)</v>
      </c>
      <c r="BD179" t="str">
        <f>"(0.0500)"</f>
        <v>(0.0500)</v>
      </c>
      <c r="BE179" t="str">
        <f>"(0.0383)"</f>
        <v>(0.0383)</v>
      </c>
      <c r="BF179" t="str">
        <f>"(0.0210)"</f>
        <v>(0.0210)</v>
      </c>
      <c r="BG179" t="str">
        <f>"(0.0500)"</f>
        <v>(0.0500)</v>
      </c>
      <c r="BH179" t="str">
        <f>"(0.0383)"</f>
        <v>(0.0383)</v>
      </c>
      <c r="BI179" t="str">
        <f>"(0.0210)"</f>
        <v>(0.0210)</v>
      </c>
      <c r="BJ179" t="str">
        <f>"(0.0500)"</f>
        <v>(0.0500)</v>
      </c>
      <c r="BK179" t="str">
        <f>"(0.0383)"</f>
        <v>(0.0383)</v>
      </c>
      <c r="BL179" t="str">
        <f>"(0.0210)"</f>
        <v>(0.0210)</v>
      </c>
      <c r="BM179" t="str">
        <f>"(0.0500)"</f>
        <v>(0.0500)</v>
      </c>
      <c r="BN179" t="str">
        <f>"(0.0383)"</f>
        <v>(0.0383)</v>
      </c>
      <c r="BO179" t="str">
        <f>"(0.0210)"</f>
        <v>(0.0210)</v>
      </c>
      <c r="BP179" t="str">
        <f>"(0.0500)"</f>
        <v>(0.0500)</v>
      </c>
      <c r="BQ179" t="str">
        <f>"(0.0383)"</f>
        <v>(0.0383)</v>
      </c>
      <c r="BR179" t="str">
        <f>"(0.0210)"</f>
        <v>(0.0210)</v>
      </c>
      <c r="BS179" t="str">
        <f>"(0.0500)"</f>
        <v>(0.0500)</v>
      </c>
      <c r="BT179" t="str">
        <f>"(0.0383)"</f>
        <v>(0.0383)</v>
      </c>
      <c r="BU179" t="str">
        <f>"(0.0210)"</f>
        <v>(0.0210)</v>
      </c>
      <c r="BV179" t="str">
        <f>"(0.0500)"</f>
        <v>(0.0500)</v>
      </c>
      <c r="BW179" t="str">
        <f>"(0.0383)"</f>
        <v>(0.0383)</v>
      </c>
      <c r="BX179" t="str">
        <f>"(0.0210)"</f>
        <v>(0.0210)</v>
      </c>
      <c r="BY179" t="str">
        <f>"(0.0500)"</f>
        <v>(0.0500)</v>
      </c>
      <c r="BZ179" t="str">
        <f>"(0.0383)"</f>
        <v>(0.0383)</v>
      </c>
      <c r="CA179" t="str">
        <f>"(0.0210)"</f>
        <v>(0.0210)</v>
      </c>
      <c r="CB179" t="str">
        <f>"(0.0500)"</f>
        <v>(0.0500)</v>
      </c>
      <c r="CC179" t="str">
        <f>"(0.0383)"</f>
        <v>(0.0383)</v>
      </c>
      <c r="CD179" t="str">
        <f>"(0.0210)"</f>
        <v>(0.0210)</v>
      </c>
      <c r="CE179" t="str">
        <f>"(0.0500)"</f>
        <v>(0.0500)</v>
      </c>
      <c r="CF179" t="str">
        <f>"(0.0383)"</f>
        <v>(0.0383)</v>
      </c>
      <c r="CG179" t="str">
        <f>"(0.0210)"</f>
        <v>(0.0210)</v>
      </c>
      <c r="CH179" t="str">
        <f>"(0.0500)"</f>
        <v>(0.0500)</v>
      </c>
      <c r="CI179" t="str">
        <f>"(0.0383)"</f>
        <v>(0.0383)</v>
      </c>
      <c r="CJ179" t="str">
        <f>"(0.0210)"</f>
        <v>(0.0210)</v>
      </c>
      <c r="CK179" t="str">
        <f>"(0.0500)"</f>
        <v>(0.0500)</v>
      </c>
      <c r="CL179" t="str">
        <f>"(0.0383)"</f>
        <v>(0.0383)</v>
      </c>
      <c r="CM179" t="str">
        <f>"(0.0210)"</f>
        <v>(0.0210)</v>
      </c>
    </row>
    <row r="181" spans="1:91" x14ac:dyDescent="0.3">
      <c r="A181" t="str">
        <f>"N"</f>
        <v>N</v>
      </c>
      <c r="B181" t="str">
        <f t="shared" ref="B181:AG181" si="3">"19625"</f>
        <v>19625</v>
      </c>
      <c r="C181" t="str">
        <f t="shared" si="3"/>
        <v>19625</v>
      </c>
      <c r="D181" t="str">
        <f t="shared" si="3"/>
        <v>19625</v>
      </c>
      <c r="E181" t="str">
        <f t="shared" si="3"/>
        <v>19625</v>
      </c>
      <c r="F181" t="str">
        <f t="shared" si="3"/>
        <v>19625</v>
      </c>
      <c r="G181" t="str">
        <f t="shared" si="3"/>
        <v>19625</v>
      </c>
      <c r="H181" t="str">
        <f t="shared" si="3"/>
        <v>19625</v>
      </c>
      <c r="I181" t="str">
        <f t="shared" si="3"/>
        <v>19625</v>
      </c>
      <c r="J181" t="str">
        <f t="shared" si="3"/>
        <v>19625</v>
      </c>
      <c r="K181" t="str">
        <f t="shared" si="3"/>
        <v>19625</v>
      </c>
      <c r="L181" t="str">
        <f t="shared" si="3"/>
        <v>19625</v>
      </c>
      <c r="M181" t="str">
        <f t="shared" si="3"/>
        <v>19625</v>
      </c>
      <c r="N181" t="str">
        <f t="shared" si="3"/>
        <v>19625</v>
      </c>
      <c r="O181" t="str">
        <f t="shared" si="3"/>
        <v>19625</v>
      </c>
      <c r="P181" t="str">
        <f t="shared" si="3"/>
        <v>19625</v>
      </c>
      <c r="Q181" t="str">
        <f t="shared" si="3"/>
        <v>19625</v>
      </c>
      <c r="R181" t="str">
        <f t="shared" si="3"/>
        <v>19625</v>
      </c>
      <c r="S181" t="str">
        <f t="shared" si="3"/>
        <v>19625</v>
      </c>
      <c r="T181" t="str">
        <f t="shared" si="3"/>
        <v>19625</v>
      </c>
      <c r="U181" t="str">
        <f t="shared" si="3"/>
        <v>19625</v>
      </c>
      <c r="V181" t="str">
        <f t="shared" si="3"/>
        <v>19625</v>
      </c>
      <c r="W181" t="str">
        <f t="shared" si="3"/>
        <v>19625</v>
      </c>
      <c r="X181" t="str">
        <f t="shared" si="3"/>
        <v>19625</v>
      </c>
      <c r="Y181" t="str">
        <f t="shared" si="3"/>
        <v>19625</v>
      </c>
      <c r="Z181" t="str">
        <f t="shared" si="3"/>
        <v>19625</v>
      </c>
      <c r="AA181" t="str">
        <f t="shared" si="3"/>
        <v>19625</v>
      </c>
      <c r="AB181" t="str">
        <f t="shared" si="3"/>
        <v>19625</v>
      </c>
      <c r="AC181" t="str">
        <f t="shared" si="3"/>
        <v>19625</v>
      </c>
      <c r="AD181" t="str">
        <f t="shared" si="3"/>
        <v>19625</v>
      </c>
      <c r="AE181" t="str">
        <f t="shared" si="3"/>
        <v>19625</v>
      </c>
      <c r="AF181" t="str">
        <f t="shared" si="3"/>
        <v>19625</v>
      </c>
      <c r="AG181" t="str">
        <f t="shared" si="3"/>
        <v>19625</v>
      </c>
      <c r="AH181" t="str">
        <f t="shared" ref="AH181:BM181" si="4">"19625"</f>
        <v>19625</v>
      </c>
      <c r="AI181" t="str">
        <f t="shared" si="4"/>
        <v>19625</v>
      </c>
      <c r="AJ181" t="str">
        <f t="shared" si="4"/>
        <v>19625</v>
      </c>
      <c r="AK181" t="str">
        <f t="shared" si="4"/>
        <v>19625</v>
      </c>
      <c r="AL181" t="str">
        <f t="shared" si="4"/>
        <v>19625</v>
      </c>
      <c r="AM181" t="str">
        <f t="shared" si="4"/>
        <v>19625</v>
      </c>
      <c r="AN181" t="str">
        <f t="shared" si="4"/>
        <v>19625</v>
      </c>
      <c r="AO181" t="str">
        <f t="shared" si="4"/>
        <v>19625</v>
      </c>
      <c r="AP181" t="str">
        <f t="shared" si="4"/>
        <v>19625</v>
      </c>
      <c r="AQ181" t="str">
        <f t="shared" si="4"/>
        <v>19625</v>
      </c>
      <c r="AR181" t="str">
        <f t="shared" si="4"/>
        <v>19625</v>
      </c>
      <c r="AS181" t="str">
        <f t="shared" si="4"/>
        <v>19625</v>
      </c>
      <c r="AT181" t="str">
        <f t="shared" si="4"/>
        <v>19625</v>
      </c>
      <c r="AU181" t="str">
        <f t="shared" si="4"/>
        <v>19625</v>
      </c>
      <c r="AV181" t="str">
        <f t="shared" si="4"/>
        <v>19625</v>
      </c>
      <c r="AW181" t="str">
        <f t="shared" si="4"/>
        <v>19625</v>
      </c>
      <c r="AX181" t="str">
        <f t="shared" si="4"/>
        <v>19625</v>
      </c>
      <c r="AY181" t="str">
        <f t="shared" si="4"/>
        <v>19625</v>
      </c>
      <c r="AZ181" t="str">
        <f t="shared" si="4"/>
        <v>19625</v>
      </c>
      <c r="BA181" t="str">
        <f t="shared" si="4"/>
        <v>19625</v>
      </c>
      <c r="BB181" t="str">
        <f t="shared" si="4"/>
        <v>19625</v>
      </c>
      <c r="BC181" t="str">
        <f t="shared" si="4"/>
        <v>19625</v>
      </c>
      <c r="BD181" t="str">
        <f t="shared" si="4"/>
        <v>19625</v>
      </c>
      <c r="BE181" t="str">
        <f t="shared" si="4"/>
        <v>19625</v>
      </c>
      <c r="BF181" t="str">
        <f t="shared" si="4"/>
        <v>19625</v>
      </c>
      <c r="BG181" t="str">
        <f t="shared" si="4"/>
        <v>19625</v>
      </c>
      <c r="BH181" t="str">
        <f t="shared" si="4"/>
        <v>19625</v>
      </c>
      <c r="BI181" t="str">
        <f t="shared" si="4"/>
        <v>19625</v>
      </c>
      <c r="BJ181" t="str">
        <f t="shared" si="4"/>
        <v>19625</v>
      </c>
      <c r="BK181" t="str">
        <f t="shared" si="4"/>
        <v>19625</v>
      </c>
      <c r="BL181" t="str">
        <f t="shared" si="4"/>
        <v>19625</v>
      </c>
      <c r="BM181" t="str">
        <f t="shared" si="4"/>
        <v>19625</v>
      </c>
      <c r="BN181" t="str">
        <f t="shared" ref="BN181:CM181" si="5">"19625"</f>
        <v>19625</v>
      </c>
      <c r="BO181" t="str">
        <f t="shared" si="5"/>
        <v>19625</v>
      </c>
      <c r="BP181" t="str">
        <f t="shared" si="5"/>
        <v>19625</v>
      </c>
      <c r="BQ181" t="str">
        <f t="shared" si="5"/>
        <v>19625</v>
      </c>
      <c r="BR181" t="str">
        <f t="shared" si="5"/>
        <v>19625</v>
      </c>
      <c r="BS181" t="str">
        <f t="shared" si="5"/>
        <v>19625</v>
      </c>
      <c r="BT181" t="str">
        <f t="shared" si="5"/>
        <v>19625</v>
      </c>
      <c r="BU181" t="str">
        <f t="shared" si="5"/>
        <v>19625</v>
      </c>
      <c r="BV181" t="str">
        <f t="shared" si="5"/>
        <v>19625</v>
      </c>
      <c r="BW181" t="str">
        <f t="shared" si="5"/>
        <v>19625</v>
      </c>
      <c r="BX181" t="str">
        <f t="shared" si="5"/>
        <v>19625</v>
      </c>
      <c r="BY181" t="str">
        <f t="shared" si="5"/>
        <v>19625</v>
      </c>
      <c r="BZ181" t="str">
        <f t="shared" si="5"/>
        <v>19625</v>
      </c>
      <c r="CA181" t="str">
        <f t="shared" si="5"/>
        <v>19625</v>
      </c>
      <c r="CB181" t="str">
        <f t="shared" si="5"/>
        <v>19625</v>
      </c>
      <c r="CC181" t="str">
        <f t="shared" si="5"/>
        <v>19625</v>
      </c>
      <c r="CD181" t="str">
        <f t="shared" si="5"/>
        <v>19625</v>
      </c>
      <c r="CE181" t="str">
        <f t="shared" si="5"/>
        <v>19625</v>
      </c>
      <c r="CF181" t="str">
        <f t="shared" si="5"/>
        <v>19625</v>
      </c>
      <c r="CG181" t="str">
        <f t="shared" si="5"/>
        <v>19625</v>
      </c>
      <c r="CH181" t="str">
        <f t="shared" si="5"/>
        <v>19625</v>
      </c>
      <c r="CI181" t="str">
        <f t="shared" si="5"/>
        <v>19625</v>
      </c>
      <c r="CJ181" t="str">
        <f t="shared" si="5"/>
        <v>19625</v>
      </c>
      <c r="CK181" t="str">
        <f t="shared" si="5"/>
        <v>19625</v>
      </c>
      <c r="CL181" t="str">
        <f t="shared" si="5"/>
        <v>19625</v>
      </c>
      <c r="CM181" t="str">
        <f t="shared" si="5"/>
        <v>19625</v>
      </c>
    </row>
    <row r="182" spans="1:91" x14ac:dyDescent="0.3">
      <c r="A182" t="str">
        <f>"adj. R-sq"</f>
        <v>adj. R-sq</v>
      </c>
      <c r="B182" t="str">
        <f>""</f>
        <v/>
      </c>
      <c r="C182" t="str">
        <f>""</f>
        <v/>
      </c>
      <c r="D182" t="str">
        <f>""</f>
        <v/>
      </c>
      <c r="E182" t="str">
        <f>""</f>
        <v/>
      </c>
      <c r="F182" t="str">
        <f>""</f>
        <v/>
      </c>
      <c r="G182" t="str">
        <f>""</f>
        <v/>
      </c>
      <c r="H182" t="str">
        <f>""</f>
        <v/>
      </c>
      <c r="I182" t="str">
        <f>""</f>
        <v/>
      </c>
      <c r="J182" t="str">
        <f>""</f>
        <v/>
      </c>
      <c r="K182" t="str">
        <f>""</f>
        <v/>
      </c>
      <c r="L182" t="str">
        <f>""</f>
        <v/>
      </c>
      <c r="M182" t="str">
        <f>""</f>
        <v/>
      </c>
      <c r="N182" t="str">
        <f>""</f>
        <v/>
      </c>
      <c r="O182" t="str">
        <f>""</f>
        <v/>
      </c>
      <c r="P182" t="str">
        <f>""</f>
        <v/>
      </c>
      <c r="Q182" t="str">
        <f>""</f>
        <v/>
      </c>
      <c r="R182" t="str">
        <f>""</f>
        <v/>
      </c>
      <c r="S182" t="str">
        <f>""</f>
        <v/>
      </c>
      <c r="T182" t="str">
        <f>""</f>
        <v/>
      </c>
      <c r="U182" t="str">
        <f>""</f>
        <v/>
      </c>
      <c r="V182" t="str">
        <f>""</f>
        <v/>
      </c>
      <c r="W182" t="str">
        <f>""</f>
        <v/>
      </c>
      <c r="X182" t="str">
        <f>""</f>
        <v/>
      </c>
      <c r="Y182" t="str">
        <f>""</f>
        <v/>
      </c>
      <c r="Z182" t="str">
        <f>""</f>
        <v/>
      </c>
      <c r="AA182" t="str">
        <f>""</f>
        <v/>
      </c>
      <c r="AB182" t="str">
        <f>""</f>
        <v/>
      </c>
      <c r="AC182" t="str">
        <f>""</f>
        <v/>
      </c>
      <c r="AD182" t="str">
        <f>""</f>
        <v/>
      </c>
      <c r="AE182" t="str">
        <f>""</f>
        <v/>
      </c>
      <c r="AF182" t="str">
        <f>""</f>
        <v/>
      </c>
      <c r="AG182" t="str">
        <f>""</f>
        <v/>
      </c>
      <c r="AH182" t="str">
        <f>""</f>
        <v/>
      </c>
      <c r="AI182" t="str">
        <f>""</f>
        <v/>
      </c>
      <c r="AJ182" t="str">
        <f>""</f>
        <v/>
      </c>
      <c r="AK182" t="str">
        <f>""</f>
        <v/>
      </c>
      <c r="AL182" t="str">
        <f>""</f>
        <v/>
      </c>
      <c r="AM182" t="str">
        <f>""</f>
        <v/>
      </c>
      <c r="AN182" t="str">
        <f>""</f>
        <v/>
      </c>
      <c r="AO182" t="str">
        <f>""</f>
        <v/>
      </c>
      <c r="AP182" t="str">
        <f>""</f>
        <v/>
      </c>
      <c r="AQ182" t="str">
        <f>""</f>
        <v/>
      </c>
      <c r="AR182" t="str">
        <f>""</f>
        <v/>
      </c>
      <c r="AS182" t="str">
        <f>""</f>
        <v/>
      </c>
      <c r="AT182" t="str">
        <f>""</f>
        <v/>
      </c>
      <c r="AU182" t="str">
        <f>""</f>
        <v/>
      </c>
      <c r="AV182" t="str">
        <f>""</f>
        <v/>
      </c>
      <c r="AW182" t="str">
        <f>""</f>
        <v/>
      </c>
      <c r="AX182" t="str">
        <f>""</f>
        <v/>
      </c>
      <c r="AY182" t="str">
        <f>""</f>
        <v/>
      </c>
      <c r="AZ182" t="str">
        <f>""</f>
        <v/>
      </c>
      <c r="BA182" t="str">
        <f>""</f>
        <v/>
      </c>
      <c r="BB182" t="str">
        <f>""</f>
        <v/>
      </c>
      <c r="BC182" t="str">
        <f>""</f>
        <v/>
      </c>
      <c r="BD182" t="str">
        <f>""</f>
        <v/>
      </c>
      <c r="BE182" t="str">
        <f>""</f>
        <v/>
      </c>
      <c r="BF182" t="str">
        <f>""</f>
        <v/>
      </c>
      <c r="BG182" t="str">
        <f>""</f>
        <v/>
      </c>
      <c r="BH182" t="str">
        <f>""</f>
        <v/>
      </c>
      <c r="BI182" t="str">
        <f>""</f>
        <v/>
      </c>
      <c r="BJ182" t="str">
        <f>""</f>
        <v/>
      </c>
      <c r="BK182" t="str">
        <f>""</f>
        <v/>
      </c>
      <c r="BL182" t="str">
        <f>""</f>
        <v/>
      </c>
      <c r="BM182" t="str">
        <f>""</f>
        <v/>
      </c>
      <c r="BN182" t="str">
        <f>""</f>
        <v/>
      </c>
      <c r="BO182" t="str">
        <f>""</f>
        <v/>
      </c>
      <c r="BP182" t="str">
        <f>""</f>
        <v/>
      </c>
      <c r="BQ182" t="str">
        <f>""</f>
        <v/>
      </c>
      <c r="BR182" t="str">
        <f>""</f>
        <v/>
      </c>
      <c r="BS182" t="str">
        <f>""</f>
        <v/>
      </c>
      <c r="BT182" t="str">
        <f>""</f>
        <v/>
      </c>
      <c r="BU182" t="str">
        <f>""</f>
        <v/>
      </c>
      <c r="BV182" t="str">
        <f>""</f>
        <v/>
      </c>
      <c r="BW182" t="str">
        <f>""</f>
        <v/>
      </c>
      <c r="BX182" t="str">
        <f>""</f>
        <v/>
      </c>
      <c r="BY182" t="str">
        <f>""</f>
        <v/>
      </c>
      <c r="BZ182" t="str">
        <f>""</f>
        <v/>
      </c>
      <c r="CA182" t="str">
        <f>""</f>
        <v/>
      </c>
      <c r="CB182" t="str">
        <f>""</f>
        <v/>
      </c>
      <c r="CC182" t="str">
        <f>""</f>
        <v/>
      </c>
      <c r="CD182" t="str">
        <f>""</f>
        <v/>
      </c>
      <c r="CE182" t="str">
        <f>""</f>
        <v/>
      </c>
      <c r="CF182" t="str">
        <f>""</f>
        <v/>
      </c>
      <c r="CG182" t="str">
        <f>""</f>
        <v/>
      </c>
      <c r="CH182" t="str">
        <f>""</f>
        <v/>
      </c>
      <c r="CI182" t="str">
        <f>""</f>
        <v/>
      </c>
      <c r="CJ182" t="str">
        <f>""</f>
        <v/>
      </c>
      <c r="CK182" t="str">
        <f>""</f>
        <v/>
      </c>
      <c r="CL182" t="str">
        <f>""</f>
        <v/>
      </c>
      <c r="CM182" t="str">
        <f>""</f>
        <v/>
      </c>
    </row>
    <row r="184" spans="1:91" x14ac:dyDescent="0.3">
      <c r="A184" t="str">
        <f>"Standard errors in parentheses"</f>
        <v>Standard errors in parentheses</v>
      </c>
    </row>
    <row r="185" spans="1:91" x14ac:dyDescent="0.3">
      <c r="A185" t="s">
        <v>0</v>
      </c>
      <c r="B185" t="s">
        <v>1</v>
      </c>
      <c r="C18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Baydoun, May Ahmad (NIH/NIA/IRP) [E]</cp:lastModifiedBy>
  <dcterms:created xsi:type="dcterms:W3CDTF">2024-09-20T23:56:01Z</dcterms:created>
  <dcterms:modified xsi:type="dcterms:W3CDTF">2024-09-20T23:56:02Z</dcterms:modified>
</cp:coreProperties>
</file>