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6GBBACKUPUSB\BACKUP_USB_SEPTEMBER2014\May Baydoun_folder\UK_BIOBANK_PROJECT\UKB_PAPER11_NFLGFAPDEMPDMORT_METAB\MANUSCRIPT\GITHUB\FIGURES\FIGURE2_3_HEATMAPS\PM_METAB\"/>
    </mc:Choice>
  </mc:AlternateContent>
  <xr:revisionPtr revIDLastSave="0" documentId="8_{B481C178-C248-4ACC-9CF1-BD3F42344C68}" xr6:coauthVersionLast="47" xr6:coauthVersionMax="47" xr10:uidLastSave="{00000000-0000-0000-0000-000000000000}"/>
  <bookViews>
    <workbookView xWindow="-108" yWindow="492" windowWidth="23256" windowHeight="12576" xr2:uid="{25356573-4FC4-4DED-AB99-3C4BA577F995}"/>
  </bookViews>
  <sheets>
    <sheet name="results_TABLE7" sheetId="1" r:id="rId1"/>
  </sheets>
  <calcPr calcId="0"/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GS2" i="1"/>
  <c r="GT2" i="1"/>
  <c r="GU2" i="1"/>
  <c r="GV2" i="1"/>
  <c r="GW2" i="1"/>
  <c r="GX2" i="1"/>
  <c r="GY2" i="1"/>
  <c r="GZ2" i="1"/>
  <c r="HA2" i="1"/>
  <c r="HB2" i="1"/>
  <c r="HC2" i="1"/>
  <c r="HD2" i="1"/>
  <c r="HE2" i="1"/>
  <c r="HF2" i="1"/>
  <c r="HG2" i="1"/>
  <c r="HH2" i="1"/>
  <c r="HI2" i="1"/>
  <c r="HJ2" i="1"/>
  <c r="HK2" i="1"/>
  <c r="HL2" i="1"/>
  <c r="HM2" i="1"/>
  <c r="HN2" i="1"/>
  <c r="HO2" i="1"/>
  <c r="HP2" i="1"/>
  <c r="HQ2" i="1"/>
  <c r="HR2" i="1"/>
  <c r="HS2" i="1"/>
  <c r="HT2" i="1"/>
  <c r="HU2" i="1"/>
  <c r="HV2" i="1"/>
  <c r="HW2" i="1"/>
  <c r="HX2" i="1"/>
  <c r="HY2" i="1"/>
  <c r="HZ2" i="1"/>
  <c r="IA2" i="1"/>
  <c r="IB2" i="1"/>
  <c r="IC2" i="1"/>
  <c r="ID2" i="1"/>
  <c r="IE2" i="1"/>
  <c r="IF2" i="1"/>
  <c r="IG2" i="1"/>
  <c r="IH2" i="1"/>
  <c r="II2" i="1"/>
  <c r="IJ2" i="1"/>
  <c r="IK2" i="1"/>
  <c r="IL2" i="1"/>
  <c r="IM2" i="1"/>
  <c r="IN2" i="1"/>
  <c r="IO2" i="1"/>
  <c r="IP2" i="1"/>
  <c r="IQ2" i="1"/>
  <c r="IR2" i="1"/>
  <c r="IS2" i="1"/>
  <c r="IT2" i="1"/>
  <c r="IU2" i="1"/>
  <c r="IV2" i="1"/>
  <c r="IW2" i="1"/>
  <c r="IX2" i="1"/>
  <c r="IY2" i="1"/>
  <c r="IZ2" i="1"/>
  <c r="JA2" i="1"/>
  <c r="JB2" i="1"/>
  <c r="JC2" i="1"/>
  <c r="JD2" i="1"/>
  <c r="JE2" i="1"/>
  <c r="JF2" i="1"/>
  <c r="JG2" i="1"/>
  <c r="JH2" i="1"/>
  <c r="JI2" i="1"/>
  <c r="JJ2" i="1"/>
  <c r="JK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GW3" i="1"/>
  <c r="GX3" i="1"/>
  <c r="GY3" i="1"/>
  <c r="GZ3" i="1"/>
  <c r="HA3" i="1"/>
  <c r="HB3" i="1"/>
  <c r="HC3" i="1"/>
  <c r="HD3" i="1"/>
  <c r="HE3" i="1"/>
  <c r="HF3" i="1"/>
  <c r="HG3" i="1"/>
  <c r="HH3" i="1"/>
  <c r="HI3" i="1"/>
  <c r="HJ3" i="1"/>
  <c r="HK3" i="1"/>
  <c r="HL3" i="1"/>
  <c r="HM3" i="1"/>
  <c r="HN3" i="1"/>
  <c r="HO3" i="1"/>
  <c r="HP3" i="1"/>
  <c r="HQ3" i="1"/>
  <c r="HR3" i="1"/>
  <c r="HS3" i="1"/>
  <c r="HT3" i="1"/>
  <c r="HU3" i="1"/>
  <c r="HV3" i="1"/>
  <c r="HW3" i="1"/>
  <c r="HX3" i="1"/>
  <c r="HY3" i="1"/>
  <c r="HZ3" i="1"/>
  <c r="IA3" i="1"/>
  <c r="IB3" i="1"/>
  <c r="IC3" i="1"/>
  <c r="ID3" i="1"/>
  <c r="IE3" i="1"/>
  <c r="IF3" i="1"/>
  <c r="IG3" i="1"/>
  <c r="IH3" i="1"/>
  <c r="II3" i="1"/>
  <c r="IJ3" i="1"/>
  <c r="IK3" i="1"/>
  <c r="IL3" i="1"/>
  <c r="IM3" i="1"/>
  <c r="IN3" i="1"/>
  <c r="IO3" i="1"/>
  <c r="IP3" i="1"/>
  <c r="IQ3" i="1"/>
  <c r="IR3" i="1"/>
  <c r="IS3" i="1"/>
  <c r="IT3" i="1"/>
  <c r="IU3" i="1"/>
  <c r="IV3" i="1"/>
  <c r="IW3" i="1"/>
  <c r="IX3" i="1"/>
  <c r="IY3" i="1"/>
  <c r="IZ3" i="1"/>
  <c r="JA3" i="1"/>
  <c r="JB3" i="1"/>
  <c r="JC3" i="1"/>
  <c r="JD3" i="1"/>
  <c r="JE3" i="1"/>
  <c r="JF3" i="1"/>
  <c r="JG3" i="1"/>
  <c r="JH3" i="1"/>
  <c r="JI3" i="1"/>
  <c r="JJ3" i="1"/>
  <c r="JK3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/>
  <c r="HH6" i="1"/>
  <c r="HI6" i="1"/>
  <c r="HJ6" i="1"/>
  <c r="HK6" i="1"/>
  <c r="HL6" i="1"/>
  <c r="HM6" i="1"/>
  <c r="HN6" i="1"/>
  <c r="HO6" i="1"/>
  <c r="HP6" i="1"/>
  <c r="HQ6" i="1"/>
  <c r="HR6" i="1"/>
  <c r="HS6" i="1"/>
  <c r="HT6" i="1"/>
  <c r="HU6" i="1"/>
  <c r="HV6" i="1"/>
  <c r="HW6" i="1"/>
  <c r="HX6" i="1"/>
  <c r="HY6" i="1"/>
  <c r="HZ6" i="1"/>
  <c r="IA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JE6" i="1"/>
  <c r="JF6" i="1"/>
  <c r="JG6" i="1"/>
  <c r="JH6" i="1"/>
  <c r="JI6" i="1"/>
  <c r="JJ6" i="1"/>
  <c r="JK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D12" i="1"/>
  <c r="HE12" i="1"/>
  <c r="HF12" i="1"/>
  <c r="HG12" i="1"/>
  <c r="HH12" i="1"/>
  <c r="HI12" i="1"/>
  <c r="HJ12" i="1"/>
  <c r="HK12" i="1"/>
  <c r="HL12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HY12" i="1"/>
  <c r="HZ12" i="1"/>
  <c r="IA12" i="1"/>
  <c r="IB12" i="1"/>
  <c r="IC12" i="1"/>
  <c r="ID12" i="1"/>
  <c r="IE12" i="1"/>
  <c r="IF12" i="1"/>
  <c r="IG12" i="1"/>
  <c r="IH12" i="1"/>
  <c r="II12" i="1"/>
  <c r="IJ12" i="1"/>
  <c r="IK12" i="1"/>
  <c r="IL12" i="1"/>
  <c r="IM12" i="1"/>
  <c r="IN12" i="1"/>
  <c r="IO12" i="1"/>
  <c r="IP12" i="1"/>
  <c r="IQ12" i="1"/>
  <c r="IR12" i="1"/>
  <c r="IS12" i="1"/>
  <c r="IT12" i="1"/>
  <c r="IU12" i="1"/>
  <c r="IV12" i="1"/>
  <c r="IW12" i="1"/>
  <c r="IX12" i="1"/>
  <c r="IY12" i="1"/>
  <c r="IZ12" i="1"/>
  <c r="JA12" i="1"/>
  <c r="JB12" i="1"/>
  <c r="JC12" i="1"/>
  <c r="JD12" i="1"/>
  <c r="JE12" i="1"/>
  <c r="JF12" i="1"/>
  <c r="JG12" i="1"/>
  <c r="JH12" i="1"/>
  <c r="JI12" i="1"/>
  <c r="JJ12" i="1"/>
  <c r="JK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D13" i="1"/>
  <c r="HE13" i="1"/>
  <c r="HF13" i="1"/>
  <c r="HG13" i="1"/>
  <c r="HH13" i="1"/>
  <c r="HI13" i="1"/>
  <c r="HJ13" i="1"/>
  <c r="HK13" i="1"/>
  <c r="HL13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HY13" i="1"/>
  <c r="HZ13" i="1"/>
  <c r="IA13" i="1"/>
  <c r="IB13" i="1"/>
  <c r="IC13" i="1"/>
  <c r="ID13" i="1"/>
  <c r="IE13" i="1"/>
  <c r="IF13" i="1"/>
  <c r="IG13" i="1"/>
  <c r="IH13" i="1"/>
  <c r="II13" i="1"/>
  <c r="IJ13" i="1"/>
  <c r="IK13" i="1"/>
  <c r="IL13" i="1"/>
  <c r="IM13" i="1"/>
  <c r="IN13" i="1"/>
  <c r="IO13" i="1"/>
  <c r="IP13" i="1"/>
  <c r="IQ13" i="1"/>
  <c r="IR13" i="1"/>
  <c r="IS13" i="1"/>
  <c r="IT13" i="1"/>
  <c r="IU13" i="1"/>
  <c r="IV13" i="1"/>
  <c r="IW13" i="1"/>
  <c r="IX13" i="1"/>
  <c r="IY13" i="1"/>
  <c r="IZ13" i="1"/>
  <c r="JA13" i="1"/>
  <c r="JB13" i="1"/>
  <c r="JC13" i="1"/>
  <c r="JD13" i="1"/>
  <c r="JE13" i="1"/>
  <c r="JF13" i="1"/>
  <c r="JG13" i="1"/>
  <c r="JH13" i="1"/>
  <c r="JI13" i="1"/>
  <c r="JJ13" i="1"/>
  <c r="JK13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/>
  <c r="HH15" i="1"/>
  <c r="HI15" i="1"/>
  <c r="HJ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Y15" i="1"/>
  <c r="HZ15" i="1"/>
  <c r="IA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IZ15" i="1"/>
  <c r="JA15" i="1"/>
  <c r="JB15" i="1"/>
  <c r="JC15" i="1"/>
  <c r="JD15" i="1"/>
  <c r="JE15" i="1"/>
  <c r="JF15" i="1"/>
  <c r="JG15" i="1"/>
  <c r="JH15" i="1"/>
  <c r="JI15" i="1"/>
  <c r="JJ15" i="1"/>
  <c r="JK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/>
  <c r="HH16" i="1"/>
  <c r="HI16" i="1"/>
  <c r="HJ16" i="1"/>
  <c r="HK16" i="1"/>
  <c r="HL16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HY16" i="1"/>
  <c r="HZ16" i="1"/>
  <c r="IA16" i="1"/>
  <c r="IB16" i="1"/>
  <c r="IC16" i="1"/>
  <c r="ID16" i="1"/>
  <c r="IE16" i="1"/>
  <c r="IF16" i="1"/>
  <c r="IG16" i="1"/>
  <c r="IH16" i="1"/>
  <c r="II16" i="1"/>
  <c r="IJ16" i="1"/>
  <c r="IK16" i="1"/>
  <c r="IL16" i="1"/>
  <c r="IM16" i="1"/>
  <c r="IN16" i="1"/>
  <c r="IO16" i="1"/>
  <c r="IP16" i="1"/>
  <c r="IQ16" i="1"/>
  <c r="IR16" i="1"/>
  <c r="IS16" i="1"/>
  <c r="IT16" i="1"/>
  <c r="IU16" i="1"/>
  <c r="IV16" i="1"/>
  <c r="IW16" i="1"/>
  <c r="IX16" i="1"/>
  <c r="IY16" i="1"/>
  <c r="IZ16" i="1"/>
  <c r="JA16" i="1"/>
  <c r="JB16" i="1"/>
  <c r="JC16" i="1"/>
  <c r="JD16" i="1"/>
  <c r="JE16" i="1"/>
  <c r="JF16" i="1"/>
  <c r="JG16" i="1"/>
  <c r="JH16" i="1"/>
  <c r="JI16" i="1"/>
  <c r="JJ16" i="1"/>
  <c r="JK16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/>
  <c r="HH18" i="1"/>
  <c r="HI18" i="1"/>
  <c r="HJ18" i="1"/>
  <c r="HK18" i="1"/>
  <c r="HL18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HY18" i="1"/>
  <c r="HZ18" i="1"/>
  <c r="IA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IO18" i="1"/>
  <c r="IP18" i="1"/>
  <c r="IQ18" i="1"/>
  <c r="IR18" i="1"/>
  <c r="IS18" i="1"/>
  <c r="IT18" i="1"/>
  <c r="IU18" i="1"/>
  <c r="IV18" i="1"/>
  <c r="IW18" i="1"/>
  <c r="IX18" i="1"/>
  <c r="IY18" i="1"/>
  <c r="IZ18" i="1"/>
  <c r="JA18" i="1"/>
  <c r="JB18" i="1"/>
  <c r="JC18" i="1"/>
  <c r="JD18" i="1"/>
  <c r="JE18" i="1"/>
  <c r="JF18" i="1"/>
  <c r="JG18" i="1"/>
  <c r="JH18" i="1"/>
  <c r="JI18" i="1"/>
  <c r="JJ18" i="1"/>
  <c r="JK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/>
  <c r="HH19" i="1"/>
  <c r="HI19" i="1"/>
  <c r="HJ19" i="1"/>
  <c r="HK19" i="1"/>
  <c r="HL19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HY19" i="1"/>
  <c r="HZ19" i="1"/>
  <c r="IA19" i="1"/>
  <c r="IB19" i="1"/>
  <c r="IC19" i="1"/>
  <c r="ID19" i="1"/>
  <c r="IE19" i="1"/>
  <c r="IF19" i="1"/>
  <c r="IG19" i="1"/>
  <c r="IH19" i="1"/>
  <c r="II19" i="1"/>
  <c r="IJ19" i="1"/>
  <c r="IK19" i="1"/>
  <c r="IL19" i="1"/>
  <c r="IM19" i="1"/>
  <c r="IN19" i="1"/>
  <c r="IO19" i="1"/>
  <c r="IP19" i="1"/>
  <c r="IQ19" i="1"/>
  <c r="IR19" i="1"/>
  <c r="IS19" i="1"/>
  <c r="IT19" i="1"/>
  <c r="IU19" i="1"/>
  <c r="IV19" i="1"/>
  <c r="IW19" i="1"/>
  <c r="IX19" i="1"/>
  <c r="IY19" i="1"/>
  <c r="IZ19" i="1"/>
  <c r="JA19" i="1"/>
  <c r="JB19" i="1"/>
  <c r="JC19" i="1"/>
  <c r="JD19" i="1"/>
  <c r="JE19" i="1"/>
  <c r="JF19" i="1"/>
  <c r="JG19" i="1"/>
  <c r="JH19" i="1"/>
  <c r="JI19" i="1"/>
  <c r="JJ19" i="1"/>
  <c r="JK19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HC21" i="1"/>
  <c r="HD21" i="1"/>
  <c r="HE21" i="1"/>
  <c r="HF21" i="1"/>
  <c r="HG21" i="1"/>
  <c r="HH21" i="1"/>
  <c r="HI21" i="1"/>
  <c r="HJ21" i="1"/>
  <c r="HK21" i="1"/>
  <c r="HL21" i="1"/>
  <c r="HM21" i="1"/>
  <c r="HN21" i="1"/>
  <c r="HO21" i="1"/>
  <c r="HP21" i="1"/>
  <c r="HQ21" i="1"/>
  <c r="HR21" i="1"/>
  <c r="HS21" i="1"/>
  <c r="HT21" i="1"/>
  <c r="HU21" i="1"/>
  <c r="HV21" i="1"/>
  <c r="HW21" i="1"/>
  <c r="HX21" i="1"/>
  <c r="HY21" i="1"/>
  <c r="HZ21" i="1"/>
  <c r="IA21" i="1"/>
  <c r="IB21" i="1"/>
  <c r="IC21" i="1"/>
  <c r="ID21" i="1"/>
  <c r="IE21" i="1"/>
  <c r="IF21" i="1"/>
  <c r="IG21" i="1"/>
  <c r="IH21" i="1"/>
  <c r="II21" i="1"/>
  <c r="IJ21" i="1"/>
  <c r="IK21" i="1"/>
  <c r="IL21" i="1"/>
  <c r="IM21" i="1"/>
  <c r="IN21" i="1"/>
  <c r="IO21" i="1"/>
  <c r="IP21" i="1"/>
  <c r="IQ21" i="1"/>
  <c r="IR21" i="1"/>
  <c r="IS21" i="1"/>
  <c r="IT21" i="1"/>
  <c r="IU21" i="1"/>
  <c r="IV21" i="1"/>
  <c r="IW21" i="1"/>
  <c r="IX21" i="1"/>
  <c r="IY21" i="1"/>
  <c r="IZ21" i="1"/>
  <c r="JA21" i="1"/>
  <c r="JB21" i="1"/>
  <c r="JC21" i="1"/>
  <c r="JD21" i="1"/>
  <c r="JE21" i="1"/>
  <c r="JF21" i="1"/>
  <c r="JG21" i="1"/>
  <c r="JH21" i="1"/>
  <c r="JI21" i="1"/>
  <c r="JJ21" i="1"/>
  <c r="JK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/>
  <c r="HH22" i="1"/>
  <c r="HI22" i="1"/>
  <c r="HJ22" i="1"/>
  <c r="HK22" i="1"/>
  <c r="HL22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HY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P22" i="1"/>
  <c r="IQ22" i="1"/>
  <c r="IR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JE22" i="1"/>
  <c r="JF22" i="1"/>
  <c r="JG22" i="1"/>
  <c r="JH22" i="1"/>
  <c r="JI22" i="1"/>
  <c r="JJ22" i="1"/>
  <c r="JK22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/>
  <c r="HH24" i="1"/>
  <c r="HI24" i="1"/>
  <c r="HJ24" i="1"/>
  <c r="HK24" i="1"/>
  <c r="HL24" i="1"/>
  <c r="HM24" i="1"/>
  <c r="HN24" i="1"/>
  <c r="HO24" i="1"/>
  <c r="HP24" i="1"/>
  <c r="HQ24" i="1"/>
  <c r="HR24" i="1"/>
  <c r="HS24" i="1"/>
  <c r="HT24" i="1"/>
  <c r="HU24" i="1"/>
  <c r="HV24" i="1"/>
  <c r="HW24" i="1"/>
  <c r="HX24" i="1"/>
  <c r="HY24" i="1"/>
  <c r="HZ24" i="1"/>
  <c r="IA24" i="1"/>
  <c r="IB24" i="1"/>
  <c r="IC24" i="1"/>
  <c r="ID24" i="1"/>
  <c r="IE24" i="1"/>
  <c r="IF24" i="1"/>
  <c r="IG24" i="1"/>
  <c r="IH24" i="1"/>
  <c r="II24" i="1"/>
  <c r="IJ24" i="1"/>
  <c r="IK24" i="1"/>
  <c r="IL24" i="1"/>
  <c r="IM24" i="1"/>
  <c r="IN24" i="1"/>
  <c r="IO24" i="1"/>
  <c r="IP24" i="1"/>
  <c r="IQ24" i="1"/>
  <c r="IR24" i="1"/>
  <c r="IS24" i="1"/>
  <c r="IT24" i="1"/>
  <c r="IU24" i="1"/>
  <c r="IV24" i="1"/>
  <c r="IW24" i="1"/>
  <c r="IX24" i="1"/>
  <c r="IY24" i="1"/>
  <c r="IZ24" i="1"/>
  <c r="JA24" i="1"/>
  <c r="JB24" i="1"/>
  <c r="JC24" i="1"/>
  <c r="JD24" i="1"/>
  <c r="JE24" i="1"/>
  <c r="JF24" i="1"/>
  <c r="JG24" i="1"/>
  <c r="JH24" i="1"/>
  <c r="JI24" i="1"/>
  <c r="JJ24" i="1"/>
  <c r="JK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F25" i="1"/>
  <c r="HG25" i="1"/>
  <c r="HH25" i="1"/>
  <c r="HI25" i="1"/>
  <c r="HJ25" i="1"/>
  <c r="HK25" i="1"/>
  <c r="HL25" i="1"/>
  <c r="HM25" i="1"/>
  <c r="HN25" i="1"/>
  <c r="HO25" i="1"/>
  <c r="HP25" i="1"/>
  <c r="HQ25" i="1"/>
  <c r="HR25" i="1"/>
  <c r="HS25" i="1"/>
  <c r="HT25" i="1"/>
  <c r="HU25" i="1"/>
  <c r="HV25" i="1"/>
  <c r="HW25" i="1"/>
  <c r="HX25" i="1"/>
  <c r="HY25" i="1"/>
  <c r="HZ25" i="1"/>
  <c r="IA25" i="1"/>
  <c r="IB25" i="1"/>
  <c r="IC25" i="1"/>
  <c r="ID25" i="1"/>
  <c r="IE25" i="1"/>
  <c r="IF25" i="1"/>
  <c r="IG25" i="1"/>
  <c r="IH25" i="1"/>
  <c r="II25" i="1"/>
  <c r="IJ25" i="1"/>
  <c r="IK25" i="1"/>
  <c r="IL25" i="1"/>
  <c r="IM25" i="1"/>
  <c r="IN25" i="1"/>
  <c r="IO25" i="1"/>
  <c r="IP25" i="1"/>
  <c r="IQ25" i="1"/>
  <c r="IR25" i="1"/>
  <c r="IS25" i="1"/>
  <c r="IT25" i="1"/>
  <c r="IU25" i="1"/>
  <c r="IV25" i="1"/>
  <c r="IW25" i="1"/>
  <c r="IX25" i="1"/>
  <c r="IY25" i="1"/>
  <c r="IZ25" i="1"/>
  <c r="JA25" i="1"/>
  <c r="JB25" i="1"/>
  <c r="JC25" i="1"/>
  <c r="JD25" i="1"/>
  <c r="JE25" i="1"/>
  <c r="JF25" i="1"/>
  <c r="JG25" i="1"/>
  <c r="JH25" i="1"/>
  <c r="JI25" i="1"/>
  <c r="JJ25" i="1"/>
  <c r="JK25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/>
  <c r="HH27" i="1"/>
  <c r="HI27" i="1"/>
  <c r="HJ27" i="1"/>
  <c r="HK27" i="1"/>
  <c r="HL27" i="1"/>
  <c r="HM27" i="1"/>
  <c r="HN27" i="1"/>
  <c r="HO27" i="1"/>
  <c r="HP27" i="1"/>
  <c r="HQ27" i="1"/>
  <c r="HR27" i="1"/>
  <c r="HS27" i="1"/>
  <c r="HT27" i="1"/>
  <c r="HU27" i="1"/>
  <c r="HV27" i="1"/>
  <c r="HW27" i="1"/>
  <c r="HX27" i="1"/>
  <c r="HY27" i="1"/>
  <c r="HZ27" i="1"/>
  <c r="IA27" i="1"/>
  <c r="IB27" i="1"/>
  <c r="IC27" i="1"/>
  <c r="ID27" i="1"/>
  <c r="IE27" i="1"/>
  <c r="IF27" i="1"/>
  <c r="IG27" i="1"/>
  <c r="IH27" i="1"/>
  <c r="II27" i="1"/>
  <c r="IJ27" i="1"/>
  <c r="IK27" i="1"/>
  <c r="IL27" i="1"/>
  <c r="IM27" i="1"/>
  <c r="IN27" i="1"/>
  <c r="IO27" i="1"/>
  <c r="IP27" i="1"/>
  <c r="IQ27" i="1"/>
  <c r="IR27" i="1"/>
  <c r="IS27" i="1"/>
  <c r="IT27" i="1"/>
  <c r="IU27" i="1"/>
  <c r="IV27" i="1"/>
  <c r="IW27" i="1"/>
  <c r="IX27" i="1"/>
  <c r="IY27" i="1"/>
  <c r="IZ27" i="1"/>
  <c r="JA27" i="1"/>
  <c r="JB27" i="1"/>
  <c r="JC27" i="1"/>
  <c r="JD27" i="1"/>
  <c r="JE27" i="1"/>
  <c r="JF27" i="1"/>
  <c r="JG27" i="1"/>
  <c r="JH27" i="1"/>
  <c r="JI27" i="1"/>
  <c r="JJ27" i="1"/>
  <c r="JK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F28" i="1"/>
  <c r="HG28" i="1"/>
  <c r="HH28" i="1"/>
  <c r="HI28" i="1"/>
  <c r="HJ28" i="1"/>
  <c r="HK28" i="1"/>
  <c r="HL28" i="1"/>
  <c r="HM28" i="1"/>
  <c r="HN28" i="1"/>
  <c r="HO28" i="1"/>
  <c r="HP28" i="1"/>
  <c r="HQ28" i="1"/>
  <c r="HR28" i="1"/>
  <c r="HS28" i="1"/>
  <c r="HT28" i="1"/>
  <c r="HU28" i="1"/>
  <c r="HV28" i="1"/>
  <c r="HW28" i="1"/>
  <c r="HX28" i="1"/>
  <c r="HY28" i="1"/>
  <c r="HZ28" i="1"/>
  <c r="IA28" i="1"/>
  <c r="IB28" i="1"/>
  <c r="IC28" i="1"/>
  <c r="ID28" i="1"/>
  <c r="IE28" i="1"/>
  <c r="IF28" i="1"/>
  <c r="IG28" i="1"/>
  <c r="IH28" i="1"/>
  <c r="II28" i="1"/>
  <c r="IJ28" i="1"/>
  <c r="IK28" i="1"/>
  <c r="IL28" i="1"/>
  <c r="IM28" i="1"/>
  <c r="IN28" i="1"/>
  <c r="IO28" i="1"/>
  <c r="IP28" i="1"/>
  <c r="IQ28" i="1"/>
  <c r="IR28" i="1"/>
  <c r="IS28" i="1"/>
  <c r="IT28" i="1"/>
  <c r="IU28" i="1"/>
  <c r="IV28" i="1"/>
  <c r="IW28" i="1"/>
  <c r="IX28" i="1"/>
  <c r="IY28" i="1"/>
  <c r="IZ28" i="1"/>
  <c r="JA28" i="1"/>
  <c r="JB28" i="1"/>
  <c r="JC28" i="1"/>
  <c r="JD28" i="1"/>
  <c r="JE28" i="1"/>
  <c r="JF28" i="1"/>
  <c r="JG28" i="1"/>
  <c r="JH28" i="1"/>
  <c r="JI28" i="1"/>
  <c r="JJ28" i="1"/>
  <c r="JK28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IO30" i="1"/>
  <c r="IP30" i="1"/>
  <c r="IQ30" i="1"/>
  <c r="IR30" i="1"/>
  <c r="IS30" i="1"/>
  <c r="IT30" i="1"/>
  <c r="IU30" i="1"/>
  <c r="IV30" i="1"/>
  <c r="IW30" i="1"/>
  <c r="IX30" i="1"/>
  <c r="IY30" i="1"/>
  <c r="IZ30" i="1"/>
  <c r="JA30" i="1"/>
  <c r="JB30" i="1"/>
  <c r="JC30" i="1"/>
  <c r="JD30" i="1"/>
  <c r="JE30" i="1"/>
  <c r="JF30" i="1"/>
  <c r="JG30" i="1"/>
  <c r="JH30" i="1"/>
  <c r="JI30" i="1"/>
  <c r="JJ30" i="1"/>
  <c r="JK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IO31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JC31" i="1"/>
  <c r="JD31" i="1"/>
  <c r="JE31" i="1"/>
  <c r="JF31" i="1"/>
  <c r="JG31" i="1"/>
  <c r="JH31" i="1"/>
  <c r="JI31" i="1"/>
  <c r="JJ31" i="1"/>
  <c r="JK31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/>
  <c r="HH33" i="1"/>
  <c r="HI33" i="1"/>
  <c r="HJ33" i="1"/>
  <c r="HK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Y33" i="1"/>
  <c r="HZ33" i="1"/>
  <c r="IA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HK34" i="1"/>
  <c r="HL34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IB34" i="1"/>
  <c r="IC34" i="1"/>
  <c r="ID34" i="1"/>
  <c r="IE34" i="1"/>
  <c r="IF34" i="1"/>
  <c r="IG34" i="1"/>
  <c r="IH34" i="1"/>
  <c r="II34" i="1"/>
  <c r="IJ34" i="1"/>
  <c r="IK34" i="1"/>
  <c r="IL34" i="1"/>
  <c r="IM34" i="1"/>
  <c r="IN34" i="1"/>
  <c r="IO34" i="1"/>
  <c r="IP34" i="1"/>
  <c r="IQ34" i="1"/>
  <c r="IR34" i="1"/>
  <c r="IS34" i="1"/>
  <c r="IT34" i="1"/>
  <c r="IU34" i="1"/>
  <c r="IV34" i="1"/>
  <c r="IW34" i="1"/>
  <c r="IX34" i="1"/>
  <c r="IY34" i="1"/>
  <c r="IZ34" i="1"/>
  <c r="JA34" i="1"/>
  <c r="JB34" i="1"/>
  <c r="JC34" i="1"/>
  <c r="JD34" i="1"/>
  <c r="JE34" i="1"/>
  <c r="JF34" i="1"/>
  <c r="JG34" i="1"/>
  <c r="JH34" i="1"/>
  <c r="JI34" i="1"/>
  <c r="JJ34" i="1"/>
  <c r="JK34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D36" i="1"/>
  <c r="HE36" i="1"/>
  <c r="HF36" i="1"/>
  <c r="HG36" i="1"/>
  <c r="HH36" i="1"/>
  <c r="HI36" i="1"/>
  <c r="HJ36" i="1"/>
  <c r="HK36" i="1"/>
  <c r="HL36" i="1"/>
  <c r="HM36" i="1"/>
  <c r="HN36" i="1"/>
  <c r="HO36" i="1"/>
  <c r="HP36" i="1"/>
  <c r="HQ36" i="1"/>
  <c r="HR36" i="1"/>
  <c r="HS36" i="1"/>
  <c r="HT36" i="1"/>
  <c r="HU36" i="1"/>
  <c r="HV36" i="1"/>
  <c r="HW36" i="1"/>
  <c r="HX36" i="1"/>
  <c r="HY36" i="1"/>
  <c r="HZ36" i="1"/>
  <c r="IA36" i="1"/>
  <c r="IB36" i="1"/>
  <c r="IC36" i="1"/>
  <c r="ID36" i="1"/>
  <c r="IE36" i="1"/>
  <c r="IF36" i="1"/>
  <c r="IG36" i="1"/>
  <c r="IH36" i="1"/>
  <c r="II36" i="1"/>
  <c r="IJ36" i="1"/>
  <c r="IK36" i="1"/>
  <c r="IL36" i="1"/>
  <c r="IM36" i="1"/>
  <c r="IN36" i="1"/>
  <c r="IO36" i="1"/>
  <c r="IP36" i="1"/>
  <c r="IQ36" i="1"/>
  <c r="IR36" i="1"/>
  <c r="IS36" i="1"/>
  <c r="IT36" i="1"/>
  <c r="IU36" i="1"/>
  <c r="IV36" i="1"/>
  <c r="IW36" i="1"/>
  <c r="IX36" i="1"/>
  <c r="IY36" i="1"/>
  <c r="IZ36" i="1"/>
  <c r="JA36" i="1"/>
  <c r="JB36" i="1"/>
  <c r="JC36" i="1"/>
  <c r="JD36" i="1"/>
  <c r="JE36" i="1"/>
  <c r="JF36" i="1"/>
  <c r="JG36" i="1"/>
  <c r="JH36" i="1"/>
  <c r="JI36" i="1"/>
  <c r="JJ36" i="1"/>
  <c r="JK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F37" i="1"/>
  <c r="HG37" i="1"/>
  <c r="HH37" i="1"/>
  <c r="HI37" i="1"/>
  <c r="HJ37" i="1"/>
  <c r="HK37" i="1"/>
  <c r="HL37" i="1"/>
  <c r="HM37" i="1"/>
  <c r="HN37" i="1"/>
  <c r="HO37" i="1"/>
  <c r="HP37" i="1"/>
  <c r="HQ37" i="1"/>
  <c r="HR37" i="1"/>
  <c r="HS37" i="1"/>
  <c r="HT37" i="1"/>
  <c r="HU37" i="1"/>
  <c r="HV37" i="1"/>
  <c r="HW37" i="1"/>
  <c r="HX37" i="1"/>
  <c r="HY37" i="1"/>
  <c r="HZ37" i="1"/>
  <c r="IA37" i="1"/>
  <c r="IB37" i="1"/>
  <c r="IC37" i="1"/>
  <c r="ID37" i="1"/>
  <c r="IE37" i="1"/>
  <c r="IF37" i="1"/>
  <c r="IG37" i="1"/>
  <c r="IH37" i="1"/>
  <c r="II37" i="1"/>
  <c r="IJ37" i="1"/>
  <c r="IK37" i="1"/>
  <c r="IL37" i="1"/>
  <c r="IM37" i="1"/>
  <c r="IN37" i="1"/>
  <c r="IO37" i="1"/>
  <c r="IP37" i="1"/>
  <c r="IQ37" i="1"/>
  <c r="IR37" i="1"/>
  <c r="IS37" i="1"/>
  <c r="IT37" i="1"/>
  <c r="IU37" i="1"/>
  <c r="IV37" i="1"/>
  <c r="IW37" i="1"/>
  <c r="IX37" i="1"/>
  <c r="IY37" i="1"/>
  <c r="IZ37" i="1"/>
  <c r="JA37" i="1"/>
  <c r="JB37" i="1"/>
  <c r="JC37" i="1"/>
  <c r="JD37" i="1"/>
  <c r="JE37" i="1"/>
  <c r="JF37" i="1"/>
  <c r="JG37" i="1"/>
  <c r="JH37" i="1"/>
  <c r="JI37" i="1"/>
  <c r="JJ37" i="1"/>
  <c r="JK37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/>
  <c r="HH39" i="1"/>
  <c r="HI39" i="1"/>
  <c r="HJ39" i="1"/>
  <c r="HK39" i="1"/>
  <c r="HL39" i="1"/>
  <c r="HM39" i="1"/>
  <c r="HN39" i="1"/>
  <c r="HO39" i="1"/>
  <c r="HP39" i="1"/>
  <c r="HQ39" i="1"/>
  <c r="HR39" i="1"/>
  <c r="HS39" i="1"/>
  <c r="HT39" i="1"/>
  <c r="HU39" i="1"/>
  <c r="HV39" i="1"/>
  <c r="HW39" i="1"/>
  <c r="HX39" i="1"/>
  <c r="HY39" i="1"/>
  <c r="HZ39" i="1"/>
  <c r="IA39" i="1"/>
  <c r="IB39" i="1"/>
  <c r="IC39" i="1"/>
  <c r="ID39" i="1"/>
  <c r="IE39" i="1"/>
  <c r="IF39" i="1"/>
  <c r="IG39" i="1"/>
  <c r="IH39" i="1"/>
  <c r="II39" i="1"/>
  <c r="IJ39" i="1"/>
  <c r="IK39" i="1"/>
  <c r="IL39" i="1"/>
  <c r="IM39" i="1"/>
  <c r="IN39" i="1"/>
  <c r="IO39" i="1"/>
  <c r="IP39" i="1"/>
  <c r="IQ39" i="1"/>
  <c r="IR39" i="1"/>
  <c r="IS39" i="1"/>
  <c r="IT39" i="1"/>
  <c r="IU39" i="1"/>
  <c r="IV39" i="1"/>
  <c r="IW39" i="1"/>
  <c r="IX39" i="1"/>
  <c r="IY39" i="1"/>
  <c r="IZ39" i="1"/>
  <c r="JA39" i="1"/>
  <c r="JB39" i="1"/>
  <c r="JC39" i="1"/>
  <c r="JD39" i="1"/>
  <c r="JE39" i="1"/>
  <c r="JF39" i="1"/>
  <c r="JG39" i="1"/>
  <c r="JH39" i="1"/>
  <c r="JI39" i="1"/>
  <c r="JJ39" i="1"/>
  <c r="JK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/>
  <c r="HH40" i="1"/>
  <c r="HI40" i="1"/>
  <c r="HJ40" i="1"/>
  <c r="HK40" i="1"/>
  <c r="HL40" i="1"/>
  <c r="HM40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IB40" i="1"/>
  <c r="IC40" i="1"/>
  <c r="ID40" i="1"/>
  <c r="IE40" i="1"/>
  <c r="IF40" i="1"/>
  <c r="IG40" i="1"/>
  <c r="IH40" i="1"/>
  <c r="II40" i="1"/>
  <c r="IJ40" i="1"/>
  <c r="IK40" i="1"/>
  <c r="IL40" i="1"/>
  <c r="IM40" i="1"/>
  <c r="IN40" i="1"/>
  <c r="IO40" i="1"/>
  <c r="IP40" i="1"/>
  <c r="IQ40" i="1"/>
  <c r="IR40" i="1"/>
  <c r="IS40" i="1"/>
  <c r="IT40" i="1"/>
  <c r="IU40" i="1"/>
  <c r="IV40" i="1"/>
  <c r="IW40" i="1"/>
  <c r="IX40" i="1"/>
  <c r="IY40" i="1"/>
  <c r="IZ40" i="1"/>
  <c r="JA40" i="1"/>
  <c r="JB40" i="1"/>
  <c r="JC40" i="1"/>
  <c r="JD40" i="1"/>
  <c r="JE40" i="1"/>
  <c r="JF40" i="1"/>
  <c r="JG40" i="1"/>
  <c r="JH40" i="1"/>
  <c r="JI40" i="1"/>
  <c r="JJ40" i="1"/>
  <c r="JK40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F42" i="1"/>
  <c r="HG42" i="1"/>
  <c r="HH42" i="1"/>
  <c r="HI42" i="1"/>
  <c r="HJ42" i="1"/>
  <c r="HK42" i="1"/>
  <c r="HL42" i="1"/>
  <c r="HM42" i="1"/>
  <c r="HN42" i="1"/>
  <c r="HO42" i="1"/>
  <c r="HP42" i="1"/>
  <c r="HQ42" i="1"/>
  <c r="HR42" i="1"/>
  <c r="HS42" i="1"/>
  <c r="HT42" i="1"/>
  <c r="HU42" i="1"/>
  <c r="HV42" i="1"/>
  <c r="HW42" i="1"/>
  <c r="HX42" i="1"/>
  <c r="HY42" i="1"/>
  <c r="HZ42" i="1"/>
  <c r="IA42" i="1"/>
  <c r="IB42" i="1"/>
  <c r="IC42" i="1"/>
  <c r="ID42" i="1"/>
  <c r="IE42" i="1"/>
  <c r="IF42" i="1"/>
  <c r="IG42" i="1"/>
  <c r="IH42" i="1"/>
  <c r="II42" i="1"/>
  <c r="IJ42" i="1"/>
  <c r="IK42" i="1"/>
  <c r="IL42" i="1"/>
  <c r="IM42" i="1"/>
  <c r="IN42" i="1"/>
  <c r="IO42" i="1"/>
  <c r="IP42" i="1"/>
  <c r="IQ42" i="1"/>
  <c r="IR42" i="1"/>
  <c r="IS42" i="1"/>
  <c r="IT42" i="1"/>
  <c r="IU42" i="1"/>
  <c r="IV42" i="1"/>
  <c r="IW42" i="1"/>
  <c r="IX42" i="1"/>
  <c r="IY42" i="1"/>
  <c r="IZ42" i="1"/>
  <c r="JA42" i="1"/>
  <c r="JB42" i="1"/>
  <c r="JC42" i="1"/>
  <c r="JD42" i="1"/>
  <c r="JE42" i="1"/>
  <c r="JF42" i="1"/>
  <c r="JG42" i="1"/>
  <c r="JH42" i="1"/>
  <c r="JI42" i="1"/>
  <c r="JJ42" i="1"/>
  <c r="JK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/>
  <c r="HH43" i="1"/>
  <c r="HI43" i="1"/>
  <c r="HJ43" i="1"/>
  <c r="HK43" i="1"/>
  <c r="HL43" i="1"/>
  <c r="HM43" i="1"/>
  <c r="HN43" i="1"/>
  <c r="HO43" i="1"/>
  <c r="HP43" i="1"/>
  <c r="HQ43" i="1"/>
  <c r="HR43" i="1"/>
  <c r="HS43" i="1"/>
  <c r="HT43" i="1"/>
  <c r="HU43" i="1"/>
  <c r="HV43" i="1"/>
  <c r="HW43" i="1"/>
  <c r="HX43" i="1"/>
  <c r="HY43" i="1"/>
  <c r="HZ43" i="1"/>
  <c r="IA43" i="1"/>
  <c r="IB43" i="1"/>
  <c r="IC43" i="1"/>
  <c r="ID43" i="1"/>
  <c r="IE43" i="1"/>
  <c r="IF43" i="1"/>
  <c r="IG43" i="1"/>
  <c r="IH43" i="1"/>
  <c r="II43" i="1"/>
  <c r="IJ43" i="1"/>
  <c r="IK43" i="1"/>
  <c r="IL43" i="1"/>
  <c r="IM43" i="1"/>
  <c r="IN43" i="1"/>
  <c r="IO43" i="1"/>
  <c r="IP43" i="1"/>
  <c r="IQ43" i="1"/>
  <c r="IR43" i="1"/>
  <c r="IS43" i="1"/>
  <c r="IT43" i="1"/>
  <c r="IU43" i="1"/>
  <c r="IV43" i="1"/>
  <c r="IW43" i="1"/>
  <c r="IX43" i="1"/>
  <c r="IY43" i="1"/>
  <c r="IZ43" i="1"/>
  <c r="JA43" i="1"/>
  <c r="JB43" i="1"/>
  <c r="JC43" i="1"/>
  <c r="JD43" i="1"/>
  <c r="JE43" i="1"/>
  <c r="JF43" i="1"/>
  <c r="JG43" i="1"/>
  <c r="JH43" i="1"/>
  <c r="JI43" i="1"/>
  <c r="JJ43" i="1"/>
  <c r="JK43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FX45" i="1"/>
  <c r="FY45" i="1"/>
  <c r="FZ45" i="1"/>
  <c r="GA45" i="1"/>
  <c r="GB45" i="1"/>
  <c r="GC45" i="1"/>
  <c r="GD45" i="1"/>
  <c r="GE45" i="1"/>
  <c r="GF45" i="1"/>
  <c r="GG45" i="1"/>
  <c r="GH45" i="1"/>
  <c r="GI45" i="1"/>
  <c r="GJ45" i="1"/>
  <c r="GK45" i="1"/>
  <c r="GL45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B45" i="1"/>
  <c r="HC45" i="1"/>
  <c r="HD45" i="1"/>
  <c r="HE45" i="1"/>
  <c r="HF45" i="1"/>
  <c r="HG45" i="1"/>
  <c r="HH45" i="1"/>
  <c r="HI45" i="1"/>
  <c r="HJ45" i="1"/>
  <c r="HK45" i="1"/>
  <c r="HL45" i="1"/>
  <c r="HM45" i="1"/>
  <c r="HN45" i="1"/>
  <c r="HO45" i="1"/>
  <c r="HP45" i="1"/>
  <c r="HQ45" i="1"/>
  <c r="HR45" i="1"/>
  <c r="HS45" i="1"/>
  <c r="HT45" i="1"/>
  <c r="HU45" i="1"/>
  <c r="HV45" i="1"/>
  <c r="HW45" i="1"/>
  <c r="HX45" i="1"/>
  <c r="HY45" i="1"/>
  <c r="HZ45" i="1"/>
  <c r="IA45" i="1"/>
  <c r="IB45" i="1"/>
  <c r="IC45" i="1"/>
  <c r="ID45" i="1"/>
  <c r="IE45" i="1"/>
  <c r="IF45" i="1"/>
  <c r="IG45" i="1"/>
  <c r="IH45" i="1"/>
  <c r="II45" i="1"/>
  <c r="IJ45" i="1"/>
  <c r="IK45" i="1"/>
  <c r="IL45" i="1"/>
  <c r="IM45" i="1"/>
  <c r="IN45" i="1"/>
  <c r="IO45" i="1"/>
  <c r="IP45" i="1"/>
  <c r="IQ45" i="1"/>
  <c r="IR45" i="1"/>
  <c r="IS45" i="1"/>
  <c r="IT45" i="1"/>
  <c r="IU45" i="1"/>
  <c r="IV45" i="1"/>
  <c r="IW45" i="1"/>
  <c r="IX45" i="1"/>
  <c r="IY45" i="1"/>
  <c r="IZ45" i="1"/>
  <c r="JA45" i="1"/>
  <c r="JB45" i="1"/>
  <c r="JC45" i="1"/>
  <c r="JD45" i="1"/>
  <c r="JE45" i="1"/>
  <c r="JF45" i="1"/>
  <c r="JG45" i="1"/>
  <c r="JH45" i="1"/>
  <c r="JI45" i="1"/>
  <c r="JJ45" i="1"/>
  <c r="JK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B46" i="1"/>
  <c r="HC46" i="1"/>
  <c r="HD46" i="1"/>
  <c r="HE46" i="1"/>
  <c r="HF46" i="1"/>
  <c r="HG46" i="1"/>
  <c r="HH46" i="1"/>
  <c r="HI46" i="1"/>
  <c r="HJ46" i="1"/>
  <c r="HK46" i="1"/>
  <c r="HL46" i="1"/>
  <c r="HM46" i="1"/>
  <c r="HN46" i="1"/>
  <c r="HO46" i="1"/>
  <c r="HP46" i="1"/>
  <c r="HQ46" i="1"/>
  <c r="HR46" i="1"/>
  <c r="HS46" i="1"/>
  <c r="HT46" i="1"/>
  <c r="HU46" i="1"/>
  <c r="HV46" i="1"/>
  <c r="HW46" i="1"/>
  <c r="HX46" i="1"/>
  <c r="HY46" i="1"/>
  <c r="HZ46" i="1"/>
  <c r="IA46" i="1"/>
  <c r="IB46" i="1"/>
  <c r="IC46" i="1"/>
  <c r="ID46" i="1"/>
  <c r="IE46" i="1"/>
  <c r="IF46" i="1"/>
  <c r="IG46" i="1"/>
  <c r="IH46" i="1"/>
  <c r="II46" i="1"/>
  <c r="IJ46" i="1"/>
  <c r="IK46" i="1"/>
  <c r="IL46" i="1"/>
  <c r="IM46" i="1"/>
  <c r="IN46" i="1"/>
  <c r="IO46" i="1"/>
  <c r="IP46" i="1"/>
  <c r="IQ46" i="1"/>
  <c r="IR46" i="1"/>
  <c r="IS46" i="1"/>
  <c r="IT46" i="1"/>
  <c r="IU46" i="1"/>
  <c r="IV46" i="1"/>
  <c r="IW46" i="1"/>
  <c r="IX46" i="1"/>
  <c r="IY46" i="1"/>
  <c r="IZ46" i="1"/>
  <c r="JA46" i="1"/>
  <c r="JB46" i="1"/>
  <c r="JC46" i="1"/>
  <c r="JD46" i="1"/>
  <c r="JE46" i="1"/>
  <c r="JF46" i="1"/>
  <c r="JG46" i="1"/>
  <c r="JH46" i="1"/>
  <c r="JI46" i="1"/>
  <c r="JJ46" i="1"/>
  <c r="JK46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F48" i="1"/>
  <c r="HG48" i="1"/>
  <c r="HH48" i="1"/>
  <c r="HI48" i="1"/>
  <c r="HJ48" i="1"/>
  <c r="HK48" i="1"/>
  <c r="HL48" i="1"/>
  <c r="HM48" i="1"/>
  <c r="HN48" i="1"/>
  <c r="HO48" i="1"/>
  <c r="HP48" i="1"/>
  <c r="HQ48" i="1"/>
  <c r="HR48" i="1"/>
  <c r="HS48" i="1"/>
  <c r="HT48" i="1"/>
  <c r="HU48" i="1"/>
  <c r="HV48" i="1"/>
  <c r="HW48" i="1"/>
  <c r="HX48" i="1"/>
  <c r="HY48" i="1"/>
  <c r="HZ48" i="1"/>
  <c r="IA48" i="1"/>
  <c r="IB48" i="1"/>
  <c r="IC48" i="1"/>
  <c r="ID48" i="1"/>
  <c r="IE48" i="1"/>
  <c r="IF48" i="1"/>
  <c r="IG48" i="1"/>
  <c r="IH48" i="1"/>
  <c r="II48" i="1"/>
  <c r="IJ48" i="1"/>
  <c r="IK48" i="1"/>
  <c r="IL48" i="1"/>
  <c r="IM48" i="1"/>
  <c r="IN48" i="1"/>
  <c r="IO48" i="1"/>
  <c r="IP48" i="1"/>
  <c r="IQ48" i="1"/>
  <c r="IR48" i="1"/>
  <c r="IS48" i="1"/>
  <c r="IT48" i="1"/>
  <c r="IU48" i="1"/>
  <c r="IV48" i="1"/>
  <c r="IW48" i="1"/>
  <c r="IX48" i="1"/>
  <c r="IY48" i="1"/>
  <c r="IZ48" i="1"/>
  <c r="JA48" i="1"/>
  <c r="JB48" i="1"/>
  <c r="JC48" i="1"/>
  <c r="JD48" i="1"/>
  <c r="JE48" i="1"/>
  <c r="JF48" i="1"/>
  <c r="JG48" i="1"/>
  <c r="JH48" i="1"/>
  <c r="JI48" i="1"/>
  <c r="JJ48" i="1"/>
  <c r="JK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F49" i="1"/>
  <c r="HG49" i="1"/>
  <c r="HH49" i="1"/>
  <c r="HI49" i="1"/>
  <c r="HJ49" i="1"/>
  <c r="HK49" i="1"/>
  <c r="HL49" i="1"/>
  <c r="HM49" i="1"/>
  <c r="HN49" i="1"/>
  <c r="HO49" i="1"/>
  <c r="HP49" i="1"/>
  <c r="HQ49" i="1"/>
  <c r="HR49" i="1"/>
  <c r="HS49" i="1"/>
  <c r="HT49" i="1"/>
  <c r="HU49" i="1"/>
  <c r="HV49" i="1"/>
  <c r="HW49" i="1"/>
  <c r="HX49" i="1"/>
  <c r="HY49" i="1"/>
  <c r="HZ49" i="1"/>
  <c r="IA49" i="1"/>
  <c r="IB49" i="1"/>
  <c r="IC49" i="1"/>
  <c r="ID49" i="1"/>
  <c r="IE49" i="1"/>
  <c r="IF49" i="1"/>
  <c r="IG49" i="1"/>
  <c r="IH49" i="1"/>
  <c r="II49" i="1"/>
  <c r="IJ49" i="1"/>
  <c r="IK49" i="1"/>
  <c r="IL49" i="1"/>
  <c r="IM49" i="1"/>
  <c r="IN49" i="1"/>
  <c r="IO49" i="1"/>
  <c r="IP49" i="1"/>
  <c r="IQ49" i="1"/>
  <c r="IR49" i="1"/>
  <c r="IS49" i="1"/>
  <c r="IT49" i="1"/>
  <c r="IU49" i="1"/>
  <c r="IV49" i="1"/>
  <c r="IW49" i="1"/>
  <c r="IX49" i="1"/>
  <c r="IY49" i="1"/>
  <c r="IZ49" i="1"/>
  <c r="JA49" i="1"/>
  <c r="JB49" i="1"/>
  <c r="JC49" i="1"/>
  <c r="JD49" i="1"/>
  <c r="JE49" i="1"/>
  <c r="JF49" i="1"/>
  <c r="JG49" i="1"/>
  <c r="JH49" i="1"/>
  <c r="JI49" i="1"/>
  <c r="JJ49" i="1"/>
  <c r="JK49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F51" i="1"/>
  <c r="HG51" i="1"/>
  <c r="HH51" i="1"/>
  <c r="HI51" i="1"/>
  <c r="HJ51" i="1"/>
  <c r="HK51" i="1"/>
  <c r="HL51" i="1"/>
  <c r="HM51" i="1"/>
  <c r="HN51" i="1"/>
  <c r="HO51" i="1"/>
  <c r="HP51" i="1"/>
  <c r="HQ51" i="1"/>
  <c r="HR51" i="1"/>
  <c r="HS51" i="1"/>
  <c r="HT51" i="1"/>
  <c r="HU51" i="1"/>
  <c r="HV51" i="1"/>
  <c r="HW51" i="1"/>
  <c r="HX51" i="1"/>
  <c r="HY51" i="1"/>
  <c r="HZ51" i="1"/>
  <c r="IA51" i="1"/>
  <c r="IB51" i="1"/>
  <c r="IC51" i="1"/>
  <c r="ID51" i="1"/>
  <c r="IE51" i="1"/>
  <c r="IF51" i="1"/>
  <c r="IG51" i="1"/>
  <c r="IH51" i="1"/>
  <c r="II51" i="1"/>
  <c r="IJ51" i="1"/>
  <c r="IK51" i="1"/>
  <c r="IL51" i="1"/>
  <c r="IM51" i="1"/>
  <c r="IN51" i="1"/>
  <c r="IO51" i="1"/>
  <c r="IP51" i="1"/>
  <c r="IQ51" i="1"/>
  <c r="IR51" i="1"/>
  <c r="IS51" i="1"/>
  <c r="IT51" i="1"/>
  <c r="IU51" i="1"/>
  <c r="IV51" i="1"/>
  <c r="IW51" i="1"/>
  <c r="IX51" i="1"/>
  <c r="IY51" i="1"/>
  <c r="IZ51" i="1"/>
  <c r="JA51" i="1"/>
  <c r="JB51" i="1"/>
  <c r="JC51" i="1"/>
  <c r="JD51" i="1"/>
  <c r="JE51" i="1"/>
  <c r="JF51" i="1"/>
  <c r="JG51" i="1"/>
  <c r="JH51" i="1"/>
  <c r="JI51" i="1"/>
  <c r="JJ51" i="1"/>
  <c r="JK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GP52" i="1"/>
  <c r="GQ52" i="1"/>
  <c r="GR52" i="1"/>
  <c r="GS52" i="1"/>
  <c r="GT52" i="1"/>
  <c r="GU52" i="1"/>
  <c r="GV52" i="1"/>
  <c r="GW52" i="1"/>
  <c r="GX52" i="1"/>
  <c r="GY52" i="1"/>
  <c r="GZ52" i="1"/>
  <c r="HA52" i="1"/>
  <c r="HB52" i="1"/>
  <c r="HC52" i="1"/>
  <c r="HD52" i="1"/>
  <c r="HE52" i="1"/>
  <c r="HF52" i="1"/>
  <c r="HG52" i="1"/>
  <c r="HH52" i="1"/>
  <c r="HI52" i="1"/>
  <c r="HJ52" i="1"/>
  <c r="HK52" i="1"/>
  <c r="HL52" i="1"/>
  <c r="HM52" i="1"/>
  <c r="HN52" i="1"/>
  <c r="HO52" i="1"/>
  <c r="HP52" i="1"/>
  <c r="HQ52" i="1"/>
  <c r="HR52" i="1"/>
  <c r="HS52" i="1"/>
  <c r="HT52" i="1"/>
  <c r="HU52" i="1"/>
  <c r="HV52" i="1"/>
  <c r="HW52" i="1"/>
  <c r="HX52" i="1"/>
  <c r="HY52" i="1"/>
  <c r="HZ52" i="1"/>
  <c r="IA52" i="1"/>
  <c r="IB52" i="1"/>
  <c r="IC52" i="1"/>
  <c r="ID52" i="1"/>
  <c r="IE52" i="1"/>
  <c r="IF52" i="1"/>
  <c r="IG52" i="1"/>
  <c r="IH52" i="1"/>
  <c r="II52" i="1"/>
  <c r="IJ52" i="1"/>
  <c r="IK52" i="1"/>
  <c r="IL52" i="1"/>
  <c r="IM52" i="1"/>
  <c r="IN52" i="1"/>
  <c r="IO52" i="1"/>
  <c r="IP52" i="1"/>
  <c r="IQ52" i="1"/>
  <c r="IR52" i="1"/>
  <c r="IS52" i="1"/>
  <c r="IT52" i="1"/>
  <c r="IU52" i="1"/>
  <c r="IV52" i="1"/>
  <c r="IW52" i="1"/>
  <c r="IX52" i="1"/>
  <c r="IY52" i="1"/>
  <c r="IZ52" i="1"/>
  <c r="JA52" i="1"/>
  <c r="JB52" i="1"/>
  <c r="JC52" i="1"/>
  <c r="JD52" i="1"/>
  <c r="JE52" i="1"/>
  <c r="JF52" i="1"/>
  <c r="JG52" i="1"/>
  <c r="JH52" i="1"/>
  <c r="JI52" i="1"/>
  <c r="JJ52" i="1"/>
  <c r="JK52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FX54" i="1"/>
  <c r="FY54" i="1"/>
  <c r="FZ54" i="1"/>
  <c r="GA54" i="1"/>
  <c r="GB54" i="1"/>
  <c r="GC54" i="1"/>
  <c r="GD54" i="1"/>
  <c r="GE54" i="1"/>
  <c r="GF54" i="1"/>
  <c r="GG54" i="1"/>
  <c r="GH54" i="1"/>
  <c r="GI54" i="1"/>
  <c r="GJ54" i="1"/>
  <c r="GK54" i="1"/>
  <c r="GL54" i="1"/>
  <c r="GM54" i="1"/>
  <c r="GN54" i="1"/>
  <c r="GO54" i="1"/>
  <c r="GP54" i="1"/>
  <c r="GQ54" i="1"/>
  <c r="GR54" i="1"/>
  <c r="GS54" i="1"/>
  <c r="GT54" i="1"/>
  <c r="GU54" i="1"/>
  <c r="GV54" i="1"/>
  <c r="GW54" i="1"/>
  <c r="GX54" i="1"/>
  <c r="GY54" i="1"/>
  <c r="GZ54" i="1"/>
  <c r="HA54" i="1"/>
  <c r="HB54" i="1"/>
  <c r="HC54" i="1"/>
  <c r="HD54" i="1"/>
  <c r="HE54" i="1"/>
  <c r="HF54" i="1"/>
  <c r="HG54" i="1"/>
  <c r="HH54" i="1"/>
  <c r="HI54" i="1"/>
  <c r="HJ54" i="1"/>
  <c r="HK54" i="1"/>
  <c r="HL54" i="1"/>
  <c r="HM54" i="1"/>
  <c r="HN54" i="1"/>
  <c r="HO54" i="1"/>
  <c r="HP54" i="1"/>
  <c r="HQ54" i="1"/>
  <c r="HR54" i="1"/>
  <c r="HS54" i="1"/>
  <c r="HT54" i="1"/>
  <c r="HU54" i="1"/>
  <c r="HV54" i="1"/>
  <c r="HW54" i="1"/>
  <c r="HX54" i="1"/>
  <c r="HY54" i="1"/>
  <c r="HZ54" i="1"/>
  <c r="IA54" i="1"/>
  <c r="IB54" i="1"/>
  <c r="IC54" i="1"/>
  <c r="ID54" i="1"/>
  <c r="IE54" i="1"/>
  <c r="IF54" i="1"/>
  <c r="IG54" i="1"/>
  <c r="IH54" i="1"/>
  <c r="II54" i="1"/>
  <c r="IJ54" i="1"/>
  <c r="IK54" i="1"/>
  <c r="IL54" i="1"/>
  <c r="IM54" i="1"/>
  <c r="IN54" i="1"/>
  <c r="IO54" i="1"/>
  <c r="IP54" i="1"/>
  <c r="IQ54" i="1"/>
  <c r="IR54" i="1"/>
  <c r="IS54" i="1"/>
  <c r="IT54" i="1"/>
  <c r="IU54" i="1"/>
  <c r="IV54" i="1"/>
  <c r="IW54" i="1"/>
  <c r="IX54" i="1"/>
  <c r="IY54" i="1"/>
  <c r="IZ54" i="1"/>
  <c r="JA54" i="1"/>
  <c r="JB54" i="1"/>
  <c r="JC54" i="1"/>
  <c r="JD54" i="1"/>
  <c r="JE54" i="1"/>
  <c r="JF54" i="1"/>
  <c r="JG54" i="1"/>
  <c r="JH54" i="1"/>
  <c r="JI54" i="1"/>
  <c r="JJ54" i="1"/>
  <c r="JK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FX55" i="1"/>
  <c r="FY55" i="1"/>
  <c r="FZ55" i="1"/>
  <c r="GA55" i="1"/>
  <c r="GB55" i="1"/>
  <c r="GC55" i="1"/>
  <c r="GD55" i="1"/>
  <c r="GE55" i="1"/>
  <c r="GF55" i="1"/>
  <c r="GG55" i="1"/>
  <c r="GH55" i="1"/>
  <c r="GI55" i="1"/>
  <c r="GJ55" i="1"/>
  <c r="GK55" i="1"/>
  <c r="GL55" i="1"/>
  <c r="GM55" i="1"/>
  <c r="GN55" i="1"/>
  <c r="GO55" i="1"/>
  <c r="GP55" i="1"/>
  <c r="GQ55" i="1"/>
  <c r="GR55" i="1"/>
  <c r="GS55" i="1"/>
  <c r="GT55" i="1"/>
  <c r="GU55" i="1"/>
  <c r="GV55" i="1"/>
  <c r="GW55" i="1"/>
  <c r="GX55" i="1"/>
  <c r="GY55" i="1"/>
  <c r="GZ55" i="1"/>
  <c r="HA55" i="1"/>
  <c r="HB55" i="1"/>
  <c r="HC55" i="1"/>
  <c r="HD55" i="1"/>
  <c r="HE55" i="1"/>
  <c r="HF55" i="1"/>
  <c r="HG55" i="1"/>
  <c r="HH55" i="1"/>
  <c r="HI55" i="1"/>
  <c r="HJ55" i="1"/>
  <c r="HK55" i="1"/>
  <c r="HL55" i="1"/>
  <c r="HM55" i="1"/>
  <c r="HN55" i="1"/>
  <c r="HO55" i="1"/>
  <c r="HP55" i="1"/>
  <c r="HQ55" i="1"/>
  <c r="HR55" i="1"/>
  <c r="HS55" i="1"/>
  <c r="HT55" i="1"/>
  <c r="HU55" i="1"/>
  <c r="HV55" i="1"/>
  <c r="HW55" i="1"/>
  <c r="HX55" i="1"/>
  <c r="HY55" i="1"/>
  <c r="HZ55" i="1"/>
  <c r="IA55" i="1"/>
  <c r="IB55" i="1"/>
  <c r="IC55" i="1"/>
  <c r="ID55" i="1"/>
  <c r="IE55" i="1"/>
  <c r="IF55" i="1"/>
  <c r="IG55" i="1"/>
  <c r="IH55" i="1"/>
  <c r="II55" i="1"/>
  <c r="IJ55" i="1"/>
  <c r="IK55" i="1"/>
  <c r="IL55" i="1"/>
  <c r="IM55" i="1"/>
  <c r="IN55" i="1"/>
  <c r="IO55" i="1"/>
  <c r="IP55" i="1"/>
  <c r="IQ55" i="1"/>
  <c r="IR55" i="1"/>
  <c r="IS55" i="1"/>
  <c r="IT55" i="1"/>
  <c r="IU55" i="1"/>
  <c r="IV55" i="1"/>
  <c r="IW55" i="1"/>
  <c r="IX55" i="1"/>
  <c r="IY55" i="1"/>
  <c r="IZ55" i="1"/>
  <c r="JA55" i="1"/>
  <c r="JB55" i="1"/>
  <c r="JC55" i="1"/>
  <c r="JD55" i="1"/>
  <c r="JE55" i="1"/>
  <c r="JF55" i="1"/>
  <c r="JG55" i="1"/>
  <c r="JH55" i="1"/>
  <c r="JI55" i="1"/>
  <c r="JJ55" i="1"/>
  <c r="JK55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FX57" i="1"/>
  <c r="FY57" i="1"/>
  <c r="FZ57" i="1"/>
  <c r="GA57" i="1"/>
  <c r="GB57" i="1"/>
  <c r="GC57" i="1"/>
  <c r="GD57" i="1"/>
  <c r="GE57" i="1"/>
  <c r="GF57" i="1"/>
  <c r="GG57" i="1"/>
  <c r="GH57" i="1"/>
  <c r="GI57" i="1"/>
  <c r="GJ57" i="1"/>
  <c r="GK57" i="1"/>
  <c r="GL57" i="1"/>
  <c r="GM57" i="1"/>
  <c r="GN57" i="1"/>
  <c r="GO57" i="1"/>
  <c r="GP57" i="1"/>
  <c r="GQ57" i="1"/>
  <c r="GR57" i="1"/>
  <c r="GS57" i="1"/>
  <c r="GT57" i="1"/>
  <c r="GU57" i="1"/>
  <c r="GV57" i="1"/>
  <c r="GW57" i="1"/>
  <c r="GX57" i="1"/>
  <c r="GY57" i="1"/>
  <c r="GZ57" i="1"/>
  <c r="HA57" i="1"/>
  <c r="HB57" i="1"/>
  <c r="HC57" i="1"/>
  <c r="HD57" i="1"/>
  <c r="HE57" i="1"/>
  <c r="HF57" i="1"/>
  <c r="HG57" i="1"/>
  <c r="HH57" i="1"/>
  <c r="HI57" i="1"/>
  <c r="HJ57" i="1"/>
  <c r="HK57" i="1"/>
  <c r="HL57" i="1"/>
  <c r="HM57" i="1"/>
  <c r="HN57" i="1"/>
  <c r="HO57" i="1"/>
  <c r="HP57" i="1"/>
  <c r="HQ57" i="1"/>
  <c r="HR57" i="1"/>
  <c r="HS57" i="1"/>
  <c r="HT57" i="1"/>
  <c r="HU57" i="1"/>
  <c r="HV57" i="1"/>
  <c r="HW57" i="1"/>
  <c r="HX57" i="1"/>
  <c r="HY57" i="1"/>
  <c r="HZ57" i="1"/>
  <c r="IA57" i="1"/>
  <c r="IB57" i="1"/>
  <c r="IC57" i="1"/>
  <c r="ID57" i="1"/>
  <c r="IE57" i="1"/>
  <c r="IF57" i="1"/>
  <c r="IG57" i="1"/>
  <c r="IH57" i="1"/>
  <c r="II57" i="1"/>
  <c r="IJ57" i="1"/>
  <c r="IK57" i="1"/>
  <c r="IL57" i="1"/>
  <c r="IM57" i="1"/>
  <c r="IN57" i="1"/>
  <c r="IO57" i="1"/>
  <c r="IP57" i="1"/>
  <c r="IQ57" i="1"/>
  <c r="IR57" i="1"/>
  <c r="IS57" i="1"/>
  <c r="IT57" i="1"/>
  <c r="IU57" i="1"/>
  <c r="IV57" i="1"/>
  <c r="IW57" i="1"/>
  <c r="IX57" i="1"/>
  <c r="IY57" i="1"/>
  <c r="IZ57" i="1"/>
  <c r="JA57" i="1"/>
  <c r="JB57" i="1"/>
  <c r="JC57" i="1"/>
  <c r="JD57" i="1"/>
  <c r="JE57" i="1"/>
  <c r="JF57" i="1"/>
  <c r="JG57" i="1"/>
  <c r="JH57" i="1"/>
  <c r="JI57" i="1"/>
  <c r="JJ57" i="1"/>
  <c r="JK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GP58" i="1"/>
  <c r="GQ58" i="1"/>
  <c r="GR58" i="1"/>
  <c r="GS58" i="1"/>
  <c r="GT58" i="1"/>
  <c r="GU58" i="1"/>
  <c r="GV58" i="1"/>
  <c r="GW58" i="1"/>
  <c r="GX58" i="1"/>
  <c r="GY58" i="1"/>
  <c r="GZ58" i="1"/>
  <c r="HA58" i="1"/>
  <c r="HB58" i="1"/>
  <c r="HC58" i="1"/>
  <c r="HD58" i="1"/>
  <c r="HE58" i="1"/>
  <c r="HF58" i="1"/>
  <c r="HG58" i="1"/>
  <c r="HH58" i="1"/>
  <c r="HI58" i="1"/>
  <c r="HJ58" i="1"/>
  <c r="HK58" i="1"/>
  <c r="HL58" i="1"/>
  <c r="HM58" i="1"/>
  <c r="HN58" i="1"/>
  <c r="HO58" i="1"/>
  <c r="HP58" i="1"/>
  <c r="HQ58" i="1"/>
  <c r="HR58" i="1"/>
  <c r="HS58" i="1"/>
  <c r="HT58" i="1"/>
  <c r="HU58" i="1"/>
  <c r="HV58" i="1"/>
  <c r="HW58" i="1"/>
  <c r="HX58" i="1"/>
  <c r="HY58" i="1"/>
  <c r="HZ58" i="1"/>
  <c r="IA58" i="1"/>
  <c r="IB58" i="1"/>
  <c r="IC58" i="1"/>
  <c r="ID58" i="1"/>
  <c r="IE58" i="1"/>
  <c r="IF58" i="1"/>
  <c r="IG58" i="1"/>
  <c r="IH58" i="1"/>
  <c r="II58" i="1"/>
  <c r="IJ58" i="1"/>
  <c r="IK58" i="1"/>
  <c r="IL58" i="1"/>
  <c r="IM58" i="1"/>
  <c r="IN58" i="1"/>
  <c r="IO58" i="1"/>
  <c r="IP58" i="1"/>
  <c r="IQ58" i="1"/>
  <c r="IR58" i="1"/>
  <c r="IS58" i="1"/>
  <c r="IT58" i="1"/>
  <c r="IU58" i="1"/>
  <c r="IV58" i="1"/>
  <c r="IW58" i="1"/>
  <c r="IX58" i="1"/>
  <c r="IY58" i="1"/>
  <c r="IZ58" i="1"/>
  <c r="JA58" i="1"/>
  <c r="JB58" i="1"/>
  <c r="JC58" i="1"/>
  <c r="JD58" i="1"/>
  <c r="JE58" i="1"/>
  <c r="JF58" i="1"/>
  <c r="JG58" i="1"/>
  <c r="JH58" i="1"/>
  <c r="JI58" i="1"/>
  <c r="JJ58" i="1"/>
  <c r="JK58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GJ60" i="1"/>
  <c r="GK60" i="1"/>
  <c r="GL60" i="1"/>
  <c r="GM60" i="1"/>
  <c r="GN60" i="1"/>
  <c r="GO60" i="1"/>
  <c r="GP60" i="1"/>
  <c r="GQ60" i="1"/>
  <c r="GR60" i="1"/>
  <c r="GS60" i="1"/>
  <c r="GT60" i="1"/>
  <c r="GU60" i="1"/>
  <c r="GV60" i="1"/>
  <c r="GW60" i="1"/>
  <c r="GX60" i="1"/>
  <c r="GY60" i="1"/>
  <c r="GZ60" i="1"/>
  <c r="HA60" i="1"/>
  <c r="HB60" i="1"/>
  <c r="HC60" i="1"/>
  <c r="HD60" i="1"/>
  <c r="HE60" i="1"/>
  <c r="HF60" i="1"/>
  <c r="HG60" i="1"/>
  <c r="HH60" i="1"/>
  <c r="HI60" i="1"/>
  <c r="HJ60" i="1"/>
  <c r="HK60" i="1"/>
  <c r="HL60" i="1"/>
  <c r="HM60" i="1"/>
  <c r="HN60" i="1"/>
  <c r="HO60" i="1"/>
  <c r="HP60" i="1"/>
  <c r="HQ60" i="1"/>
  <c r="HR60" i="1"/>
  <c r="HS60" i="1"/>
  <c r="HT60" i="1"/>
  <c r="HU60" i="1"/>
  <c r="HV60" i="1"/>
  <c r="HW60" i="1"/>
  <c r="HX60" i="1"/>
  <c r="HY60" i="1"/>
  <c r="HZ60" i="1"/>
  <c r="IA60" i="1"/>
  <c r="IB60" i="1"/>
  <c r="IC60" i="1"/>
  <c r="ID60" i="1"/>
  <c r="IE60" i="1"/>
  <c r="IF60" i="1"/>
  <c r="IG60" i="1"/>
  <c r="IH60" i="1"/>
  <c r="II60" i="1"/>
  <c r="IJ60" i="1"/>
  <c r="IK60" i="1"/>
  <c r="IL60" i="1"/>
  <c r="IM60" i="1"/>
  <c r="IN60" i="1"/>
  <c r="IO60" i="1"/>
  <c r="IP60" i="1"/>
  <c r="IQ60" i="1"/>
  <c r="IR60" i="1"/>
  <c r="IS60" i="1"/>
  <c r="IT60" i="1"/>
  <c r="IU60" i="1"/>
  <c r="IV60" i="1"/>
  <c r="IW60" i="1"/>
  <c r="IX60" i="1"/>
  <c r="IY60" i="1"/>
  <c r="IZ60" i="1"/>
  <c r="JA60" i="1"/>
  <c r="JB60" i="1"/>
  <c r="JC60" i="1"/>
  <c r="JD60" i="1"/>
  <c r="JE60" i="1"/>
  <c r="JF60" i="1"/>
  <c r="JG60" i="1"/>
  <c r="JH60" i="1"/>
  <c r="JI60" i="1"/>
  <c r="JJ60" i="1"/>
  <c r="JK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M61" i="1"/>
  <c r="GN61" i="1"/>
  <c r="GO61" i="1"/>
  <c r="GP61" i="1"/>
  <c r="GQ61" i="1"/>
  <c r="GR61" i="1"/>
  <c r="GS61" i="1"/>
  <c r="GT61" i="1"/>
  <c r="GU61" i="1"/>
  <c r="GV61" i="1"/>
  <c r="GW61" i="1"/>
  <c r="GX61" i="1"/>
  <c r="GY61" i="1"/>
  <c r="GZ61" i="1"/>
  <c r="HA61" i="1"/>
  <c r="HB61" i="1"/>
  <c r="HC61" i="1"/>
  <c r="HD61" i="1"/>
  <c r="HE61" i="1"/>
  <c r="HF61" i="1"/>
  <c r="HG61" i="1"/>
  <c r="HH61" i="1"/>
  <c r="HI61" i="1"/>
  <c r="HJ61" i="1"/>
  <c r="HK61" i="1"/>
  <c r="HL61" i="1"/>
  <c r="HM61" i="1"/>
  <c r="HN61" i="1"/>
  <c r="HO61" i="1"/>
  <c r="HP61" i="1"/>
  <c r="HQ61" i="1"/>
  <c r="HR61" i="1"/>
  <c r="HS61" i="1"/>
  <c r="HT61" i="1"/>
  <c r="HU61" i="1"/>
  <c r="HV61" i="1"/>
  <c r="HW61" i="1"/>
  <c r="HX61" i="1"/>
  <c r="HY61" i="1"/>
  <c r="HZ61" i="1"/>
  <c r="IA61" i="1"/>
  <c r="IB61" i="1"/>
  <c r="IC61" i="1"/>
  <c r="ID61" i="1"/>
  <c r="IE61" i="1"/>
  <c r="IF61" i="1"/>
  <c r="IG61" i="1"/>
  <c r="IH61" i="1"/>
  <c r="II61" i="1"/>
  <c r="IJ61" i="1"/>
  <c r="IK61" i="1"/>
  <c r="IL61" i="1"/>
  <c r="IM61" i="1"/>
  <c r="IN61" i="1"/>
  <c r="IO61" i="1"/>
  <c r="IP61" i="1"/>
  <c r="IQ61" i="1"/>
  <c r="IR61" i="1"/>
  <c r="IS61" i="1"/>
  <c r="IT61" i="1"/>
  <c r="IU61" i="1"/>
  <c r="IV61" i="1"/>
  <c r="IW61" i="1"/>
  <c r="IX61" i="1"/>
  <c r="IY61" i="1"/>
  <c r="IZ61" i="1"/>
  <c r="JA61" i="1"/>
  <c r="JB61" i="1"/>
  <c r="JC61" i="1"/>
  <c r="JD61" i="1"/>
  <c r="JE61" i="1"/>
  <c r="JF61" i="1"/>
  <c r="JG61" i="1"/>
  <c r="JH61" i="1"/>
  <c r="JI61" i="1"/>
  <c r="JJ61" i="1"/>
  <c r="JK61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FX63" i="1"/>
  <c r="FY63" i="1"/>
  <c r="FZ63" i="1"/>
  <c r="GA63" i="1"/>
  <c r="GB63" i="1"/>
  <c r="GC63" i="1"/>
  <c r="GD63" i="1"/>
  <c r="GE63" i="1"/>
  <c r="GF63" i="1"/>
  <c r="GG63" i="1"/>
  <c r="GH63" i="1"/>
  <c r="GI63" i="1"/>
  <c r="GJ63" i="1"/>
  <c r="GK63" i="1"/>
  <c r="GL63" i="1"/>
  <c r="GM63" i="1"/>
  <c r="GN63" i="1"/>
  <c r="GO63" i="1"/>
  <c r="GP63" i="1"/>
  <c r="GQ63" i="1"/>
  <c r="GR63" i="1"/>
  <c r="GS63" i="1"/>
  <c r="GT63" i="1"/>
  <c r="GU63" i="1"/>
  <c r="GV63" i="1"/>
  <c r="GW63" i="1"/>
  <c r="GX63" i="1"/>
  <c r="GY63" i="1"/>
  <c r="GZ63" i="1"/>
  <c r="HA63" i="1"/>
  <c r="HB63" i="1"/>
  <c r="HC63" i="1"/>
  <c r="HD63" i="1"/>
  <c r="HE63" i="1"/>
  <c r="HF63" i="1"/>
  <c r="HG63" i="1"/>
  <c r="HH63" i="1"/>
  <c r="HI63" i="1"/>
  <c r="HJ63" i="1"/>
  <c r="HK63" i="1"/>
  <c r="HL63" i="1"/>
  <c r="HM63" i="1"/>
  <c r="HN63" i="1"/>
  <c r="HO63" i="1"/>
  <c r="HP63" i="1"/>
  <c r="HQ63" i="1"/>
  <c r="HR63" i="1"/>
  <c r="HS63" i="1"/>
  <c r="HT63" i="1"/>
  <c r="HU63" i="1"/>
  <c r="HV63" i="1"/>
  <c r="HW63" i="1"/>
  <c r="HX63" i="1"/>
  <c r="HY63" i="1"/>
  <c r="HZ63" i="1"/>
  <c r="IA63" i="1"/>
  <c r="IB63" i="1"/>
  <c r="IC63" i="1"/>
  <c r="ID63" i="1"/>
  <c r="IE63" i="1"/>
  <c r="IF63" i="1"/>
  <c r="IG63" i="1"/>
  <c r="IH63" i="1"/>
  <c r="II63" i="1"/>
  <c r="IJ63" i="1"/>
  <c r="IK63" i="1"/>
  <c r="IL63" i="1"/>
  <c r="IM63" i="1"/>
  <c r="IN63" i="1"/>
  <c r="IO63" i="1"/>
  <c r="IP63" i="1"/>
  <c r="IQ63" i="1"/>
  <c r="IR63" i="1"/>
  <c r="IS63" i="1"/>
  <c r="IT63" i="1"/>
  <c r="IU63" i="1"/>
  <c r="IV63" i="1"/>
  <c r="IW63" i="1"/>
  <c r="IX63" i="1"/>
  <c r="IY63" i="1"/>
  <c r="IZ63" i="1"/>
  <c r="JA63" i="1"/>
  <c r="JB63" i="1"/>
  <c r="JC63" i="1"/>
  <c r="JD63" i="1"/>
  <c r="JE63" i="1"/>
  <c r="JF63" i="1"/>
  <c r="JG63" i="1"/>
  <c r="JH63" i="1"/>
  <c r="JI63" i="1"/>
  <c r="JJ63" i="1"/>
  <c r="JK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GP64" i="1"/>
  <c r="GQ64" i="1"/>
  <c r="GR64" i="1"/>
  <c r="GS64" i="1"/>
  <c r="GT64" i="1"/>
  <c r="GU64" i="1"/>
  <c r="GV64" i="1"/>
  <c r="GW64" i="1"/>
  <c r="GX64" i="1"/>
  <c r="GY64" i="1"/>
  <c r="GZ64" i="1"/>
  <c r="HA64" i="1"/>
  <c r="HB64" i="1"/>
  <c r="HC64" i="1"/>
  <c r="HD64" i="1"/>
  <c r="HE64" i="1"/>
  <c r="HF64" i="1"/>
  <c r="HG64" i="1"/>
  <c r="HH64" i="1"/>
  <c r="HI64" i="1"/>
  <c r="HJ64" i="1"/>
  <c r="HK64" i="1"/>
  <c r="HL64" i="1"/>
  <c r="HM64" i="1"/>
  <c r="HN64" i="1"/>
  <c r="HO64" i="1"/>
  <c r="HP64" i="1"/>
  <c r="HQ64" i="1"/>
  <c r="HR64" i="1"/>
  <c r="HS64" i="1"/>
  <c r="HT64" i="1"/>
  <c r="HU64" i="1"/>
  <c r="HV64" i="1"/>
  <c r="HW64" i="1"/>
  <c r="HX64" i="1"/>
  <c r="HY64" i="1"/>
  <c r="HZ64" i="1"/>
  <c r="IA64" i="1"/>
  <c r="IB64" i="1"/>
  <c r="IC64" i="1"/>
  <c r="ID64" i="1"/>
  <c r="IE64" i="1"/>
  <c r="IF64" i="1"/>
  <c r="IG64" i="1"/>
  <c r="IH64" i="1"/>
  <c r="II64" i="1"/>
  <c r="IJ64" i="1"/>
  <c r="IK64" i="1"/>
  <c r="IL64" i="1"/>
  <c r="IM64" i="1"/>
  <c r="IN64" i="1"/>
  <c r="IO64" i="1"/>
  <c r="IP64" i="1"/>
  <c r="IQ64" i="1"/>
  <c r="IR64" i="1"/>
  <c r="IS64" i="1"/>
  <c r="IT64" i="1"/>
  <c r="IU64" i="1"/>
  <c r="IV64" i="1"/>
  <c r="IW64" i="1"/>
  <c r="IX64" i="1"/>
  <c r="IY64" i="1"/>
  <c r="IZ64" i="1"/>
  <c r="JA64" i="1"/>
  <c r="JB64" i="1"/>
  <c r="JC64" i="1"/>
  <c r="JD64" i="1"/>
  <c r="JE64" i="1"/>
  <c r="JF64" i="1"/>
  <c r="JG64" i="1"/>
  <c r="JH64" i="1"/>
  <c r="JI64" i="1"/>
  <c r="JJ64" i="1"/>
  <c r="JK64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EZ66" i="1"/>
  <c r="FA66" i="1"/>
  <c r="FB66" i="1"/>
  <c r="FC66" i="1"/>
  <c r="FD66" i="1"/>
  <c r="FE66" i="1"/>
  <c r="FF66" i="1"/>
  <c r="FG66" i="1"/>
  <c r="FH66" i="1"/>
  <c r="FI66" i="1"/>
  <c r="FJ66" i="1"/>
  <c r="FK66" i="1"/>
  <c r="FL66" i="1"/>
  <c r="FM66" i="1"/>
  <c r="FN66" i="1"/>
  <c r="FO66" i="1"/>
  <c r="FP66" i="1"/>
  <c r="FQ66" i="1"/>
  <c r="FR66" i="1"/>
  <c r="FS66" i="1"/>
  <c r="FT66" i="1"/>
  <c r="FU66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GJ66" i="1"/>
  <c r="GK66" i="1"/>
  <c r="GL66" i="1"/>
  <c r="GM66" i="1"/>
  <c r="GN66" i="1"/>
  <c r="GO66" i="1"/>
  <c r="GP66" i="1"/>
  <c r="GQ66" i="1"/>
  <c r="GR66" i="1"/>
  <c r="GS66" i="1"/>
  <c r="GT66" i="1"/>
  <c r="GU66" i="1"/>
  <c r="GV66" i="1"/>
  <c r="GW66" i="1"/>
  <c r="GX66" i="1"/>
  <c r="GY66" i="1"/>
  <c r="GZ66" i="1"/>
  <c r="HA66" i="1"/>
  <c r="HB66" i="1"/>
  <c r="HC66" i="1"/>
  <c r="HD66" i="1"/>
  <c r="HE66" i="1"/>
  <c r="HF66" i="1"/>
  <c r="HG66" i="1"/>
  <c r="HH66" i="1"/>
  <c r="HI66" i="1"/>
  <c r="HJ66" i="1"/>
  <c r="HK66" i="1"/>
  <c r="HL66" i="1"/>
  <c r="HM66" i="1"/>
  <c r="HN66" i="1"/>
  <c r="HO66" i="1"/>
  <c r="HP66" i="1"/>
  <c r="HQ66" i="1"/>
  <c r="HR66" i="1"/>
  <c r="HS66" i="1"/>
  <c r="HT66" i="1"/>
  <c r="HU66" i="1"/>
  <c r="HV66" i="1"/>
  <c r="HW66" i="1"/>
  <c r="HX66" i="1"/>
  <c r="HY66" i="1"/>
  <c r="HZ66" i="1"/>
  <c r="IA66" i="1"/>
  <c r="IB66" i="1"/>
  <c r="IC66" i="1"/>
  <c r="ID66" i="1"/>
  <c r="IE66" i="1"/>
  <c r="IF66" i="1"/>
  <c r="IG66" i="1"/>
  <c r="IH66" i="1"/>
  <c r="II66" i="1"/>
  <c r="IJ66" i="1"/>
  <c r="IK66" i="1"/>
  <c r="IL66" i="1"/>
  <c r="IM66" i="1"/>
  <c r="IN66" i="1"/>
  <c r="IO66" i="1"/>
  <c r="IP66" i="1"/>
  <c r="IQ66" i="1"/>
  <c r="IR66" i="1"/>
  <c r="IS66" i="1"/>
  <c r="IT66" i="1"/>
  <c r="IU66" i="1"/>
  <c r="IV66" i="1"/>
  <c r="IW66" i="1"/>
  <c r="IX66" i="1"/>
  <c r="IY66" i="1"/>
  <c r="IZ66" i="1"/>
  <c r="JA66" i="1"/>
  <c r="JB66" i="1"/>
  <c r="JC66" i="1"/>
  <c r="JD66" i="1"/>
  <c r="JE66" i="1"/>
  <c r="JF66" i="1"/>
  <c r="JG66" i="1"/>
  <c r="JH66" i="1"/>
  <c r="JI66" i="1"/>
  <c r="JJ66" i="1"/>
  <c r="JK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X67" i="1"/>
  <c r="GY67" i="1"/>
  <c r="GZ67" i="1"/>
  <c r="HA67" i="1"/>
  <c r="HB67" i="1"/>
  <c r="HC67" i="1"/>
  <c r="HD67" i="1"/>
  <c r="HE67" i="1"/>
  <c r="HF67" i="1"/>
  <c r="HG67" i="1"/>
  <c r="HH67" i="1"/>
  <c r="HI67" i="1"/>
  <c r="HJ67" i="1"/>
  <c r="HK67" i="1"/>
  <c r="HL67" i="1"/>
  <c r="HM67" i="1"/>
  <c r="HN67" i="1"/>
  <c r="HO67" i="1"/>
  <c r="HP67" i="1"/>
  <c r="HQ67" i="1"/>
  <c r="HR67" i="1"/>
  <c r="HS67" i="1"/>
  <c r="HT67" i="1"/>
  <c r="HU67" i="1"/>
  <c r="HV67" i="1"/>
  <c r="HW67" i="1"/>
  <c r="HX67" i="1"/>
  <c r="HY67" i="1"/>
  <c r="HZ67" i="1"/>
  <c r="IA67" i="1"/>
  <c r="IB67" i="1"/>
  <c r="IC67" i="1"/>
  <c r="ID67" i="1"/>
  <c r="IE67" i="1"/>
  <c r="IF67" i="1"/>
  <c r="IG67" i="1"/>
  <c r="IH67" i="1"/>
  <c r="II67" i="1"/>
  <c r="IJ67" i="1"/>
  <c r="IK67" i="1"/>
  <c r="IL67" i="1"/>
  <c r="IM67" i="1"/>
  <c r="IN67" i="1"/>
  <c r="IO67" i="1"/>
  <c r="IP67" i="1"/>
  <c r="IQ67" i="1"/>
  <c r="IR67" i="1"/>
  <c r="IS67" i="1"/>
  <c r="IT67" i="1"/>
  <c r="IU67" i="1"/>
  <c r="IV67" i="1"/>
  <c r="IW67" i="1"/>
  <c r="IX67" i="1"/>
  <c r="IY67" i="1"/>
  <c r="IZ67" i="1"/>
  <c r="JA67" i="1"/>
  <c r="JB67" i="1"/>
  <c r="JC67" i="1"/>
  <c r="JD67" i="1"/>
  <c r="JE67" i="1"/>
  <c r="JF67" i="1"/>
  <c r="JG67" i="1"/>
  <c r="JH67" i="1"/>
  <c r="JI67" i="1"/>
  <c r="JJ67" i="1"/>
  <c r="JK67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FQ69" i="1"/>
  <c r="FR69" i="1"/>
  <c r="FS69" i="1"/>
  <c r="FT69" i="1"/>
  <c r="FU69" i="1"/>
  <c r="FV69" i="1"/>
  <c r="FW69" i="1"/>
  <c r="FX69" i="1"/>
  <c r="FY69" i="1"/>
  <c r="FZ69" i="1"/>
  <c r="GA69" i="1"/>
  <c r="GB69" i="1"/>
  <c r="GC69" i="1"/>
  <c r="GD69" i="1"/>
  <c r="GE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GY69" i="1"/>
  <c r="GZ69" i="1"/>
  <c r="HA69" i="1"/>
  <c r="HB69" i="1"/>
  <c r="HC69" i="1"/>
  <c r="HD69" i="1"/>
  <c r="HE69" i="1"/>
  <c r="HF69" i="1"/>
  <c r="HG69" i="1"/>
  <c r="HH69" i="1"/>
  <c r="HI69" i="1"/>
  <c r="HJ69" i="1"/>
  <c r="HK69" i="1"/>
  <c r="HL69" i="1"/>
  <c r="HM69" i="1"/>
  <c r="HN69" i="1"/>
  <c r="HO69" i="1"/>
  <c r="HP69" i="1"/>
  <c r="HQ69" i="1"/>
  <c r="HR69" i="1"/>
  <c r="HS69" i="1"/>
  <c r="HT69" i="1"/>
  <c r="HU69" i="1"/>
  <c r="HV69" i="1"/>
  <c r="HW69" i="1"/>
  <c r="HX69" i="1"/>
  <c r="HY69" i="1"/>
  <c r="HZ69" i="1"/>
  <c r="IA69" i="1"/>
  <c r="IB69" i="1"/>
  <c r="IC69" i="1"/>
  <c r="ID69" i="1"/>
  <c r="IE69" i="1"/>
  <c r="IF69" i="1"/>
  <c r="IG69" i="1"/>
  <c r="IH69" i="1"/>
  <c r="II69" i="1"/>
  <c r="IJ69" i="1"/>
  <c r="IK69" i="1"/>
  <c r="IL69" i="1"/>
  <c r="IM69" i="1"/>
  <c r="IN69" i="1"/>
  <c r="IO69" i="1"/>
  <c r="IP69" i="1"/>
  <c r="IQ69" i="1"/>
  <c r="IR69" i="1"/>
  <c r="IS69" i="1"/>
  <c r="IT69" i="1"/>
  <c r="IU69" i="1"/>
  <c r="IV69" i="1"/>
  <c r="IW69" i="1"/>
  <c r="IX69" i="1"/>
  <c r="IY69" i="1"/>
  <c r="IZ69" i="1"/>
  <c r="JA69" i="1"/>
  <c r="JB69" i="1"/>
  <c r="JC69" i="1"/>
  <c r="JD69" i="1"/>
  <c r="JE69" i="1"/>
  <c r="JF69" i="1"/>
  <c r="JG69" i="1"/>
  <c r="JH69" i="1"/>
  <c r="JI69" i="1"/>
  <c r="JJ69" i="1"/>
  <c r="JK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EZ70" i="1"/>
  <c r="FA70" i="1"/>
  <c r="FB70" i="1"/>
  <c r="FC70" i="1"/>
  <c r="FD70" i="1"/>
  <c r="FE70" i="1"/>
  <c r="FF70" i="1"/>
  <c r="FG70" i="1"/>
  <c r="FH70" i="1"/>
  <c r="FI70" i="1"/>
  <c r="FJ70" i="1"/>
  <c r="FK70" i="1"/>
  <c r="FL70" i="1"/>
  <c r="FM70" i="1"/>
  <c r="FN70" i="1"/>
  <c r="FO70" i="1"/>
  <c r="FP70" i="1"/>
  <c r="FQ70" i="1"/>
  <c r="FR70" i="1"/>
  <c r="FS70" i="1"/>
  <c r="FT70" i="1"/>
  <c r="FU70" i="1"/>
  <c r="FV70" i="1"/>
  <c r="FW70" i="1"/>
  <c r="FX70" i="1"/>
  <c r="FY70" i="1"/>
  <c r="FZ70" i="1"/>
  <c r="GA70" i="1"/>
  <c r="GB70" i="1"/>
  <c r="GC70" i="1"/>
  <c r="GD70" i="1"/>
  <c r="GE70" i="1"/>
  <c r="GF70" i="1"/>
  <c r="GG70" i="1"/>
  <c r="GH70" i="1"/>
  <c r="GI70" i="1"/>
  <c r="GJ70" i="1"/>
  <c r="GK70" i="1"/>
  <c r="GL70" i="1"/>
  <c r="GM70" i="1"/>
  <c r="GN70" i="1"/>
  <c r="GO70" i="1"/>
  <c r="GP70" i="1"/>
  <c r="GQ70" i="1"/>
  <c r="GR70" i="1"/>
  <c r="GS70" i="1"/>
  <c r="GT70" i="1"/>
  <c r="GU70" i="1"/>
  <c r="GV70" i="1"/>
  <c r="GW70" i="1"/>
  <c r="GX70" i="1"/>
  <c r="GY70" i="1"/>
  <c r="GZ70" i="1"/>
  <c r="HA70" i="1"/>
  <c r="HB70" i="1"/>
  <c r="HC70" i="1"/>
  <c r="HD70" i="1"/>
  <c r="HE70" i="1"/>
  <c r="HF70" i="1"/>
  <c r="HG70" i="1"/>
  <c r="HH70" i="1"/>
  <c r="HI70" i="1"/>
  <c r="HJ70" i="1"/>
  <c r="HK70" i="1"/>
  <c r="HL70" i="1"/>
  <c r="HM70" i="1"/>
  <c r="HN70" i="1"/>
  <c r="HO70" i="1"/>
  <c r="HP70" i="1"/>
  <c r="HQ70" i="1"/>
  <c r="HR70" i="1"/>
  <c r="HS70" i="1"/>
  <c r="HT70" i="1"/>
  <c r="HU70" i="1"/>
  <c r="HV70" i="1"/>
  <c r="HW70" i="1"/>
  <c r="HX70" i="1"/>
  <c r="HY70" i="1"/>
  <c r="HZ70" i="1"/>
  <c r="IA70" i="1"/>
  <c r="IB70" i="1"/>
  <c r="IC70" i="1"/>
  <c r="ID70" i="1"/>
  <c r="IE70" i="1"/>
  <c r="IF70" i="1"/>
  <c r="IG70" i="1"/>
  <c r="IH70" i="1"/>
  <c r="II70" i="1"/>
  <c r="IJ70" i="1"/>
  <c r="IK70" i="1"/>
  <c r="IL70" i="1"/>
  <c r="IM70" i="1"/>
  <c r="IN70" i="1"/>
  <c r="IO70" i="1"/>
  <c r="IP70" i="1"/>
  <c r="IQ70" i="1"/>
  <c r="IR70" i="1"/>
  <c r="IS70" i="1"/>
  <c r="IT70" i="1"/>
  <c r="IU70" i="1"/>
  <c r="IV70" i="1"/>
  <c r="IW70" i="1"/>
  <c r="IX70" i="1"/>
  <c r="IY70" i="1"/>
  <c r="IZ70" i="1"/>
  <c r="JA70" i="1"/>
  <c r="JB70" i="1"/>
  <c r="JC70" i="1"/>
  <c r="JD70" i="1"/>
  <c r="JE70" i="1"/>
  <c r="JF70" i="1"/>
  <c r="JG70" i="1"/>
  <c r="JH70" i="1"/>
  <c r="JI70" i="1"/>
  <c r="JJ70" i="1"/>
  <c r="JK70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FC72" i="1"/>
  <c r="FD72" i="1"/>
  <c r="FE72" i="1"/>
  <c r="FF72" i="1"/>
  <c r="FG72" i="1"/>
  <c r="FH72" i="1"/>
  <c r="FI72" i="1"/>
  <c r="FJ72" i="1"/>
  <c r="FK72" i="1"/>
  <c r="FL72" i="1"/>
  <c r="FM72" i="1"/>
  <c r="FN72" i="1"/>
  <c r="FO72" i="1"/>
  <c r="FP72" i="1"/>
  <c r="FQ72" i="1"/>
  <c r="FR72" i="1"/>
  <c r="FS72" i="1"/>
  <c r="FT72" i="1"/>
  <c r="FU72" i="1"/>
  <c r="FV72" i="1"/>
  <c r="FW72" i="1"/>
  <c r="FX72" i="1"/>
  <c r="FY72" i="1"/>
  <c r="FZ72" i="1"/>
  <c r="GA72" i="1"/>
  <c r="GB72" i="1"/>
  <c r="GC72" i="1"/>
  <c r="GD72" i="1"/>
  <c r="GE72" i="1"/>
  <c r="GF72" i="1"/>
  <c r="GG72" i="1"/>
  <c r="GH72" i="1"/>
  <c r="GI72" i="1"/>
  <c r="GJ72" i="1"/>
  <c r="GK72" i="1"/>
  <c r="GL72" i="1"/>
  <c r="GM72" i="1"/>
  <c r="GN72" i="1"/>
  <c r="GO72" i="1"/>
  <c r="GP72" i="1"/>
  <c r="GQ72" i="1"/>
  <c r="GR72" i="1"/>
  <c r="GS72" i="1"/>
  <c r="GT72" i="1"/>
  <c r="GU72" i="1"/>
  <c r="GV72" i="1"/>
  <c r="GW72" i="1"/>
  <c r="GX72" i="1"/>
  <c r="GY72" i="1"/>
  <c r="GZ72" i="1"/>
  <c r="HA72" i="1"/>
  <c r="HB72" i="1"/>
  <c r="HC72" i="1"/>
  <c r="HD72" i="1"/>
  <c r="HE72" i="1"/>
  <c r="HF72" i="1"/>
  <c r="HG72" i="1"/>
  <c r="HH72" i="1"/>
  <c r="HI72" i="1"/>
  <c r="HJ72" i="1"/>
  <c r="HK72" i="1"/>
  <c r="HL72" i="1"/>
  <c r="HM72" i="1"/>
  <c r="HN72" i="1"/>
  <c r="HO72" i="1"/>
  <c r="HP72" i="1"/>
  <c r="HQ72" i="1"/>
  <c r="HR72" i="1"/>
  <c r="HS72" i="1"/>
  <c r="HT72" i="1"/>
  <c r="HU72" i="1"/>
  <c r="HV72" i="1"/>
  <c r="HW72" i="1"/>
  <c r="HX72" i="1"/>
  <c r="HY72" i="1"/>
  <c r="HZ72" i="1"/>
  <c r="IA72" i="1"/>
  <c r="IB72" i="1"/>
  <c r="IC72" i="1"/>
  <c r="ID72" i="1"/>
  <c r="IE72" i="1"/>
  <c r="IF72" i="1"/>
  <c r="IG72" i="1"/>
  <c r="IH72" i="1"/>
  <c r="II72" i="1"/>
  <c r="IJ72" i="1"/>
  <c r="IK72" i="1"/>
  <c r="IL72" i="1"/>
  <c r="IM72" i="1"/>
  <c r="IN72" i="1"/>
  <c r="IO72" i="1"/>
  <c r="IP72" i="1"/>
  <c r="IQ72" i="1"/>
  <c r="IR72" i="1"/>
  <c r="IS72" i="1"/>
  <c r="IT72" i="1"/>
  <c r="IU72" i="1"/>
  <c r="IV72" i="1"/>
  <c r="IW72" i="1"/>
  <c r="IX72" i="1"/>
  <c r="IY72" i="1"/>
  <c r="IZ72" i="1"/>
  <c r="JA72" i="1"/>
  <c r="JB72" i="1"/>
  <c r="JC72" i="1"/>
  <c r="JD72" i="1"/>
  <c r="JE72" i="1"/>
  <c r="JF72" i="1"/>
  <c r="JG72" i="1"/>
  <c r="JH72" i="1"/>
  <c r="JI72" i="1"/>
  <c r="JJ72" i="1"/>
  <c r="JK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EW73" i="1"/>
  <c r="EX73" i="1"/>
  <c r="EY73" i="1"/>
  <c r="EZ73" i="1"/>
  <c r="FA73" i="1"/>
  <c r="FB73" i="1"/>
  <c r="FC73" i="1"/>
  <c r="FD73" i="1"/>
  <c r="FE73" i="1"/>
  <c r="FF73" i="1"/>
  <c r="FG73" i="1"/>
  <c r="FH73" i="1"/>
  <c r="FI73" i="1"/>
  <c r="FJ73" i="1"/>
  <c r="FK73" i="1"/>
  <c r="FL73" i="1"/>
  <c r="FM73" i="1"/>
  <c r="FN73" i="1"/>
  <c r="FO73" i="1"/>
  <c r="FP73" i="1"/>
  <c r="FQ73" i="1"/>
  <c r="FR73" i="1"/>
  <c r="FS73" i="1"/>
  <c r="FT73" i="1"/>
  <c r="FU73" i="1"/>
  <c r="FV73" i="1"/>
  <c r="FW73" i="1"/>
  <c r="FX73" i="1"/>
  <c r="FY73" i="1"/>
  <c r="FZ73" i="1"/>
  <c r="GA73" i="1"/>
  <c r="GB73" i="1"/>
  <c r="GC73" i="1"/>
  <c r="GD73" i="1"/>
  <c r="GE73" i="1"/>
  <c r="GF73" i="1"/>
  <c r="GG73" i="1"/>
  <c r="GH73" i="1"/>
  <c r="GI73" i="1"/>
  <c r="GJ73" i="1"/>
  <c r="GK73" i="1"/>
  <c r="GL73" i="1"/>
  <c r="GM73" i="1"/>
  <c r="GN73" i="1"/>
  <c r="GO73" i="1"/>
  <c r="GP73" i="1"/>
  <c r="GQ73" i="1"/>
  <c r="GR73" i="1"/>
  <c r="GS73" i="1"/>
  <c r="GT73" i="1"/>
  <c r="GU73" i="1"/>
  <c r="GV73" i="1"/>
  <c r="GW73" i="1"/>
  <c r="GX73" i="1"/>
  <c r="GY73" i="1"/>
  <c r="GZ73" i="1"/>
  <c r="HA73" i="1"/>
  <c r="HB73" i="1"/>
  <c r="HC73" i="1"/>
  <c r="HD73" i="1"/>
  <c r="HE73" i="1"/>
  <c r="HF73" i="1"/>
  <c r="HG73" i="1"/>
  <c r="HH73" i="1"/>
  <c r="HI73" i="1"/>
  <c r="HJ73" i="1"/>
  <c r="HK73" i="1"/>
  <c r="HL73" i="1"/>
  <c r="HM73" i="1"/>
  <c r="HN73" i="1"/>
  <c r="HO73" i="1"/>
  <c r="HP73" i="1"/>
  <c r="HQ73" i="1"/>
  <c r="HR73" i="1"/>
  <c r="HS73" i="1"/>
  <c r="HT73" i="1"/>
  <c r="HU73" i="1"/>
  <c r="HV73" i="1"/>
  <c r="HW73" i="1"/>
  <c r="HX73" i="1"/>
  <c r="HY73" i="1"/>
  <c r="HZ73" i="1"/>
  <c r="IA73" i="1"/>
  <c r="IB73" i="1"/>
  <c r="IC73" i="1"/>
  <c r="ID73" i="1"/>
  <c r="IE73" i="1"/>
  <c r="IF73" i="1"/>
  <c r="IG73" i="1"/>
  <c r="IH73" i="1"/>
  <c r="II73" i="1"/>
  <c r="IJ73" i="1"/>
  <c r="IK73" i="1"/>
  <c r="IL73" i="1"/>
  <c r="IM73" i="1"/>
  <c r="IN73" i="1"/>
  <c r="IO73" i="1"/>
  <c r="IP73" i="1"/>
  <c r="IQ73" i="1"/>
  <c r="IR73" i="1"/>
  <c r="IS73" i="1"/>
  <c r="IT73" i="1"/>
  <c r="IU73" i="1"/>
  <c r="IV73" i="1"/>
  <c r="IW73" i="1"/>
  <c r="IX73" i="1"/>
  <c r="IY73" i="1"/>
  <c r="IZ73" i="1"/>
  <c r="JA73" i="1"/>
  <c r="JB73" i="1"/>
  <c r="JC73" i="1"/>
  <c r="JD73" i="1"/>
  <c r="JE73" i="1"/>
  <c r="JF73" i="1"/>
  <c r="JG73" i="1"/>
  <c r="JH73" i="1"/>
  <c r="JI73" i="1"/>
  <c r="JJ73" i="1"/>
  <c r="JK73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FE75" i="1"/>
  <c r="FF75" i="1"/>
  <c r="FG75" i="1"/>
  <c r="FH75" i="1"/>
  <c r="FI75" i="1"/>
  <c r="FJ75" i="1"/>
  <c r="FK75" i="1"/>
  <c r="FL75" i="1"/>
  <c r="FM75" i="1"/>
  <c r="FN75" i="1"/>
  <c r="FO75" i="1"/>
  <c r="FP75" i="1"/>
  <c r="FQ75" i="1"/>
  <c r="FR75" i="1"/>
  <c r="FS75" i="1"/>
  <c r="FT75" i="1"/>
  <c r="FU75" i="1"/>
  <c r="FV75" i="1"/>
  <c r="FW75" i="1"/>
  <c r="FX75" i="1"/>
  <c r="FY75" i="1"/>
  <c r="FZ75" i="1"/>
  <c r="GA75" i="1"/>
  <c r="GB75" i="1"/>
  <c r="GC75" i="1"/>
  <c r="GD75" i="1"/>
  <c r="GE75" i="1"/>
  <c r="GF75" i="1"/>
  <c r="GG75" i="1"/>
  <c r="GH75" i="1"/>
  <c r="GI75" i="1"/>
  <c r="GJ75" i="1"/>
  <c r="GK75" i="1"/>
  <c r="GL75" i="1"/>
  <c r="GM75" i="1"/>
  <c r="GN75" i="1"/>
  <c r="GO75" i="1"/>
  <c r="GP75" i="1"/>
  <c r="GQ75" i="1"/>
  <c r="GR75" i="1"/>
  <c r="GS75" i="1"/>
  <c r="GT75" i="1"/>
  <c r="GU75" i="1"/>
  <c r="GV75" i="1"/>
  <c r="GW75" i="1"/>
  <c r="GX75" i="1"/>
  <c r="GY75" i="1"/>
  <c r="GZ75" i="1"/>
  <c r="HA75" i="1"/>
  <c r="HB75" i="1"/>
  <c r="HC75" i="1"/>
  <c r="HD75" i="1"/>
  <c r="HE75" i="1"/>
  <c r="HF75" i="1"/>
  <c r="HG75" i="1"/>
  <c r="HH75" i="1"/>
  <c r="HI75" i="1"/>
  <c r="HJ75" i="1"/>
  <c r="HK75" i="1"/>
  <c r="HL75" i="1"/>
  <c r="HM75" i="1"/>
  <c r="HN75" i="1"/>
  <c r="HO75" i="1"/>
  <c r="HP75" i="1"/>
  <c r="HQ75" i="1"/>
  <c r="HR75" i="1"/>
  <c r="HS75" i="1"/>
  <c r="HT75" i="1"/>
  <c r="HU75" i="1"/>
  <c r="HV75" i="1"/>
  <c r="HW75" i="1"/>
  <c r="HX75" i="1"/>
  <c r="HY75" i="1"/>
  <c r="HZ75" i="1"/>
  <c r="IA75" i="1"/>
  <c r="IB75" i="1"/>
  <c r="IC75" i="1"/>
  <c r="ID75" i="1"/>
  <c r="IE75" i="1"/>
  <c r="IF75" i="1"/>
  <c r="IG75" i="1"/>
  <c r="IH75" i="1"/>
  <c r="II75" i="1"/>
  <c r="IJ75" i="1"/>
  <c r="IK75" i="1"/>
  <c r="IL75" i="1"/>
  <c r="IM75" i="1"/>
  <c r="IN75" i="1"/>
  <c r="IO75" i="1"/>
  <c r="IP75" i="1"/>
  <c r="IQ75" i="1"/>
  <c r="IR75" i="1"/>
  <c r="IS75" i="1"/>
  <c r="IT75" i="1"/>
  <c r="IU75" i="1"/>
  <c r="IV75" i="1"/>
  <c r="IW75" i="1"/>
  <c r="IX75" i="1"/>
  <c r="IY75" i="1"/>
  <c r="IZ75" i="1"/>
  <c r="JA75" i="1"/>
  <c r="JB75" i="1"/>
  <c r="JC75" i="1"/>
  <c r="JD75" i="1"/>
  <c r="JE75" i="1"/>
  <c r="JF75" i="1"/>
  <c r="JG75" i="1"/>
  <c r="JH75" i="1"/>
  <c r="JI75" i="1"/>
  <c r="JJ75" i="1"/>
  <c r="JK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EW76" i="1"/>
  <c r="EX76" i="1"/>
  <c r="EY76" i="1"/>
  <c r="EZ76" i="1"/>
  <c r="FA76" i="1"/>
  <c r="FB76" i="1"/>
  <c r="FC76" i="1"/>
  <c r="FD76" i="1"/>
  <c r="FE76" i="1"/>
  <c r="FF76" i="1"/>
  <c r="FG76" i="1"/>
  <c r="FH76" i="1"/>
  <c r="FI76" i="1"/>
  <c r="FJ76" i="1"/>
  <c r="FK76" i="1"/>
  <c r="FL76" i="1"/>
  <c r="FM76" i="1"/>
  <c r="FN76" i="1"/>
  <c r="FO76" i="1"/>
  <c r="FP76" i="1"/>
  <c r="FQ76" i="1"/>
  <c r="FR76" i="1"/>
  <c r="FS76" i="1"/>
  <c r="FT76" i="1"/>
  <c r="FU76" i="1"/>
  <c r="FV76" i="1"/>
  <c r="FW76" i="1"/>
  <c r="FX76" i="1"/>
  <c r="FY76" i="1"/>
  <c r="FZ76" i="1"/>
  <c r="GA76" i="1"/>
  <c r="GB76" i="1"/>
  <c r="GC76" i="1"/>
  <c r="GD76" i="1"/>
  <c r="GE76" i="1"/>
  <c r="GF76" i="1"/>
  <c r="GG76" i="1"/>
  <c r="GH76" i="1"/>
  <c r="GI76" i="1"/>
  <c r="GJ76" i="1"/>
  <c r="GK76" i="1"/>
  <c r="GL76" i="1"/>
  <c r="GM76" i="1"/>
  <c r="GN76" i="1"/>
  <c r="GO76" i="1"/>
  <c r="GP76" i="1"/>
  <c r="GQ76" i="1"/>
  <c r="GR76" i="1"/>
  <c r="GS76" i="1"/>
  <c r="GT76" i="1"/>
  <c r="GU76" i="1"/>
  <c r="GV76" i="1"/>
  <c r="GW76" i="1"/>
  <c r="GX76" i="1"/>
  <c r="GY76" i="1"/>
  <c r="GZ76" i="1"/>
  <c r="HA76" i="1"/>
  <c r="HB76" i="1"/>
  <c r="HC76" i="1"/>
  <c r="HD76" i="1"/>
  <c r="HE76" i="1"/>
  <c r="HF76" i="1"/>
  <c r="HG76" i="1"/>
  <c r="HH76" i="1"/>
  <c r="HI76" i="1"/>
  <c r="HJ76" i="1"/>
  <c r="HK76" i="1"/>
  <c r="HL76" i="1"/>
  <c r="HM76" i="1"/>
  <c r="HN76" i="1"/>
  <c r="HO76" i="1"/>
  <c r="HP76" i="1"/>
  <c r="HQ76" i="1"/>
  <c r="HR76" i="1"/>
  <c r="HS76" i="1"/>
  <c r="HT76" i="1"/>
  <c r="HU76" i="1"/>
  <c r="HV76" i="1"/>
  <c r="HW76" i="1"/>
  <c r="HX76" i="1"/>
  <c r="HY76" i="1"/>
  <c r="HZ76" i="1"/>
  <c r="IA76" i="1"/>
  <c r="IB76" i="1"/>
  <c r="IC76" i="1"/>
  <c r="ID76" i="1"/>
  <c r="IE76" i="1"/>
  <c r="IF76" i="1"/>
  <c r="IG76" i="1"/>
  <c r="IH76" i="1"/>
  <c r="II76" i="1"/>
  <c r="IJ76" i="1"/>
  <c r="IK76" i="1"/>
  <c r="IL76" i="1"/>
  <c r="IM76" i="1"/>
  <c r="IN76" i="1"/>
  <c r="IO76" i="1"/>
  <c r="IP76" i="1"/>
  <c r="IQ76" i="1"/>
  <c r="IR76" i="1"/>
  <c r="IS76" i="1"/>
  <c r="IT76" i="1"/>
  <c r="IU76" i="1"/>
  <c r="IV76" i="1"/>
  <c r="IW76" i="1"/>
  <c r="IX76" i="1"/>
  <c r="IY76" i="1"/>
  <c r="IZ76" i="1"/>
  <c r="JA76" i="1"/>
  <c r="JB76" i="1"/>
  <c r="JC76" i="1"/>
  <c r="JD76" i="1"/>
  <c r="JE76" i="1"/>
  <c r="JF76" i="1"/>
  <c r="JG76" i="1"/>
  <c r="JH76" i="1"/>
  <c r="JI76" i="1"/>
  <c r="JJ76" i="1"/>
  <c r="JK76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EW78" i="1"/>
  <c r="EX78" i="1"/>
  <c r="EY78" i="1"/>
  <c r="EZ78" i="1"/>
  <c r="FA78" i="1"/>
  <c r="FB78" i="1"/>
  <c r="FC78" i="1"/>
  <c r="FD78" i="1"/>
  <c r="FE78" i="1"/>
  <c r="FF78" i="1"/>
  <c r="FG78" i="1"/>
  <c r="FH78" i="1"/>
  <c r="FI78" i="1"/>
  <c r="FJ78" i="1"/>
  <c r="FK78" i="1"/>
  <c r="FL78" i="1"/>
  <c r="FM78" i="1"/>
  <c r="FN78" i="1"/>
  <c r="FO78" i="1"/>
  <c r="FP78" i="1"/>
  <c r="FQ78" i="1"/>
  <c r="FR78" i="1"/>
  <c r="FS78" i="1"/>
  <c r="FT78" i="1"/>
  <c r="FU78" i="1"/>
  <c r="FV78" i="1"/>
  <c r="FW78" i="1"/>
  <c r="FX78" i="1"/>
  <c r="FY78" i="1"/>
  <c r="FZ78" i="1"/>
  <c r="GA78" i="1"/>
  <c r="GB78" i="1"/>
  <c r="GC78" i="1"/>
  <c r="GD78" i="1"/>
  <c r="GE78" i="1"/>
  <c r="GF78" i="1"/>
  <c r="GG78" i="1"/>
  <c r="GH78" i="1"/>
  <c r="GI78" i="1"/>
  <c r="GJ78" i="1"/>
  <c r="GK78" i="1"/>
  <c r="GL78" i="1"/>
  <c r="GM78" i="1"/>
  <c r="GN78" i="1"/>
  <c r="GO78" i="1"/>
  <c r="GP78" i="1"/>
  <c r="GQ78" i="1"/>
  <c r="GR78" i="1"/>
  <c r="GS78" i="1"/>
  <c r="GT78" i="1"/>
  <c r="GU78" i="1"/>
  <c r="GV78" i="1"/>
  <c r="GW78" i="1"/>
  <c r="GX78" i="1"/>
  <c r="GY78" i="1"/>
  <c r="GZ78" i="1"/>
  <c r="HA78" i="1"/>
  <c r="HB78" i="1"/>
  <c r="HC78" i="1"/>
  <c r="HD78" i="1"/>
  <c r="HE78" i="1"/>
  <c r="HF78" i="1"/>
  <c r="HG78" i="1"/>
  <c r="HH78" i="1"/>
  <c r="HI78" i="1"/>
  <c r="HJ78" i="1"/>
  <c r="HK78" i="1"/>
  <c r="HL78" i="1"/>
  <c r="HM78" i="1"/>
  <c r="HN78" i="1"/>
  <c r="HO78" i="1"/>
  <c r="HP78" i="1"/>
  <c r="HQ78" i="1"/>
  <c r="HR78" i="1"/>
  <c r="HS78" i="1"/>
  <c r="HT78" i="1"/>
  <c r="HU78" i="1"/>
  <c r="HV78" i="1"/>
  <c r="HW78" i="1"/>
  <c r="HX78" i="1"/>
  <c r="HY78" i="1"/>
  <c r="HZ78" i="1"/>
  <c r="IA78" i="1"/>
  <c r="IB78" i="1"/>
  <c r="IC78" i="1"/>
  <c r="ID78" i="1"/>
  <c r="IE78" i="1"/>
  <c r="IF78" i="1"/>
  <c r="IG78" i="1"/>
  <c r="IH78" i="1"/>
  <c r="II78" i="1"/>
  <c r="IJ78" i="1"/>
  <c r="IK78" i="1"/>
  <c r="IL78" i="1"/>
  <c r="IM78" i="1"/>
  <c r="IN78" i="1"/>
  <c r="IO78" i="1"/>
  <c r="IP78" i="1"/>
  <c r="IQ78" i="1"/>
  <c r="IR78" i="1"/>
  <c r="IS78" i="1"/>
  <c r="IT78" i="1"/>
  <c r="IU78" i="1"/>
  <c r="IV78" i="1"/>
  <c r="IW78" i="1"/>
  <c r="IX78" i="1"/>
  <c r="IY78" i="1"/>
  <c r="IZ78" i="1"/>
  <c r="JA78" i="1"/>
  <c r="JB78" i="1"/>
  <c r="JC78" i="1"/>
  <c r="JD78" i="1"/>
  <c r="JE78" i="1"/>
  <c r="JF78" i="1"/>
  <c r="JG78" i="1"/>
  <c r="JH78" i="1"/>
  <c r="JI78" i="1"/>
  <c r="JJ78" i="1"/>
  <c r="JK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EZ79" i="1"/>
  <c r="FA79" i="1"/>
  <c r="FB79" i="1"/>
  <c r="FC79" i="1"/>
  <c r="FD79" i="1"/>
  <c r="FE79" i="1"/>
  <c r="FF79" i="1"/>
  <c r="FG79" i="1"/>
  <c r="FH79" i="1"/>
  <c r="FI79" i="1"/>
  <c r="FJ79" i="1"/>
  <c r="FK79" i="1"/>
  <c r="FL79" i="1"/>
  <c r="FM79" i="1"/>
  <c r="FN79" i="1"/>
  <c r="FO79" i="1"/>
  <c r="FP79" i="1"/>
  <c r="FQ79" i="1"/>
  <c r="FR79" i="1"/>
  <c r="FS79" i="1"/>
  <c r="FT79" i="1"/>
  <c r="FU79" i="1"/>
  <c r="FV79" i="1"/>
  <c r="FW79" i="1"/>
  <c r="FX79" i="1"/>
  <c r="FY79" i="1"/>
  <c r="FZ79" i="1"/>
  <c r="GA79" i="1"/>
  <c r="GB79" i="1"/>
  <c r="GC79" i="1"/>
  <c r="GD79" i="1"/>
  <c r="GE79" i="1"/>
  <c r="GF79" i="1"/>
  <c r="GG79" i="1"/>
  <c r="GH79" i="1"/>
  <c r="GI79" i="1"/>
  <c r="GJ79" i="1"/>
  <c r="GK79" i="1"/>
  <c r="GL79" i="1"/>
  <c r="GM79" i="1"/>
  <c r="GN79" i="1"/>
  <c r="GO79" i="1"/>
  <c r="GP79" i="1"/>
  <c r="GQ79" i="1"/>
  <c r="GR79" i="1"/>
  <c r="GS79" i="1"/>
  <c r="GT79" i="1"/>
  <c r="GU79" i="1"/>
  <c r="GV79" i="1"/>
  <c r="GW79" i="1"/>
  <c r="GX79" i="1"/>
  <c r="GY79" i="1"/>
  <c r="GZ79" i="1"/>
  <c r="HA79" i="1"/>
  <c r="HB79" i="1"/>
  <c r="HC79" i="1"/>
  <c r="HD79" i="1"/>
  <c r="HE79" i="1"/>
  <c r="HF79" i="1"/>
  <c r="HG79" i="1"/>
  <c r="HH79" i="1"/>
  <c r="HI79" i="1"/>
  <c r="HJ79" i="1"/>
  <c r="HK79" i="1"/>
  <c r="HL79" i="1"/>
  <c r="HM79" i="1"/>
  <c r="HN79" i="1"/>
  <c r="HO79" i="1"/>
  <c r="HP79" i="1"/>
  <c r="HQ79" i="1"/>
  <c r="HR79" i="1"/>
  <c r="HS79" i="1"/>
  <c r="HT79" i="1"/>
  <c r="HU79" i="1"/>
  <c r="HV79" i="1"/>
  <c r="HW79" i="1"/>
  <c r="HX79" i="1"/>
  <c r="HY79" i="1"/>
  <c r="HZ79" i="1"/>
  <c r="IA79" i="1"/>
  <c r="IB79" i="1"/>
  <c r="IC79" i="1"/>
  <c r="ID79" i="1"/>
  <c r="IE79" i="1"/>
  <c r="IF79" i="1"/>
  <c r="IG79" i="1"/>
  <c r="IH79" i="1"/>
  <c r="II79" i="1"/>
  <c r="IJ79" i="1"/>
  <c r="IK79" i="1"/>
  <c r="IL79" i="1"/>
  <c r="IM79" i="1"/>
  <c r="IN79" i="1"/>
  <c r="IO79" i="1"/>
  <c r="IP79" i="1"/>
  <c r="IQ79" i="1"/>
  <c r="IR79" i="1"/>
  <c r="IS79" i="1"/>
  <c r="IT79" i="1"/>
  <c r="IU79" i="1"/>
  <c r="IV79" i="1"/>
  <c r="IW79" i="1"/>
  <c r="IX79" i="1"/>
  <c r="IY79" i="1"/>
  <c r="IZ79" i="1"/>
  <c r="JA79" i="1"/>
  <c r="JB79" i="1"/>
  <c r="JC79" i="1"/>
  <c r="JD79" i="1"/>
  <c r="JE79" i="1"/>
  <c r="JF79" i="1"/>
  <c r="JG79" i="1"/>
  <c r="JH79" i="1"/>
  <c r="JI79" i="1"/>
  <c r="JJ79" i="1"/>
  <c r="JK79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FP81" i="1"/>
  <c r="FQ81" i="1"/>
  <c r="FR81" i="1"/>
  <c r="FS81" i="1"/>
  <c r="FT81" i="1"/>
  <c r="FU81" i="1"/>
  <c r="FV81" i="1"/>
  <c r="FW81" i="1"/>
  <c r="FX81" i="1"/>
  <c r="FY81" i="1"/>
  <c r="FZ81" i="1"/>
  <c r="GA81" i="1"/>
  <c r="GB81" i="1"/>
  <c r="GC81" i="1"/>
  <c r="GD81" i="1"/>
  <c r="GE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GY81" i="1"/>
  <c r="GZ81" i="1"/>
  <c r="HA81" i="1"/>
  <c r="HB81" i="1"/>
  <c r="HC81" i="1"/>
  <c r="HD81" i="1"/>
  <c r="HE81" i="1"/>
  <c r="HF81" i="1"/>
  <c r="HG81" i="1"/>
  <c r="HH81" i="1"/>
  <c r="HI81" i="1"/>
  <c r="HJ81" i="1"/>
  <c r="HK81" i="1"/>
  <c r="HL81" i="1"/>
  <c r="HM81" i="1"/>
  <c r="HN81" i="1"/>
  <c r="HO81" i="1"/>
  <c r="HP81" i="1"/>
  <c r="HQ81" i="1"/>
  <c r="HR81" i="1"/>
  <c r="HS81" i="1"/>
  <c r="HT81" i="1"/>
  <c r="HU81" i="1"/>
  <c r="HV81" i="1"/>
  <c r="HW81" i="1"/>
  <c r="HX81" i="1"/>
  <c r="HY81" i="1"/>
  <c r="HZ81" i="1"/>
  <c r="IA81" i="1"/>
  <c r="IB81" i="1"/>
  <c r="IC81" i="1"/>
  <c r="ID81" i="1"/>
  <c r="IE81" i="1"/>
  <c r="IF81" i="1"/>
  <c r="IG81" i="1"/>
  <c r="IH81" i="1"/>
  <c r="II81" i="1"/>
  <c r="IJ81" i="1"/>
  <c r="IK81" i="1"/>
  <c r="IL81" i="1"/>
  <c r="IM81" i="1"/>
  <c r="IN81" i="1"/>
  <c r="IO81" i="1"/>
  <c r="IP81" i="1"/>
  <c r="IQ81" i="1"/>
  <c r="IR81" i="1"/>
  <c r="IS81" i="1"/>
  <c r="IT81" i="1"/>
  <c r="IU81" i="1"/>
  <c r="IV81" i="1"/>
  <c r="IW81" i="1"/>
  <c r="IX81" i="1"/>
  <c r="IY81" i="1"/>
  <c r="IZ81" i="1"/>
  <c r="JA81" i="1"/>
  <c r="JB81" i="1"/>
  <c r="JC81" i="1"/>
  <c r="JD81" i="1"/>
  <c r="JE81" i="1"/>
  <c r="JF81" i="1"/>
  <c r="JG81" i="1"/>
  <c r="JH81" i="1"/>
  <c r="JI81" i="1"/>
  <c r="JJ81" i="1"/>
  <c r="JK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EW82" i="1"/>
  <c r="EX82" i="1"/>
  <c r="EY82" i="1"/>
  <c r="EZ82" i="1"/>
  <c r="FA82" i="1"/>
  <c r="FB82" i="1"/>
  <c r="FC82" i="1"/>
  <c r="FD82" i="1"/>
  <c r="FE82" i="1"/>
  <c r="FF82" i="1"/>
  <c r="FG82" i="1"/>
  <c r="FH82" i="1"/>
  <c r="FI82" i="1"/>
  <c r="FJ82" i="1"/>
  <c r="FK82" i="1"/>
  <c r="FL82" i="1"/>
  <c r="FM82" i="1"/>
  <c r="FN82" i="1"/>
  <c r="FO82" i="1"/>
  <c r="FP82" i="1"/>
  <c r="FQ82" i="1"/>
  <c r="FR82" i="1"/>
  <c r="FS82" i="1"/>
  <c r="FT82" i="1"/>
  <c r="FU82" i="1"/>
  <c r="FV82" i="1"/>
  <c r="FW82" i="1"/>
  <c r="FX82" i="1"/>
  <c r="FY82" i="1"/>
  <c r="FZ82" i="1"/>
  <c r="GA82" i="1"/>
  <c r="GB82" i="1"/>
  <c r="GC82" i="1"/>
  <c r="GD82" i="1"/>
  <c r="GE82" i="1"/>
  <c r="GF82" i="1"/>
  <c r="GG82" i="1"/>
  <c r="GH82" i="1"/>
  <c r="GI82" i="1"/>
  <c r="GJ82" i="1"/>
  <c r="GK82" i="1"/>
  <c r="GL82" i="1"/>
  <c r="GM82" i="1"/>
  <c r="GN82" i="1"/>
  <c r="GO82" i="1"/>
  <c r="GP82" i="1"/>
  <c r="GQ82" i="1"/>
  <c r="GR82" i="1"/>
  <c r="GS82" i="1"/>
  <c r="GT82" i="1"/>
  <c r="GU82" i="1"/>
  <c r="GV82" i="1"/>
  <c r="GW82" i="1"/>
  <c r="GX82" i="1"/>
  <c r="GY82" i="1"/>
  <c r="GZ82" i="1"/>
  <c r="HA82" i="1"/>
  <c r="HB82" i="1"/>
  <c r="HC82" i="1"/>
  <c r="HD82" i="1"/>
  <c r="HE82" i="1"/>
  <c r="HF82" i="1"/>
  <c r="HG82" i="1"/>
  <c r="HH82" i="1"/>
  <c r="HI82" i="1"/>
  <c r="HJ82" i="1"/>
  <c r="HK82" i="1"/>
  <c r="HL82" i="1"/>
  <c r="HM82" i="1"/>
  <c r="HN82" i="1"/>
  <c r="HO82" i="1"/>
  <c r="HP82" i="1"/>
  <c r="HQ82" i="1"/>
  <c r="HR82" i="1"/>
  <c r="HS82" i="1"/>
  <c r="HT82" i="1"/>
  <c r="HU82" i="1"/>
  <c r="HV82" i="1"/>
  <c r="HW82" i="1"/>
  <c r="HX82" i="1"/>
  <c r="HY82" i="1"/>
  <c r="HZ82" i="1"/>
  <c r="IA82" i="1"/>
  <c r="IB82" i="1"/>
  <c r="IC82" i="1"/>
  <c r="ID82" i="1"/>
  <c r="IE82" i="1"/>
  <c r="IF82" i="1"/>
  <c r="IG82" i="1"/>
  <c r="IH82" i="1"/>
  <c r="II82" i="1"/>
  <c r="IJ82" i="1"/>
  <c r="IK82" i="1"/>
  <c r="IL82" i="1"/>
  <c r="IM82" i="1"/>
  <c r="IN82" i="1"/>
  <c r="IO82" i="1"/>
  <c r="IP82" i="1"/>
  <c r="IQ82" i="1"/>
  <c r="IR82" i="1"/>
  <c r="IS82" i="1"/>
  <c r="IT82" i="1"/>
  <c r="IU82" i="1"/>
  <c r="IV82" i="1"/>
  <c r="IW82" i="1"/>
  <c r="IX82" i="1"/>
  <c r="IY82" i="1"/>
  <c r="IZ82" i="1"/>
  <c r="JA82" i="1"/>
  <c r="JB82" i="1"/>
  <c r="JC82" i="1"/>
  <c r="JD82" i="1"/>
  <c r="JE82" i="1"/>
  <c r="JF82" i="1"/>
  <c r="JG82" i="1"/>
  <c r="JH82" i="1"/>
  <c r="JI82" i="1"/>
  <c r="JJ82" i="1"/>
  <c r="JK82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EW84" i="1"/>
  <c r="EX84" i="1"/>
  <c r="EY84" i="1"/>
  <c r="EZ84" i="1"/>
  <c r="FA84" i="1"/>
  <c r="FB84" i="1"/>
  <c r="FC84" i="1"/>
  <c r="FD84" i="1"/>
  <c r="FE84" i="1"/>
  <c r="FF84" i="1"/>
  <c r="FG84" i="1"/>
  <c r="FH84" i="1"/>
  <c r="FI84" i="1"/>
  <c r="FJ84" i="1"/>
  <c r="FK84" i="1"/>
  <c r="FL84" i="1"/>
  <c r="FM84" i="1"/>
  <c r="FN84" i="1"/>
  <c r="FO84" i="1"/>
  <c r="FP84" i="1"/>
  <c r="FQ84" i="1"/>
  <c r="FR84" i="1"/>
  <c r="FS84" i="1"/>
  <c r="FT84" i="1"/>
  <c r="FU84" i="1"/>
  <c r="FV84" i="1"/>
  <c r="FW84" i="1"/>
  <c r="FX84" i="1"/>
  <c r="FY84" i="1"/>
  <c r="FZ84" i="1"/>
  <c r="GA84" i="1"/>
  <c r="GB84" i="1"/>
  <c r="GC84" i="1"/>
  <c r="GD84" i="1"/>
  <c r="GE84" i="1"/>
  <c r="GF84" i="1"/>
  <c r="GG84" i="1"/>
  <c r="GH84" i="1"/>
  <c r="GI84" i="1"/>
  <c r="GJ84" i="1"/>
  <c r="GK84" i="1"/>
  <c r="GL84" i="1"/>
  <c r="GM84" i="1"/>
  <c r="GN84" i="1"/>
  <c r="GO84" i="1"/>
  <c r="GP84" i="1"/>
  <c r="GQ84" i="1"/>
  <c r="GR84" i="1"/>
  <c r="GS84" i="1"/>
  <c r="GT84" i="1"/>
  <c r="GU84" i="1"/>
  <c r="GV84" i="1"/>
  <c r="GW84" i="1"/>
  <c r="GX84" i="1"/>
  <c r="GY84" i="1"/>
  <c r="GZ84" i="1"/>
  <c r="HA84" i="1"/>
  <c r="HB84" i="1"/>
  <c r="HC84" i="1"/>
  <c r="HD84" i="1"/>
  <c r="HE84" i="1"/>
  <c r="HF84" i="1"/>
  <c r="HG84" i="1"/>
  <c r="HH84" i="1"/>
  <c r="HI84" i="1"/>
  <c r="HJ84" i="1"/>
  <c r="HK84" i="1"/>
  <c r="HL84" i="1"/>
  <c r="HM84" i="1"/>
  <c r="HN84" i="1"/>
  <c r="HO84" i="1"/>
  <c r="HP84" i="1"/>
  <c r="HQ84" i="1"/>
  <c r="HR84" i="1"/>
  <c r="HS84" i="1"/>
  <c r="HT84" i="1"/>
  <c r="HU84" i="1"/>
  <c r="HV84" i="1"/>
  <c r="HW84" i="1"/>
  <c r="HX84" i="1"/>
  <c r="HY84" i="1"/>
  <c r="HZ84" i="1"/>
  <c r="IA84" i="1"/>
  <c r="IB84" i="1"/>
  <c r="IC84" i="1"/>
  <c r="ID84" i="1"/>
  <c r="IE84" i="1"/>
  <c r="IF84" i="1"/>
  <c r="IG84" i="1"/>
  <c r="IH84" i="1"/>
  <c r="II84" i="1"/>
  <c r="IJ84" i="1"/>
  <c r="IK84" i="1"/>
  <c r="IL84" i="1"/>
  <c r="IM84" i="1"/>
  <c r="IN84" i="1"/>
  <c r="IO84" i="1"/>
  <c r="IP84" i="1"/>
  <c r="IQ84" i="1"/>
  <c r="IR84" i="1"/>
  <c r="IS84" i="1"/>
  <c r="IT84" i="1"/>
  <c r="IU84" i="1"/>
  <c r="IV84" i="1"/>
  <c r="IW84" i="1"/>
  <c r="IX84" i="1"/>
  <c r="IY84" i="1"/>
  <c r="IZ84" i="1"/>
  <c r="JA84" i="1"/>
  <c r="JB84" i="1"/>
  <c r="JC84" i="1"/>
  <c r="JD84" i="1"/>
  <c r="JE84" i="1"/>
  <c r="JF84" i="1"/>
  <c r="JG84" i="1"/>
  <c r="JH84" i="1"/>
  <c r="JI84" i="1"/>
  <c r="JJ84" i="1"/>
  <c r="JK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EW85" i="1"/>
  <c r="EX85" i="1"/>
  <c r="EY85" i="1"/>
  <c r="EZ85" i="1"/>
  <c r="FA85" i="1"/>
  <c r="FB85" i="1"/>
  <c r="FC85" i="1"/>
  <c r="FD85" i="1"/>
  <c r="FE85" i="1"/>
  <c r="FF85" i="1"/>
  <c r="FG85" i="1"/>
  <c r="FH85" i="1"/>
  <c r="FI85" i="1"/>
  <c r="FJ85" i="1"/>
  <c r="FK85" i="1"/>
  <c r="FL85" i="1"/>
  <c r="FM85" i="1"/>
  <c r="FN85" i="1"/>
  <c r="FO85" i="1"/>
  <c r="FP85" i="1"/>
  <c r="FQ85" i="1"/>
  <c r="FR85" i="1"/>
  <c r="FS85" i="1"/>
  <c r="FT85" i="1"/>
  <c r="FU85" i="1"/>
  <c r="FV85" i="1"/>
  <c r="FW85" i="1"/>
  <c r="FX85" i="1"/>
  <c r="FY85" i="1"/>
  <c r="FZ85" i="1"/>
  <c r="GA85" i="1"/>
  <c r="GB85" i="1"/>
  <c r="GC85" i="1"/>
  <c r="GD85" i="1"/>
  <c r="GE85" i="1"/>
  <c r="GF85" i="1"/>
  <c r="GG85" i="1"/>
  <c r="GH85" i="1"/>
  <c r="GI85" i="1"/>
  <c r="GJ85" i="1"/>
  <c r="GK85" i="1"/>
  <c r="GL85" i="1"/>
  <c r="GM85" i="1"/>
  <c r="GN85" i="1"/>
  <c r="GO85" i="1"/>
  <c r="GP85" i="1"/>
  <c r="GQ85" i="1"/>
  <c r="GR85" i="1"/>
  <c r="GS85" i="1"/>
  <c r="GT85" i="1"/>
  <c r="GU85" i="1"/>
  <c r="GV85" i="1"/>
  <c r="GW85" i="1"/>
  <c r="GX85" i="1"/>
  <c r="GY85" i="1"/>
  <c r="GZ85" i="1"/>
  <c r="HA85" i="1"/>
  <c r="HB85" i="1"/>
  <c r="HC85" i="1"/>
  <c r="HD85" i="1"/>
  <c r="HE85" i="1"/>
  <c r="HF85" i="1"/>
  <c r="HG85" i="1"/>
  <c r="HH85" i="1"/>
  <c r="HI85" i="1"/>
  <c r="HJ85" i="1"/>
  <c r="HK85" i="1"/>
  <c r="HL85" i="1"/>
  <c r="HM85" i="1"/>
  <c r="HN85" i="1"/>
  <c r="HO85" i="1"/>
  <c r="HP85" i="1"/>
  <c r="HQ85" i="1"/>
  <c r="HR85" i="1"/>
  <c r="HS85" i="1"/>
  <c r="HT85" i="1"/>
  <c r="HU85" i="1"/>
  <c r="HV85" i="1"/>
  <c r="HW85" i="1"/>
  <c r="HX85" i="1"/>
  <c r="HY85" i="1"/>
  <c r="HZ85" i="1"/>
  <c r="IA85" i="1"/>
  <c r="IB85" i="1"/>
  <c r="IC85" i="1"/>
  <c r="ID85" i="1"/>
  <c r="IE85" i="1"/>
  <c r="IF85" i="1"/>
  <c r="IG85" i="1"/>
  <c r="IH85" i="1"/>
  <c r="II85" i="1"/>
  <c r="IJ85" i="1"/>
  <c r="IK85" i="1"/>
  <c r="IL85" i="1"/>
  <c r="IM85" i="1"/>
  <c r="IN85" i="1"/>
  <c r="IO85" i="1"/>
  <c r="IP85" i="1"/>
  <c r="IQ85" i="1"/>
  <c r="IR85" i="1"/>
  <c r="IS85" i="1"/>
  <c r="IT85" i="1"/>
  <c r="IU85" i="1"/>
  <c r="IV85" i="1"/>
  <c r="IW85" i="1"/>
  <c r="IX85" i="1"/>
  <c r="IY85" i="1"/>
  <c r="IZ85" i="1"/>
  <c r="JA85" i="1"/>
  <c r="JB85" i="1"/>
  <c r="JC85" i="1"/>
  <c r="JD85" i="1"/>
  <c r="JE85" i="1"/>
  <c r="JF85" i="1"/>
  <c r="JG85" i="1"/>
  <c r="JH85" i="1"/>
  <c r="JI85" i="1"/>
  <c r="JJ85" i="1"/>
  <c r="JK85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EW87" i="1"/>
  <c r="EX87" i="1"/>
  <c r="EY87" i="1"/>
  <c r="EZ87" i="1"/>
  <c r="FA87" i="1"/>
  <c r="FB87" i="1"/>
  <c r="FC87" i="1"/>
  <c r="FD87" i="1"/>
  <c r="FE87" i="1"/>
  <c r="FF87" i="1"/>
  <c r="FG87" i="1"/>
  <c r="FH87" i="1"/>
  <c r="FI87" i="1"/>
  <c r="FJ87" i="1"/>
  <c r="FK87" i="1"/>
  <c r="FL87" i="1"/>
  <c r="FM87" i="1"/>
  <c r="FN87" i="1"/>
  <c r="FO87" i="1"/>
  <c r="FP87" i="1"/>
  <c r="FQ87" i="1"/>
  <c r="FR87" i="1"/>
  <c r="FS87" i="1"/>
  <c r="FT87" i="1"/>
  <c r="FU87" i="1"/>
  <c r="FV87" i="1"/>
  <c r="FW87" i="1"/>
  <c r="FX87" i="1"/>
  <c r="FY87" i="1"/>
  <c r="FZ87" i="1"/>
  <c r="GA87" i="1"/>
  <c r="GB87" i="1"/>
  <c r="GC87" i="1"/>
  <c r="GD87" i="1"/>
  <c r="GE87" i="1"/>
  <c r="GF87" i="1"/>
  <c r="GG87" i="1"/>
  <c r="GH87" i="1"/>
  <c r="GI87" i="1"/>
  <c r="GJ87" i="1"/>
  <c r="GK87" i="1"/>
  <c r="GL87" i="1"/>
  <c r="GM87" i="1"/>
  <c r="GN87" i="1"/>
  <c r="GO87" i="1"/>
  <c r="GP87" i="1"/>
  <c r="GQ87" i="1"/>
  <c r="GR87" i="1"/>
  <c r="GS87" i="1"/>
  <c r="GT87" i="1"/>
  <c r="GU87" i="1"/>
  <c r="GV87" i="1"/>
  <c r="GW87" i="1"/>
  <c r="GX87" i="1"/>
  <c r="GY87" i="1"/>
  <c r="GZ87" i="1"/>
  <c r="HA87" i="1"/>
  <c r="HB87" i="1"/>
  <c r="HC87" i="1"/>
  <c r="HD87" i="1"/>
  <c r="HE87" i="1"/>
  <c r="HF87" i="1"/>
  <c r="HG87" i="1"/>
  <c r="HH87" i="1"/>
  <c r="HI87" i="1"/>
  <c r="HJ87" i="1"/>
  <c r="HK87" i="1"/>
  <c r="HL87" i="1"/>
  <c r="HM87" i="1"/>
  <c r="HN87" i="1"/>
  <c r="HO87" i="1"/>
  <c r="HP87" i="1"/>
  <c r="HQ87" i="1"/>
  <c r="HR87" i="1"/>
  <c r="HS87" i="1"/>
  <c r="HT87" i="1"/>
  <c r="HU87" i="1"/>
  <c r="HV87" i="1"/>
  <c r="HW87" i="1"/>
  <c r="HX87" i="1"/>
  <c r="HY87" i="1"/>
  <c r="HZ87" i="1"/>
  <c r="IA87" i="1"/>
  <c r="IB87" i="1"/>
  <c r="IC87" i="1"/>
  <c r="ID87" i="1"/>
  <c r="IE87" i="1"/>
  <c r="IF87" i="1"/>
  <c r="IG87" i="1"/>
  <c r="IH87" i="1"/>
  <c r="II87" i="1"/>
  <c r="IJ87" i="1"/>
  <c r="IK87" i="1"/>
  <c r="IL87" i="1"/>
  <c r="IM87" i="1"/>
  <c r="IN87" i="1"/>
  <c r="IO87" i="1"/>
  <c r="IP87" i="1"/>
  <c r="IQ87" i="1"/>
  <c r="IR87" i="1"/>
  <c r="IS87" i="1"/>
  <c r="IT87" i="1"/>
  <c r="IU87" i="1"/>
  <c r="IV87" i="1"/>
  <c r="IW87" i="1"/>
  <c r="IX87" i="1"/>
  <c r="IY87" i="1"/>
  <c r="IZ87" i="1"/>
  <c r="JA87" i="1"/>
  <c r="JB87" i="1"/>
  <c r="JC87" i="1"/>
  <c r="JD87" i="1"/>
  <c r="JE87" i="1"/>
  <c r="JF87" i="1"/>
  <c r="JG87" i="1"/>
  <c r="JH87" i="1"/>
  <c r="JI87" i="1"/>
  <c r="JJ87" i="1"/>
  <c r="JK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EW88" i="1"/>
  <c r="EX88" i="1"/>
  <c r="EY88" i="1"/>
  <c r="EZ88" i="1"/>
  <c r="FA88" i="1"/>
  <c r="FB88" i="1"/>
  <c r="FC88" i="1"/>
  <c r="FD88" i="1"/>
  <c r="FE88" i="1"/>
  <c r="FF88" i="1"/>
  <c r="FG88" i="1"/>
  <c r="FH88" i="1"/>
  <c r="FI88" i="1"/>
  <c r="FJ88" i="1"/>
  <c r="FK88" i="1"/>
  <c r="FL88" i="1"/>
  <c r="FM88" i="1"/>
  <c r="FN88" i="1"/>
  <c r="FO88" i="1"/>
  <c r="FP88" i="1"/>
  <c r="FQ88" i="1"/>
  <c r="FR88" i="1"/>
  <c r="FS88" i="1"/>
  <c r="FT88" i="1"/>
  <c r="FU88" i="1"/>
  <c r="FV88" i="1"/>
  <c r="FW88" i="1"/>
  <c r="FX88" i="1"/>
  <c r="FY88" i="1"/>
  <c r="FZ88" i="1"/>
  <c r="GA88" i="1"/>
  <c r="GB88" i="1"/>
  <c r="GC88" i="1"/>
  <c r="GD88" i="1"/>
  <c r="GE88" i="1"/>
  <c r="GF88" i="1"/>
  <c r="GG88" i="1"/>
  <c r="GH88" i="1"/>
  <c r="GI88" i="1"/>
  <c r="GJ88" i="1"/>
  <c r="GK88" i="1"/>
  <c r="GL88" i="1"/>
  <c r="GM88" i="1"/>
  <c r="GN88" i="1"/>
  <c r="GO88" i="1"/>
  <c r="GP88" i="1"/>
  <c r="GQ88" i="1"/>
  <c r="GR88" i="1"/>
  <c r="GS88" i="1"/>
  <c r="GT88" i="1"/>
  <c r="GU88" i="1"/>
  <c r="GV88" i="1"/>
  <c r="GW88" i="1"/>
  <c r="GX88" i="1"/>
  <c r="GY88" i="1"/>
  <c r="GZ88" i="1"/>
  <c r="HA88" i="1"/>
  <c r="HB88" i="1"/>
  <c r="HC88" i="1"/>
  <c r="HD88" i="1"/>
  <c r="HE88" i="1"/>
  <c r="HF88" i="1"/>
  <c r="HG88" i="1"/>
  <c r="HH88" i="1"/>
  <c r="HI88" i="1"/>
  <c r="HJ88" i="1"/>
  <c r="HK88" i="1"/>
  <c r="HL88" i="1"/>
  <c r="HM88" i="1"/>
  <c r="HN88" i="1"/>
  <c r="HO88" i="1"/>
  <c r="HP88" i="1"/>
  <c r="HQ88" i="1"/>
  <c r="HR88" i="1"/>
  <c r="HS88" i="1"/>
  <c r="HT88" i="1"/>
  <c r="HU88" i="1"/>
  <c r="HV88" i="1"/>
  <c r="HW88" i="1"/>
  <c r="HX88" i="1"/>
  <c r="HY88" i="1"/>
  <c r="HZ88" i="1"/>
  <c r="IA88" i="1"/>
  <c r="IB88" i="1"/>
  <c r="IC88" i="1"/>
  <c r="ID88" i="1"/>
  <c r="IE88" i="1"/>
  <c r="IF88" i="1"/>
  <c r="IG88" i="1"/>
  <c r="IH88" i="1"/>
  <c r="II88" i="1"/>
  <c r="IJ88" i="1"/>
  <c r="IK88" i="1"/>
  <c r="IL88" i="1"/>
  <c r="IM88" i="1"/>
  <c r="IN88" i="1"/>
  <c r="IO88" i="1"/>
  <c r="IP88" i="1"/>
  <c r="IQ88" i="1"/>
  <c r="IR88" i="1"/>
  <c r="IS88" i="1"/>
  <c r="IT88" i="1"/>
  <c r="IU88" i="1"/>
  <c r="IV88" i="1"/>
  <c r="IW88" i="1"/>
  <c r="IX88" i="1"/>
  <c r="IY88" i="1"/>
  <c r="IZ88" i="1"/>
  <c r="JA88" i="1"/>
  <c r="JB88" i="1"/>
  <c r="JC88" i="1"/>
  <c r="JD88" i="1"/>
  <c r="JE88" i="1"/>
  <c r="JF88" i="1"/>
  <c r="JG88" i="1"/>
  <c r="JH88" i="1"/>
  <c r="JI88" i="1"/>
  <c r="JJ88" i="1"/>
  <c r="JK88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EW90" i="1"/>
  <c r="EX90" i="1"/>
  <c r="EY90" i="1"/>
  <c r="EZ90" i="1"/>
  <c r="FA90" i="1"/>
  <c r="FB90" i="1"/>
  <c r="FC90" i="1"/>
  <c r="FD90" i="1"/>
  <c r="FE90" i="1"/>
  <c r="FF90" i="1"/>
  <c r="FG90" i="1"/>
  <c r="FH90" i="1"/>
  <c r="FI90" i="1"/>
  <c r="FJ90" i="1"/>
  <c r="FK90" i="1"/>
  <c r="FL90" i="1"/>
  <c r="FM90" i="1"/>
  <c r="FN90" i="1"/>
  <c r="FO90" i="1"/>
  <c r="FP90" i="1"/>
  <c r="FQ90" i="1"/>
  <c r="FR90" i="1"/>
  <c r="FS90" i="1"/>
  <c r="FT90" i="1"/>
  <c r="FU90" i="1"/>
  <c r="FV90" i="1"/>
  <c r="FW90" i="1"/>
  <c r="FX90" i="1"/>
  <c r="FY90" i="1"/>
  <c r="FZ90" i="1"/>
  <c r="GA90" i="1"/>
  <c r="GB90" i="1"/>
  <c r="GC90" i="1"/>
  <c r="GD90" i="1"/>
  <c r="GE90" i="1"/>
  <c r="GF90" i="1"/>
  <c r="GG90" i="1"/>
  <c r="GH90" i="1"/>
  <c r="GI90" i="1"/>
  <c r="GJ90" i="1"/>
  <c r="GK90" i="1"/>
  <c r="GL90" i="1"/>
  <c r="GM90" i="1"/>
  <c r="GN90" i="1"/>
  <c r="GO90" i="1"/>
  <c r="GP90" i="1"/>
  <c r="GQ90" i="1"/>
  <c r="GR90" i="1"/>
  <c r="GS90" i="1"/>
  <c r="GT90" i="1"/>
  <c r="GU90" i="1"/>
  <c r="GV90" i="1"/>
  <c r="GW90" i="1"/>
  <c r="GX90" i="1"/>
  <c r="GY90" i="1"/>
  <c r="GZ90" i="1"/>
  <c r="HA90" i="1"/>
  <c r="HB90" i="1"/>
  <c r="HC90" i="1"/>
  <c r="HD90" i="1"/>
  <c r="HE90" i="1"/>
  <c r="HF90" i="1"/>
  <c r="HG90" i="1"/>
  <c r="HH90" i="1"/>
  <c r="HI90" i="1"/>
  <c r="HJ90" i="1"/>
  <c r="HK90" i="1"/>
  <c r="HL90" i="1"/>
  <c r="HM90" i="1"/>
  <c r="HN90" i="1"/>
  <c r="HO90" i="1"/>
  <c r="HP90" i="1"/>
  <c r="HQ90" i="1"/>
  <c r="HR90" i="1"/>
  <c r="HS90" i="1"/>
  <c r="HT90" i="1"/>
  <c r="HU90" i="1"/>
  <c r="HV90" i="1"/>
  <c r="HW90" i="1"/>
  <c r="HX90" i="1"/>
  <c r="HY90" i="1"/>
  <c r="HZ90" i="1"/>
  <c r="IA90" i="1"/>
  <c r="IB90" i="1"/>
  <c r="IC90" i="1"/>
  <c r="ID90" i="1"/>
  <c r="IE90" i="1"/>
  <c r="IF90" i="1"/>
  <c r="IG90" i="1"/>
  <c r="IH90" i="1"/>
  <c r="II90" i="1"/>
  <c r="IJ90" i="1"/>
  <c r="IK90" i="1"/>
  <c r="IL90" i="1"/>
  <c r="IM90" i="1"/>
  <c r="IN90" i="1"/>
  <c r="IO90" i="1"/>
  <c r="IP90" i="1"/>
  <c r="IQ90" i="1"/>
  <c r="IR90" i="1"/>
  <c r="IS90" i="1"/>
  <c r="IT90" i="1"/>
  <c r="IU90" i="1"/>
  <c r="IV90" i="1"/>
  <c r="IW90" i="1"/>
  <c r="IX90" i="1"/>
  <c r="IY90" i="1"/>
  <c r="IZ90" i="1"/>
  <c r="JA90" i="1"/>
  <c r="JB90" i="1"/>
  <c r="JC90" i="1"/>
  <c r="JD90" i="1"/>
  <c r="JE90" i="1"/>
  <c r="JF90" i="1"/>
  <c r="JG90" i="1"/>
  <c r="JH90" i="1"/>
  <c r="JI90" i="1"/>
  <c r="JJ90" i="1"/>
  <c r="JK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EW91" i="1"/>
  <c r="EX91" i="1"/>
  <c r="EY91" i="1"/>
  <c r="EZ91" i="1"/>
  <c r="FA91" i="1"/>
  <c r="FB91" i="1"/>
  <c r="FC91" i="1"/>
  <c r="FD91" i="1"/>
  <c r="FE91" i="1"/>
  <c r="FF91" i="1"/>
  <c r="FG91" i="1"/>
  <c r="FH91" i="1"/>
  <c r="FI91" i="1"/>
  <c r="FJ91" i="1"/>
  <c r="FK91" i="1"/>
  <c r="FL91" i="1"/>
  <c r="FM91" i="1"/>
  <c r="FN91" i="1"/>
  <c r="FO91" i="1"/>
  <c r="FP91" i="1"/>
  <c r="FQ91" i="1"/>
  <c r="FR91" i="1"/>
  <c r="FS91" i="1"/>
  <c r="FT91" i="1"/>
  <c r="FU91" i="1"/>
  <c r="FV91" i="1"/>
  <c r="FW91" i="1"/>
  <c r="FX91" i="1"/>
  <c r="FY91" i="1"/>
  <c r="FZ91" i="1"/>
  <c r="GA91" i="1"/>
  <c r="GB91" i="1"/>
  <c r="GC91" i="1"/>
  <c r="GD91" i="1"/>
  <c r="GE91" i="1"/>
  <c r="GF91" i="1"/>
  <c r="GG91" i="1"/>
  <c r="GH91" i="1"/>
  <c r="GI91" i="1"/>
  <c r="GJ91" i="1"/>
  <c r="GK91" i="1"/>
  <c r="GL91" i="1"/>
  <c r="GM91" i="1"/>
  <c r="GN91" i="1"/>
  <c r="GO91" i="1"/>
  <c r="GP91" i="1"/>
  <c r="GQ91" i="1"/>
  <c r="GR91" i="1"/>
  <c r="GS91" i="1"/>
  <c r="GT91" i="1"/>
  <c r="GU91" i="1"/>
  <c r="GV91" i="1"/>
  <c r="GW91" i="1"/>
  <c r="GX91" i="1"/>
  <c r="GY91" i="1"/>
  <c r="GZ91" i="1"/>
  <c r="HA91" i="1"/>
  <c r="HB91" i="1"/>
  <c r="HC91" i="1"/>
  <c r="HD91" i="1"/>
  <c r="HE91" i="1"/>
  <c r="HF91" i="1"/>
  <c r="HG91" i="1"/>
  <c r="HH91" i="1"/>
  <c r="HI91" i="1"/>
  <c r="HJ91" i="1"/>
  <c r="HK91" i="1"/>
  <c r="HL91" i="1"/>
  <c r="HM91" i="1"/>
  <c r="HN91" i="1"/>
  <c r="HO91" i="1"/>
  <c r="HP91" i="1"/>
  <c r="HQ91" i="1"/>
  <c r="HR91" i="1"/>
  <c r="HS91" i="1"/>
  <c r="HT91" i="1"/>
  <c r="HU91" i="1"/>
  <c r="HV91" i="1"/>
  <c r="HW91" i="1"/>
  <c r="HX91" i="1"/>
  <c r="HY91" i="1"/>
  <c r="HZ91" i="1"/>
  <c r="IA91" i="1"/>
  <c r="IB91" i="1"/>
  <c r="IC91" i="1"/>
  <c r="ID91" i="1"/>
  <c r="IE91" i="1"/>
  <c r="IF91" i="1"/>
  <c r="IG91" i="1"/>
  <c r="IH91" i="1"/>
  <c r="II91" i="1"/>
  <c r="IJ91" i="1"/>
  <c r="IK91" i="1"/>
  <c r="IL91" i="1"/>
  <c r="IM91" i="1"/>
  <c r="IN91" i="1"/>
  <c r="IO91" i="1"/>
  <c r="IP91" i="1"/>
  <c r="IQ91" i="1"/>
  <c r="IR91" i="1"/>
  <c r="IS91" i="1"/>
  <c r="IT91" i="1"/>
  <c r="IU91" i="1"/>
  <c r="IV91" i="1"/>
  <c r="IW91" i="1"/>
  <c r="IX91" i="1"/>
  <c r="IY91" i="1"/>
  <c r="IZ91" i="1"/>
  <c r="JA91" i="1"/>
  <c r="JB91" i="1"/>
  <c r="JC91" i="1"/>
  <c r="JD91" i="1"/>
  <c r="JE91" i="1"/>
  <c r="JF91" i="1"/>
  <c r="JG91" i="1"/>
  <c r="JH91" i="1"/>
  <c r="JI91" i="1"/>
  <c r="JJ91" i="1"/>
  <c r="JK91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EW93" i="1"/>
  <c r="EX93" i="1"/>
  <c r="EY93" i="1"/>
  <c r="EZ93" i="1"/>
  <c r="FA93" i="1"/>
  <c r="FB93" i="1"/>
  <c r="FC93" i="1"/>
  <c r="FD93" i="1"/>
  <c r="FE93" i="1"/>
  <c r="FF93" i="1"/>
  <c r="FG93" i="1"/>
  <c r="FH93" i="1"/>
  <c r="FI93" i="1"/>
  <c r="FJ93" i="1"/>
  <c r="FK93" i="1"/>
  <c r="FL93" i="1"/>
  <c r="FM93" i="1"/>
  <c r="FN93" i="1"/>
  <c r="FO93" i="1"/>
  <c r="FP93" i="1"/>
  <c r="FQ93" i="1"/>
  <c r="FR93" i="1"/>
  <c r="FS93" i="1"/>
  <c r="FT93" i="1"/>
  <c r="FU93" i="1"/>
  <c r="FV93" i="1"/>
  <c r="FW93" i="1"/>
  <c r="FX93" i="1"/>
  <c r="FY93" i="1"/>
  <c r="FZ93" i="1"/>
  <c r="GA93" i="1"/>
  <c r="GB93" i="1"/>
  <c r="GC93" i="1"/>
  <c r="GD93" i="1"/>
  <c r="GE93" i="1"/>
  <c r="GF93" i="1"/>
  <c r="GG93" i="1"/>
  <c r="GH93" i="1"/>
  <c r="GI93" i="1"/>
  <c r="GJ93" i="1"/>
  <c r="GK93" i="1"/>
  <c r="GL93" i="1"/>
  <c r="GM93" i="1"/>
  <c r="GN93" i="1"/>
  <c r="GO93" i="1"/>
  <c r="GP93" i="1"/>
  <c r="GQ93" i="1"/>
  <c r="GR93" i="1"/>
  <c r="GS93" i="1"/>
  <c r="GT93" i="1"/>
  <c r="GU93" i="1"/>
  <c r="GV93" i="1"/>
  <c r="GW93" i="1"/>
  <c r="GX93" i="1"/>
  <c r="GY93" i="1"/>
  <c r="GZ93" i="1"/>
  <c r="HA93" i="1"/>
  <c r="HB93" i="1"/>
  <c r="HC93" i="1"/>
  <c r="HD93" i="1"/>
  <c r="HE93" i="1"/>
  <c r="HF93" i="1"/>
  <c r="HG93" i="1"/>
  <c r="HH93" i="1"/>
  <c r="HI93" i="1"/>
  <c r="HJ93" i="1"/>
  <c r="HK93" i="1"/>
  <c r="HL93" i="1"/>
  <c r="HM93" i="1"/>
  <c r="HN93" i="1"/>
  <c r="HO93" i="1"/>
  <c r="HP93" i="1"/>
  <c r="HQ93" i="1"/>
  <c r="HR93" i="1"/>
  <c r="HS93" i="1"/>
  <c r="HT93" i="1"/>
  <c r="HU93" i="1"/>
  <c r="HV93" i="1"/>
  <c r="HW93" i="1"/>
  <c r="HX93" i="1"/>
  <c r="HY93" i="1"/>
  <c r="HZ93" i="1"/>
  <c r="IA93" i="1"/>
  <c r="IB93" i="1"/>
  <c r="IC93" i="1"/>
  <c r="ID93" i="1"/>
  <c r="IE93" i="1"/>
  <c r="IF93" i="1"/>
  <c r="IG93" i="1"/>
  <c r="IH93" i="1"/>
  <c r="II93" i="1"/>
  <c r="IJ93" i="1"/>
  <c r="IK93" i="1"/>
  <c r="IL93" i="1"/>
  <c r="IM93" i="1"/>
  <c r="IN93" i="1"/>
  <c r="IO93" i="1"/>
  <c r="IP93" i="1"/>
  <c r="IQ93" i="1"/>
  <c r="IR93" i="1"/>
  <c r="IS93" i="1"/>
  <c r="IT93" i="1"/>
  <c r="IU93" i="1"/>
  <c r="IV93" i="1"/>
  <c r="IW93" i="1"/>
  <c r="IX93" i="1"/>
  <c r="IY93" i="1"/>
  <c r="IZ93" i="1"/>
  <c r="JA93" i="1"/>
  <c r="JB93" i="1"/>
  <c r="JC93" i="1"/>
  <c r="JD93" i="1"/>
  <c r="JE93" i="1"/>
  <c r="JF93" i="1"/>
  <c r="JG93" i="1"/>
  <c r="JH93" i="1"/>
  <c r="JI93" i="1"/>
  <c r="JJ93" i="1"/>
  <c r="JK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EW94" i="1"/>
  <c r="EX94" i="1"/>
  <c r="EY94" i="1"/>
  <c r="EZ94" i="1"/>
  <c r="FA94" i="1"/>
  <c r="FB94" i="1"/>
  <c r="FC94" i="1"/>
  <c r="FD94" i="1"/>
  <c r="FE94" i="1"/>
  <c r="FF94" i="1"/>
  <c r="FG94" i="1"/>
  <c r="FH94" i="1"/>
  <c r="FI94" i="1"/>
  <c r="FJ94" i="1"/>
  <c r="FK94" i="1"/>
  <c r="FL94" i="1"/>
  <c r="FM94" i="1"/>
  <c r="FN94" i="1"/>
  <c r="FO94" i="1"/>
  <c r="FP94" i="1"/>
  <c r="FQ94" i="1"/>
  <c r="FR94" i="1"/>
  <c r="FS94" i="1"/>
  <c r="FT94" i="1"/>
  <c r="FU94" i="1"/>
  <c r="FV94" i="1"/>
  <c r="FW94" i="1"/>
  <c r="FX94" i="1"/>
  <c r="FY94" i="1"/>
  <c r="FZ94" i="1"/>
  <c r="GA94" i="1"/>
  <c r="GB94" i="1"/>
  <c r="GC94" i="1"/>
  <c r="GD94" i="1"/>
  <c r="GE94" i="1"/>
  <c r="GF94" i="1"/>
  <c r="GG94" i="1"/>
  <c r="GH94" i="1"/>
  <c r="GI94" i="1"/>
  <c r="GJ94" i="1"/>
  <c r="GK94" i="1"/>
  <c r="GL94" i="1"/>
  <c r="GM94" i="1"/>
  <c r="GN94" i="1"/>
  <c r="GO94" i="1"/>
  <c r="GP94" i="1"/>
  <c r="GQ94" i="1"/>
  <c r="GR94" i="1"/>
  <c r="GS94" i="1"/>
  <c r="GT94" i="1"/>
  <c r="GU94" i="1"/>
  <c r="GV94" i="1"/>
  <c r="GW94" i="1"/>
  <c r="GX94" i="1"/>
  <c r="GY94" i="1"/>
  <c r="GZ94" i="1"/>
  <c r="HA94" i="1"/>
  <c r="HB94" i="1"/>
  <c r="HC94" i="1"/>
  <c r="HD94" i="1"/>
  <c r="HE94" i="1"/>
  <c r="HF94" i="1"/>
  <c r="HG94" i="1"/>
  <c r="HH94" i="1"/>
  <c r="HI94" i="1"/>
  <c r="HJ94" i="1"/>
  <c r="HK94" i="1"/>
  <c r="HL94" i="1"/>
  <c r="HM94" i="1"/>
  <c r="HN94" i="1"/>
  <c r="HO94" i="1"/>
  <c r="HP94" i="1"/>
  <c r="HQ94" i="1"/>
  <c r="HR94" i="1"/>
  <c r="HS94" i="1"/>
  <c r="HT94" i="1"/>
  <c r="HU94" i="1"/>
  <c r="HV94" i="1"/>
  <c r="HW94" i="1"/>
  <c r="HX94" i="1"/>
  <c r="HY94" i="1"/>
  <c r="HZ94" i="1"/>
  <c r="IA94" i="1"/>
  <c r="IB94" i="1"/>
  <c r="IC94" i="1"/>
  <c r="ID94" i="1"/>
  <c r="IE94" i="1"/>
  <c r="IF94" i="1"/>
  <c r="IG94" i="1"/>
  <c r="IH94" i="1"/>
  <c r="II94" i="1"/>
  <c r="IJ94" i="1"/>
  <c r="IK94" i="1"/>
  <c r="IL94" i="1"/>
  <c r="IM94" i="1"/>
  <c r="IN94" i="1"/>
  <c r="IO94" i="1"/>
  <c r="IP94" i="1"/>
  <c r="IQ94" i="1"/>
  <c r="IR94" i="1"/>
  <c r="IS94" i="1"/>
  <c r="IT94" i="1"/>
  <c r="IU94" i="1"/>
  <c r="IV94" i="1"/>
  <c r="IW94" i="1"/>
  <c r="IX94" i="1"/>
  <c r="IY94" i="1"/>
  <c r="IZ94" i="1"/>
  <c r="JA94" i="1"/>
  <c r="JB94" i="1"/>
  <c r="JC94" i="1"/>
  <c r="JD94" i="1"/>
  <c r="JE94" i="1"/>
  <c r="JF94" i="1"/>
  <c r="JG94" i="1"/>
  <c r="JH94" i="1"/>
  <c r="JI94" i="1"/>
  <c r="JJ94" i="1"/>
  <c r="JK94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EW96" i="1"/>
  <c r="EX96" i="1"/>
  <c r="EY96" i="1"/>
  <c r="EZ96" i="1"/>
  <c r="FA96" i="1"/>
  <c r="FB96" i="1"/>
  <c r="FC96" i="1"/>
  <c r="FD96" i="1"/>
  <c r="FE96" i="1"/>
  <c r="FF96" i="1"/>
  <c r="FG96" i="1"/>
  <c r="FH96" i="1"/>
  <c r="FI96" i="1"/>
  <c r="FJ96" i="1"/>
  <c r="FK96" i="1"/>
  <c r="FL96" i="1"/>
  <c r="FM96" i="1"/>
  <c r="FN96" i="1"/>
  <c r="FO96" i="1"/>
  <c r="FP96" i="1"/>
  <c r="FQ96" i="1"/>
  <c r="FR96" i="1"/>
  <c r="FS96" i="1"/>
  <c r="FT96" i="1"/>
  <c r="FU96" i="1"/>
  <c r="FV96" i="1"/>
  <c r="FW96" i="1"/>
  <c r="FX96" i="1"/>
  <c r="FY96" i="1"/>
  <c r="FZ96" i="1"/>
  <c r="GA96" i="1"/>
  <c r="GB96" i="1"/>
  <c r="GC96" i="1"/>
  <c r="GD96" i="1"/>
  <c r="GE96" i="1"/>
  <c r="GF96" i="1"/>
  <c r="GG96" i="1"/>
  <c r="GH96" i="1"/>
  <c r="GI96" i="1"/>
  <c r="GJ96" i="1"/>
  <c r="GK96" i="1"/>
  <c r="GL96" i="1"/>
  <c r="GM96" i="1"/>
  <c r="GN96" i="1"/>
  <c r="GO96" i="1"/>
  <c r="GP96" i="1"/>
  <c r="GQ96" i="1"/>
  <c r="GR96" i="1"/>
  <c r="GS96" i="1"/>
  <c r="GT96" i="1"/>
  <c r="GU96" i="1"/>
  <c r="GV96" i="1"/>
  <c r="GW96" i="1"/>
  <c r="GX96" i="1"/>
  <c r="GY96" i="1"/>
  <c r="GZ96" i="1"/>
  <c r="HA96" i="1"/>
  <c r="HB96" i="1"/>
  <c r="HC96" i="1"/>
  <c r="HD96" i="1"/>
  <c r="HE96" i="1"/>
  <c r="HF96" i="1"/>
  <c r="HG96" i="1"/>
  <c r="HH96" i="1"/>
  <c r="HI96" i="1"/>
  <c r="HJ96" i="1"/>
  <c r="HK96" i="1"/>
  <c r="HL96" i="1"/>
  <c r="HM96" i="1"/>
  <c r="HN96" i="1"/>
  <c r="HO96" i="1"/>
  <c r="HP96" i="1"/>
  <c r="HQ96" i="1"/>
  <c r="HR96" i="1"/>
  <c r="HS96" i="1"/>
  <c r="HT96" i="1"/>
  <c r="HU96" i="1"/>
  <c r="HV96" i="1"/>
  <c r="HW96" i="1"/>
  <c r="HX96" i="1"/>
  <c r="HY96" i="1"/>
  <c r="HZ96" i="1"/>
  <c r="IA96" i="1"/>
  <c r="IB96" i="1"/>
  <c r="IC96" i="1"/>
  <c r="ID96" i="1"/>
  <c r="IE96" i="1"/>
  <c r="IF96" i="1"/>
  <c r="IG96" i="1"/>
  <c r="IH96" i="1"/>
  <c r="II96" i="1"/>
  <c r="IJ96" i="1"/>
  <c r="IK96" i="1"/>
  <c r="IL96" i="1"/>
  <c r="IM96" i="1"/>
  <c r="IN96" i="1"/>
  <c r="IO96" i="1"/>
  <c r="IP96" i="1"/>
  <c r="IQ96" i="1"/>
  <c r="IR96" i="1"/>
  <c r="IS96" i="1"/>
  <c r="IT96" i="1"/>
  <c r="IU96" i="1"/>
  <c r="IV96" i="1"/>
  <c r="IW96" i="1"/>
  <c r="IX96" i="1"/>
  <c r="IY96" i="1"/>
  <c r="IZ96" i="1"/>
  <c r="JA96" i="1"/>
  <c r="JB96" i="1"/>
  <c r="JC96" i="1"/>
  <c r="JD96" i="1"/>
  <c r="JE96" i="1"/>
  <c r="JF96" i="1"/>
  <c r="JG96" i="1"/>
  <c r="JH96" i="1"/>
  <c r="JI96" i="1"/>
  <c r="JJ96" i="1"/>
  <c r="JK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EW97" i="1"/>
  <c r="EX97" i="1"/>
  <c r="EY97" i="1"/>
  <c r="EZ97" i="1"/>
  <c r="FA97" i="1"/>
  <c r="FB97" i="1"/>
  <c r="FC97" i="1"/>
  <c r="FD97" i="1"/>
  <c r="FE97" i="1"/>
  <c r="FF97" i="1"/>
  <c r="FG97" i="1"/>
  <c r="FH97" i="1"/>
  <c r="FI97" i="1"/>
  <c r="FJ97" i="1"/>
  <c r="FK97" i="1"/>
  <c r="FL97" i="1"/>
  <c r="FM97" i="1"/>
  <c r="FN97" i="1"/>
  <c r="FO97" i="1"/>
  <c r="FP97" i="1"/>
  <c r="FQ97" i="1"/>
  <c r="FR97" i="1"/>
  <c r="FS97" i="1"/>
  <c r="FT97" i="1"/>
  <c r="FU97" i="1"/>
  <c r="FV97" i="1"/>
  <c r="FW97" i="1"/>
  <c r="FX97" i="1"/>
  <c r="FY97" i="1"/>
  <c r="FZ97" i="1"/>
  <c r="GA97" i="1"/>
  <c r="GB97" i="1"/>
  <c r="GC97" i="1"/>
  <c r="GD97" i="1"/>
  <c r="GE97" i="1"/>
  <c r="GF97" i="1"/>
  <c r="GG97" i="1"/>
  <c r="GH97" i="1"/>
  <c r="GI97" i="1"/>
  <c r="GJ97" i="1"/>
  <c r="GK97" i="1"/>
  <c r="GL97" i="1"/>
  <c r="GM97" i="1"/>
  <c r="GN97" i="1"/>
  <c r="GO97" i="1"/>
  <c r="GP97" i="1"/>
  <c r="GQ97" i="1"/>
  <c r="GR97" i="1"/>
  <c r="GS97" i="1"/>
  <c r="GT97" i="1"/>
  <c r="GU97" i="1"/>
  <c r="GV97" i="1"/>
  <c r="GW97" i="1"/>
  <c r="GX97" i="1"/>
  <c r="GY97" i="1"/>
  <c r="GZ97" i="1"/>
  <c r="HA97" i="1"/>
  <c r="HB97" i="1"/>
  <c r="HC97" i="1"/>
  <c r="HD97" i="1"/>
  <c r="HE97" i="1"/>
  <c r="HF97" i="1"/>
  <c r="HG97" i="1"/>
  <c r="HH97" i="1"/>
  <c r="HI97" i="1"/>
  <c r="HJ97" i="1"/>
  <c r="HK97" i="1"/>
  <c r="HL97" i="1"/>
  <c r="HM97" i="1"/>
  <c r="HN97" i="1"/>
  <c r="HO97" i="1"/>
  <c r="HP97" i="1"/>
  <c r="HQ97" i="1"/>
  <c r="HR97" i="1"/>
  <c r="HS97" i="1"/>
  <c r="HT97" i="1"/>
  <c r="HU97" i="1"/>
  <c r="HV97" i="1"/>
  <c r="HW97" i="1"/>
  <c r="HX97" i="1"/>
  <c r="HY97" i="1"/>
  <c r="HZ97" i="1"/>
  <c r="IA97" i="1"/>
  <c r="IB97" i="1"/>
  <c r="IC97" i="1"/>
  <c r="ID97" i="1"/>
  <c r="IE97" i="1"/>
  <c r="IF97" i="1"/>
  <c r="IG97" i="1"/>
  <c r="IH97" i="1"/>
  <c r="II97" i="1"/>
  <c r="IJ97" i="1"/>
  <c r="IK97" i="1"/>
  <c r="IL97" i="1"/>
  <c r="IM97" i="1"/>
  <c r="IN97" i="1"/>
  <c r="IO97" i="1"/>
  <c r="IP97" i="1"/>
  <c r="IQ97" i="1"/>
  <c r="IR97" i="1"/>
  <c r="IS97" i="1"/>
  <c r="IT97" i="1"/>
  <c r="IU97" i="1"/>
  <c r="IV97" i="1"/>
  <c r="IW97" i="1"/>
  <c r="IX97" i="1"/>
  <c r="IY97" i="1"/>
  <c r="IZ97" i="1"/>
  <c r="JA97" i="1"/>
  <c r="JB97" i="1"/>
  <c r="JC97" i="1"/>
  <c r="JD97" i="1"/>
  <c r="JE97" i="1"/>
  <c r="JF97" i="1"/>
  <c r="JG97" i="1"/>
  <c r="JH97" i="1"/>
  <c r="JI97" i="1"/>
  <c r="JJ97" i="1"/>
  <c r="JK97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EW99" i="1"/>
  <c r="EX99" i="1"/>
  <c r="EY99" i="1"/>
  <c r="EZ99" i="1"/>
  <c r="FA99" i="1"/>
  <c r="FB99" i="1"/>
  <c r="FC99" i="1"/>
  <c r="FD99" i="1"/>
  <c r="FE99" i="1"/>
  <c r="FF99" i="1"/>
  <c r="FG99" i="1"/>
  <c r="FH99" i="1"/>
  <c r="FI99" i="1"/>
  <c r="FJ99" i="1"/>
  <c r="FK99" i="1"/>
  <c r="FL99" i="1"/>
  <c r="FM99" i="1"/>
  <c r="FN99" i="1"/>
  <c r="FO99" i="1"/>
  <c r="FP99" i="1"/>
  <c r="FQ99" i="1"/>
  <c r="FR99" i="1"/>
  <c r="FS99" i="1"/>
  <c r="FT99" i="1"/>
  <c r="FU99" i="1"/>
  <c r="FV99" i="1"/>
  <c r="FW99" i="1"/>
  <c r="FX99" i="1"/>
  <c r="FY99" i="1"/>
  <c r="FZ99" i="1"/>
  <c r="GA99" i="1"/>
  <c r="GB99" i="1"/>
  <c r="GC99" i="1"/>
  <c r="GD99" i="1"/>
  <c r="GE99" i="1"/>
  <c r="GF99" i="1"/>
  <c r="GG99" i="1"/>
  <c r="GH99" i="1"/>
  <c r="GI99" i="1"/>
  <c r="GJ99" i="1"/>
  <c r="GK99" i="1"/>
  <c r="GL99" i="1"/>
  <c r="GM99" i="1"/>
  <c r="GN99" i="1"/>
  <c r="GO99" i="1"/>
  <c r="GP99" i="1"/>
  <c r="GQ99" i="1"/>
  <c r="GR99" i="1"/>
  <c r="GS99" i="1"/>
  <c r="GT99" i="1"/>
  <c r="GU99" i="1"/>
  <c r="GV99" i="1"/>
  <c r="GW99" i="1"/>
  <c r="GX99" i="1"/>
  <c r="GY99" i="1"/>
  <c r="GZ99" i="1"/>
  <c r="HA99" i="1"/>
  <c r="HB99" i="1"/>
  <c r="HC99" i="1"/>
  <c r="HD99" i="1"/>
  <c r="HE99" i="1"/>
  <c r="HF99" i="1"/>
  <c r="HG99" i="1"/>
  <c r="HH99" i="1"/>
  <c r="HI99" i="1"/>
  <c r="HJ99" i="1"/>
  <c r="HK99" i="1"/>
  <c r="HL99" i="1"/>
  <c r="HM99" i="1"/>
  <c r="HN99" i="1"/>
  <c r="HO99" i="1"/>
  <c r="HP99" i="1"/>
  <c r="HQ99" i="1"/>
  <c r="HR99" i="1"/>
  <c r="HS99" i="1"/>
  <c r="HT99" i="1"/>
  <c r="HU99" i="1"/>
  <c r="HV99" i="1"/>
  <c r="HW99" i="1"/>
  <c r="HX99" i="1"/>
  <c r="HY99" i="1"/>
  <c r="HZ99" i="1"/>
  <c r="IA99" i="1"/>
  <c r="IB99" i="1"/>
  <c r="IC99" i="1"/>
  <c r="ID99" i="1"/>
  <c r="IE99" i="1"/>
  <c r="IF99" i="1"/>
  <c r="IG99" i="1"/>
  <c r="IH99" i="1"/>
  <c r="II99" i="1"/>
  <c r="IJ99" i="1"/>
  <c r="IK99" i="1"/>
  <c r="IL99" i="1"/>
  <c r="IM99" i="1"/>
  <c r="IN99" i="1"/>
  <c r="IO99" i="1"/>
  <c r="IP99" i="1"/>
  <c r="IQ99" i="1"/>
  <c r="IR99" i="1"/>
  <c r="IS99" i="1"/>
  <c r="IT99" i="1"/>
  <c r="IU99" i="1"/>
  <c r="IV99" i="1"/>
  <c r="IW99" i="1"/>
  <c r="IX99" i="1"/>
  <c r="IY99" i="1"/>
  <c r="IZ99" i="1"/>
  <c r="JA99" i="1"/>
  <c r="JB99" i="1"/>
  <c r="JC99" i="1"/>
  <c r="JD99" i="1"/>
  <c r="JE99" i="1"/>
  <c r="JF99" i="1"/>
  <c r="JG99" i="1"/>
  <c r="JH99" i="1"/>
  <c r="JI99" i="1"/>
  <c r="JJ99" i="1"/>
  <c r="JK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EW100" i="1"/>
  <c r="EX100" i="1"/>
  <c r="EY100" i="1"/>
  <c r="EZ100" i="1"/>
  <c r="FA100" i="1"/>
  <c r="FB100" i="1"/>
  <c r="FC100" i="1"/>
  <c r="FD100" i="1"/>
  <c r="FE100" i="1"/>
  <c r="FF100" i="1"/>
  <c r="FG100" i="1"/>
  <c r="FH100" i="1"/>
  <c r="FI100" i="1"/>
  <c r="FJ100" i="1"/>
  <c r="FK100" i="1"/>
  <c r="FL100" i="1"/>
  <c r="FM100" i="1"/>
  <c r="FN100" i="1"/>
  <c r="FO100" i="1"/>
  <c r="FP100" i="1"/>
  <c r="FQ100" i="1"/>
  <c r="FR100" i="1"/>
  <c r="FS100" i="1"/>
  <c r="FT100" i="1"/>
  <c r="FU100" i="1"/>
  <c r="FV100" i="1"/>
  <c r="FW100" i="1"/>
  <c r="FX100" i="1"/>
  <c r="FY100" i="1"/>
  <c r="FZ100" i="1"/>
  <c r="GA100" i="1"/>
  <c r="GB100" i="1"/>
  <c r="GC100" i="1"/>
  <c r="GD100" i="1"/>
  <c r="GE100" i="1"/>
  <c r="GF100" i="1"/>
  <c r="GG100" i="1"/>
  <c r="GH100" i="1"/>
  <c r="GI100" i="1"/>
  <c r="GJ100" i="1"/>
  <c r="GK100" i="1"/>
  <c r="GL100" i="1"/>
  <c r="GM100" i="1"/>
  <c r="GN100" i="1"/>
  <c r="GO100" i="1"/>
  <c r="GP100" i="1"/>
  <c r="GQ100" i="1"/>
  <c r="GR100" i="1"/>
  <c r="GS100" i="1"/>
  <c r="GT100" i="1"/>
  <c r="GU100" i="1"/>
  <c r="GV100" i="1"/>
  <c r="GW100" i="1"/>
  <c r="GX100" i="1"/>
  <c r="GY100" i="1"/>
  <c r="GZ100" i="1"/>
  <c r="HA100" i="1"/>
  <c r="HB100" i="1"/>
  <c r="HC100" i="1"/>
  <c r="HD100" i="1"/>
  <c r="HE100" i="1"/>
  <c r="HF100" i="1"/>
  <c r="HG100" i="1"/>
  <c r="HH100" i="1"/>
  <c r="HI100" i="1"/>
  <c r="HJ100" i="1"/>
  <c r="HK100" i="1"/>
  <c r="HL100" i="1"/>
  <c r="HM100" i="1"/>
  <c r="HN100" i="1"/>
  <c r="HO100" i="1"/>
  <c r="HP100" i="1"/>
  <c r="HQ100" i="1"/>
  <c r="HR100" i="1"/>
  <c r="HS100" i="1"/>
  <c r="HT100" i="1"/>
  <c r="HU100" i="1"/>
  <c r="HV100" i="1"/>
  <c r="HW100" i="1"/>
  <c r="HX100" i="1"/>
  <c r="HY100" i="1"/>
  <c r="HZ100" i="1"/>
  <c r="IA100" i="1"/>
  <c r="IB100" i="1"/>
  <c r="IC100" i="1"/>
  <c r="ID100" i="1"/>
  <c r="IE100" i="1"/>
  <c r="IF100" i="1"/>
  <c r="IG100" i="1"/>
  <c r="IH100" i="1"/>
  <c r="II100" i="1"/>
  <c r="IJ100" i="1"/>
  <c r="IK100" i="1"/>
  <c r="IL100" i="1"/>
  <c r="IM100" i="1"/>
  <c r="IN100" i="1"/>
  <c r="IO100" i="1"/>
  <c r="IP100" i="1"/>
  <c r="IQ100" i="1"/>
  <c r="IR100" i="1"/>
  <c r="IS100" i="1"/>
  <c r="IT100" i="1"/>
  <c r="IU100" i="1"/>
  <c r="IV100" i="1"/>
  <c r="IW100" i="1"/>
  <c r="IX100" i="1"/>
  <c r="IY100" i="1"/>
  <c r="IZ100" i="1"/>
  <c r="JA100" i="1"/>
  <c r="JB100" i="1"/>
  <c r="JC100" i="1"/>
  <c r="JD100" i="1"/>
  <c r="JE100" i="1"/>
  <c r="JF100" i="1"/>
  <c r="JG100" i="1"/>
  <c r="JH100" i="1"/>
  <c r="JI100" i="1"/>
  <c r="JJ100" i="1"/>
  <c r="JK100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EW102" i="1"/>
  <c r="EX102" i="1"/>
  <c r="EY102" i="1"/>
  <c r="EZ102" i="1"/>
  <c r="FA102" i="1"/>
  <c r="FB102" i="1"/>
  <c r="FC102" i="1"/>
  <c r="FD102" i="1"/>
  <c r="FE102" i="1"/>
  <c r="FF102" i="1"/>
  <c r="FG102" i="1"/>
  <c r="FH102" i="1"/>
  <c r="FI102" i="1"/>
  <c r="FJ102" i="1"/>
  <c r="FK102" i="1"/>
  <c r="FL102" i="1"/>
  <c r="FM102" i="1"/>
  <c r="FN102" i="1"/>
  <c r="FO102" i="1"/>
  <c r="FP102" i="1"/>
  <c r="FQ102" i="1"/>
  <c r="FR102" i="1"/>
  <c r="FS102" i="1"/>
  <c r="FT102" i="1"/>
  <c r="FU102" i="1"/>
  <c r="FV102" i="1"/>
  <c r="FW102" i="1"/>
  <c r="FX102" i="1"/>
  <c r="FY102" i="1"/>
  <c r="FZ102" i="1"/>
  <c r="GA102" i="1"/>
  <c r="GB102" i="1"/>
  <c r="GC102" i="1"/>
  <c r="GD102" i="1"/>
  <c r="GE102" i="1"/>
  <c r="GF102" i="1"/>
  <c r="GG102" i="1"/>
  <c r="GH102" i="1"/>
  <c r="GI102" i="1"/>
  <c r="GJ102" i="1"/>
  <c r="GK102" i="1"/>
  <c r="GL102" i="1"/>
  <c r="GM102" i="1"/>
  <c r="GN102" i="1"/>
  <c r="GO102" i="1"/>
  <c r="GP102" i="1"/>
  <c r="GQ102" i="1"/>
  <c r="GR102" i="1"/>
  <c r="GS102" i="1"/>
  <c r="GT102" i="1"/>
  <c r="GU102" i="1"/>
  <c r="GV102" i="1"/>
  <c r="GW102" i="1"/>
  <c r="GX102" i="1"/>
  <c r="GY102" i="1"/>
  <c r="GZ102" i="1"/>
  <c r="HA102" i="1"/>
  <c r="HB102" i="1"/>
  <c r="HC102" i="1"/>
  <c r="HD102" i="1"/>
  <c r="HE102" i="1"/>
  <c r="HF102" i="1"/>
  <c r="HG102" i="1"/>
  <c r="HH102" i="1"/>
  <c r="HI102" i="1"/>
  <c r="HJ102" i="1"/>
  <c r="HK102" i="1"/>
  <c r="HL102" i="1"/>
  <c r="HM102" i="1"/>
  <c r="HN102" i="1"/>
  <c r="HO102" i="1"/>
  <c r="HP102" i="1"/>
  <c r="HQ102" i="1"/>
  <c r="HR102" i="1"/>
  <c r="HS102" i="1"/>
  <c r="HT102" i="1"/>
  <c r="HU102" i="1"/>
  <c r="HV102" i="1"/>
  <c r="HW102" i="1"/>
  <c r="HX102" i="1"/>
  <c r="HY102" i="1"/>
  <c r="HZ102" i="1"/>
  <c r="IA102" i="1"/>
  <c r="IB102" i="1"/>
  <c r="IC102" i="1"/>
  <c r="ID102" i="1"/>
  <c r="IE102" i="1"/>
  <c r="IF102" i="1"/>
  <c r="IG102" i="1"/>
  <c r="IH102" i="1"/>
  <c r="II102" i="1"/>
  <c r="IJ102" i="1"/>
  <c r="IK102" i="1"/>
  <c r="IL102" i="1"/>
  <c r="IM102" i="1"/>
  <c r="IN102" i="1"/>
  <c r="IO102" i="1"/>
  <c r="IP102" i="1"/>
  <c r="IQ102" i="1"/>
  <c r="IR102" i="1"/>
  <c r="IS102" i="1"/>
  <c r="IT102" i="1"/>
  <c r="IU102" i="1"/>
  <c r="IV102" i="1"/>
  <c r="IW102" i="1"/>
  <c r="IX102" i="1"/>
  <c r="IY102" i="1"/>
  <c r="IZ102" i="1"/>
  <c r="JA102" i="1"/>
  <c r="JB102" i="1"/>
  <c r="JC102" i="1"/>
  <c r="JD102" i="1"/>
  <c r="JE102" i="1"/>
  <c r="JF102" i="1"/>
  <c r="JG102" i="1"/>
  <c r="JH102" i="1"/>
  <c r="JI102" i="1"/>
  <c r="JJ102" i="1"/>
  <c r="JK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EW103" i="1"/>
  <c r="EX103" i="1"/>
  <c r="EY103" i="1"/>
  <c r="EZ103" i="1"/>
  <c r="FA103" i="1"/>
  <c r="FB103" i="1"/>
  <c r="FC103" i="1"/>
  <c r="FD103" i="1"/>
  <c r="FE103" i="1"/>
  <c r="FF103" i="1"/>
  <c r="FG103" i="1"/>
  <c r="FH103" i="1"/>
  <c r="FI103" i="1"/>
  <c r="FJ103" i="1"/>
  <c r="FK103" i="1"/>
  <c r="FL103" i="1"/>
  <c r="FM103" i="1"/>
  <c r="FN103" i="1"/>
  <c r="FO103" i="1"/>
  <c r="FP103" i="1"/>
  <c r="FQ103" i="1"/>
  <c r="FR103" i="1"/>
  <c r="FS103" i="1"/>
  <c r="FT103" i="1"/>
  <c r="FU103" i="1"/>
  <c r="FV103" i="1"/>
  <c r="FW103" i="1"/>
  <c r="FX103" i="1"/>
  <c r="FY103" i="1"/>
  <c r="FZ103" i="1"/>
  <c r="GA103" i="1"/>
  <c r="GB103" i="1"/>
  <c r="GC103" i="1"/>
  <c r="GD103" i="1"/>
  <c r="GE103" i="1"/>
  <c r="GF103" i="1"/>
  <c r="GG103" i="1"/>
  <c r="GH103" i="1"/>
  <c r="GI103" i="1"/>
  <c r="GJ103" i="1"/>
  <c r="GK103" i="1"/>
  <c r="GL103" i="1"/>
  <c r="GM103" i="1"/>
  <c r="GN103" i="1"/>
  <c r="GO103" i="1"/>
  <c r="GP103" i="1"/>
  <c r="GQ103" i="1"/>
  <c r="GR103" i="1"/>
  <c r="GS103" i="1"/>
  <c r="GT103" i="1"/>
  <c r="GU103" i="1"/>
  <c r="GV103" i="1"/>
  <c r="GW103" i="1"/>
  <c r="GX103" i="1"/>
  <c r="GY103" i="1"/>
  <c r="GZ103" i="1"/>
  <c r="HA103" i="1"/>
  <c r="HB103" i="1"/>
  <c r="HC103" i="1"/>
  <c r="HD103" i="1"/>
  <c r="HE103" i="1"/>
  <c r="HF103" i="1"/>
  <c r="HG103" i="1"/>
  <c r="HH103" i="1"/>
  <c r="HI103" i="1"/>
  <c r="HJ103" i="1"/>
  <c r="HK103" i="1"/>
  <c r="HL103" i="1"/>
  <c r="HM103" i="1"/>
  <c r="HN103" i="1"/>
  <c r="HO103" i="1"/>
  <c r="HP103" i="1"/>
  <c r="HQ103" i="1"/>
  <c r="HR103" i="1"/>
  <c r="HS103" i="1"/>
  <c r="HT103" i="1"/>
  <c r="HU103" i="1"/>
  <c r="HV103" i="1"/>
  <c r="HW103" i="1"/>
  <c r="HX103" i="1"/>
  <c r="HY103" i="1"/>
  <c r="HZ103" i="1"/>
  <c r="IA103" i="1"/>
  <c r="IB103" i="1"/>
  <c r="IC103" i="1"/>
  <c r="ID103" i="1"/>
  <c r="IE103" i="1"/>
  <c r="IF103" i="1"/>
  <c r="IG103" i="1"/>
  <c r="IH103" i="1"/>
  <c r="II103" i="1"/>
  <c r="IJ103" i="1"/>
  <c r="IK103" i="1"/>
  <c r="IL103" i="1"/>
  <c r="IM103" i="1"/>
  <c r="IN103" i="1"/>
  <c r="IO103" i="1"/>
  <c r="IP103" i="1"/>
  <c r="IQ103" i="1"/>
  <c r="IR103" i="1"/>
  <c r="IS103" i="1"/>
  <c r="IT103" i="1"/>
  <c r="IU103" i="1"/>
  <c r="IV103" i="1"/>
  <c r="IW103" i="1"/>
  <c r="IX103" i="1"/>
  <c r="IY103" i="1"/>
  <c r="IZ103" i="1"/>
  <c r="JA103" i="1"/>
  <c r="JB103" i="1"/>
  <c r="JC103" i="1"/>
  <c r="JD103" i="1"/>
  <c r="JE103" i="1"/>
  <c r="JF103" i="1"/>
  <c r="JG103" i="1"/>
  <c r="JH103" i="1"/>
  <c r="JI103" i="1"/>
  <c r="JJ103" i="1"/>
  <c r="JK103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EW105" i="1"/>
  <c r="EX105" i="1"/>
  <c r="EY105" i="1"/>
  <c r="EZ105" i="1"/>
  <c r="FA105" i="1"/>
  <c r="FB105" i="1"/>
  <c r="FC105" i="1"/>
  <c r="FD105" i="1"/>
  <c r="FE105" i="1"/>
  <c r="FF105" i="1"/>
  <c r="FG105" i="1"/>
  <c r="FH105" i="1"/>
  <c r="FI105" i="1"/>
  <c r="FJ105" i="1"/>
  <c r="FK105" i="1"/>
  <c r="FL105" i="1"/>
  <c r="FM105" i="1"/>
  <c r="FN105" i="1"/>
  <c r="FO105" i="1"/>
  <c r="FP105" i="1"/>
  <c r="FQ105" i="1"/>
  <c r="FR105" i="1"/>
  <c r="FS105" i="1"/>
  <c r="FT105" i="1"/>
  <c r="FU105" i="1"/>
  <c r="FV105" i="1"/>
  <c r="FW105" i="1"/>
  <c r="FX105" i="1"/>
  <c r="FY105" i="1"/>
  <c r="FZ105" i="1"/>
  <c r="GA105" i="1"/>
  <c r="GB105" i="1"/>
  <c r="GC105" i="1"/>
  <c r="GD105" i="1"/>
  <c r="GE105" i="1"/>
  <c r="GF105" i="1"/>
  <c r="GG105" i="1"/>
  <c r="GH105" i="1"/>
  <c r="GI105" i="1"/>
  <c r="GJ105" i="1"/>
  <c r="GK105" i="1"/>
  <c r="GL105" i="1"/>
  <c r="GM105" i="1"/>
  <c r="GN105" i="1"/>
  <c r="GO105" i="1"/>
  <c r="GP105" i="1"/>
  <c r="GQ105" i="1"/>
  <c r="GR105" i="1"/>
  <c r="GS105" i="1"/>
  <c r="GT105" i="1"/>
  <c r="GU105" i="1"/>
  <c r="GV105" i="1"/>
  <c r="GW105" i="1"/>
  <c r="GX105" i="1"/>
  <c r="GY105" i="1"/>
  <c r="GZ105" i="1"/>
  <c r="HA105" i="1"/>
  <c r="HB105" i="1"/>
  <c r="HC105" i="1"/>
  <c r="HD105" i="1"/>
  <c r="HE105" i="1"/>
  <c r="HF105" i="1"/>
  <c r="HG105" i="1"/>
  <c r="HH105" i="1"/>
  <c r="HI105" i="1"/>
  <c r="HJ105" i="1"/>
  <c r="HK105" i="1"/>
  <c r="HL105" i="1"/>
  <c r="HM105" i="1"/>
  <c r="HN105" i="1"/>
  <c r="HO105" i="1"/>
  <c r="HP105" i="1"/>
  <c r="HQ105" i="1"/>
  <c r="HR105" i="1"/>
  <c r="HS105" i="1"/>
  <c r="HT105" i="1"/>
  <c r="HU105" i="1"/>
  <c r="HV105" i="1"/>
  <c r="HW105" i="1"/>
  <c r="HX105" i="1"/>
  <c r="HY105" i="1"/>
  <c r="HZ105" i="1"/>
  <c r="IA105" i="1"/>
  <c r="IB105" i="1"/>
  <c r="IC105" i="1"/>
  <c r="ID105" i="1"/>
  <c r="IE105" i="1"/>
  <c r="IF105" i="1"/>
  <c r="IG105" i="1"/>
  <c r="IH105" i="1"/>
  <c r="II105" i="1"/>
  <c r="IJ105" i="1"/>
  <c r="IK105" i="1"/>
  <c r="IL105" i="1"/>
  <c r="IM105" i="1"/>
  <c r="IN105" i="1"/>
  <c r="IO105" i="1"/>
  <c r="IP105" i="1"/>
  <c r="IQ105" i="1"/>
  <c r="IR105" i="1"/>
  <c r="IS105" i="1"/>
  <c r="IT105" i="1"/>
  <c r="IU105" i="1"/>
  <c r="IV105" i="1"/>
  <c r="IW105" i="1"/>
  <c r="IX105" i="1"/>
  <c r="IY105" i="1"/>
  <c r="IZ105" i="1"/>
  <c r="JA105" i="1"/>
  <c r="JB105" i="1"/>
  <c r="JC105" i="1"/>
  <c r="JD105" i="1"/>
  <c r="JE105" i="1"/>
  <c r="JF105" i="1"/>
  <c r="JG105" i="1"/>
  <c r="JH105" i="1"/>
  <c r="JI105" i="1"/>
  <c r="JJ105" i="1"/>
  <c r="JK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EW106" i="1"/>
  <c r="EX106" i="1"/>
  <c r="EY106" i="1"/>
  <c r="EZ106" i="1"/>
  <c r="FA106" i="1"/>
  <c r="FB106" i="1"/>
  <c r="FC106" i="1"/>
  <c r="FD106" i="1"/>
  <c r="FE106" i="1"/>
  <c r="FF106" i="1"/>
  <c r="FG106" i="1"/>
  <c r="FH106" i="1"/>
  <c r="FI106" i="1"/>
  <c r="FJ106" i="1"/>
  <c r="FK106" i="1"/>
  <c r="FL106" i="1"/>
  <c r="FM106" i="1"/>
  <c r="FN106" i="1"/>
  <c r="FO106" i="1"/>
  <c r="FP106" i="1"/>
  <c r="FQ106" i="1"/>
  <c r="FR106" i="1"/>
  <c r="FS106" i="1"/>
  <c r="FT106" i="1"/>
  <c r="FU106" i="1"/>
  <c r="FV106" i="1"/>
  <c r="FW106" i="1"/>
  <c r="FX106" i="1"/>
  <c r="FY106" i="1"/>
  <c r="FZ106" i="1"/>
  <c r="GA106" i="1"/>
  <c r="GB106" i="1"/>
  <c r="GC106" i="1"/>
  <c r="GD106" i="1"/>
  <c r="GE106" i="1"/>
  <c r="GF106" i="1"/>
  <c r="GG106" i="1"/>
  <c r="GH106" i="1"/>
  <c r="GI106" i="1"/>
  <c r="GJ106" i="1"/>
  <c r="GK106" i="1"/>
  <c r="GL106" i="1"/>
  <c r="GM106" i="1"/>
  <c r="GN106" i="1"/>
  <c r="GO106" i="1"/>
  <c r="GP106" i="1"/>
  <c r="GQ106" i="1"/>
  <c r="GR106" i="1"/>
  <c r="GS106" i="1"/>
  <c r="GT106" i="1"/>
  <c r="GU106" i="1"/>
  <c r="GV106" i="1"/>
  <c r="GW106" i="1"/>
  <c r="GX106" i="1"/>
  <c r="GY106" i="1"/>
  <c r="GZ106" i="1"/>
  <c r="HA106" i="1"/>
  <c r="HB106" i="1"/>
  <c r="HC106" i="1"/>
  <c r="HD106" i="1"/>
  <c r="HE106" i="1"/>
  <c r="HF106" i="1"/>
  <c r="HG106" i="1"/>
  <c r="HH106" i="1"/>
  <c r="HI106" i="1"/>
  <c r="HJ106" i="1"/>
  <c r="HK106" i="1"/>
  <c r="HL106" i="1"/>
  <c r="HM106" i="1"/>
  <c r="HN106" i="1"/>
  <c r="HO106" i="1"/>
  <c r="HP106" i="1"/>
  <c r="HQ106" i="1"/>
  <c r="HR106" i="1"/>
  <c r="HS106" i="1"/>
  <c r="HT106" i="1"/>
  <c r="HU106" i="1"/>
  <c r="HV106" i="1"/>
  <c r="HW106" i="1"/>
  <c r="HX106" i="1"/>
  <c r="HY106" i="1"/>
  <c r="HZ106" i="1"/>
  <c r="IA106" i="1"/>
  <c r="IB106" i="1"/>
  <c r="IC106" i="1"/>
  <c r="ID106" i="1"/>
  <c r="IE106" i="1"/>
  <c r="IF106" i="1"/>
  <c r="IG106" i="1"/>
  <c r="IH106" i="1"/>
  <c r="II106" i="1"/>
  <c r="IJ106" i="1"/>
  <c r="IK106" i="1"/>
  <c r="IL106" i="1"/>
  <c r="IM106" i="1"/>
  <c r="IN106" i="1"/>
  <c r="IO106" i="1"/>
  <c r="IP106" i="1"/>
  <c r="IQ106" i="1"/>
  <c r="IR106" i="1"/>
  <c r="IS106" i="1"/>
  <c r="IT106" i="1"/>
  <c r="IU106" i="1"/>
  <c r="IV106" i="1"/>
  <c r="IW106" i="1"/>
  <c r="IX106" i="1"/>
  <c r="IY106" i="1"/>
  <c r="IZ106" i="1"/>
  <c r="JA106" i="1"/>
  <c r="JB106" i="1"/>
  <c r="JC106" i="1"/>
  <c r="JD106" i="1"/>
  <c r="JE106" i="1"/>
  <c r="JF106" i="1"/>
  <c r="JG106" i="1"/>
  <c r="JH106" i="1"/>
  <c r="JI106" i="1"/>
  <c r="JJ106" i="1"/>
  <c r="JK106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N108" i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GJ108" i="1"/>
  <c r="GK108" i="1"/>
  <c r="GL108" i="1"/>
  <c r="GM108" i="1"/>
  <c r="GN108" i="1"/>
  <c r="GO108" i="1"/>
  <c r="GP108" i="1"/>
  <c r="GQ108" i="1"/>
  <c r="GR108" i="1"/>
  <c r="GS108" i="1"/>
  <c r="GT108" i="1"/>
  <c r="GU108" i="1"/>
  <c r="GV108" i="1"/>
  <c r="GW108" i="1"/>
  <c r="GX108" i="1"/>
  <c r="GY108" i="1"/>
  <c r="GZ108" i="1"/>
  <c r="HA108" i="1"/>
  <c r="HB108" i="1"/>
  <c r="HC108" i="1"/>
  <c r="HD108" i="1"/>
  <c r="HE108" i="1"/>
  <c r="HF108" i="1"/>
  <c r="HG108" i="1"/>
  <c r="HH108" i="1"/>
  <c r="HI108" i="1"/>
  <c r="HJ108" i="1"/>
  <c r="HK108" i="1"/>
  <c r="HL108" i="1"/>
  <c r="HM108" i="1"/>
  <c r="HN108" i="1"/>
  <c r="HO108" i="1"/>
  <c r="HP108" i="1"/>
  <c r="HQ108" i="1"/>
  <c r="HR108" i="1"/>
  <c r="HS108" i="1"/>
  <c r="HT108" i="1"/>
  <c r="HU108" i="1"/>
  <c r="HV108" i="1"/>
  <c r="HW108" i="1"/>
  <c r="HX108" i="1"/>
  <c r="HY108" i="1"/>
  <c r="HZ108" i="1"/>
  <c r="IA108" i="1"/>
  <c r="IB108" i="1"/>
  <c r="IC108" i="1"/>
  <c r="ID108" i="1"/>
  <c r="IE108" i="1"/>
  <c r="IF108" i="1"/>
  <c r="IG108" i="1"/>
  <c r="IH108" i="1"/>
  <c r="II108" i="1"/>
  <c r="IJ108" i="1"/>
  <c r="IK108" i="1"/>
  <c r="IL108" i="1"/>
  <c r="IM108" i="1"/>
  <c r="IN108" i="1"/>
  <c r="IO108" i="1"/>
  <c r="IP108" i="1"/>
  <c r="IQ108" i="1"/>
  <c r="IR108" i="1"/>
  <c r="IS108" i="1"/>
  <c r="IT108" i="1"/>
  <c r="IU108" i="1"/>
  <c r="IV108" i="1"/>
  <c r="IW108" i="1"/>
  <c r="IX108" i="1"/>
  <c r="IY108" i="1"/>
  <c r="IZ108" i="1"/>
  <c r="JA108" i="1"/>
  <c r="JB108" i="1"/>
  <c r="JC108" i="1"/>
  <c r="JD108" i="1"/>
  <c r="JE108" i="1"/>
  <c r="JF108" i="1"/>
  <c r="JG108" i="1"/>
  <c r="JH108" i="1"/>
  <c r="JI108" i="1"/>
  <c r="JJ108" i="1"/>
  <c r="JK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EW109" i="1"/>
  <c r="EX109" i="1"/>
  <c r="EY109" i="1"/>
  <c r="EZ109" i="1"/>
  <c r="FA109" i="1"/>
  <c r="FB109" i="1"/>
  <c r="FC109" i="1"/>
  <c r="FD109" i="1"/>
  <c r="FE109" i="1"/>
  <c r="FF109" i="1"/>
  <c r="FG109" i="1"/>
  <c r="FH109" i="1"/>
  <c r="FI109" i="1"/>
  <c r="FJ109" i="1"/>
  <c r="FK109" i="1"/>
  <c r="FL109" i="1"/>
  <c r="FM109" i="1"/>
  <c r="FN109" i="1"/>
  <c r="FO109" i="1"/>
  <c r="FP109" i="1"/>
  <c r="FQ109" i="1"/>
  <c r="FR109" i="1"/>
  <c r="FS109" i="1"/>
  <c r="FT109" i="1"/>
  <c r="FU109" i="1"/>
  <c r="FV109" i="1"/>
  <c r="FW109" i="1"/>
  <c r="FX109" i="1"/>
  <c r="FY109" i="1"/>
  <c r="FZ109" i="1"/>
  <c r="GA109" i="1"/>
  <c r="GB109" i="1"/>
  <c r="GC109" i="1"/>
  <c r="GD109" i="1"/>
  <c r="GE109" i="1"/>
  <c r="GF109" i="1"/>
  <c r="GG109" i="1"/>
  <c r="GH109" i="1"/>
  <c r="GI109" i="1"/>
  <c r="GJ109" i="1"/>
  <c r="GK109" i="1"/>
  <c r="GL109" i="1"/>
  <c r="GM109" i="1"/>
  <c r="GN109" i="1"/>
  <c r="GO109" i="1"/>
  <c r="GP109" i="1"/>
  <c r="GQ109" i="1"/>
  <c r="GR109" i="1"/>
  <c r="GS109" i="1"/>
  <c r="GT109" i="1"/>
  <c r="GU109" i="1"/>
  <c r="GV109" i="1"/>
  <c r="GW109" i="1"/>
  <c r="GX109" i="1"/>
  <c r="GY109" i="1"/>
  <c r="GZ109" i="1"/>
  <c r="HA109" i="1"/>
  <c r="HB109" i="1"/>
  <c r="HC109" i="1"/>
  <c r="HD109" i="1"/>
  <c r="HE109" i="1"/>
  <c r="HF109" i="1"/>
  <c r="HG109" i="1"/>
  <c r="HH109" i="1"/>
  <c r="HI109" i="1"/>
  <c r="HJ109" i="1"/>
  <c r="HK109" i="1"/>
  <c r="HL109" i="1"/>
  <c r="HM109" i="1"/>
  <c r="HN109" i="1"/>
  <c r="HO109" i="1"/>
  <c r="HP109" i="1"/>
  <c r="HQ109" i="1"/>
  <c r="HR109" i="1"/>
  <c r="HS109" i="1"/>
  <c r="HT109" i="1"/>
  <c r="HU109" i="1"/>
  <c r="HV109" i="1"/>
  <c r="HW109" i="1"/>
  <c r="HX109" i="1"/>
  <c r="HY109" i="1"/>
  <c r="HZ109" i="1"/>
  <c r="IA109" i="1"/>
  <c r="IB109" i="1"/>
  <c r="IC109" i="1"/>
  <c r="ID109" i="1"/>
  <c r="IE109" i="1"/>
  <c r="IF109" i="1"/>
  <c r="IG109" i="1"/>
  <c r="IH109" i="1"/>
  <c r="II109" i="1"/>
  <c r="IJ109" i="1"/>
  <c r="IK109" i="1"/>
  <c r="IL109" i="1"/>
  <c r="IM109" i="1"/>
  <c r="IN109" i="1"/>
  <c r="IO109" i="1"/>
  <c r="IP109" i="1"/>
  <c r="IQ109" i="1"/>
  <c r="IR109" i="1"/>
  <c r="IS109" i="1"/>
  <c r="IT109" i="1"/>
  <c r="IU109" i="1"/>
  <c r="IV109" i="1"/>
  <c r="IW109" i="1"/>
  <c r="IX109" i="1"/>
  <c r="IY109" i="1"/>
  <c r="IZ109" i="1"/>
  <c r="JA109" i="1"/>
  <c r="JB109" i="1"/>
  <c r="JC109" i="1"/>
  <c r="JD109" i="1"/>
  <c r="JE109" i="1"/>
  <c r="JF109" i="1"/>
  <c r="JG109" i="1"/>
  <c r="JH109" i="1"/>
  <c r="JI109" i="1"/>
  <c r="JJ109" i="1"/>
  <c r="JK109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EW111" i="1"/>
  <c r="EX111" i="1"/>
  <c r="EY111" i="1"/>
  <c r="EZ111" i="1"/>
  <c r="FA111" i="1"/>
  <c r="FB111" i="1"/>
  <c r="FC111" i="1"/>
  <c r="FD111" i="1"/>
  <c r="FE111" i="1"/>
  <c r="FF111" i="1"/>
  <c r="FG111" i="1"/>
  <c r="FH111" i="1"/>
  <c r="FI111" i="1"/>
  <c r="FJ111" i="1"/>
  <c r="FK111" i="1"/>
  <c r="FL111" i="1"/>
  <c r="FM111" i="1"/>
  <c r="FN111" i="1"/>
  <c r="FO111" i="1"/>
  <c r="FP111" i="1"/>
  <c r="FQ111" i="1"/>
  <c r="FR111" i="1"/>
  <c r="FS111" i="1"/>
  <c r="FT111" i="1"/>
  <c r="FU111" i="1"/>
  <c r="FV111" i="1"/>
  <c r="FW111" i="1"/>
  <c r="FX111" i="1"/>
  <c r="FY111" i="1"/>
  <c r="FZ111" i="1"/>
  <c r="GA111" i="1"/>
  <c r="GB111" i="1"/>
  <c r="GC111" i="1"/>
  <c r="GD111" i="1"/>
  <c r="GE111" i="1"/>
  <c r="GF111" i="1"/>
  <c r="GG111" i="1"/>
  <c r="GH111" i="1"/>
  <c r="GI111" i="1"/>
  <c r="GJ111" i="1"/>
  <c r="GK111" i="1"/>
  <c r="GL111" i="1"/>
  <c r="GM111" i="1"/>
  <c r="GN111" i="1"/>
  <c r="GO111" i="1"/>
  <c r="GP111" i="1"/>
  <c r="GQ111" i="1"/>
  <c r="GR111" i="1"/>
  <c r="GS111" i="1"/>
  <c r="GT111" i="1"/>
  <c r="GU111" i="1"/>
  <c r="GV111" i="1"/>
  <c r="GW111" i="1"/>
  <c r="GX111" i="1"/>
  <c r="GY111" i="1"/>
  <c r="GZ111" i="1"/>
  <c r="HA111" i="1"/>
  <c r="HB111" i="1"/>
  <c r="HC111" i="1"/>
  <c r="HD111" i="1"/>
  <c r="HE111" i="1"/>
  <c r="HF111" i="1"/>
  <c r="HG111" i="1"/>
  <c r="HH111" i="1"/>
  <c r="HI111" i="1"/>
  <c r="HJ111" i="1"/>
  <c r="HK111" i="1"/>
  <c r="HL111" i="1"/>
  <c r="HM111" i="1"/>
  <c r="HN111" i="1"/>
  <c r="HO111" i="1"/>
  <c r="HP111" i="1"/>
  <c r="HQ111" i="1"/>
  <c r="HR111" i="1"/>
  <c r="HS111" i="1"/>
  <c r="HT111" i="1"/>
  <c r="HU111" i="1"/>
  <c r="HV111" i="1"/>
  <c r="HW111" i="1"/>
  <c r="HX111" i="1"/>
  <c r="HY111" i="1"/>
  <c r="HZ111" i="1"/>
  <c r="IA111" i="1"/>
  <c r="IB111" i="1"/>
  <c r="IC111" i="1"/>
  <c r="ID111" i="1"/>
  <c r="IE111" i="1"/>
  <c r="IF111" i="1"/>
  <c r="IG111" i="1"/>
  <c r="IH111" i="1"/>
  <c r="II111" i="1"/>
  <c r="IJ111" i="1"/>
  <c r="IK111" i="1"/>
  <c r="IL111" i="1"/>
  <c r="IM111" i="1"/>
  <c r="IN111" i="1"/>
  <c r="IO111" i="1"/>
  <c r="IP111" i="1"/>
  <c r="IQ111" i="1"/>
  <c r="IR111" i="1"/>
  <c r="IS111" i="1"/>
  <c r="IT111" i="1"/>
  <c r="IU111" i="1"/>
  <c r="IV111" i="1"/>
  <c r="IW111" i="1"/>
  <c r="IX111" i="1"/>
  <c r="IY111" i="1"/>
  <c r="IZ111" i="1"/>
  <c r="JA111" i="1"/>
  <c r="JB111" i="1"/>
  <c r="JC111" i="1"/>
  <c r="JD111" i="1"/>
  <c r="JE111" i="1"/>
  <c r="JF111" i="1"/>
  <c r="JG111" i="1"/>
  <c r="JH111" i="1"/>
  <c r="JI111" i="1"/>
  <c r="JJ111" i="1"/>
  <c r="JK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EW112" i="1"/>
  <c r="EX112" i="1"/>
  <c r="EY112" i="1"/>
  <c r="EZ112" i="1"/>
  <c r="FA112" i="1"/>
  <c r="FB112" i="1"/>
  <c r="FC112" i="1"/>
  <c r="FD112" i="1"/>
  <c r="FE112" i="1"/>
  <c r="FF112" i="1"/>
  <c r="FG112" i="1"/>
  <c r="FH112" i="1"/>
  <c r="FI112" i="1"/>
  <c r="FJ112" i="1"/>
  <c r="FK112" i="1"/>
  <c r="FL112" i="1"/>
  <c r="FM112" i="1"/>
  <c r="FN112" i="1"/>
  <c r="FO112" i="1"/>
  <c r="FP112" i="1"/>
  <c r="FQ112" i="1"/>
  <c r="FR112" i="1"/>
  <c r="FS112" i="1"/>
  <c r="FT112" i="1"/>
  <c r="FU112" i="1"/>
  <c r="FV112" i="1"/>
  <c r="FW112" i="1"/>
  <c r="FX112" i="1"/>
  <c r="FY112" i="1"/>
  <c r="FZ112" i="1"/>
  <c r="GA112" i="1"/>
  <c r="GB112" i="1"/>
  <c r="GC112" i="1"/>
  <c r="GD112" i="1"/>
  <c r="GE112" i="1"/>
  <c r="GF112" i="1"/>
  <c r="GG112" i="1"/>
  <c r="GH112" i="1"/>
  <c r="GI112" i="1"/>
  <c r="GJ112" i="1"/>
  <c r="GK112" i="1"/>
  <c r="GL112" i="1"/>
  <c r="GM112" i="1"/>
  <c r="GN112" i="1"/>
  <c r="GO112" i="1"/>
  <c r="GP112" i="1"/>
  <c r="GQ112" i="1"/>
  <c r="GR112" i="1"/>
  <c r="GS112" i="1"/>
  <c r="GT112" i="1"/>
  <c r="GU112" i="1"/>
  <c r="GV112" i="1"/>
  <c r="GW112" i="1"/>
  <c r="GX112" i="1"/>
  <c r="GY112" i="1"/>
  <c r="GZ112" i="1"/>
  <c r="HA112" i="1"/>
  <c r="HB112" i="1"/>
  <c r="HC112" i="1"/>
  <c r="HD112" i="1"/>
  <c r="HE112" i="1"/>
  <c r="HF112" i="1"/>
  <c r="HG112" i="1"/>
  <c r="HH112" i="1"/>
  <c r="HI112" i="1"/>
  <c r="HJ112" i="1"/>
  <c r="HK112" i="1"/>
  <c r="HL112" i="1"/>
  <c r="HM112" i="1"/>
  <c r="HN112" i="1"/>
  <c r="HO112" i="1"/>
  <c r="HP112" i="1"/>
  <c r="HQ112" i="1"/>
  <c r="HR112" i="1"/>
  <c r="HS112" i="1"/>
  <c r="HT112" i="1"/>
  <c r="HU112" i="1"/>
  <c r="HV112" i="1"/>
  <c r="HW112" i="1"/>
  <c r="HX112" i="1"/>
  <c r="HY112" i="1"/>
  <c r="HZ112" i="1"/>
  <c r="IA112" i="1"/>
  <c r="IB112" i="1"/>
  <c r="IC112" i="1"/>
  <c r="ID112" i="1"/>
  <c r="IE112" i="1"/>
  <c r="IF112" i="1"/>
  <c r="IG112" i="1"/>
  <c r="IH112" i="1"/>
  <c r="II112" i="1"/>
  <c r="IJ112" i="1"/>
  <c r="IK112" i="1"/>
  <c r="IL112" i="1"/>
  <c r="IM112" i="1"/>
  <c r="IN112" i="1"/>
  <c r="IO112" i="1"/>
  <c r="IP112" i="1"/>
  <c r="IQ112" i="1"/>
  <c r="IR112" i="1"/>
  <c r="IS112" i="1"/>
  <c r="IT112" i="1"/>
  <c r="IU112" i="1"/>
  <c r="IV112" i="1"/>
  <c r="IW112" i="1"/>
  <c r="IX112" i="1"/>
  <c r="IY112" i="1"/>
  <c r="IZ112" i="1"/>
  <c r="JA112" i="1"/>
  <c r="JB112" i="1"/>
  <c r="JC112" i="1"/>
  <c r="JD112" i="1"/>
  <c r="JE112" i="1"/>
  <c r="JF112" i="1"/>
  <c r="JG112" i="1"/>
  <c r="JH112" i="1"/>
  <c r="JI112" i="1"/>
  <c r="JJ112" i="1"/>
  <c r="JK112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EW114" i="1"/>
  <c r="EX114" i="1"/>
  <c r="EY114" i="1"/>
  <c r="EZ114" i="1"/>
  <c r="FA114" i="1"/>
  <c r="FB114" i="1"/>
  <c r="FC114" i="1"/>
  <c r="FD114" i="1"/>
  <c r="FE114" i="1"/>
  <c r="FF114" i="1"/>
  <c r="FG114" i="1"/>
  <c r="FH114" i="1"/>
  <c r="FI114" i="1"/>
  <c r="FJ114" i="1"/>
  <c r="FK114" i="1"/>
  <c r="FL114" i="1"/>
  <c r="FM114" i="1"/>
  <c r="FN114" i="1"/>
  <c r="FO114" i="1"/>
  <c r="FP114" i="1"/>
  <c r="FQ114" i="1"/>
  <c r="FR114" i="1"/>
  <c r="FS114" i="1"/>
  <c r="FT114" i="1"/>
  <c r="FU114" i="1"/>
  <c r="FV114" i="1"/>
  <c r="FW114" i="1"/>
  <c r="FX114" i="1"/>
  <c r="FY114" i="1"/>
  <c r="FZ114" i="1"/>
  <c r="GA114" i="1"/>
  <c r="GB114" i="1"/>
  <c r="GC114" i="1"/>
  <c r="GD114" i="1"/>
  <c r="GE114" i="1"/>
  <c r="GF114" i="1"/>
  <c r="GG114" i="1"/>
  <c r="GH114" i="1"/>
  <c r="GI114" i="1"/>
  <c r="GJ114" i="1"/>
  <c r="GK114" i="1"/>
  <c r="GL114" i="1"/>
  <c r="GM114" i="1"/>
  <c r="GN114" i="1"/>
  <c r="GO114" i="1"/>
  <c r="GP114" i="1"/>
  <c r="GQ114" i="1"/>
  <c r="GR114" i="1"/>
  <c r="GS114" i="1"/>
  <c r="GT114" i="1"/>
  <c r="GU114" i="1"/>
  <c r="GV114" i="1"/>
  <c r="GW114" i="1"/>
  <c r="GX114" i="1"/>
  <c r="GY114" i="1"/>
  <c r="GZ114" i="1"/>
  <c r="HA114" i="1"/>
  <c r="HB114" i="1"/>
  <c r="HC114" i="1"/>
  <c r="HD114" i="1"/>
  <c r="HE114" i="1"/>
  <c r="HF114" i="1"/>
  <c r="HG114" i="1"/>
  <c r="HH114" i="1"/>
  <c r="HI114" i="1"/>
  <c r="HJ114" i="1"/>
  <c r="HK114" i="1"/>
  <c r="HL114" i="1"/>
  <c r="HM114" i="1"/>
  <c r="HN114" i="1"/>
  <c r="HO114" i="1"/>
  <c r="HP114" i="1"/>
  <c r="HQ114" i="1"/>
  <c r="HR114" i="1"/>
  <c r="HS114" i="1"/>
  <c r="HT114" i="1"/>
  <c r="HU114" i="1"/>
  <c r="HV114" i="1"/>
  <c r="HW114" i="1"/>
  <c r="HX114" i="1"/>
  <c r="HY114" i="1"/>
  <c r="HZ114" i="1"/>
  <c r="IA114" i="1"/>
  <c r="IB114" i="1"/>
  <c r="IC114" i="1"/>
  <c r="ID114" i="1"/>
  <c r="IE114" i="1"/>
  <c r="IF114" i="1"/>
  <c r="IG114" i="1"/>
  <c r="IH114" i="1"/>
  <c r="II114" i="1"/>
  <c r="IJ114" i="1"/>
  <c r="IK114" i="1"/>
  <c r="IL114" i="1"/>
  <c r="IM114" i="1"/>
  <c r="IN114" i="1"/>
  <c r="IO114" i="1"/>
  <c r="IP114" i="1"/>
  <c r="IQ114" i="1"/>
  <c r="IR114" i="1"/>
  <c r="IS114" i="1"/>
  <c r="IT114" i="1"/>
  <c r="IU114" i="1"/>
  <c r="IV114" i="1"/>
  <c r="IW114" i="1"/>
  <c r="IX114" i="1"/>
  <c r="IY114" i="1"/>
  <c r="IZ114" i="1"/>
  <c r="JA114" i="1"/>
  <c r="JB114" i="1"/>
  <c r="JC114" i="1"/>
  <c r="JD114" i="1"/>
  <c r="JE114" i="1"/>
  <c r="JF114" i="1"/>
  <c r="JG114" i="1"/>
  <c r="JH114" i="1"/>
  <c r="JI114" i="1"/>
  <c r="JJ114" i="1"/>
  <c r="JK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EW115" i="1"/>
  <c r="EX115" i="1"/>
  <c r="EY115" i="1"/>
  <c r="EZ115" i="1"/>
  <c r="FA115" i="1"/>
  <c r="FB115" i="1"/>
  <c r="FC115" i="1"/>
  <c r="FD115" i="1"/>
  <c r="FE115" i="1"/>
  <c r="FF115" i="1"/>
  <c r="FG115" i="1"/>
  <c r="FH115" i="1"/>
  <c r="FI115" i="1"/>
  <c r="FJ115" i="1"/>
  <c r="FK115" i="1"/>
  <c r="FL115" i="1"/>
  <c r="FM115" i="1"/>
  <c r="FN115" i="1"/>
  <c r="FO115" i="1"/>
  <c r="FP115" i="1"/>
  <c r="FQ115" i="1"/>
  <c r="FR115" i="1"/>
  <c r="FS115" i="1"/>
  <c r="FT115" i="1"/>
  <c r="FU115" i="1"/>
  <c r="FV115" i="1"/>
  <c r="FW115" i="1"/>
  <c r="FX115" i="1"/>
  <c r="FY115" i="1"/>
  <c r="FZ115" i="1"/>
  <c r="GA115" i="1"/>
  <c r="GB115" i="1"/>
  <c r="GC115" i="1"/>
  <c r="GD115" i="1"/>
  <c r="GE115" i="1"/>
  <c r="GF115" i="1"/>
  <c r="GG115" i="1"/>
  <c r="GH115" i="1"/>
  <c r="GI115" i="1"/>
  <c r="GJ115" i="1"/>
  <c r="GK115" i="1"/>
  <c r="GL115" i="1"/>
  <c r="GM115" i="1"/>
  <c r="GN115" i="1"/>
  <c r="GO115" i="1"/>
  <c r="GP115" i="1"/>
  <c r="GQ115" i="1"/>
  <c r="GR115" i="1"/>
  <c r="GS115" i="1"/>
  <c r="GT115" i="1"/>
  <c r="GU115" i="1"/>
  <c r="GV115" i="1"/>
  <c r="GW115" i="1"/>
  <c r="GX115" i="1"/>
  <c r="GY115" i="1"/>
  <c r="GZ115" i="1"/>
  <c r="HA115" i="1"/>
  <c r="HB115" i="1"/>
  <c r="HC115" i="1"/>
  <c r="HD115" i="1"/>
  <c r="HE115" i="1"/>
  <c r="HF115" i="1"/>
  <c r="HG115" i="1"/>
  <c r="HH115" i="1"/>
  <c r="HI115" i="1"/>
  <c r="HJ115" i="1"/>
  <c r="HK115" i="1"/>
  <c r="HL115" i="1"/>
  <c r="HM115" i="1"/>
  <c r="HN115" i="1"/>
  <c r="HO115" i="1"/>
  <c r="HP115" i="1"/>
  <c r="HQ115" i="1"/>
  <c r="HR115" i="1"/>
  <c r="HS115" i="1"/>
  <c r="HT115" i="1"/>
  <c r="HU115" i="1"/>
  <c r="HV115" i="1"/>
  <c r="HW115" i="1"/>
  <c r="HX115" i="1"/>
  <c r="HY115" i="1"/>
  <c r="HZ115" i="1"/>
  <c r="IA115" i="1"/>
  <c r="IB115" i="1"/>
  <c r="IC115" i="1"/>
  <c r="ID115" i="1"/>
  <c r="IE115" i="1"/>
  <c r="IF115" i="1"/>
  <c r="IG115" i="1"/>
  <c r="IH115" i="1"/>
  <c r="II115" i="1"/>
  <c r="IJ115" i="1"/>
  <c r="IK115" i="1"/>
  <c r="IL115" i="1"/>
  <c r="IM115" i="1"/>
  <c r="IN115" i="1"/>
  <c r="IO115" i="1"/>
  <c r="IP115" i="1"/>
  <c r="IQ115" i="1"/>
  <c r="IR115" i="1"/>
  <c r="IS115" i="1"/>
  <c r="IT115" i="1"/>
  <c r="IU115" i="1"/>
  <c r="IV115" i="1"/>
  <c r="IW115" i="1"/>
  <c r="IX115" i="1"/>
  <c r="IY115" i="1"/>
  <c r="IZ115" i="1"/>
  <c r="JA115" i="1"/>
  <c r="JB115" i="1"/>
  <c r="JC115" i="1"/>
  <c r="JD115" i="1"/>
  <c r="JE115" i="1"/>
  <c r="JF115" i="1"/>
  <c r="JG115" i="1"/>
  <c r="JH115" i="1"/>
  <c r="JI115" i="1"/>
  <c r="JJ115" i="1"/>
  <c r="JK115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EW117" i="1"/>
  <c r="EX117" i="1"/>
  <c r="EY117" i="1"/>
  <c r="EZ117" i="1"/>
  <c r="FA117" i="1"/>
  <c r="FB117" i="1"/>
  <c r="FC117" i="1"/>
  <c r="FD117" i="1"/>
  <c r="FE117" i="1"/>
  <c r="FF117" i="1"/>
  <c r="FG117" i="1"/>
  <c r="FH117" i="1"/>
  <c r="FI117" i="1"/>
  <c r="FJ117" i="1"/>
  <c r="FK117" i="1"/>
  <c r="FL117" i="1"/>
  <c r="FM117" i="1"/>
  <c r="FN117" i="1"/>
  <c r="FO117" i="1"/>
  <c r="FP117" i="1"/>
  <c r="FQ117" i="1"/>
  <c r="FR117" i="1"/>
  <c r="FS117" i="1"/>
  <c r="FT117" i="1"/>
  <c r="FU117" i="1"/>
  <c r="FV117" i="1"/>
  <c r="FW117" i="1"/>
  <c r="FX117" i="1"/>
  <c r="FY117" i="1"/>
  <c r="FZ117" i="1"/>
  <c r="GA117" i="1"/>
  <c r="GB117" i="1"/>
  <c r="GC117" i="1"/>
  <c r="GD117" i="1"/>
  <c r="GE117" i="1"/>
  <c r="GF117" i="1"/>
  <c r="GG117" i="1"/>
  <c r="GH117" i="1"/>
  <c r="GI117" i="1"/>
  <c r="GJ117" i="1"/>
  <c r="GK117" i="1"/>
  <c r="GL117" i="1"/>
  <c r="GM117" i="1"/>
  <c r="GN117" i="1"/>
  <c r="GO117" i="1"/>
  <c r="GP117" i="1"/>
  <c r="GQ117" i="1"/>
  <c r="GR117" i="1"/>
  <c r="GS117" i="1"/>
  <c r="GT117" i="1"/>
  <c r="GU117" i="1"/>
  <c r="GV117" i="1"/>
  <c r="GW117" i="1"/>
  <c r="GX117" i="1"/>
  <c r="GY117" i="1"/>
  <c r="GZ117" i="1"/>
  <c r="HA117" i="1"/>
  <c r="HB117" i="1"/>
  <c r="HC117" i="1"/>
  <c r="HD117" i="1"/>
  <c r="HE117" i="1"/>
  <c r="HF117" i="1"/>
  <c r="HG117" i="1"/>
  <c r="HH117" i="1"/>
  <c r="HI117" i="1"/>
  <c r="HJ117" i="1"/>
  <c r="HK117" i="1"/>
  <c r="HL117" i="1"/>
  <c r="HM117" i="1"/>
  <c r="HN117" i="1"/>
  <c r="HO117" i="1"/>
  <c r="HP117" i="1"/>
  <c r="HQ117" i="1"/>
  <c r="HR117" i="1"/>
  <c r="HS117" i="1"/>
  <c r="HT117" i="1"/>
  <c r="HU117" i="1"/>
  <c r="HV117" i="1"/>
  <c r="HW117" i="1"/>
  <c r="HX117" i="1"/>
  <c r="HY117" i="1"/>
  <c r="HZ117" i="1"/>
  <c r="IA117" i="1"/>
  <c r="IB117" i="1"/>
  <c r="IC117" i="1"/>
  <c r="ID117" i="1"/>
  <c r="IE117" i="1"/>
  <c r="IF117" i="1"/>
  <c r="IG117" i="1"/>
  <c r="IH117" i="1"/>
  <c r="II117" i="1"/>
  <c r="IJ117" i="1"/>
  <c r="IK117" i="1"/>
  <c r="IL117" i="1"/>
  <c r="IM117" i="1"/>
  <c r="IN117" i="1"/>
  <c r="IO117" i="1"/>
  <c r="IP117" i="1"/>
  <c r="IQ117" i="1"/>
  <c r="IR117" i="1"/>
  <c r="IS117" i="1"/>
  <c r="IT117" i="1"/>
  <c r="IU117" i="1"/>
  <c r="IV117" i="1"/>
  <c r="IW117" i="1"/>
  <c r="IX117" i="1"/>
  <c r="IY117" i="1"/>
  <c r="IZ117" i="1"/>
  <c r="JA117" i="1"/>
  <c r="JB117" i="1"/>
  <c r="JC117" i="1"/>
  <c r="JD117" i="1"/>
  <c r="JE117" i="1"/>
  <c r="JF117" i="1"/>
  <c r="JG117" i="1"/>
  <c r="JH117" i="1"/>
  <c r="JI117" i="1"/>
  <c r="JJ117" i="1"/>
  <c r="JK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EW118" i="1"/>
  <c r="EX118" i="1"/>
  <c r="EY118" i="1"/>
  <c r="EZ118" i="1"/>
  <c r="FA118" i="1"/>
  <c r="FB118" i="1"/>
  <c r="FC118" i="1"/>
  <c r="FD118" i="1"/>
  <c r="FE118" i="1"/>
  <c r="FF118" i="1"/>
  <c r="FG118" i="1"/>
  <c r="FH118" i="1"/>
  <c r="FI118" i="1"/>
  <c r="FJ118" i="1"/>
  <c r="FK118" i="1"/>
  <c r="FL118" i="1"/>
  <c r="FM118" i="1"/>
  <c r="FN118" i="1"/>
  <c r="FO118" i="1"/>
  <c r="FP118" i="1"/>
  <c r="FQ118" i="1"/>
  <c r="FR118" i="1"/>
  <c r="FS118" i="1"/>
  <c r="FT118" i="1"/>
  <c r="FU118" i="1"/>
  <c r="FV118" i="1"/>
  <c r="FW118" i="1"/>
  <c r="FX118" i="1"/>
  <c r="FY118" i="1"/>
  <c r="FZ118" i="1"/>
  <c r="GA118" i="1"/>
  <c r="GB118" i="1"/>
  <c r="GC118" i="1"/>
  <c r="GD118" i="1"/>
  <c r="GE118" i="1"/>
  <c r="GF118" i="1"/>
  <c r="GG118" i="1"/>
  <c r="GH118" i="1"/>
  <c r="GI118" i="1"/>
  <c r="GJ118" i="1"/>
  <c r="GK118" i="1"/>
  <c r="GL118" i="1"/>
  <c r="GM118" i="1"/>
  <c r="GN118" i="1"/>
  <c r="GO118" i="1"/>
  <c r="GP118" i="1"/>
  <c r="GQ118" i="1"/>
  <c r="GR118" i="1"/>
  <c r="GS118" i="1"/>
  <c r="GT118" i="1"/>
  <c r="GU118" i="1"/>
  <c r="GV118" i="1"/>
  <c r="GW118" i="1"/>
  <c r="GX118" i="1"/>
  <c r="GY118" i="1"/>
  <c r="GZ118" i="1"/>
  <c r="HA118" i="1"/>
  <c r="HB118" i="1"/>
  <c r="HC118" i="1"/>
  <c r="HD118" i="1"/>
  <c r="HE118" i="1"/>
  <c r="HF118" i="1"/>
  <c r="HG118" i="1"/>
  <c r="HH118" i="1"/>
  <c r="HI118" i="1"/>
  <c r="HJ118" i="1"/>
  <c r="HK118" i="1"/>
  <c r="HL118" i="1"/>
  <c r="HM118" i="1"/>
  <c r="HN118" i="1"/>
  <c r="HO118" i="1"/>
  <c r="HP118" i="1"/>
  <c r="HQ118" i="1"/>
  <c r="HR118" i="1"/>
  <c r="HS118" i="1"/>
  <c r="HT118" i="1"/>
  <c r="HU118" i="1"/>
  <c r="HV118" i="1"/>
  <c r="HW118" i="1"/>
  <c r="HX118" i="1"/>
  <c r="HY118" i="1"/>
  <c r="HZ118" i="1"/>
  <c r="IA118" i="1"/>
  <c r="IB118" i="1"/>
  <c r="IC118" i="1"/>
  <c r="ID118" i="1"/>
  <c r="IE118" i="1"/>
  <c r="IF118" i="1"/>
  <c r="IG118" i="1"/>
  <c r="IH118" i="1"/>
  <c r="II118" i="1"/>
  <c r="IJ118" i="1"/>
  <c r="IK118" i="1"/>
  <c r="IL118" i="1"/>
  <c r="IM118" i="1"/>
  <c r="IN118" i="1"/>
  <c r="IO118" i="1"/>
  <c r="IP118" i="1"/>
  <c r="IQ118" i="1"/>
  <c r="IR118" i="1"/>
  <c r="IS118" i="1"/>
  <c r="IT118" i="1"/>
  <c r="IU118" i="1"/>
  <c r="IV118" i="1"/>
  <c r="IW118" i="1"/>
  <c r="IX118" i="1"/>
  <c r="IY118" i="1"/>
  <c r="IZ118" i="1"/>
  <c r="JA118" i="1"/>
  <c r="JB118" i="1"/>
  <c r="JC118" i="1"/>
  <c r="JD118" i="1"/>
  <c r="JE118" i="1"/>
  <c r="JF118" i="1"/>
  <c r="JG118" i="1"/>
  <c r="JH118" i="1"/>
  <c r="JI118" i="1"/>
  <c r="JJ118" i="1"/>
  <c r="JK118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EW120" i="1"/>
  <c r="EX120" i="1"/>
  <c r="EY120" i="1"/>
  <c r="EZ120" i="1"/>
  <c r="FA120" i="1"/>
  <c r="FB120" i="1"/>
  <c r="FC120" i="1"/>
  <c r="FD120" i="1"/>
  <c r="FE120" i="1"/>
  <c r="FF120" i="1"/>
  <c r="FG120" i="1"/>
  <c r="FH120" i="1"/>
  <c r="FI120" i="1"/>
  <c r="FJ120" i="1"/>
  <c r="FK120" i="1"/>
  <c r="FL120" i="1"/>
  <c r="FM120" i="1"/>
  <c r="FN120" i="1"/>
  <c r="FO120" i="1"/>
  <c r="FP120" i="1"/>
  <c r="FQ120" i="1"/>
  <c r="FR120" i="1"/>
  <c r="FS120" i="1"/>
  <c r="FT120" i="1"/>
  <c r="FU120" i="1"/>
  <c r="FV120" i="1"/>
  <c r="FW120" i="1"/>
  <c r="FX120" i="1"/>
  <c r="FY120" i="1"/>
  <c r="FZ120" i="1"/>
  <c r="GA120" i="1"/>
  <c r="GB120" i="1"/>
  <c r="GC120" i="1"/>
  <c r="GD120" i="1"/>
  <c r="GE120" i="1"/>
  <c r="GF120" i="1"/>
  <c r="GG120" i="1"/>
  <c r="GH120" i="1"/>
  <c r="GI120" i="1"/>
  <c r="GJ120" i="1"/>
  <c r="GK120" i="1"/>
  <c r="GL120" i="1"/>
  <c r="GM120" i="1"/>
  <c r="GN120" i="1"/>
  <c r="GO120" i="1"/>
  <c r="GP120" i="1"/>
  <c r="GQ120" i="1"/>
  <c r="GR120" i="1"/>
  <c r="GS120" i="1"/>
  <c r="GT120" i="1"/>
  <c r="GU120" i="1"/>
  <c r="GV120" i="1"/>
  <c r="GW120" i="1"/>
  <c r="GX120" i="1"/>
  <c r="GY120" i="1"/>
  <c r="GZ120" i="1"/>
  <c r="HA120" i="1"/>
  <c r="HB120" i="1"/>
  <c r="HC120" i="1"/>
  <c r="HD120" i="1"/>
  <c r="HE120" i="1"/>
  <c r="HF120" i="1"/>
  <c r="HG120" i="1"/>
  <c r="HH120" i="1"/>
  <c r="HI120" i="1"/>
  <c r="HJ120" i="1"/>
  <c r="HK120" i="1"/>
  <c r="HL120" i="1"/>
  <c r="HM120" i="1"/>
  <c r="HN120" i="1"/>
  <c r="HO120" i="1"/>
  <c r="HP120" i="1"/>
  <c r="HQ120" i="1"/>
  <c r="HR120" i="1"/>
  <c r="HS120" i="1"/>
  <c r="HT120" i="1"/>
  <c r="HU120" i="1"/>
  <c r="HV120" i="1"/>
  <c r="HW120" i="1"/>
  <c r="HX120" i="1"/>
  <c r="HY120" i="1"/>
  <c r="HZ120" i="1"/>
  <c r="IA120" i="1"/>
  <c r="IB120" i="1"/>
  <c r="IC120" i="1"/>
  <c r="ID120" i="1"/>
  <c r="IE120" i="1"/>
  <c r="IF120" i="1"/>
  <c r="IG120" i="1"/>
  <c r="IH120" i="1"/>
  <c r="II120" i="1"/>
  <c r="IJ120" i="1"/>
  <c r="IK120" i="1"/>
  <c r="IL120" i="1"/>
  <c r="IM120" i="1"/>
  <c r="IN120" i="1"/>
  <c r="IO120" i="1"/>
  <c r="IP120" i="1"/>
  <c r="IQ120" i="1"/>
  <c r="IR120" i="1"/>
  <c r="IS120" i="1"/>
  <c r="IT120" i="1"/>
  <c r="IU120" i="1"/>
  <c r="IV120" i="1"/>
  <c r="IW120" i="1"/>
  <c r="IX120" i="1"/>
  <c r="IY120" i="1"/>
  <c r="IZ120" i="1"/>
  <c r="JA120" i="1"/>
  <c r="JB120" i="1"/>
  <c r="JC120" i="1"/>
  <c r="JD120" i="1"/>
  <c r="JE120" i="1"/>
  <c r="JF120" i="1"/>
  <c r="JG120" i="1"/>
  <c r="JH120" i="1"/>
  <c r="JI120" i="1"/>
  <c r="JJ120" i="1"/>
  <c r="JK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EW121" i="1"/>
  <c r="EX121" i="1"/>
  <c r="EY121" i="1"/>
  <c r="EZ121" i="1"/>
  <c r="FA121" i="1"/>
  <c r="FB121" i="1"/>
  <c r="FC121" i="1"/>
  <c r="FD121" i="1"/>
  <c r="FE121" i="1"/>
  <c r="FF121" i="1"/>
  <c r="FG121" i="1"/>
  <c r="FH121" i="1"/>
  <c r="FI121" i="1"/>
  <c r="FJ121" i="1"/>
  <c r="FK121" i="1"/>
  <c r="FL121" i="1"/>
  <c r="FM121" i="1"/>
  <c r="FN121" i="1"/>
  <c r="FO121" i="1"/>
  <c r="FP121" i="1"/>
  <c r="FQ121" i="1"/>
  <c r="FR121" i="1"/>
  <c r="FS121" i="1"/>
  <c r="FT121" i="1"/>
  <c r="FU121" i="1"/>
  <c r="FV121" i="1"/>
  <c r="FW121" i="1"/>
  <c r="FX121" i="1"/>
  <c r="FY121" i="1"/>
  <c r="FZ121" i="1"/>
  <c r="GA121" i="1"/>
  <c r="GB121" i="1"/>
  <c r="GC121" i="1"/>
  <c r="GD121" i="1"/>
  <c r="GE121" i="1"/>
  <c r="GF121" i="1"/>
  <c r="GG121" i="1"/>
  <c r="GH121" i="1"/>
  <c r="GI121" i="1"/>
  <c r="GJ121" i="1"/>
  <c r="GK121" i="1"/>
  <c r="GL121" i="1"/>
  <c r="GM121" i="1"/>
  <c r="GN121" i="1"/>
  <c r="GO121" i="1"/>
  <c r="GP121" i="1"/>
  <c r="GQ121" i="1"/>
  <c r="GR121" i="1"/>
  <c r="GS121" i="1"/>
  <c r="GT121" i="1"/>
  <c r="GU121" i="1"/>
  <c r="GV121" i="1"/>
  <c r="GW121" i="1"/>
  <c r="GX121" i="1"/>
  <c r="GY121" i="1"/>
  <c r="GZ121" i="1"/>
  <c r="HA121" i="1"/>
  <c r="HB121" i="1"/>
  <c r="HC121" i="1"/>
  <c r="HD121" i="1"/>
  <c r="HE121" i="1"/>
  <c r="HF121" i="1"/>
  <c r="HG121" i="1"/>
  <c r="HH121" i="1"/>
  <c r="HI121" i="1"/>
  <c r="HJ121" i="1"/>
  <c r="HK121" i="1"/>
  <c r="HL121" i="1"/>
  <c r="HM121" i="1"/>
  <c r="HN121" i="1"/>
  <c r="HO121" i="1"/>
  <c r="HP121" i="1"/>
  <c r="HQ121" i="1"/>
  <c r="HR121" i="1"/>
  <c r="HS121" i="1"/>
  <c r="HT121" i="1"/>
  <c r="HU121" i="1"/>
  <c r="HV121" i="1"/>
  <c r="HW121" i="1"/>
  <c r="HX121" i="1"/>
  <c r="HY121" i="1"/>
  <c r="HZ121" i="1"/>
  <c r="IA121" i="1"/>
  <c r="IB121" i="1"/>
  <c r="IC121" i="1"/>
  <c r="ID121" i="1"/>
  <c r="IE121" i="1"/>
  <c r="IF121" i="1"/>
  <c r="IG121" i="1"/>
  <c r="IH121" i="1"/>
  <c r="II121" i="1"/>
  <c r="IJ121" i="1"/>
  <c r="IK121" i="1"/>
  <c r="IL121" i="1"/>
  <c r="IM121" i="1"/>
  <c r="IN121" i="1"/>
  <c r="IO121" i="1"/>
  <c r="IP121" i="1"/>
  <c r="IQ121" i="1"/>
  <c r="IR121" i="1"/>
  <c r="IS121" i="1"/>
  <c r="IT121" i="1"/>
  <c r="IU121" i="1"/>
  <c r="IV121" i="1"/>
  <c r="IW121" i="1"/>
  <c r="IX121" i="1"/>
  <c r="IY121" i="1"/>
  <c r="IZ121" i="1"/>
  <c r="JA121" i="1"/>
  <c r="JB121" i="1"/>
  <c r="JC121" i="1"/>
  <c r="JD121" i="1"/>
  <c r="JE121" i="1"/>
  <c r="JF121" i="1"/>
  <c r="JG121" i="1"/>
  <c r="JH121" i="1"/>
  <c r="JI121" i="1"/>
  <c r="JJ121" i="1"/>
  <c r="JK121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EW123" i="1"/>
  <c r="EX123" i="1"/>
  <c r="EY123" i="1"/>
  <c r="EZ123" i="1"/>
  <c r="FA123" i="1"/>
  <c r="FB123" i="1"/>
  <c r="FC123" i="1"/>
  <c r="FD123" i="1"/>
  <c r="FE123" i="1"/>
  <c r="FF123" i="1"/>
  <c r="FG123" i="1"/>
  <c r="FH123" i="1"/>
  <c r="FI123" i="1"/>
  <c r="FJ123" i="1"/>
  <c r="FK123" i="1"/>
  <c r="FL123" i="1"/>
  <c r="FM123" i="1"/>
  <c r="FN123" i="1"/>
  <c r="FO123" i="1"/>
  <c r="FP123" i="1"/>
  <c r="FQ123" i="1"/>
  <c r="FR123" i="1"/>
  <c r="FS123" i="1"/>
  <c r="FT123" i="1"/>
  <c r="FU123" i="1"/>
  <c r="FV123" i="1"/>
  <c r="FW123" i="1"/>
  <c r="FX123" i="1"/>
  <c r="FY123" i="1"/>
  <c r="FZ123" i="1"/>
  <c r="GA123" i="1"/>
  <c r="GB123" i="1"/>
  <c r="GC123" i="1"/>
  <c r="GD123" i="1"/>
  <c r="GE123" i="1"/>
  <c r="GF123" i="1"/>
  <c r="GG123" i="1"/>
  <c r="GH123" i="1"/>
  <c r="GI123" i="1"/>
  <c r="GJ123" i="1"/>
  <c r="GK123" i="1"/>
  <c r="GL123" i="1"/>
  <c r="GM123" i="1"/>
  <c r="GN123" i="1"/>
  <c r="GO123" i="1"/>
  <c r="GP123" i="1"/>
  <c r="GQ123" i="1"/>
  <c r="GR123" i="1"/>
  <c r="GS123" i="1"/>
  <c r="GT123" i="1"/>
  <c r="GU123" i="1"/>
  <c r="GV123" i="1"/>
  <c r="GW123" i="1"/>
  <c r="GX123" i="1"/>
  <c r="GY123" i="1"/>
  <c r="GZ123" i="1"/>
  <c r="HA123" i="1"/>
  <c r="HB123" i="1"/>
  <c r="HC123" i="1"/>
  <c r="HD123" i="1"/>
  <c r="HE123" i="1"/>
  <c r="HF123" i="1"/>
  <c r="HG123" i="1"/>
  <c r="HH123" i="1"/>
  <c r="HI123" i="1"/>
  <c r="HJ123" i="1"/>
  <c r="HK123" i="1"/>
  <c r="HL123" i="1"/>
  <c r="HM123" i="1"/>
  <c r="HN123" i="1"/>
  <c r="HO123" i="1"/>
  <c r="HP123" i="1"/>
  <c r="HQ123" i="1"/>
  <c r="HR123" i="1"/>
  <c r="HS123" i="1"/>
  <c r="HT123" i="1"/>
  <c r="HU123" i="1"/>
  <c r="HV123" i="1"/>
  <c r="HW123" i="1"/>
  <c r="HX123" i="1"/>
  <c r="HY123" i="1"/>
  <c r="HZ123" i="1"/>
  <c r="IA123" i="1"/>
  <c r="IB123" i="1"/>
  <c r="IC123" i="1"/>
  <c r="ID123" i="1"/>
  <c r="IE123" i="1"/>
  <c r="IF123" i="1"/>
  <c r="IG123" i="1"/>
  <c r="IH123" i="1"/>
  <c r="II123" i="1"/>
  <c r="IJ123" i="1"/>
  <c r="IK123" i="1"/>
  <c r="IL123" i="1"/>
  <c r="IM123" i="1"/>
  <c r="IN123" i="1"/>
  <c r="IO123" i="1"/>
  <c r="IP123" i="1"/>
  <c r="IQ123" i="1"/>
  <c r="IR123" i="1"/>
  <c r="IS123" i="1"/>
  <c r="IT123" i="1"/>
  <c r="IU123" i="1"/>
  <c r="IV123" i="1"/>
  <c r="IW123" i="1"/>
  <c r="IX123" i="1"/>
  <c r="IY123" i="1"/>
  <c r="IZ123" i="1"/>
  <c r="JA123" i="1"/>
  <c r="JB123" i="1"/>
  <c r="JC123" i="1"/>
  <c r="JD123" i="1"/>
  <c r="JE123" i="1"/>
  <c r="JF123" i="1"/>
  <c r="JG123" i="1"/>
  <c r="JH123" i="1"/>
  <c r="JI123" i="1"/>
  <c r="JJ123" i="1"/>
  <c r="JK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EW124" i="1"/>
  <c r="EX124" i="1"/>
  <c r="EY124" i="1"/>
  <c r="EZ124" i="1"/>
  <c r="FA124" i="1"/>
  <c r="FB124" i="1"/>
  <c r="FC124" i="1"/>
  <c r="FD124" i="1"/>
  <c r="FE124" i="1"/>
  <c r="FF124" i="1"/>
  <c r="FG124" i="1"/>
  <c r="FH124" i="1"/>
  <c r="FI124" i="1"/>
  <c r="FJ124" i="1"/>
  <c r="FK124" i="1"/>
  <c r="FL124" i="1"/>
  <c r="FM124" i="1"/>
  <c r="FN124" i="1"/>
  <c r="FO124" i="1"/>
  <c r="FP124" i="1"/>
  <c r="FQ124" i="1"/>
  <c r="FR124" i="1"/>
  <c r="FS124" i="1"/>
  <c r="FT124" i="1"/>
  <c r="FU124" i="1"/>
  <c r="FV124" i="1"/>
  <c r="FW124" i="1"/>
  <c r="FX124" i="1"/>
  <c r="FY124" i="1"/>
  <c r="FZ124" i="1"/>
  <c r="GA124" i="1"/>
  <c r="GB124" i="1"/>
  <c r="GC124" i="1"/>
  <c r="GD124" i="1"/>
  <c r="GE124" i="1"/>
  <c r="GF124" i="1"/>
  <c r="GG124" i="1"/>
  <c r="GH124" i="1"/>
  <c r="GI124" i="1"/>
  <c r="GJ124" i="1"/>
  <c r="GK124" i="1"/>
  <c r="GL124" i="1"/>
  <c r="GM124" i="1"/>
  <c r="GN124" i="1"/>
  <c r="GO124" i="1"/>
  <c r="GP124" i="1"/>
  <c r="GQ124" i="1"/>
  <c r="GR124" i="1"/>
  <c r="GS124" i="1"/>
  <c r="GT124" i="1"/>
  <c r="GU124" i="1"/>
  <c r="GV124" i="1"/>
  <c r="GW124" i="1"/>
  <c r="GX124" i="1"/>
  <c r="GY124" i="1"/>
  <c r="GZ124" i="1"/>
  <c r="HA124" i="1"/>
  <c r="HB124" i="1"/>
  <c r="HC124" i="1"/>
  <c r="HD124" i="1"/>
  <c r="HE124" i="1"/>
  <c r="HF124" i="1"/>
  <c r="HG124" i="1"/>
  <c r="HH124" i="1"/>
  <c r="HI124" i="1"/>
  <c r="HJ124" i="1"/>
  <c r="HK124" i="1"/>
  <c r="HL124" i="1"/>
  <c r="HM124" i="1"/>
  <c r="HN124" i="1"/>
  <c r="HO124" i="1"/>
  <c r="HP124" i="1"/>
  <c r="HQ124" i="1"/>
  <c r="HR124" i="1"/>
  <c r="HS124" i="1"/>
  <c r="HT124" i="1"/>
  <c r="HU124" i="1"/>
  <c r="HV124" i="1"/>
  <c r="HW124" i="1"/>
  <c r="HX124" i="1"/>
  <c r="HY124" i="1"/>
  <c r="HZ124" i="1"/>
  <c r="IA124" i="1"/>
  <c r="IB124" i="1"/>
  <c r="IC124" i="1"/>
  <c r="ID124" i="1"/>
  <c r="IE124" i="1"/>
  <c r="IF124" i="1"/>
  <c r="IG124" i="1"/>
  <c r="IH124" i="1"/>
  <c r="II124" i="1"/>
  <c r="IJ124" i="1"/>
  <c r="IK124" i="1"/>
  <c r="IL124" i="1"/>
  <c r="IM124" i="1"/>
  <c r="IN124" i="1"/>
  <c r="IO124" i="1"/>
  <c r="IP124" i="1"/>
  <c r="IQ124" i="1"/>
  <c r="IR124" i="1"/>
  <c r="IS124" i="1"/>
  <c r="IT124" i="1"/>
  <c r="IU124" i="1"/>
  <c r="IV124" i="1"/>
  <c r="IW124" i="1"/>
  <c r="IX124" i="1"/>
  <c r="IY124" i="1"/>
  <c r="IZ124" i="1"/>
  <c r="JA124" i="1"/>
  <c r="JB124" i="1"/>
  <c r="JC124" i="1"/>
  <c r="JD124" i="1"/>
  <c r="JE124" i="1"/>
  <c r="JF124" i="1"/>
  <c r="JG124" i="1"/>
  <c r="JH124" i="1"/>
  <c r="JI124" i="1"/>
  <c r="JJ124" i="1"/>
  <c r="JK124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EW126" i="1"/>
  <c r="EX126" i="1"/>
  <c r="EY126" i="1"/>
  <c r="EZ126" i="1"/>
  <c r="FA126" i="1"/>
  <c r="FB126" i="1"/>
  <c r="FC126" i="1"/>
  <c r="FD126" i="1"/>
  <c r="FE126" i="1"/>
  <c r="FF126" i="1"/>
  <c r="FG126" i="1"/>
  <c r="FH126" i="1"/>
  <c r="FI126" i="1"/>
  <c r="FJ126" i="1"/>
  <c r="FK126" i="1"/>
  <c r="FL126" i="1"/>
  <c r="FM126" i="1"/>
  <c r="FN126" i="1"/>
  <c r="FO126" i="1"/>
  <c r="FP126" i="1"/>
  <c r="FQ126" i="1"/>
  <c r="FR126" i="1"/>
  <c r="FS126" i="1"/>
  <c r="FT126" i="1"/>
  <c r="FU126" i="1"/>
  <c r="FV126" i="1"/>
  <c r="FW126" i="1"/>
  <c r="FX126" i="1"/>
  <c r="FY126" i="1"/>
  <c r="FZ126" i="1"/>
  <c r="GA126" i="1"/>
  <c r="GB126" i="1"/>
  <c r="GC126" i="1"/>
  <c r="GD126" i="1"/>
  <c r="GE126" i="1"/>
  <c r="GF126" i="1"/>
  <c r="GG126" i="1"/>
  <c r="GH126" i="1"/>
  <c r="GI126" i="1"/>
  <c r="GJ126" i="1"/>
  <c r="GK126" i="1"/>
  <c r="GL126" i="1"/>
  <c r="GM126" i="1"/>
  <c r="GN126" i="1"/>
  <c r="GO126" i="1"/>
  <c r="GP126" i="1"/>
  <c r="GQ126" i="1"/>
  <c r="GR126" i="1"/>
  <c r="GS126" i="1"/>
  <c r="GT126" i="1"/>
  <c r="GU126" i="1"/>
  <c r="GV126" i="1"/>
  <c r="GW126" i="1"/>
  <c r="GX126" i="1"/>
  <c r="GY126" i="1"/>
  <c r="GZ126" i="1"/>
  <c r="HA126" i="1"/>
  <c r="HB126" i="1"/>
  <c r="HC126" i="1"/>
  <c r="HD126" i="1"/>
  <c r="HE126" i="1"/>
  <c r="HF126" i="1"/>
  <c r="HG126" i="1"/>
  <c r="HH126" i="1"/>
  <c r="HI126" i="1"/>
  <c r="HJ126" i="1"/>
  <c r="HK126" i="1"/>
  <c r="HL126" i="1"/>
  <c r="HM126" i="1"/>
  <c r="HN126" i="1"/>
  <c r="HO126" i="1"/>
  <c r="HP126" i="1"/>
  <c r="HQ126" i="1"/>
  <c r="HR126" i="1"/>
  <c r="HS126" i="1"/>
  <c r="HT126" i="1"/>
  <c r="HU126" i="1"/>
  <c r="HV126" i="1"/>
  <c r="HW126" i="1"/>
  <c r="HX126" i="1"/>
  <c r="HY126" i="1"/>
  <c r="HZ126" i="1"/>
  <c r="IA126" i="1"/>
  <c r="IB126" i="1"/>
  <c r="IC126" i="1"/>
  <c r="ID126" i="1"/>
  <c r="IE126" i="1"/>
  <c r="IF126" i="1"/>
  <c r="IG126" i="1"/>
  <c r="IH126" i="1"/>
  <c r="II126" i="1"/>
  <c r="IJ126" i="1"/>
  <c r="IK126" i="1"/>
  <c r="IL126" i="1"/>
  <c r="IM126" i="1"/>
  <c r="IN126" i="1"/>
  <c r="IO126" i="1"/>
  <c r="IP126" i="1"/>
  <c r="IQ126" i="1"/>
  <c r="IR126" i="1"/>
  <c r="IS126" i="1"/>
  <c r="IT126" i="1"/>
  <c r="IU126" i="1"/>
  <c r="IV126" i="1"/>
  <c r="IW126" i="1"/>
  <c r="IX126" i="1"/>
  <c r="IY126" i="1"/>
  <c r="IZ126" i="1"/>
  <c r="JA126" i="1"/>
  <c r="JB126" i="1"/>
  <c r="JC126" i="1"/>
  <c r="JD126" i="1"/>
  <c r="JE126" i="1"/>
  <c r="JF126" i="1"/>
  <c r="JG126" i="1"/>
  <c r="JH126" i="1"/>
  <c r="JI126" i="1"/>
  <c r="JJ126" i="1"/>
  <c r="JK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EW127" i="1"/>
  <c r="EX127" i="1"/>
  <c r="EY127" i="1"/>
  <c r="EZ127" i="1"/>
  <c r="FA127" i="1"/>
  <c r="FB127" i="1"/>
  <c r="FC127" i="1"/>
  <c r="FD127" i="1"/>
  <c r="FE127" i="1"/>
  <c r="FF127" i="1"/>
  <c r="FG127" i="1"/>
  <c r="FH127" i="1"/>
  <c r="FI127" i="1"/>
  <c r="FJ127" i="1"/>
  <c r="FK127" i="1"/>
  <c r="FL127" i="1"/>
  <c r="FM127" i="1"/>
  <c r="FN127" i="1"/>
  <c r="FO127" i="1"/>
  <c r="FP127" i="1"/>
  <c r="FQ127" i="1"/>
  <c r="FR127" i="1"/>
  <c r="FS127" i="1"/>
  <c r="FT127" i="1"/>
  <c r="FU127" i="1"/>
  <c r="FV127" i="1"/>
  <c r="FW127" i="1"/>
  <c r="FX127" i="1"/>
  <c r="FY127" i="1"/>
  <c r="FZ127" i="1"/>
  <c r="GA127" i="1"/>
  <c r="GB127" i="1"/>
  <c r="GC127" i="1"/>
  <c r="GD127" i="1"/>
  <c r="GE127" i="1"/>
  <c r="GF127" i="1"/>
  <c r="GG127" i="1"/>
  <c r="GH127" i="1"/>
  <c r="GI127" i="1"/>
  <c r="GJ127" i="1"/>
  <c r="GK127" i="1"/>
  <c r="GL127" i="1"/>
  <c r="GM127" i="1"/>
  <c r="GN127" i="1"/>
  <c r="GO127" i="1"/>
  <c r="GP127" i="1"/>
  <c r="GQ127" i="1"/>
  <c r="GR127" i="1"/>
  <c r="GS127" i="1"/>
  <c r="GT127" i="1"/>
  <c r="GU127" i="1"/>
  <c r="GV127" i="1"/>
  <c r="GW127" i="1"/>
  <c r="GX127" i="1"/>
  <c r="GY127" i="1"/>
  <c r="GZ127" i="1"/>
  <c r="HA127" i="1"/>
  <c r="HB127" i="1"/>
  <c r="HC127" i="1"/>
  <c r="HD127" i="1"/>
  <c r="HE127" i="1"/>
  <c r="HF127" i="1"/>
  <c r="HG127" i="1"/>
  <c r="HH127" i="1"/>
  <c r="HI127" i="1"/>
  <c r="HJ127" i="1"/>
  <c r="HK127" i="1"/>
  <c r="HL127" i="1"/>
  <c r="HM127" i="1"/>
  <c r="HN127" i="1"/>
  <c r="HO127" i="1"/>
  <c r="HP127" i="1"/>
  <c r="HQ127" i="1"/>
  <c r="HR127" i="1"/>
  <c r="HS127" i="1"/>
  <c r="HT127" i="1"/>
  <c r="HU127" i="1"/>
  <c r="HV127" i="1"/>
  <c r="HW127" i="1"/>
  <c r="HX127" i="1"/>
  <c r="HY127" i="1"/>
  <c r="HZ127" i="1"/>
  <c r="IA127" i="1"/>
  <c r="IB127" i="1"/>
  <c r="IC127" i="1"/>
  <c r="ID127" i="1"/>
  <c r="IE127" i="1"/>
  <c r="IF127" i="1"/>
  <c r="IG127" i="1"/>
  <c r="IH127" i="1"/>
  <c r="II127" i="1"/>
  <c r="IJ127" i="1"/>
  <c r="IK127" i="1"/>
  <c r="IL127" i="1"/>
  <c r="IM127" i="1"/>
  <c r="IN127" i="1"/>
  <c r="IO127" i="1"/>
  <c r="IP127" i="1"/>
  <c r="IQ127" i="1"/>
  <c r="IR127" i="1"/>
  <c r="IS127" i="1"/>
  <c r="IT127" i="1"/>
  <c r="IU127" i="1"/>
  <c r="IV127" i="1"/>
  <c r="IW127" i="1"/>
  <c r="IX127" i="1"/>
  <c r="IY127" i="1"/>
  <c r="IZ127" i="1"/>
  <c r="JA127" i="1"/>
  <c r="JB127" i="1"/>
  <c r="JC127" i="1"/>
  <c r="JD127" i="1"/>
  <c r="JE127" i="1"/>
  <c r="JF127" i="1"/>
  <c r="JG127" i="1"/>
  <c r="JH127" i="1"/>
  <c r="JI127" i="1"/>
  <c r="JJ127" i="1"/>
  <c r="JK127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EW129" i="1"/>
  <c r="EX129" i="1"/>
  <c r="EY129" i="1"/>
  <c r="EZ129" i="1"/>
  <c r="FA129" i="1"/>
  <c r="FB129" i="1"/>
  <c r="FC129" i="1"/>
  <c r="FD129" i="1"/>
  <c r="FE129" i="1"/>
  <c r="FF129" i="1"/>
  <c r="FG129" i="1"/>
  <c r="FH129" i="1"/>
  <c r="FI129" i="1"/>
  <c r="FJ129" i="1"/>
  <c r="FK129" i="1"/>
  <c r="FL129" i="1"/>
  <c r="FM129" i="1"/>
  <c r="FN129" i="1"/>
  <c r="FO129" i="1"/>
  <c r="FP129" i="1"/>
  <c r="FQ129" i="1"/>
  <c r="FR129" i="1"/>
  <c r="FS129" i="1"/>
  <c r="FT129" i="1"/>
  <c r="FU129" i="1"/>
  <c r="FV129" i="1"/>
  <c r="FW129" i="1"/>
  <c r="FX129" i="1"/>
  <c r="FY129" i="1"/>
  <c r="FZ129" i="1"/>
  <c r="GA129" i="1"/>
  <c r="GB129" i="1"/>
  <c r="GC129" i="1"/>
  <c r="GD129" i="1"/>
  <c r="GE129" i="1"/>
  <c r="GF129" i="1"/>
  <c r="GG129" i="1"/>
  <c r="GH129" i="1"/>
  <c r="GI129" i="1"/>
  <c r="GJ129" i="1"/>
  <c r="GK129" i="1"/>
  <c r="GL129" i="1"/>
  <c r="GM129" i="1"/>
  <c r="GN129" i="1"/>
  <c r="GO129" i="1"/>
  <c r="GP129" i="1"/>
  <c r="GQ129" i="1"/>
  <c r="GR129" i="1"/>
  <c r="GS129" i="1"/>
  <c r="GT129" i="1"/>
  <c r="GU129" i="1"/>
  <c r="GV129" i="1"/>
  <c r="GW129" i="1"/>
  <c r="GX129" i="1"/>
  <c r="GY129" i="1"/>
  <c r="GZ129" i="1"/>
  <c r="HA129" i="1"/>
  <c r="HB129" i="1"/>
  <c r="HC129" i="1"/>
  <c r="HD129" i="1"/>
  <c r="HE129" i="1"/>
  <c r="HF129" i="1"/>
  <c r="HG129" i="1"/>
  <c r="HH129" i="1"/>
  <c r="HI129" i="1"/>
  <c r="HJ129" i="1"/>
  <c r="HK129" i="1"/>
  <c r="HL129" i="1"/>
  <c r="HM129" i="1"/>
  <c r="HN129" i="1"/>
  <c r="HO129" i="1"/>
  <c r="HP129" i="1"/>
  <c r="HQ129" i="1"/>
  <c r="HR129" i="1"/>
  <c r="HS129" i="1"/>
  <c r="HT129" i="1"/>
  <c r="HU129" i="1"/>
  <c r="HV129" i="1"/>
  <c r="HW129" i="1"/>
  <c r="HX129" i="1"/>
  <c r="HY129" i="1"/>
  <c r="HZ129" i="1"/>
  <c r="IA129" i="1"/>
  <c r="IB129" i="1"/>
  <c r="IC129" i="1"/>
  <c r="ID129" i="1"/>
  <c r="IE129" i="1"/>
  <c r="IF129" i="1"/>
  <c r="IG129" i="1"/>
  <c r="IH129" i="1"/>
  <c r="II129" i="1"/>
  <c r="IJ129" i="1"/>
  <c r="IK129" i="1"/>
  <c r="IL129" i="1"/>
  <c r="IM129" i="1"/>
  <c r="IN129" i="1"/>
  <c r="IO129" i="1"/>
  <c r="IP129" i="1"/>
  <c r="IQ129" i="1"/>
  <c r="IR129" i="1"/>
  <c r="IS129" i="1"/>
  <c r="IT129" i="1"/>
  <c r="IU129" i="1"/>
  <c r="IV129" i="1"/>
  <c r="IW129" i="1"/>
  <c r="IX129" i="1"/>
  <c r="IY129" i="1"/>
  <c r="IZ129" i="1"/>
  <c r="JA129" i="1"/>
  <c r="JB129" i="1"/>
  <c r="JC129" i="1"/>
  <c r="JD129" i="1"/>
  <c r="JE129" i="1"/>
  <c r="JF129" i="1"/>
  <c r="JG129" i="1"/>
  <c r="JH129" i="1"/>
  <c r="JI129" i="1"/>
  <c r="JJ129" i="1"/>
  <c r="JK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EW130" i="1"/>
  <c r="EX130" i="1"/>
  <c r="EY130" i="1"/>
  <c r="EZ130" i="1"/>
  <c r="FA130" i="1"/>
  <c r="FB130" i="1"/>
  <c r="FC130" i="1"/>
  <c r="FD130" i="1"/>
  <c r="FE130" i="1"/>
  <c r="FF130" i="1"/>
  <c r="FG130" i="1"/>
  <c r="FH130" i="1"/>
  <c r="FI130" i="1"/>
  <c r="FJ130" i="1"/>
  <c r="FK130" i="1"/>
  <c r="FL130" i="1"/>
  <c r="FM130" i="1"/>
  <c r="FN130" i="1"/>
  <c r="FO130" i="1"/>
  <c r="FP130" i="1"/>
  <c r="FQ130" i="1"/>
  <c r="FR130" i="1"/>
  <c r="FS130" i="1"/>
  <c r="FT130" i="1"/>
  <c r="FU130" i="1"/>
  <c r="FV130" i="1"/>
  <c r="FW130" i="1"/>
  <c r="FX130" i="1"/>
  <c r="FY130" i="1"/>
  <c r="FZ130" i="1"/>
  <c r="GA130" i="1"/>
  <c r="GB130" i="1"/>
  <c r="GC130" i="1"/>
  <c r="GD130" i="1"/>
  <c r="GE130" i="1"/>
  <c r="GF130" i="1"/>
  <c r="GG130" i="1"/>
  <c r="GH130" i="1"/>
  <c r="GI130" i="1"/>
  <c r="GJ130" i="1"/>
  <c r="GK130" i="1"/>
  <c r="GL130" i="1"/>
  <c r="GM130" i="1"/>
  <c r="GN130" i="1"/>
  <c r="GO130" i="1"/>
  <c r="GP130" i="1"/>
  <c r="GQ130" i="1"/>
  <c r="GR130" i="1"/>
  <c r="GS130" i="1"/>
  <c r="GT130" i="1"/>
  <c r="GU130" i="1"/>
  <c r="GV130" i="1"/>
  <c r="GW130" i="1"/>
  <c r="GX130" i="1"/>
  <c r="GY130" i="1"/>
  <c r="GZ130" i="1"/>
  <c r="HA130" i="1"/>
  <c r="HB130" i="1"/>
  <c r="HC130" i="1"/>
  <c r="HD130" i="1"/>
  <c r="HE130" i="1"/>
  <c r="HF130" i="1"/>
  <c r="HG130" i="1"/>
  <c r="HH130" i="1"/>
  <c r="HI130" i="1"/>
  <c r="HJ130" i="1"/>
  <c r="HK130" i="1"/>
  <c r="HL130" i="1"/>
  <c r="HM130" i="1"/>
  <c r="HN130" i="1"/>
  <c r="HO130" i="1"/>
  <c r="HP130" i="1"/>
  <c r="HQ130" i="1"/>
  <c r="HR130" i="1"/>
  <c r="HS130" i="1"/>
  <c r="HT130" i="1"/>
  <c r="HU130" i="1"/>
  <c r="HV130" i="1"/>
  <c r="HW130" i="1"/>
  <c r="HX130" i="1"/>
  <c r="HY130" i="1"/>
  <c r="HZ130" i="1"/>
  <c r="IA130" i="1"/>
  <c r="IB130" i="1"/>
  <c r="IC130" i="1"/>
  <c r="ID130" i="1"/>
  <c r="IE130" i="1"/>
  <c r="IF130" i="1"/>
  <c r="IG130" i="1"/>
  <c r="IH130" i="1"/>
  <c r="II130" i="1"/>
  <c r="IJ130" i="1"/>
  <c r="IK130" i="1"/>
  <c r="IL130" i="1"/>
  <c r="IM130" i="1"/>
  <c r="IN130" i="1"/>
  <c r="IO130" i="1"/>
  <c r="IP130" i="1"/>
  <c r="IQ130" i="1"/>
  <c r="IR130" i="1"/>
  <c r="IS130" i="1"/>
  <c r="IT130" i="1"/>
  <c r="IU130" i="1"/>
  <c r="IV130" i="1"/>
  <c r="IW130" i="1"/>
  <c r="IX130" i="1"/>
  <c r="IY130" i="1"/>
  <c r="IZ130" i="1"/>
  <c r="JA130" i="1"/>
  <c r="JB130" i="1"/>
  <c r="JC130" i="1"/>
  <c r="JD130" i="1"/>
  <c r="JE130" i="1"/>
  <c r="JF130" i="1"/>
  <c r="JG130" i="1"/>
  <c r="JH130" i="1"/>
  <c r="JI130" i="1"/>
  <c r="JJ130" i="1"/>
  <c r="JK130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EW132" i="1"/>
  <c r="EX132" i="1"/>
  <c r="EY132" i="1"/>
  <c r="EZ132" i="1"/>
  <c r="FA132" i="1"/>
  <c r="FB132" i="1"/>
  <c r="FC132" i="1"/>
  <c r="FD132" i="1"/>
  <c r="FE132" i="1"/>
  <c r="FF132" i="1"/>
  <c r="FG132" i="1"/>
  <c r="FH132" i="1"/>
  <c r="FI132" i="1"/>
  <c r="FJ132" i="1"/>
  <c r="FK132" i="1"/>
  <c r="FL132" i="1"/>
  <c r="FM132" i="1"/>
  <c r="FN132" i="1"/>
  <c r="FO132" i="1"/>
  <c r="FP132" i="1"/>
  <c r="FQ132" i="1"/>
  <c r="FR132" i="1"/>
  <c r="FS132" i="1"/>
  <c r="FT132" i="1"/>
  <c r="FU132" i="1"/>
  <c r="FV132" i="1"/>
  <c r="FW132" i="1"/>
  <c r="FX132" i="1"/>
  <c r="FY132" i="1"/>
  <c r="FZ132" i="1"/>
  <c r="GA132" i="1"/>
  <c r="GB132" i="1"/>
  <c r="GC132" i="1"/>
  <c r="GD132" i="1"/>
  <c r="GE132" i="1"/>
  <c r="GF132" i="1"/>
  <c r="GG132" i="1"/>
  <c r="GH132" i="1"/>
  <c r="GI132" i="1"/>
  <c r="GJ132" i="1"/>
  <c r="GK132" i="1"/>
  <c r="GL132" i="1"/>
  <c r="GM132" i="1"/>
  <c r="GN132" i="1"/>
  <c r="GO132" i="1"/>
  <c r="GP132" i="1"/>
  <c r="GQ132" i="1"/>
  <c r="GR132" i="1"/>
  <c r="GS132" i="1"/>
  <c r="GT132" i="1"/>
  <c r="GU132" i="1"/>
  <c r="GV132" i="1"/>
  <c r="GW132" i="1"/>
  <c r="GX132" i="1"/>
  <c r="GY132" i="1"/>
  <c r="GZ132" i="1"/>
  <c r="HA132" i="1"/>
  <c r="HB132" i="1"/>
  <c r="HC132" i="1"/>
  <c r="HD132" i="1"/>
  <c r="HE132" i="1"/>
  <c r="HF132" i="1"/>
  <c r="HG132" i="1"/>
  <c r="HH132" i="1"/>
  <c r="HI132" i="1"/>
  <c r="HJ132" i="1"/>
  <c r="HK132" i="1"/>
  <c r="HL132" i="1"/>
  <c r="HM132" i="1"/>
  <c r="HN132" i="1"/>
  <c r="HO132" i="1"/>
  <c r="HP132" i="1"/>
  <c r="HQ132" i="1"/>
  <c r="HR132" i="1"/>
  <c r="HS132" i="1"/>
  <c r="HT132" i="1"/>
  <c r="HU132" i="1"/>
  <c r="HV132" i="1"/>
  <c r="HW132" i="1"/>
  <c r="HX132" i="1"/>
  <c r="HY132" i="1"/>
  <c r="HZ132" i="1"/>
  <c r="IA132" i="1"/>
  <c r="IB132" i="1"/>
  <c r="IC132" i="1"/>
  <c r="ID132" i="1"/>
  <c r="IE132" i="1"/>
  <c r="IF132" i="1"/>
  <c r="IG132" i="1"/>
  <c r="IH132" i="1"/>
  <c r="II132" i="1"/>
  <c r="IJ132" i="1"/>
  <c r="IK132" i="1"/>
  <c r="IL132" i="1"/>
  <c r="IM132" i="1"/>
  <c r="IN132" i="1"/>
  <c r="IO132" i="1"/>
  <c r="IP132" i="1"/>
  <c r="IQ132" i="1"/>
  <c r="IR132" i="1"/>
  <c r="IS132" i="1"/>
  <c r="IT132" i="1"/>
  <c r="IU132" i="1"/>
  <c r="IV132" i="1"/>
  <c r="IW132" i="1"/>
  <c r="IX132" i="1"/>
  <c r="IY132" i="1"/>
  <c r="IZ132" i="1"/>
  <c r="JA132" i="1"/>
  <c r="JB132" i="1"/>
  <c r="JC132" i="1"/>
  <c r="JD132" i="1"/>
  <c r="JE132" i="1"/>
  <c r="JF132" i="1"/>
  <c r="JG132" i="1"/>
  <c r="JH132" i="1"/>
  <c r="JI132" i="1"/>
  <c r="JJ132" i="1"/>
  <c r="JK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EW133" i="1"/>
  <c r="EX133" i="1"/>
  <c r="EY133" i="1"/>
  <c r="EZ133" i="1"/>
  <c r="FA133" i="1"/>
  <c r="FB133" i="1"/>
  <c r="FC133" i="1"/>
  <c r="FD133" i="1"/>
  <c r="FE133" i="1"/>
  <c r="FF133" i="1"/>
  <c r="FG133" i="1"/>
  <c r="FH133" i="1"/>
  <c r="FI133" i="1"/>
  <c r="FJ133" i="1"/>
  <c r="FK133" i="1"/>
  <c r="FL133" i="1"/>
  <c r="FM133" i="1"/>
  <c r="FN133" i="1"/>
  <c r="FO133" i="1"/>
  <c r="FP133" i="1"/>
  <c r="FQ133" i="1"/>
  <c r="FR133" i="1"/>
  <c r="FS133" i="1"/>
  <c r="FT133" i="1"/>
  <c r="FU133" i="1"/>
  <c r="FV133" i="1"/>
  <c r="FW133" i="1"/>
  <c r="FX133" i="1"/>
  <c r="FY133" i="1"/>
  <c r="FZ133" i="1"/>
  <c r="GA133" i="1"/>
  <c r="GB133" i="1"/>
  <c r="GC133" i="1"/>
  <c r="GD133" i="1"/>
  <c r="GE133" i="1"/>
  <c r="GF133" i="1"/>
  <c r="GG133" i="1"/>
  <c r="GH133" i="1"/>
  <c r="GI133" i="1"/>
  <c r="GJ133" i="1"/>
  <c r="GK133" i="1"/>
  <c r="GL133" i="1"/>
  <c r="GM133" i="1"/>
  <c r="GN133" i="1"/>
  <c r="GO133" i="1"/>
  <c r="GP133" i="1"/>
  <c r="GQ133" i="1"/>
  <c r="GR133" i="1"/>
  <c r="GS133" i="1"/>
  <c r="GT133" i="1"/>
  <c r="GU133" i="1"/>
  <c r="GV133" i="1"/>
  <c r="GW133" i="1"/>
  <c r="GX133" i="1"/>
  <c r="GY133" i="1"/>
  <c r="GZ133" i="1"/>
  <c r="HA133" i="1"/>
  <c r="HB133" i="1"/>
  <c r="HC133" i="1"/>
  <c r="HD133" i="1"/>
  <c r="HE133" i="1"/>
  <c r="HF133" i="1"/>
  <c r="HG133" i="1"/>
  <c r="HH133" i="1"/>
  <c r="HI133" i="1"/>
  <c r="HJ133" i="1"/>
  <c r="HK133" i="1"/>
  <c r="HL133" i="1"/>
  <c r="HM133" i="1"/>
  <c r="HN133" i="1"/>
  <c r="HO133" i="1"/>
  <c r="HP133" i="1"/>
  <c r="HQ133" i="1"/>
  <c r="HR133" i="1"/>
  <c r="HS133" i="1"/>
  <c r="HT133" i="1"/>
  <c r="HU133" i="1"/>
  <c r="HV133" i="1"/>
  <c r="HW133" i="1"/>
  <c r="HX133" i="1"/>
  <c r="HY133" i="1"/>
  <c r="HZ133" i="1"/>
  <c r="IA133" i="1"/>
  <c r="IB133" i="1"/>
  <c r="IC133" i="1"/>
  <c r="ID133" i="1"/>
  <c r="IE133" i="1"/>
  <c r="IF133" i="1"/>
  <c r="IG133" i="1"/>
  <c r="IH133" i="1"/>
  <c r="II133" i="1"/>
  <c r="IJ133" i="1"/>
  <c r="IK133" i="1"/>
  <c r="IL133" i="1"/>
  <c r="IM133" i="1"/>
  <c r="IN133" i="1"/>
  <c r="IO133" i="1"/>
  <c r="IP133" i="1"/>
  <c r="IQ133" i="1"/>
  <c r="IR133" i="1"/>
  <c r="IS133" i="1"/>
  <c r="IT133" i="1"/>
  <c r="IU133" i="1"/>
  <c r="IV133" i="1"/>
  <c r="IW133" i="1"/>
  <c r="IX133" i="1"/>
  <c r="IY133" i="1"/>
  <c r="IZ133" i="1"/>
  <c r="JA133" i="1"/>
  <c r="JB133" i="1"/>
  <c r="JC133" i="1"/>
  <c r="JD133" i="1"/>
  <c r="JE133" i="1"/>
  <c r="JF133" i="1"/>
  <c r="JG133" i="1"/>
  <c r="JH133" i="1"/>
  <c r="JI133" i="1"/>
  <c r="JJ133" i="1"/>
  <c r="JK133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EW135" i="1"/>
  <c r="EX135" i="1"/>
  <c r="EY135" i="1"/>
  <c r="EZ135" i="1"/>
  <c r="FA135" i="1"/>
  <c r="FB135" i="1"/>
  <c r="FC135" i="1"/>
  <c r="FD135" i="1"/>
  <c r="FE135" i="1"/>
  <c r="FF135" i="1"/>
  <c r="FG135" i="1"/>
  <c r="FH135" i="1"/>
  <c r="FI135" i="1"/>
  <c r="FJ135" i="1"/>
  <c r="FK135" i="1"/>
  <c r="FL135" i="1"/>
  <c r="FM135" i="1"/>
  <c r="FN135" i="1"/>
  <c r="FO135" i="1"/>
  <c r="FP135" i="1"/>
  <c r="FQ135" i="1"/>
  <c r="FR135" i="1"/>
  <c r="FS135" i="1"/>
  <c r="FT135" i="1"/>
  <c r="FU135" i="1"/>
  <c r="FV135" i="1"/>
  <c r="FW135" i="1"/>
  <c r="FX135" i="1"/>
  <c r="FY135" i="1"/>
  <c r="FZ135" i="1"/>
  <c r="GA135" i="1"/>
  <c r="GB135" i="1"/>
  <c r="GC135" i="1"/>
  <c r="GD135" i="1"/>
  <c r="GE135" i="1"/>
  <c r="GF135" i="1"/>
  <c r="GG135" i="1"/>
  <c r="GH135" i="1"/>
  <c r="GI135" i="1"/>
  <c r="GJ135" i="1"/>
  <c r="GK135" i="1"/>
  <c r="GL135" i="1"/>
  <c r="GM135" i="1"/>
  <c r="GN135" i="1"/>
  <c r="GO135" i="1"/>
  <c r="GP135" i="1"/>
  <c r="GQ135" i="1"/>
  <c r="GR135" i="1"/>
  <c r="GS135" i="1"/>
  <c r="GT135" i="1"/>
  <c r="GU135" i="1"/>
  <c r="GV135" i="1"/>
  <c r="GW135" i="1"/>
  <c r="GX135" i="1"/>
  <c r="GY135" i="1"/>
  <c r="GZ135" i="1"/>
  <c r="HA135" i="1"/>
  <c r="HB135" i="1"/>
  <c r="HC135" i="1"/>
  <c r="HD135" i="1"/>
  <c r="HE135" i="1"/>
  <c r="HF135" i="1"/>
  <c r="HG135" i="1"/>
  <c r="HH135" i="1"/>
  <c r="HI135" i="1"/>
  <c r="HJ135" i="1"/>
  <c r="HK135" i="1"/>
  <c r="HL135" i="1"/>
  <c r="HM135" i="1"/>
  <c r="HN135" i="1"/>
  <c r="HO135" i="1"/>
  <c r="HP135" i="1"/>
  <c r="HQ135" i="1"/>
  <c r="HR135" i="1"/>
  <c r="HS135" i="1"/>
  <c r="HT135" i="1"/>
  <c r="HU135" i="1"/>
  <c r="HV135" i="1"/>
  <c r="HW135" i="1"/>
  <c r="HX135" i="1"/>
  <c r="HY135" i="1"/>
  <c r="HZ135" i="1"/>
  <c r="IA135" i="1"/>
  <c r="IB135" i="1"/>
  <c r="IC135" i="1"/>
  <c r="ID135" i="1"/>
  <c r="IE135" i="1"/>
  <c r="IF135" i="1"/>
  <c r="IG135" i="1"/>
  <c r="IH135" i="1"/>
  <c r="II135" i="1"/>
  <c r="IJ135" i="1"/>
  <c r="IK135" i="1"/>
  <c r="IL135" i="1"/>
  <c r="IM135" i="1"/>
  <c r="IN135" i="1"/>
  <c r="IO135" i="1"/>
  <c r="IP135" i="1"/>
  <c r="IQ135" i="1"/>
  <c r="IR135" i="1"/>
  <c r="IS135" i="1"/>
  <c r="IT135" i="1"/>
  <c r="IU135" i="1"/>
  <c r="IV135" i="1"/>
  <c r="IW135" i="1"/>
  <c r="IX135" i="1"/>
  <c r="IY135" i="1"/>
  <c r="IZ135" i="1"/>
  <c r="JA135" i="1"/>
  <c r="JB135" i="1"/>
  <c r="JC135" i="1"/>
  <c r="JD135" i="1"/>
  <c r="JE135" i="1"/>
  <c r="JF135" i="1"/>
  <c r="JG135" i="1"/>
  <c r="JH135" i="1"/>
  <c r="JI135" i="1"/>
  <c r="JJ135" i="1"/>
  <c r="JK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EW136" i="1"/>
  <c r="EX136" i="1"/>
  <c r="EY136" i="1"/>
  <c r="EZ136" i="1"/>
  <c r="FA136" i="1"/>
  <c r="FB136" i="1"/>
  <c r="FC136" i="1"/>
  <c r="FD136" i="1"/>
  <c r="FE136" i="1"/>
  <c r="FF136" i="1"/>
  <c r="FG136" i="1"/>
  <c r="FH136" i="1"/>
  <c r="FI136" i="1"/>
  <c r="FJ136" i="1"/>
  <c r="FK136" i="1"/>
  <c r="FL136" i="1"/>
  <c r="FM136" i="1"/>
  <c r="FN136" i="1"/>
  <c r="FO136" i="1"/>
  <c r="FP136" i="1"/>
  <c r="FQ136" i="1"/>
  <c r="FR136" i="1"/>
  <c r="FS136" i="1"/>
  <c r="FT136" i="1"/>
  <c r="FU136" i="1"/>
  <c r="FV136" i="1"/>
  <c r="FW136" i="1"/>
  <c r="FX136" i="1"/>
  <c r="FY136" i="1"/>
  <c r="FZ136" i="1"/>
  <c r="GA136" i="1"/>
  <c r="GB136" i="1"/>
  <c r="GC136" i="1"/>
  <c r="GD136" i="1"/>
  <c r="GE136" i="1"/>
  <c r="GF136" i="1"/>
  <c r="GG136" i="1"/>
  <c r="GH136" i="1"/>
  <c r="GI136" i="1"/>
  <c r="GJ136" i="1"/>
  <c r="GK136" i="1"/>
  <c r="GL136" i="1"/>
  <c r="GM136" i="1"/>
  <c r="GN136" i="1"/>
  <c r="GO136" i="1"/>
  <c r="GP136" i="1"/>
  <c r="GQ136" i="1"/>
  <c r="GR136" i="1"/>
  <c r="GS136" i="1"/>
  <c r="GT136" i="1"/>
  <c r="GU136" i="1"/>
  <c r="GV136" i="1"/>
  <c r="GW136" i="1"/>
  <c r="GX136" i="1"/>
  <c r="GY136" i="1"/>
  <c r="GZ136" i="1"/>
  <c r="HA136" i="1"/>
  <c r="HB136" i="1"/>
  <c r="HC136" i="1"/>
  <c r="HD136" i="1"/>
  <c r="HE136" i="1"/>
  <c r="HF136" i="1"/>
  <c r="HG136" i="1"/>
  <c r="HH136" i="1"/>
  <c r="HI136" i="1"/>
  <c r="HJ136" i="1"/>
  <c r="HK136" i="1"/>
  <c r="HL136" i="1"/>
  <c r="HM136" i="1"/>
  <c r="HN136" i="1"/>
  <c r="HO136" i="1"/>
  <c r="HP136" i="1"/>
  <c r="HQ136" i="1"/>
  <c r="HR136" i="1"/>
  <c r="HS136" i="1"/>
  <c r="HT136" i="1"/>
  <c r="HU136" i="1"/>
  <c r="HV136" i="1"/>
  <c r="HW136" i="1"/>
  <c r="HX136" i="1"/>
  <c r="HY136" i="1"/>
  <c r="HZ136" i="1"/>
  <c r="IA136" i="1"/>
  <c r="IB136" i="1"/>
  <c r="IC136" i="1"/>
  <c r="ID136" i="1"/>
  <c r="IE136" i="1"/>
  <c r="IF136" i="1"/>
  <c r="IG136" i="1"/>
  <c r="IH136" i="1"/>
  <c r="II136" i="1"/>
  <c r="IJ136" i="1"/>
  <c r="IK136" i="1"/>
  <c r="IL136" i="1"/>
  <c r="IM136" i="1"/>
  <c r="IN136" i="1"/>
  <c r="IO136" i="1"/>
  <c r="IP136" i="1"/>
  <c r="IQ136" i="1"/>
  <c r="IR136" i="1"/>
  <c r="IS136" i="1"/>
  <c r="IT136" i="1"/>
  <c r="IU136" i="1"/>
  <c r="IV136" i="1"/>
  <c r="IW136" i="1"/>
  <c r="IX136" i="1"/>
  <c r="IY136" i="1"/>
  <c r="IZ136" i="1"/>
  <c r="JA136" i="1"/>
  <c r="JB136" i="1"/>
  <c r="JC136" i="1"/>
  <c r="JD136" i="1"/>
  <c r="JE136" i="1"/>
  <c r="JF136" i="1"/>
  <c r="JG136" i="1"/>
  <c r="JH136" i="1"/>
  <c r="JI136" i="1"/>
  <c r="JJ136" i="1"/>
  <c r="JK136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EW138" i="1"/>
  <c r="EX138" i="1"/>
  <c r="EY138" i="1"/>
  <c r="EZ138" i="1"/>
  <c r="FA138" i="1"/>
  <c r="FB138" i="1"/>
  <c r="FC138" i="1"/>
  <c r="FD138" i="1"/>
  <c r="FE138" i="1"/>
  <c r="FF138" i="1"/>
  <c r="FG138" i="1"/>
  <c r="FH138" i="1"/>
  <c r="FI138" i="1"/>
  <c r="FJ138" i="1"/>
  <c r="FK138" i="1"/>
  <c r="FL138" i="1"/>
  <c r="FM138" i="1"/>
  <c r="FN138" i="1"/>
  <c r="FO138" i="1"/>
  <c r="FP138" i="1"/>
  <c r="FQ138" i="1"/>
  <c r="FR138" i="1"/>
  <c r="FS138" i="1"/>
  <c r="FT138" i="1"/>
  <c r="FU138" i="1"/>
  <c r="FV138" i="1"/>
  <c r="FW138" i="1"/>
  <c r="FX138" i="1"/>
  <c r="FY138" i="1"/>
  <c r="FZ138" i="1"/>
  <c r="GA138" i="1"/>
  <c r="GB138" i="1"/>
  <c r="GC138" i="1"/>
  <c r="GD138" i="1"/>
  <c r="GE138" i="1"/>
  <c r="GF138" i="1"/>
  <c r="GG138" i="1"/>
  <c r="GH138" i="1"/>
  <c r="GI138" i="1"/>
  <c r="GJ138" i="1"/>
  <c r="GK138" i="1"/>
  <c r="GL138" i="1"/>
  <c r="GM138" i="1"/>
  <c r="GN138" i="1"/>
  <c r="GO138" i="1"/>
  <c r="GP138" i="1"/>
  <c r="GQ138" i="1"/>
  <c r="GR138" i="1"/>
  <c r="GS138" i="1"/>
  <c r="GT138" i="1"/>
  <c r="GU138" i="1"/>
  <c r="GV138" i="1"/>
  <c r="GW138" i="1"/>
  <c r="GX138" i="1"/>
  <c r="GY138" i="1"/>
  <c r="GZ138" i="1"/>
  <c r="HA138" i="1"/>
  <c r="HB138" i="1"/>
  <c r="HC138" i="1"/>
  <c r="HD138" i="1"/>
  <c r="HE138" i="1"/>
  <c r="HF138" i="1"/>
  <c r="HG138" i="1"/>
  <c r="HH138" i="1"/>
  <c r="HI138" i="1"/>
  <c r="HJ138" i="1"/>
  <c r="HK138" i="1"/>
  <c r="HL138" i="1"/>
  <c r="HM138" i="1"/>
  <c r="HN138" i="1"/>
  <c r="HO138" i="1"/>
  <c r="HP138" i="1"/>
  <c r="HQ138" i="1"/>
  <c r="HR138" i="1"/>
  <c r="HS138" i="1"/>
  <c r="HT138" i="1"/>
  <c r="HU138" i="1"/>
  <c r="HV138" i="1"/>
  <c r="HW138" i="1"/>
  <c r="HX138" i="1"/>
  <c r="HY138" i="1"/>
  <c r="HZ138" i="1"/>
  <c r="IA138" i="1"/>
  <c r="IB138" i="1"/>
  <c r="IC138" i="1"/>
  <c r="ID138" i="1"/>
  <c r="IE138" i="1"/>
  <c r="IF138" i="1"/>
  <c r="IG138" i="1"/>
  <c r="IH138" i="1"/>
  <c r="II138" i="1"/>
  <c r="IJ138" i="1"/>
  <c r="IK138" i="1"/>
  <c r="IL138" i="1"/>
  <c r="IM138" i="1"/>
  <c r="IN138" i="1"/>
  <c r="IO138" i="1"/>
  <c r="IP138" i="1"/>
  <c r="IQ138" i="1"/>
  <c r="IR138" i="1"/>
  <c r="IS138" i="1"/>
  <c r="IT138" i="1"/>
  <c r="IU138" i="1"/>
  <c r="IV138" i="1"/>
  <c r="IW138" i="1"/>
  <c r="IX138" i="1"/>
  <c r="IY138" i="1"/>
  <c r="IZ138" i="1"/>
  <c r="JA138" i="1"/>
  <c r="JB138" i="1"/>
  <c r="JC138" i="1"/>
  <c r="JD138" i="1"/>
  <c r="JE138" i="1"/>
  <c r="JF138" i="1"/>
  <c r="JG138" i="1"/>
  <c r="JH138" i="1"/>
  <c r="JI138" i="1"/>
  <c r="JJ138" i="1"/>
  <c r="JK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EW139" i="1"/>
  <c r="EX139" i="1"/>
  <c r="EY139" i="1"/>
  <c r="EZ139" i="1"/>
  <c r="FA139" i="1"/>
  <c r="FB139" i="1"/>
  <c r="FC139" i="1"/>
  <c r="FD139" i="1"/>
  <c r="FE139" i="1"/>
  <c r="FF139" i="1"/>
  <c r="FG139" i="1"/>
  <c r="FH139" i="1"/>
  <c r="FI139" i="1"/>
  <c r="FJ139" i="1"/>
  <c r="FK139" i="1"/>
  <c r="FL139" i="1"/>
  <c r="FM139" i="1"/>
  <c r="FN139" i="1"/>
  <c r="FO139" i="1"/>
  <c r="FP139" i="1"/>
  <c r="FQ139" i="1"/>
  <c r="FR139" i="1"/>
  <c r="FS139" i="1"/>
  <c r="FT139" i="1"/>
  <c r="FU139" i="1"/>
  <c r="FV139" i="1"/>
  <c r="FW139" i="1"/>
  <c r="FX139" i="1"/>
  <c r="FY139" i="1"/>
  <c r="FZ139" i="1"/>
  <c r="GA139" i="1"/>
  <c r="GB139" i="1"/>
  <c r="GC139" i="1"/>
  <c r="GD139" i="1"/>
  <c r="GE139" i="1"/>
  <c r="GF139" i="1"/>
  <c r="GG139" i="1"/>
  <c r="GH139" i="1"/>
  <c r="GI139" i="1"/>
  <c r="GJ139" i="1"/>
  <c r="GK139" i="1"/>
  <c r="GL139" i="1"/>
  <c r="GM139" i="1"/>
  <c r="GN139" i="1"/>
  <c r="GO139" i="1"/>
  <c r="GP139" i="1"/>
  <c r="GQ139" i="1"/>
  <c r="GR139" i="1"/>
  <c r="GS139" i="1"/>
  <c r="GT139" i="1"/>
  <c r="GU139" i="1"/>
  <c r="GV139" i="1"/>
  <c r="GW139" i="1"/>
  <c r="GX139" i="1"/>
  <c r="GY139" i="1"/>
  <c r="GZ139" i="1"/>
  <c r="HA139" i="1"/>
  <c r="HB139" i="1"/>
  <c r="HC139" i="1"/>
  <c r="HD139" i="1"/>
  <c r="HE139" i="1"/>
  <c r="HF139" i="1"/>
  <c r="HG139" i="1"/>
  <c r="HH139" i="1"/>
  <c r="HI139" i="1"/>
  <c r="HJ139" i="1"/>
  <c r="HK139" i="1"/>
  <c r="HL139" i="1"/>
  <c r="HM139" i="1"/>
  <c r="HN139" i="1"/>
  <c r="HO139" i="1"/>
  <c r="HP139" i="1"/>
  <c r="HQ139" i="1"/>
  <c r="HR139" i="1"/>
  <c r="HS139" i="1"/>
  <c r="HT139" i="1"/>
  <c r="HU139" i="1"/>
  <c r="HV139" i="1"/>
  <c r="HW139" i="1"/>
  <c r="HX139" i="1"/>
  <c r="HY139" i="1"/>
  <c r="HZ139" i="1"/>
  <c r="IA139" i="1"/>
  <c r="IB139" i="1"/>
  <c r="IC139" i="1"/>
  <c r="ID139" i="1"/>
  <c r="IE139" i="1"/>
  <c r="IF139" i="1"/>
  <c r="IG139" i="1"/>
  <c r="IH139" i="1"/>
  <c r="II139" i="1"/>
  <c r="IJ139" i="1"/>
  <c r="IK139" i="1"/>
  <c r="IL139" i="1"/>
  <c r="IM139" i="1"/>
  <c r="IN139" i="1"/>
  <c r="IO139" i="1"/>
  <c r="IP139" i="1"/>
  <c r="IQ139" i="1"/>
  <c r="IR139" i="1"/>
  <c r="IS139" i="1"/>
  <c r="IT139" i="1"/>
  <c r="IU139" i="1"/>
  <c r="IV139" i="1"/>
  <c r="IW139" i="1"/>
  <c r="IX139" i="1"/>
  <c r="IY139" i="1"/>
  <c r="IZ139" i="1"/>
  <c r="JA139" i="1"/>
  <c r="JB139" i="1"/>
  <c r="JC139" i="1"/>
  <c r="JD139" i="1"/>
  <c r="JE139" i="1"/>
  <c r="JF139" i="1"/>
  <c r="JG139" i="1"/>
  <c r="JH139" i="1"/>
  <c r="JI139" i="1"/>
  <c r="JJ139" i="1"/>
  <c r="JK139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EW141" i="1"/>
  <c r="EX141" i="1"/>
  <c r="EY141" i="1"/>
  <c r="EZ141" i="1"/>
  <c r="FA141" i="1"/>
  <c r="FB141" i="1"/>
  <c r="FC141" i="1"/>
  <c r="FD141" i="1"/>
  <c r="FE141" i="1"/>
  <c r="FF141" i="1"/>
  <c r="FG141" i="1"/>
  <c r="FH141" i="1"/>
  <c r="FI141" i="1"/>
  <c r="FJ141" i="1"/>
  <c r="FK141" i="1"/>
  <c r="FL141" i="1"/>
  <c r="FM141" i="1"/>
  <c r="FN141" i="1"/>
  <c r="FO141" i="1"/>
  <c r="FP141" i="1"/>
  <c r="FQ141" i="1"/>
  <c r="FR141" i="1"/>
  <c r="FS141" i="1"/>
  <c r="FT141" i="1"/>
  <c r="FU141" i="1"/>
  <c r="FV141" i="1"/>
  <c r="FW141" i="1"/>
  <c r="FX141" i="1"/>
  <c r="FY141" i="1"/>
  <c r="FZ141" i="1"/>
  <c r="GA141" i="1"/>
  <c r="GB141" i="1"/>
  <c r="GC141" i="1"/>
  <c r="GD141" i="1"/>
  <c r="GE141" i="1"/>
  <c r="GF141" i="1"/>
  <c r="GG141" i="1"/>
  <c r="GH141" i="1"/>
  <c r="GI141" i="1"/>
  <c r="GJ141" i="1"/>
  <c r="GK141" i="1"/>
  <c r="GL141" i="1"/>
  <c r="GM141" i="1"/>
  <c r="GN141" i="1"/>
  <c r="GO141" i="1"/>
  <c r="GP141" i="1"/>
  <c r="GQ141" i="1"/>
  <c r="GR141" i="1"/>
  <c r="GS141" i="1"/>
  <c r="GT141" i="1"/>
  <c r="GU141" i="1"/>
  <c r="GV141" i="1"/>
  <c r="GW141" i="1"/>
  <c r="GX141" i="1"/>
  <c r="GY141" i="1"/>
  <c r="GZ141" i="1"/>
  <c r="HA141" i="1"/>
  <c r="HB141" i="1"/>
  <c r="HC141" i="1"/>
  <c r="HD141" i="1"/>
  <c r="HE141" i="1"/>
  <c r="HF141" i="1"/>
  <c r="HG141" i="1"/>
  <c r="HH141" i="1"/>
  <c r="HI141" i="1"/>
  <c r="HJ141" i="1"/>
  <c r="HK141" i="1"/>
  <c r="HL141" i="1"/>
  <c r="HM141" i="1"/>
  <c r="HN141" i="1"/>
  <c r="HO141" i="1"/>
  <c r="HP141" i="1"/>
  <c r="HQ141" i="1"/>
  <c r="HR141" i="1"/>
  <c r="HS141" i="1"/>
  <c r="HT141" i="1"/>
  <c r="HU141" i="1"/>
  <c r="HV141" i="1"/>
  <c r="HW141" i="1"/>
  <c r="HX141" i="1"/>
  <c r="HY141" i="1"/>
  <c r="HZ141" i="1"/>
  <c r="IA141" i="1"/>
  <c r="IB141" i="1"/>
  <c r="IC141" i="1"/>
  <c r="ID141" i="1"/>
  <c r="IE141" i="1"/>
  <c r="IF141" i="1"/>
  <c r="IG141" i="1"/>
  <c r="IH141" i="1"/>
  <c r="II141" i="1"/>
  <c r="IJ141" i="1"/>
  <c r="IK141" i="1"/>
  <c r="IL141" i="1"/>
  <c r="IM141" i="1"/>
  <c r="IN141" i="1"/>
  <c r="IO141" i="1"/>
  <c r="IP141" i="1"/>
  <c r="IQ141" i="1"/>
  <c r="IR141" i="1"/>
  <c r="IS141" i="1"/>
  <c r="IT141" i="1"/>
  <c r="IU141" i="1"/>
  <c r="IV141" i="1"/>
  <c r="IW141" i="1"/>
  <c r="IX141" i="1"/>
  <c r="IY141" i="1"/>
  <c r="IZ141" i="1"/>
  <c r="JA141" i="1"/>
  <c r="JB141" i="1"/>
  <c r="JC141" i="1"/>
  <c r="JD141" i="1"/>
  <c r="JE141" i="1"/>
  <c r="JF141" i="1"/>
  <c r="JG141" i="1"/>
  <c r="JH141" i="1"/>
  <c r="JI141" i="1"/>
  <c r="JJ141" i="1"/>
  <c r="JK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EW142" i="1"/>
  <c r="EX142" i="1"/>
  <c r="EY142" i="1"/>
  <c r="EZ142" i="1"/>
  <c r="FA142" i="1"/>
  <c r="FB142" i="1"/>
  <c r="FC142" i="1"/>
  <c r="FD142" i="1"/>
  <c r="FE142" i="1"/>
  <c r="FF142" i="1"/>
  <c r="FG142" i="1"/>
  <c r="FH142" i="1"/>
  <c r="FI142" i="1"/>
  <c r="FJ142" i="1"/>
  <c r="FK142" i="1"/>
  <c r="FL142" i="1"/>
  <c r="FM142" i="1"/>
  <c r="FN142" i="1"/>
  <c r="FO142" i="1"/>
  <c r="FP142" i="1"/>
  <c r="FQ142" i="1"/>
  <c r="FR142" i="1"/>
  <c r="FS142" i="1"/>
  <c r="FT142" i="1"/>
  <c r="FU142" i="1"/>
  <c r="FV142" i="1"/>
  <c r="FW142" i="1"/>
  <c r="FX142" i="1"/>
  <c r="FY142" i="1"/>
  <c r="FZ142" i="1"/>
  <c r="GA142" i="1"/>
  <c r="GB142" i="1"/>
  <c r="GC142" i="1"/>
  <c r="GD142" i="1"/>
  <c r="GE142" i="1"/>
  <c r="GF142" i="1"/>
  <c r="GG142" i="1"/>
  <c r="GH142" i="1"/>
  <c r="GI142" i="1"/>
  <c r="GJ142" i="1"/>
  <c r="GK142" i="1"/>
  <c r="GL142" i="1"/>
  <c r="GM142" i="1"/>
  <c r="GN142" i="1"/>
  <c r="GO142" i="1"/>
  <c r="GP142" i="1"/>
  <c r="GQ142" i="1"/>
  <c r="GR142" i="1"/>
  <c r="GS142" i="1"/>
  <c r="GT142" i="1"/>
  <c r="GU142" i="1"/>
  <c r="GV142" i="1"/>
  <c r="GW142" i="1"/>
  <c r="GX142" i="1"/>
  <c r="GY142" i="1"/>
  <c r="GZ142" i="1"/>
  <c r="HA142" i="1"/>
  <c r="HB142" i="1"/>
  <c r="HC142" i="1"/>
  <c r="HD142" i="1"/>
  <c r="HE142" i="1"/>
  <c r="HF142" i="1"/>
  <c r="HG142" i="1"/>
  <c r="HH142" i="1"/>
  <c r="HI142" i="1"/>
  <c r="HJ142" i="1"/>
  <c r="HK142" i="1"/>
  <c r="HL142" i="1"/>
  <c r="HM142" i="1"/>
  <c r="HN142" i="1"/>
  <c r="HO142" i="1"/>
  <c r="HP142" i="1"/>
  <c r="HQ142" i="1"/>
  <c r="HR142" i="1"/>
  <c r="HS142" i="1"/>
  <c r="HT142" i="1"/>
  <c r="HU142" i="1"/>
  <c r="HV142" i="1"/>
  <c r="HW142" i="1"/>
  <c r="HX142" i="1"/>
  <c r="HY142" i="1"/>
  <c r="HZ142" i="1"/>
  <c r="IA142" i="1"/>
  <c r="IB142" i="1"/>
  <c r="IC142" i="1"/>
  <c r="ID142" i="1"/>
  <c r="IE142" i="1"/>
  <c r="IF142" i="1"/>
  <c r="IG142" i="1"/>
  <c r="IH142" i="1"/>
  <c r="II142" i="1"/>
  <c r="IJ142" i="1"/>
  <c r="IK142" i="1"/>
  <c r="IL142" i="1"/>
  <c r="IM142" i="1"/>
  <c r="IN142" i="1"/>
  <c r="IO142" i="1"/>
  <c r="IP142" i="1"/>
  <c r="IQ142" i="1"/>
  <c r="IR142" i="1"/>
  <c r="IS142" i="1"/>
  <c r="IT142" i="1"/>
  <c r="IU142" i="1"/>
  <c r="IV142" i="1"/>
  <c r="IW142" i="1"/>
  <c r="IX142" i="1"/>
  <c r="IY142" i="1"/>
  <c r="IZ142" i="1"/>
  <c r="JA142" i="1"/>
  <c r="JB142" i="1"/>
  <c r="JC142" i="1"/>
  <c r="JD142" i="1"/>
  <c r="JE142" i="1"/>
  <c r="JF142" i="1"/>
  <c r="JG142" i="1"/>
  <c r="JH142" i="1"/>
  <c r="JI142" i="1"/>
  <c r="JJ142" i="1"/>
  <c r="JK142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EW144" i="1"/>
  <c r="EX144" i="1"/>
  <c r="EY144" i="1"/>
  <c r="EZ144" i="1"/>
  <c r="FA144" i="1"/>
  <c r="FB144" i="1"/>
  <c r="FC144" i="1"/>
  <c r="FD144" i="1"/>
  <c r="FE144" i="1"/>
  <c r="FF144" i="1"/>
  <c r="FG144" i="1"/>
  <c r="FH144" i="1"/>
  <c r="FI144" i="1"/>
  <c r="FJ144" i="1"/>
  <c r="FK144" i="1"/>
  <c r="FL144" i="1"/>
  <c r="FM144" i="1"/>
  <c r="FN144" i="1"/>
  <c r="FO144" i="1"/>
  <c r="FP144" i="1"/>
  <c r="FQ144" i="1"/>
  <c r="FR144" i="1"/>
  <c r="FS144" i="1"/>
  <c r="FT144" i="1"/>
  <c r="FU144" i="1"/>
  <c r="FV144" i="1"/>
  <c r="FW144" i="1"/>
  <c r="FX144" i="1"/>
  <c r="FY144" i="1"/>
  <c r="FZ144" i="1"/>
  <c r="GA144" i="1"/>
  <c r="GB144" i="1"/>
  <c r="GC144" i="1"/>
  <c r="GD144" i="1"/>
  <c r="GE144" i="1"/>
  <c r="GF144" i="1"/>
  <c r="GG144" i="1"/>
  <c r="GH144" i="1"/>
  <c r="GI144" i="1"/>
  <c r="GJ144" i="1"/>
  <c r="GK144" i="1"/>
  <c r="GL144" i="1"/>
  <c r="GM144" i="1"/>
  <c r="GN144" i="1"/>
  <c r="GO144" i="1"/>
  <c r="GP144" i="1"/>
  <c r="GQ144" i="1"/>
  <c r="GR144" i="1"/>
  <c r="GS144" i="1"/>
  <c r="GT144" i="1"/>
  <c r="GU144" i="1"/>
  <c r="GV144" i="1"/>
  <c r="GW144" i="1"/>
  <c r="GX144" i="1"/>
  <c r="GY144" i="1"/>
  <c r="GZ144" i="1"/>
  <c r="HA144" i="1"/>
  <c r="HB144" i="1"/>
  <c r="HC144" i="1"/>
  <c r="HD144" i="1"/>
  <c r="HE144" i="1"/>
  <c r="HF144" i="1"/>
  <c r="HG144" i="1"/>
  <c r="HH144" i="1"/>
  <c r="HI144" i="1"/>
  <c r="HJ144" i="1"/>
  <c r="HK144" i="1"/>
  <c r="HL144" i="1"/>
  <c r="HM144" i="1"/>
  <c r="HN144" i="1"/>
  <c r="HO144" i="1"/>
  <c r="HP144" i="1"/>
  <c r="HQ144" i="1"/>
  <c r="HR144" i="1"/>
  <c r="HS144" i="1"/>
  <c r="HT144" i="1"/>
  <c r="HU144" i="1"/>
  <c r="HV144" i="1"/>
  <c r="HW144" i="1"/>
  <c r="HX144" i="1"/>
  <c r="HY144" i="1"/>
  <c r="HZ144" i="1"/>
  <c r="IA144" i="1"/>
  <c r="IB144" i="1"/>
  <c r="IC144" i="1"/>
  <c r="ID144" i="1"/>
  <c r="IE144" i="1"/>
  <c r="IF144" i="1"/>
  <c r="IG144" i="1"/>
  <c r="IH144" i="1"/>
  <c r="II144" i="1"/>
  <c r="IJ144" i="1"/>
  <c r="IK144" i="1"/>
  <c r="IL144" i="1"/>
  <c r="IM144" i="1"/>
  <c r="IN144" i="1"/>
  <c r="IO144" i="1"/>
  <c r="IP144" i="1"/>
  <c r="IQ144" i="1"/>
  <c r="IR144" i="1"/>
  <c r="IS144" i="1"/>
  <c r="IT144" i="1"/>
  <c r="IU144" i="1"/>
  <c r="IV144" i="1"/>
  <c r="IW144" i="1"/>
  <c r="IX144" i="1"/>
  <c r="IY144" i="1"/>
  <c r="IZ144" i="1"/>
  <c r="JA144" i="1"/>
  <c r="JB144" i="1"/>
  <c r="JC144" i="1"/>
  <c r="JD144" i="1"/>
  <c r="JE144" i="1"/>
  <c r="JF144" i="1"/>
  <c r="JG144" i="1"/>
  <c r="JH144" i="1"/>
  <c r="JI144" i="1"/>
  <c r="JJ144" i="1"/>
  <c r="JK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EW145" i="1"/>
  <c r="EX145" i="1"/>
  <c r="EY145" i="1"/>
  <c r="EZ145" i="1"/>
  <c r="FA145" i="1"/>
  <c r="FB145" i="1"/>
  <c r="FC145" i="1"/>
  <c r="FD145" i="1"/>
  <c r="FE145" i="1"/>
  <c r="FF145" i="1"/>
  <c r="FG145" i="1"/>
  <c r="FH145" i="1"/>
  <c r="FI145" i="1"/>
  <c r="FJ145" i="1"/>
  <c r="FK145" i="1"/>
  <c r="FL145" i="1"/>
  <c r="FM145" i="1"/>
  <c r="FN145" i="1"/>
  <c r="FO145" i="1"/>
  <c r="FP145" i="1"/>
  <c r="FQ145" i="1"/>
  <c r="FR145" i="1"/>
  <c r="FS145" i="1"/>
  <c r="FT145" i="1"/>
  <c r="FU145" i="1"/>
  <c r="FV145" i="1"/>
  <c r="FW145" i="1"/>
  <c r="FX145" i="1"/>
  <c r="FY145" i="1"/>
  <c r="FZ145" i="1"/>
  <c r="GA145" i="1"/>
  <c r="GB145" i="1"/>
  <c r="GC145" i="1"/>
  <c r="GD145" i="1"/>
  <c r="GE145" i="1"/>
  <c r="GF145" i="1"/>
  <c r="GG145" i="1"/>
  <c r="GH145" i="1"/>
  <c r="GI145" i="1"/>
  <c r="GJ145" i="1"/>
  <c r="GK145" i="1"/>
  <c r="GL145" i="1"/>
  <c r="GM145" i="1"/>
  <c r="GN145" i="1"/>
  <c r="GO145" i="1"/>
  <c r="GP145" i="1"/>
  <c r="GQ145" i="1"/>
  <c r="GR145" i="1"/>
  <c r="GS145" i="1"/>
  <c r="GT145" i="1"/>
  <c r="GU145" i="1"/>
  <c r="GV145" i="1"/>
  <c r="GW145" i="1"/>
  <c r="GX145" i="1"/>
  <c r="GY145" i="1"/>
  <c r="GZ145" i="1"/>
  <c r="HA145" i="1"/>
  <c r="HB145" i="1"/>
  <c r="HC145" i="1"/>
  <c r="HD145" i="1"/>
  <c r="HE145" i="1"/>
  <c r="HF145" i="1"/>
  <c r="HG145" i="1"/>
  <c r="HH145" i="1"/>
  <c r="HI145" i="1"/>
  <c r="HJ145" i="1"/>
  <c r="HK145" i="1"/>
  <c r="HL145" i="1"/>
  <c r="HM145" i="1"/>
  <c r="HN145" i="1"/>
  <c r="HO145" i="1"/>
  <c r="HP145" i="1"/>
  <c r="HQ145" i="1"/>
  <c r="HR145" i="1"/>
  <c r="HS145" i="1"/>
  <c r="HT145" i="1"/>
  <c r="HU145" i="1"/>
  <c r="HV145" i="1"/>
  <c r="HW145" i="1"/>
  <c r="HX145" i="1"/>
  <c r="HY145" i="1"/>
  <c r="HZ145" i="1"/>
  <c r="IA145" i="1"/>
  <c r="IB145" i="1"/>
  <c r="IC145" i="1"/>
  <c r="ID145" i="1"/>
  <c r="IE145" i="1"/>
  <c r="IF145" i="1"/>
  <c r="IG145" i="1"/>
  <c r="IH145" i="1"/>
  <c r="II145" i="1"/>
  <c r="IJ145" i="1"/>
  <c r="IK145" i="1"/>
  <c r="IL145" i="1"/>
  <c r="IM145" i="1"/>
  <c r="IN145" i="1"/>
  <c r="IO145" i="1"/>
  <c r="IP145" i="1"/>
  <c r="IQ145" i="1"/>
  <c r="IR145" i="1"/>
  <c r="IS145" i="1"/>
  <c r="IT145" i="1"/>
  <c r="IU145" i="1"/>
  <c r="IV145" i="1"/>
  <c r="IW145" i="1"/>
  <c r="IX145" i="1"/>
  <c r="IY145" i="1"/>
  <c r="IZ145" i="1"/>
  <c r="JA145" i="1"/>
  <c r="JB145" i="1"/>
  <c r="JC145" i="1"/>
  <c r="JD145" i="1"/>
  <c r="JE145" i="1"/>
  <c r="JF145" i="1"/>
  <c r="JG145" i="1"/>
  <c r="JH145" i="1"/>
  <c r="JI145" i="1"/>
  <c r="JJ145" i="1"/>
  <c r="JK145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EW147" i="1"/>
  <c r="EX147" i="1"/>
  <c r="EY147" i="1"/>
  <c r="EZ147" i="1"/>
  <c r="FA147" i="1"/>
  <c r="FB147" i="1"/>
  <c r="FC147" i="1"/>
  <c r="FD147" i="1"/>
  <c r="FE147" i="1"/>
  <c r="FF147" i="1"/>
  <c r="FG147" i="1"/>
  <c r="FH147" i="1"/>
  <c r="FI147" i="1"/>
  <c r="FJ147" i="1"/>
  <c r="FK147" i="1"/>
  <c r="FL147" i="1"/>
  <c r="FM147" i="1"/>
  <c r="FN147" i="1"/>
  <c r="FO147" i="1"/>
  <c r="FP147" i="1"/>
  <c r="FQ147" i="1"/>
  <c r="FR147" i="1"/>
  <c r="FS147" i="1"/>
  <c r="FT147" i="1"/>
  <c r="FU147" i="1"/>
  <c r="FV147" i="1"/>
  <c r="FW147" i="1"/>
  <c r="FX147" i="1"/>
  <c r="FY147" i="1"/>
  <c r="FZ147" i="1"/>
  <c r="GA147" i="1"/>
  <c r="GB147" i="1"/>
  <c r="GC147" i="1"/>
  <c r="GD147" i="1"/>
  <c r="GE147" i="1"/>
  <c r="GF147" i="1"/>
  <c r="GG147" i="1"/>
  <c r="GH147" i="1"/>
  <c r="GI147" i="1"/>
  <c r="GJ147" i="1"/>
  <c r="GK147" i="1"/>
  <c r="GL147" i="1"/>
  <c r="GM147" i="1"/>
  <c r="GN147" i="1"/>
  <c r="GO147" i="1"/>
  <c r="GP147" i="1"/>
  <c r="GQ147" i="1"/>
  <c r="GR147" i="1"/>
  <c r="GS147" i="1"/>
  <c r="GT147" i="1"/>
  <c r="GU147" i="1"/>
  <c r="GV147" i="1"/>
  <c r="GW147" i="1"/>
  <c r="GX147" i="1"/>
  <c r="GY147" i="1"/>
  <c r="GZ147" i="1"/>
  <c r="HA147" i="1"/>
  <c r="HB147" i="1"/>
  <c r="HC147" i="1"/>
  <c r="HD147" i="1"/>
  <c r="HE147" i="1"/>
  <c r="HF147" i="1"/>
  <c r="HG147" i="1"/>
  <c r="HH147" i="1"/>
  <c r="HI147" i="1"/>
  <c r="HJ147" i="1"/>
  <c r="HK147" i="1"/>
  <c r="HL147" i="1"/>
  <c r="HM147" i="1"/>
  <c r="HN147" i="1"/>
  <c r="HO147" i="1"/>
  <c r="HP147" i="1"/>
  <c r="HQ147" i="1"/>
  <c r="HR147" i="1"/>
  <c r="HS147" i="1"/>
  <c r="HT147" i="1"/>
  <c r="HU147" i="1"/>
  <c r="HV147" i="1"/>
  <c r="HW147" i="1"/>
  <c r="HX147" i="1"/>
  <c r="HY147" i="1"/>
  <c r="HZ147" i="1"/>
  <c r="IA147" i="1"/>
  <c r="IB147" i="1"/>
  <c r="IC147" i="1"/>
  <c r="ID147" i="1"/>
  <c r="IE147" i="1"/>
  <c r="IF147" i="1"/>
  <c r="IG147" i="1"/>
  <c r="IH147" i="1"/>
  <c r="II147" i="1"/>
  <c r="IJ147" i="1"/>
  <c r="IK147" i="1"/>
  <c r="IL147" i="1"/>
  <c r="IM147" i="1"/>
  <c r="IN147" i="1"/>
  <c r="IO147" i="1"/>
  <c r="IP147" i="1"/>
  <c r="IQ147" i="1"/>
  <c r="IR147" i="1"/>
  <c r="IS147" i="1"/>
  <c r="IT147" i="1"/>
  <c r="IU147" i="1"/>
  <c r="IV147" i="1"/>
  <c r="IW147" i="1"/>
  <c r="IX147" i="1"/>
  <c r="IY147" i="1"/>
  <c r="IZ147" i="1"/>
  <c r="JA147" i="1"/>
  <c r="JB147" i="1"/>
  <c r="JC147" i="1"/>
  <c r="JD147" i="1"/>
  <c r="JE147" i="1"/>
  <c r="JF147" i="1"/>
  <c r="JG147" i="1"/>
  <c r="JH147" i="1"/>
  <c r="JI147" i="1"/>
  <c r="JJ147" i="1"/>
  <c r="JK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EW148" i="1"/>
  <c r="EX148" i="1"/>
  <c r="EY148" i="1"/>
  <c r="EZ148" i="1"/>
  <c r="FA148" i="1"/>
  <c r="FB148" i="1"/>
  <c r="FC148" i="1"/>
  <c r="FD148" i="1"/>
  <c r="FE148" i="1"/>
  <c r="FF148" i="1"/>
  <c r="FG148" i="1"/>
  <c r="FH148" i="1"/>
  <c r="FI148" i="1"/>
  <c r="FJ148" i="1"/>
  <c r="FK148" i="1"/>
  <c r="FL148" i="1"/>
  <c r="FM148" i="1"/>
  <c r="FN148" i="1"/>
  <c r="FO148" i="1"/>
  <c r="FP148" i="1"/>
  <c r="FQ148" i="1"/>
  <c r="FR148" i="1"/>
  <c r="FS148" i="1"/>
  <c r="FT148" i="1"/>
  <c r="FU148" i="1"/>
  <c r="FV148" i="1"/>
  <c r="FW148" i="1"/>
  <c r="FX148" i="1"/>
  <c r="FY148" i="1"/>
  <c r="FZ148" i="1"/>
  <c r="GA148" i="1"/>
  <c r="GB148" i="1"/>
  <c r="GC148" i="1"/>
  <c r="GD148" i="1"/>
  <c r="GE148" i="1"/>
  <c r="GF148" i="1"/>
  <c r="GG148" i="1"/>
  <c r="GH148" i="1"/>
  <c r="GI148" i="1"/>
  <c r="GJ148" i="1"/>
  <c r="GK148" i="1"/>
  <c r="GL148" i="1"/>
  <c r="GM148" i="1"/>
  <c r="GN148" i="1"/>
  <c r="GO148" i="1"/>
  <c r="GP148" i="1"/>
  <c r="GQ148" i="1"/>
  <c r="GR148" i="1"/>
  <c r="GS148" i="1"/>
  <c r="GT148" i="1"/>
  <c r="GU148" i="1"/>
  <c r="GV148" i="1"/>
  <c r="GW148" i="1"/>
  <c r="GX148" i="1"/>
  <c r="GY148" i="1"/>
  <c r="GZ148" i="1"/>
  <c r="HA148" i="1"/>
  <c r="HB148" i="1"/>
  <c r="HC148" i="1"/>
  <c r="HD148" i="1"/>
  <c r="HE148" i="1"/>
  <c r="HF148" i="1"/>
  <c r="HG148" i="1"/>
  <c r="HH148" i="1"/>
  <c r="HI148" i="1"/>
  <c r="HJ148" i="1"/>
  <c r="HK148" i="1"/>
  <c r="HL148" i="1"/>
  <c r="HM148" i="1"/>
  <c r="HN148" i="1"/>
  <c r="HO148" i="1"/>
  <c r="HP148" i="1"/>
  <c r="HQ148" i="1"/>
  <c r="HR148" i="1"/>
  <c r="HS148" i="1"/>
  <c r="HT148" i="1"/>
  <c r="HU148" i="1"/>
  <c r="HV148" i="1"/>
  <c r="HW148" i="1"/>
  <c r="HX148" i="1"/>
  <c r="HY148" i="1"/>
  <c r="HZ148" i="1"/>
  <c r="IA148" i="1"/>
  <c r="IB148" i="1"/>
  <c r="IC148" i="1"/>
  <c r="ID148" i="1"/>
  <c r="IE148" i="1"/>
  <c r="IF148" i="1"/>
  <c r="IG148" i="1"/>
  <c r="IH148" i="1"/>
  <c r="II148" i="1"/>
  <c r="IJ148" i="1"/>
  <c r="IK148" i="1"/>
  <c r="IL148" i="1"/>
  <c r="IM148" i="1"/>
  <c r="IN148" i="1"/>
  <c r="IO148" i="1"/>
  <c r="IP148" i="1"/>
  <c r="IQ148" i="1"/>
  <c r="IR148" i="1"/>
  <c r="IS148" i="1"/>
  <c r="IT148" i="1"/>
  <c r="IU148" i="1"/>
  <c r="IV148" i="1"/>
  <c r="IW148" i="1"/>
  <c r="IX148" i="1"/>
  <c r="IY148" i="1"/>
  <c r="IZ148" i="1"/>
  <c r="JA148" i="1"/>
  <c r="JB148" i="1"/>
  <c r="JC148" i="1"/>
  <c r="JD148" i="1"/>
  <c r="JE148" i="1"/>
  <c r="JF148" i="1"/>
  <c r="JG148" i="1"/>
  <c r="JH148" i="1"/>
  <c r="JI148" i="1"/>
  <c r="JJ148" i="1"/>
  <c r="JK148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EW150" i="1"/>
  <c r="EX150" i="1"/>
  <c r="EY150" i="1"/>
  <c r="EZ150" i="1"/>
  <c r="FA150" i="1"/>
  <c r="FB150" i="1"/>
  <c r="FC150" i="1"/>
  <c r="FD150" i="1"/>
  <c r="FE150" i="1"/>
  <c r="FF150" i="1"/>
  <c r="FG150" i="1"/>
  <c r="FH150" i="1"/>
  <c r="FI150" i="1"/>
  <c r="FJ150" i="1"/>
  <c r="FK150" i="1"/>
  <c r="FL150" i="1"/>
  <c r="FM150" i="1"/>
  <c r="FN150" i="1"/>
  <c r="FO150" i="1"/>
  <c r="FP150" i="1"/>
  <c r="FQ150" i="1"/>
  <c r="FR150" i="1"/>
  <c r="FS150" i="1"/>
  <c r="FT150" i="1"/>
  <c r="FU150" i="1"/>
  <c r="FV150" i="1"/>
  <c r="FW150" i="1"/>
  <c r="FX150" i="1"/>
  <c r="FY150" i="1"/>
  <c r="FZ150" i="1"/>
  <c r="GA150" i="1"/>
  <c r="GB150" i="1"/>
  <c r="GC150" i="1"/>
  <c r="GD150" i="1"/>
  <c r="GE150" i="1"/>
  <c r="GF150" i="1"/>
  <c r="GG150" i="1"/>
  <c r="GH150" i="1"/>
  <c r="GI150" i="1"/>
  <c r="GJ150" i="1"/>
  <c r="GK150" i="1"/>
  <c r="GL150" i="1"/>
  <c r="GM150" i="1"/>
  <c r="GN150" i="1"/>
  <c r="GO150" i="1"/>
  <c r="GP150" i="1"/>
  <c r="GQ150" i="1"/>
  <c r="GR150" i="1"/>
  <c r="GS150" i="1"/>
  <c r="GT150" i="1"/>
  <c r="GU150" i="1"/>
  <c r="GV150" i="1"/>
  <c r="GW150" i="1"/>
  <c r="GX150" i="1"/>
  <c r="GY150" i="1"/>
  <c r="GZ150" i="1"/>
  <c r="HA150" i="1"/>
  <c r="HB150" i="1"/>
  <c r="HC150" i="1"/>
  <c r="HD150" i="1"/>
  <c r="HE150" i="1"/>
  <c r="HF150" i="1"/>
  <c r="HG150" i="1"/>
  <c r="HH150" i="1"/>
  <c r="HI150" i="1"/>
  <c r="HJ150" i="1"/>
  <c r="HK150" i="1"/>
  <c r="HL150" i="1"/>
  <c r="HM150" i="1"/>
  <c r="HN150" i="1"/>
  <c r="HO150" i="1"/>
  <c r="HP150" i="1"/>
  <c r="HQ150" i="1"/>
  <c r="HR150" i="1"/>
  <c r="HS150" i="1"/>
  <c r="HT150" i="1"/>
  <c r="HU150" i="1"/>
  <c r="HV150" i="1"/>
  <c r="HW150" i="1"/>
  <c r="HX150" i="1"/>
  <c r="HY150" i="1"/>
  <c r="HZ150" i="1"/>
  <c r="IA150" i="1"/>
  <c r="IB150" i="1"/>
  <c r="IC150" i="1"/>
  <c r="ID150" i="1"/>
  <c r="IE150" i="1"/>
  <c r="IF150" i="1"/>
  <c r="IG150" i="1"/>
  <c r="IH150" i="1"/>
  <c r="II150" i="1"/>
  <c r="IJ150" i="1"/>
  <c r="IK150" i="1"/>
  <c r="IL150" i="1"/>
  <c r="IM150" i="1"/>
  <c r="IN150" i="1"/>
  <c r="IO150" i="1"/>
  <c r="IP150" i="1"/>
  <c r="IQ150" i="1"/>
  <c r="IR150" i="1"/>
  <c r="IS150" i="1"/>
  <c r="IT150" i="1"/>
  <c r="IU150" i="1"/>
  <c r="IV150" i="1"/>
  <c r="IW150" i="1"/>
  <c r="IX150" i="1"/>
  <c r="IY150" i="1"/>
  <c r="IZ150" i="1"/>
  <c r="JA150" i="1"/>
  <c r="JB150" i="1"/>
  <c r="JC150" i="1"/>
  <c r="JD150" i="1"/>
  <c r="JE150" i="1"/>
  <c r="JF150" i="1"/>
  <c r="JG150" i="1"/>
  <c r="JH150" i="1"/>
  <c r="JI150" i="1"/>
  <c r="JJ150" i="1"/>
  <c r="JK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EW151" i="1"/>
  <c r="EX151" i="1"/>
  <c r="EY151" i="1"/>
  <c r="EZ151" i="1"/>
  <c r="FA151" i="1"/>
  <c r="FB151" i="1"/>
  <c r="FC151" i="1"/>
  <c r="FD151" i="1"/>
  <c r="FE151" i="1"/>
  <c r="FF151" i="1"/>
  <c r="FG151" i="1"/>
  <c r="FH151" i="1"/>
  <c r="FI151" i="1"/>
  <c r="FJ151" i="1"/>
  <c r="FK151" i="1"/>
  <c r="FL151" i="1"/>
  <c r="FM151" i="1"/>
  <c r="FN151" i="1"/>
  <c r="FO151" i="1"/>
  <c r="FP151" i="1"/>
  <c r="FQ151" i="1"/>
  <c r="FR151" i="1"/>
  <c r="FS151" i="1"/>
  <c r="FT151" i="1"/>
  <c r="FU151" i="1"/>
  <c r="FV151" i="1"/>
  <c r="FW151" i="1"/>
  <c r="FX151" i="1"/>
  <c r="FY151" i="1"/>
  <c r="FZ151" i="1"/>
  <c r="GA151" i="1"/>
  <c r="GB151" i="1"/>
  <c r="GC151" i="1"/>
  <c r="GD151" i="1"/>
  <c r="GE151" i="1"/>
  <c r="GF151" i="1"/>
  <c r="GG151" i="1"/>
  <c r="GH151" i="1"/>
  <c r="GI151" i="1"/>
  <c r="GJ151" i="1"/>
  <c r="GK151" i="1"/>
  <c r="GL151" i="1"/>
  <c r="GM151" i="1"/>
  <c r="GN151" i="1"/>
  <c r="GO151" i="1"/>
  <c r="GP151" i="1"/>
  <c r="GQ151" i="1"/>
  <c r="GR151" i="1"/>
  <c r="GS151" i="1"/>
  <c r="GT151" i="1"/>
  <c r="GU151" i="1"/>
  <c r="GV151" i="1"/>
  <c r="GW151" i="1"/>
  <c r="GX151" i="1"/>
  <c r="GY151" i="1"/>
  <c r="GZ151" i="1"/>
  <c r="HA151" i="1"/>
  <c r="HB151" i="1"/>
  <c r="HC151" i="1"/>
  <c r="HD151" i="1"/>
  <c r="HE151" i="1"/>
  <c r="HF151" i="1"/>
  <c r="HG151" i="1"/>
  <c r="HH151" i="1"/>
  <c r="HI151" i="1"/>
  <c r="HJ151" i="1"/>
  <c r="HK151" i="1"/>
  <c r="HL151" i="1"/>
  <c r="HM151" i="1"/>
  <c r="HN151" i="1"/>
  <c r="HO151" i="1"/>
  <c r="HP151" i="1"/>
  <c r="HQ151" i="1"/>
  <c r="HR151" i="1"/>
  <c r="HS151" i="1"/>
  <c r="HT151" i="1"/>
  <c r="HU151" i="1"/>
  <c r="HV151" i="1"/>
  <c r="HW151" i="1"/>
  <c r="HX151" i="1"/>
  <c r="HY151" i="1"/>
  <c r="HZ151" i="1"/>
  <c r="IA151" i="1"/>
  <c r="IB151" i="1"/>
  <c r="IC151" i="1"/>
  <c r="ID151" i="1"/>
  <c r="IE151" i="1"/>
  <c r="IF151" i="1"/>
  <c r="IG151" i="1"/>
  <c r="IH151" i="1"/>
  <c r="II151" i="1"/>
  <c r="IJ151" i="1"/>
  <c r="IK151" i="1"/>
  <c r="IL151" i="1"/>
  <c r="IM151" i="1"/>
  <c r="IN151" i="1"/>
  <c r="IO151" i="1"/>
  <c r="IP151" i="1"/>
  <c r="IQ151" i="1"/>
  <c r="IR151" i="1"/>
  <c r="IS151" i="1"/>
  <c r="IT151" i="1"/>
  <c r="IU151" i="1"/>
  <c r="IV151" i="1"/>
  <c r="IW151" i="1"/>
  <c r="IX151" i="1"/>
  <c r="IY151" i="1"/>
  <c r="IZ151" i="1"/>
  <c r="JA151" i="1"/>
  <c r="JB151" i="1"/>
  <c r="JC151" i="1"/>
  <c r="JD151" i="1"/>
  <c r="JE151" i="1"/>
  <c r="JF151" i="1"/>
  <c r="JG151" i="1"/>
  <c r="JH151" i="1"/>
  <c r="JI151" i="1"/>
  <c r="JJ151" i="1"/>
  <c r="JK151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EW153" i="1"/>
  <c r="EX153" i="1"/>
  <c r="EY153" i="1"/>
  <c r="EZ153" i="1"/>
  <c r="FA153" i="1"/>
  <c r="FB153" i="1"/>
  <c r="FC153" i="1"/>
  <c r="FD153" i="1"/>
  <c r="FE153" i="1"/>
  <c r="FF153" i="1"/>
  <c r="FG153" i="1"/>
  <c r="FH153" i="1"/>
  <c r="FI153" i="1"/>
  <c r="FJ153" i="1"/>
  <c r="FK153" i="1"/>
  <c r="FL153" i="1"/>
  <c r="FM153" i="1"/>
  <c r="FN153" i="1"/>
  <c r="FO153" i="1"/>
  <c r="FP153" i="1"/>
  <c r="FQ153" i="1"/>
  <c r="FR153" i="1"/>
  <c r="FS153" i="1"/>
  <c r="FT153" i="1"/>
  <c r="FU153" i="1"/>
  <c r="FV153" i="1"/>
  <c r="FW153" i="1"/>
  <c r="FX153" i="1"/>
  <c r="FY153" i="1"/>
  <c r="FZ153" i="1"/>
  <c r="GA153" i="1"/>
  <c r="GB153" i="1"/>
  <c r="GC153" i="1"/>
  <c r="GD153" i="1"/>
  <c r="GE153" i="1"/>
  <c r="GF153" i="1"/>
  <c r="GG153" i="1"/>
  <c r="GH153" i="1"/>
  <c r="GI153" i="1"/>
  <c r="GJ153" i="1"/>
  <c r="GK153" i="1"/>
  <c r="GL153" i="1"/>
  <c r="GM153" i="1"/>
  <c r="GN153" i="1"/>
  <c r="GO153" i="1"/>
  <c r="GP153" i="1"/>
  <c r="GQ153" i="1"/>
  <c r="GR153" i="1"/>
  <c r="GS153" i="1"/>
  <c r="GT153" i="1"/>
  <c r="GU153" i="1"/>
  <c r="GV153" i="1"/>
  <c r="GW153" i="1"/>
  <c r="GX153" i="1"/>
  <c r="GY153" i="1"/>
  <c r="GZ153" i="1"/>
  <c r="HA153" i="1"/>
  <c r="HB153" i="1"/>
  <c r="HC153" i="1"/>
  <c r="HD153" i="1"/>
  <c r="HE153" i="1"/>
  <c r="HF153" i="1"/>
  <c r="HG153" i="1"/>
  <c r="HH153" i="1"/>
  <c r="HI153" i="1"/>
  <c r="HJ153" i="1"/>
  <c r="HK153" i="1"/>
  <c r="HL153" i="1"/>
  <c r="HM153" i="1"/>
  <c r="HN153" i="1"/>
  <c r="HO153" i="1"/>
  <c r="HP153" i="1"/>
  <c r="HQ153" i="1"/>
  <c r="HR153" i="1"/>
  <c r="HS153" i="1"/>
  <c r="HT153" i="1"/>
  <c r="HU153" i="1"/>
  <c r="HV153" i="1"/>
  <c r="HW153" i="1"/>
  <c r="HX153" i="1"/>
  <c r="HY153" i="1"/>
  <c r="HZ153" i="1"/>
  <c r="IA153" i="1"/>
  <c r="IB153" i="1"/>
  <c r="IC153" i="1"/>
  <c r="ID153" i="1"/>
  <c r="IE153" i="1"/>
  <c r="IF153" i="1"/>
  <c r="IG153" i="1"/>
  <c r="IH153" i="1"/>
  <c r="II153" i="1"/>
  <c r="IJ153" i="1"/>
  <c r="IK153" i="1"/>
  <c r="IL153" i="1"/>
  <c r="IM153" i="1"/>
  <c r="IN153" i="1"/>
  <c r="IO153" i="1"/>
  <c r="IP153" i="1"/>
  <c r="IQ153" i="1"/>
  <c r="IR153" i="1"/>
  <c r="IS153" i="1"/>
  <c r="IT153" i="1"/>
  <c r="IU153" i="1"/>
  <c r="IV153" i="1"/>
  <c r="IW153" i="1"/>
  <c r="IX153" i="1"/>
  <c r="IY153" i="1"/>
  <c r="IZ153" i="1"/>
  <c r="JA153" i="1"/>
  <c r="JB153" i="1"/>
  <c r="JC153" i="1"/>
  <c r="JD153" i="1"/>
  <c r="JE153" i="1"/>
  <c r="JF153" i="1"/>
  <c r="JG153" i="1"/>
  <c r="JH153" i="1"/>
  <c r="JI153" i="1"/>
  <c r="JJ153" i="1"/>
  <c r="JK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EW154" i="1"/>
  <c r="EX154" i="1"/>
  <c r="EY154" i="1"/>
  <c r="EZ154" i="1"/>
  <c r="FA154" i="1"/>
  <c r="FB154" i="1"/>
  <c r="FC154" i="1"/>
  <c r="FD154" i="1"/>
  <c r="FE154" i="1"/>
  <c r="FF154" i="1"/>
  <c r="FG154" i="1"/>
  <c r="FH154" i="1"/>
  <c r="FI154" i="1"/>
  <c r="FJ154" i="1"/>
  <c r="FK154" i="1"/>
  <c r="FL154" i="1"/>
  <c r="FM154" i="1"/>
  <c r="FN154" i="1"/>
  <c r="FO154" i="1"/>
  <c r="FP154" i="1"/>
  <c r="FQ154" i="1"/>
  <c r="FR154" i="1"/>
  <c r="FS154" i="1"/>
  <c r="FT154" i="1"/>
  <c r="FU154" i="1"/>
  <c r="FV154" i="1"/>
  <c r="FW154" i="1"/>
  <c r="FX154" i="1"/>
  <c r="FY154" i="1"/>
  <c r="FZ154" i="1"/>
  <c r="GA154" i="1"/>
  <c r="GB154" i="1"/>
  <c r="GC154" i="1"/>
  <c r="GD154" i="1"/>
  <c r="GE154" i="1"/>
  <c r="GF154" i="1"/>
  <c r="GG154" i="1"/>
  <c r="GH154" i="1"/>
  <c r="GI154" i="1"/>
  <c r="GJ154" i="1"/>
  <c r="GK154" i="1"/>
  <c r="GL154" i="1"/>
  <c r="GM154" i="1"/>
  <c r="GN154" i="1"/>
  <c r="GO154" i="1"/>
  <c r="GP154" i="1"/>
  <c r="GQ154" i="1"/>
  <c r="GR154" i="1"/>
  <c r="GS154" i="1"/>
  <c r="GT154" i="1"/>
  <c r="GU154" i="1"/>
  <c r="GV154" i="1"/>
  <c r="GW154" i="1"/>
  <c r="GX154" i="1"/>
  <c r="GY154" i="1"/>
  <c r="GZ154" i="1"/>
  <c r="HA154" i="1"/>
  <c r="HB154" i="1"/>
  <c r="HC154" i="1"/>
  <c r="HD154" i="1"/>
  <c r="HE154" i="1"/>
  <c r="HF154" i="1"/>
  <c r="HG154" i="1"/>
  <c r="HH154" i="1"/>
  <c r="HI154" i="1"/>
  <c r="HJ154" i="1"/>
  <c r="HK154" i="1"/>
  <c r="HL154" i="1"/>
  <c r="HM154" i="1"/>
  <c r="HN154" i="1"/>
  <c r="HO154" i="1"/>
  <c r="HP154" i="1"/>
  <c r="HQ154" i="1"/>
  <c r="HR154" i="1"/>
  <c r="HS154" i="1"/>
  <c r="HT154" i="1"/>
  <c r="HU154" i="1"/>
  <c r="HV154" i="1"/>
  <c r="HW154" i="1"/>
  <c r="HX154" i="1"/>
  <c r="HY154" i="1"/>
  <c r="HZ154" i="1"/>
  <c r="IA154" i="1"/>
  <c r="IB154" i="1"/>
  <c r="IC154" i="1"/>
  <c r="ID154" i="1"/>
  <c r="IE154" i="1"/>
  <c r="IF154" i="1"/>
  <c r="IG154" i="1"/>
  <c r="IH154" i="1"/>
  <c r="II154" i="1"/>
  <c r="IJ154" i="1"/>
  <c r="IK154" i="1"/>
  <c r="IL154" i="1"/>
  <c r="IM154" i="1"/>
  <c r="IN154" i="1"/>
  <c r="IO154" i="1"/>
  <c r="IP154" i="1"/>
  <c r="IQ154" i="1"/>
  <c r="IR154" i="1"/>
  <c r="IS154" i="1"/>
  <c r="IT154" i="1"/>
  <c r="IU154" i="1"/>
  <c r="IV154" i="1"/>
  <c r="IW154" i="1"/>
  <c r="IX154" i="1"/>
  <c r="IY154" i="1"/>
  <c r="IZ154" i="1"/>
  <c r="JA154" i="1"/>
  <c r="JB154" i="1"/>
  <c r="JC154" i="1"/>
  <c r="JD154" i="1"/>
  <c r="JE154" i="1"/>
  <c r="JF154" i="1"/>
  <c r="JG154" i="1"/>
  <c r="JH154" i="1"/>
  <c r="JI154" i="1"/>
  <c r="JJ154" i="1"/>
  <c r="JK154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EW156" i="1"/>
  <c r="EX156" i="1"/>
  <c r="EY156" i="1"/>
  <c r="EZ156" i="1"/>
  <c r="FA156" i="1"/>
  <c r="FB156" i="1"/>
  <c r="FC156" i="1"/>
  <c r="FD156" i="1"/>
  <c r="FE156" i="1"/>
  <c r="FF156" i="1"/>
  <c r="FG156" i="1"/>
  <c r="FH156" i="1"/>
  <c r="FI156" i="1"/>
  <c r="FJ156" i="1"/>
  <c r="FK156" i="1"/>
  <c r="FL156" i="1"/>
  <c r="FM156" i="1"/>
  <c r="FN156" i="1"/>
  <c r="FO156" i="1"/>
  <c r="FP156" i="1"/>
  <c r="FQ156" i="1"/>
  <c r="FR156" i="1"/>
  <c r="FS156" i="1"/>
  <c r="FT156" i="1"/>
  <c r="FU156" i="1"/>
  <c r="FV156" i="1"/>
  <c r="FW156" i="1"/>
  <c r="FX156" i="1"/>
  <c r="FY156" i="1"/>
  <c r="FZ156" i="1"/>
  <c r="GA156" i="1"/>
  <c r="GB156" i="1"/>
  <c r="GC156" i="1"/>
  <c r="GD156" i="1"/>
  <c r="GE156" i="1"/>
  <c r="GF156" i="1"/>
  <c r="GG156" i="1"/>
  <c r="GH156" i="1"/>
  <c r="GI156" i="1"/>
  <c r="GJ156" i="1"/>
  <c r="GK156" i="1"/>
  <c r="GL156" i="1"/>
  <c r="GM156" i="1"/>
  <c r="GN156" i="1"/>
  <c r="GO156" i="1"/>
  <c r="GP156" i="1"/>
  <c r="GQ156" i="1"/>
  <c r="GR156" i="1"/>
  <c r="GS156" i="1"/>
  <c r="GT156" i="1"/>
  <c r="GU156" i="1"/>
  <c r="GV156" i="1"/>
  <c r="GW156" i="1"/>
  <c r="GX156" i="1"/>
  <c r="GY156" i="1"/>
  <c r="GZ156" i="1"/>
  <c r="HA156" i="1"/>
  <c r="HB156" i="1"/>
  <c r="HC156" i="1"/>
  <c r="HD156" i="1"/>
  <c r="HE156" i="1"/>
  <c r="HF156" i="1"/>
  <c r="HG156" i="1"/>
  <c r="HH156" i="1"/>
  <c r="HI156" i="1"/>
  <c r="HJ156" i="1"/>
  <c r="HK156" i="1"/>
  <c r="HL156" i="1"/>
  <c r="HM156" i="1"/>
  <c r="HN156" i="1"/>
  <c r="HO156" i="1"/>
  <c r="HP156" i="1"/>
  <c r="HQ156" i="1"/>
  <c r="HR156" i="1"/>
  <c r="HS156" i="1"/>
  <c r="HT156" i="1"/>
  <c r="HU156" i="1"/>
  <c r="HV156" i="1"/>
  <c r="HW156" i="1"/>
  <c r="HX156" i="1"/>
  <c r="HY156" i="1"/>
  <c r="HZ156" i="1"/>
  <c r="IA156" i="1"/>
  <c r="IB156" i="1"/>
  <c r="IC156" i="1"/>
  <c r="ID156" i="1"/>
  <c r="IE156" i="1"/>
  <c r="IF156" i="1"/>
  <c r="IG156" i="1"/>
  <c r="IH156" i="1"/>
  <c r="II156" i="1"/>
  <c r="IJ156" i="1"/>
  <c r="IK156" i="1"/>
  <c r="IL156" i="1"/>
  <c r="IM156" i="1"/>
  <c r="IN156" i="1"/>
  <c r="IO156" i="1"/>
  <c r="IP156" i="1"/>
  <c r="IQ156" i="1"/>
  <c r="IR156" i="1"/>
  <c r="IS156" i="1"/>
  <c r="IT156" i="1"/>
  <c r="IU156" i="1"/>
  <c r="IV156" i="1"/>
  <c r="IW156" i="1"/>
  <c r="IX156" i="1"/>
  <c r="IY156" i="1"/>
  <c r="IZ156" i="1"/>
  <c r="JA156" i="1"/>
  <c r="JB156" i="1"/>
  <c r="JC156" i="1"/>
  <c r="JD156" i="1"/>
  <c r="JE156" i="1"/>
  <c r="JF156" i="1"/>
  <c r="JG156" i="1"/>
  <c r="JH156" i="1"/>
  <c r="JI156" i="1"/>
  <c r="JJ156" i="1"/>
  <c r="JK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EW157" i="1"/>
  <c r="EX157" i="1"/>
  <c r="EY157" i="1"/>
  <c r="EZ157" i="1"/>
  <c r="FA157" i="1"/>
  <c r="FB157" i="1"/>
  <c r="FC157" i="1"/>
  <c r="FD157" i="1"/>
  <c r="FE157" i="1"/>
  <c r="FF157" i="1"/>
  <c r="FG157" i="1"/>
  <c r="FH157" i="1"/>
  <c r="FI157" i="1"/>
  <c r="FJ157" i="1"/>
  <c r="FK157" i="1"/>
  <c r="FL157" i="1"/>
  <c r="FM157" i="1"/>
  <c r="FN157" i="1"/>
  <c r="FO157" i="1"/>
  <c r="FP157" i="1"/>
  <c r="FQ157" i="1"/>
  <c r="FR157" i="1"/>
  <c r="FS157" i="1"/>
  <c r="FT157" i="1"/>
  <c r="FU157" i="1"/>
  <c r="FV157" i="1"/>
  <c r="FW157" i="1"/>
  <c r="FX157" i="1"/>
  <c r="FY157" i="1"/>
  <c r="FZ157" i="1"/>
  <c r="GA157" i="1"/>
  <c r="GB157" i="1"/>
  <c r="GC157" i="1"/>
  <c r="GD157" i="1"/>
  <c r="GE157" i="1"/>
  <c r="GF157" i="1"/>
  <c r="GG157" i="1"/>
  <c r="GH157" i="1"/>
  <c r="GI157" i="1"/>
  <c r="GJ157" i="1"/>
  <c r="GK157" i="1"/>
  <c r="GL157" i="1"/>
  <c r="GM157" i="1"/>
  <c r="GN157" i="1"/>
  <c r="GO157" i="1"/>
  <c r="GP157" i="1"/>
  <c r="GQ157" i="1"/>
  <c r="GR157" i="1"/>
  <c r="GS157" i="1"/>
  <c r="GT157" i="1"/>
  <c r="GU157" i="1"/>
  <c r="GV157" i="1"/>
  <c r="GW157" i="1"/>
  <c r="GX157" i="1"/>
  <c r="GY157" i="1"/>
  <c r="GZ157" i="1"/>
  <c r="HA157" i="1"/>
  <c r="HB157" i="1"/>
  <c r="HC157" i="1"/>
  <c r="HD157" i="1"/>
  <c r="HE157" i="1"/>
  <c r="HF157" i="1"/>
  <c r="HG157" i="1"/>
  <c r="HH157" i="1"/>
  <c r="HI157" i="1"/>
  <c r="HJ157" i="1"/>
  <c r="HK157" i="1"/>
  <c r="HL157" i="1"/>
  <c r="HM157" i="1"/>
  <c r="HN157" i="1"/>
  <c r="HO157" i="1"/>
  <c r="HP157" i="1"/>
  <c r="HQ157" i="1"/>
  <c r="HR157" i="1"/>
  <c r="HS157" i="1"/>
  <c r="HT157" i="1"/>
  <c r="HU157" i="1"/>
  <c r="HV157" i="1"/>
  <c r="HW157" i="1"/>
  <c r="HX157" i="1"/>
  <c r="HY157" i="1"/>
  <c r="HZ157" i="1"/>
  <c r="IA157" i="1"/>
  <c r="IB157" i="1"/>
  <c r="IC157" i="1"/>
  <c r="ID157" i="1"/>
  <c r="IE157" i="1"/>
  <c r="IF157" i="1"/>
  <c r="IG157" i="1"/>
  <c r="IH157" i="1"/>
  <c r="II157" i="1"/>
  <c r="IJ157" i="1"/>
  <c r="IK157" i="1"/>
  <c r="IL157" i="1"/>
  <c r="IM157" i="1"/>
  <c r="IN157" i="1"/>
  <c r="IO157" i="1"/>
  <c r="IP157" i="1"/>
  <c r="IQ157" i="1"/>
  <c r="IR157" i="1"/>
  <c r="IS157" i="1"/>
  <c r="IT157" i="1"/>
  <c r="IU157" i="1"/>
  <c r="IV157" i="1"/>
  <c r="IW157" i="1"/>
  <c r="IX157" i="1"/>
  <c r="IY157" i="1"/>
  <c r="IZ157" i="1"/>
  <c r="JA157" i="1"/>
  <c r="JB157" i="1"/>
  <c r="JC157" i="1"/>
  <c r="JD157" i="1"/>
  <c r="JE157" i="1"/>
  <c r="JF157" i="1"/>
  <c r="JG157" i="1"/>
  <c r="JH157" i="1"/>
  <c r="JI157" i="1"/>
  <c r="JJ157" i="1"/>
  <c r="JK157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EW159" i="1"/>
  <c r="EX159" i="1"/>
  <c r="EY159" i="1"/>
  <c r="EZ159" i="1"/>
  <c r="FA159" i="1"/>
  <c r="FB159" i="1"/>
  <c r="FC159" i="1"/>
  <c r="FD159" i="1"/>
  <c r="FE159" i="1"/>
  <c r="FF159" i="1"/>
  <c r="FG159" i="1"/>
  <c r="FH159" i="1"/>
  <c r="FI159" i="1"/>
  <c r="FJ159" i="1"/>
  <c r="FK159" i="1"/>
  <c r="FL159" i="1"/>
  <c r="FM159" i="1"/>
  <c r="FN159" i="1"/>
  <c r="FO159" i="1"/>
  <c r="FP159" i="1"/>
  <c r="FQ159" i="1"/>
  <c r="FR159" i="1"/>
  <c r="FS159" i="1"/>
  <c r="FT159" i="1"/>
  <c r="FU159" i="1"/>
  <c r="FV159" i="1"/>
  <c r="FW159" i="1"/>
  <c r="FX159" i="1"/>
  <c r="FY159" i="1"/>
  <c r="FZ159" i="1"/>
  <c r="GA159" i="1"/>
  <c r="GB159" i="1"/>
  <c r="GC159" i="1"/>
  <c r="GD159" i="1"/>
  <c r="GE159" i="1"/>
  <c r="GF159" i="1"/>
  <c r="GG159" i="1"/>
  <c r="GH159" i="1"/>
  <c r="GI159" i="1"/>
  <c r="GJ159" i="1"/>
  <c r="GK159" i="1"/>
  <c r="GL159" i="1"/>
  <c r="GM159" i="1"/>
  <c r="GN159" i="1"/>
  <c r="GO159" i="1"/>
  <c r="GP159" i="1"/>
  <c r="GQ159" i="1"/>
  <c r="GR159" i="1"/>
  <c r="GS159" i="1"/>
  <c r="GT159" i="1"/>
  <c r="GU159" i="1"/>
  <c r="GV159" i="1"/>
  <c r="GW159" i="1"/>
  <c r="GX159" i="1"/>
  <c r="GY159" i="1"/>
  <c r="GZ159" i="1"/>
  <c r="HA159" i="1"/>
  <c r="HB159" i="1"/>
  <c r="HC159" i="1"/>
  <c r="HD159" i="1"/>
  <c r="HE159" i="1"/>
  <c r="HF159" i="1"/>
  <c r="HG159" i="1"/>
  <c r="HH159" i="1"/>
  <c r="HI159" i="1"/>
  <c r="HJ159" i="1"/>
  <c r="HK159" i="1"/>
  <c r="HL159" i="1"/>
  <c r="HM159" i="1"/>
  <c r="HN159" i="1"/>
  <c r="HO159" i="1"/>
  <c r="HP159" i="1"/>
  <c r="HQ159" i="1"/>
  <c r="HR159" i="1"/>
  <c r="HS159" i="1"/>
  <c r="HT159" i="1"/>
  <c r="HU159" i="1"/>
  <c r="HV159" i="1"/>
  <c r="HW159" i="1"/>
  <c r="HX159" i="1"/>
  <c r="HY159" i="1"/>
  <c r="HZ159" i="1"/>
  <c r="IA159" i="1"/>
  <c r="IB159" i="1"/>
  <c r="IC159" i="1"/>
  <c r="ID159" i="1"/>
  <c r="IE159" i="1"/>
  <c r="IF159" i="1"/>
  <c r="IG159" i="1"/>
  <c r="IH159" i="1"/>
  <c r="II159" i="1"/>
  <c r="IJ159" i="1"/>
  <c r="IK159" i="1"/>
  <c r="IL159" i="1"/>
  <c r="IM159" i="1"/>
  <c r="IN159" i="1"/>
  <c r="IO159" i="1"/>
  <c r="IP159" i="1"/>
  <c r="IQ159" i="1"/>
  <c r="IR159" i="1"/>
  <c r="IS159" i="1"/>
  <c r="IT159" i="1"/>
  <c r="IU159" i="1"/>
  <c r="IV159" i="1"/>
  <c r="IW159" i="1"/>
  <c r="IX159" i="1"/>
  <c r="IY159" i="1"/>
  <c r="IZ159" i="1"/>
  <c r="JA159" i="1"/>
  <c r="JB159" i="1"/>
  <c r="JC159" i="1"/>
  <c r="JD159" i="1"/>
  <c r="JE159" i="1"/>
  <c r="JF159" i="1"/>
  <c r="JG159" i="1"/>
  <c r="JH159" i="1"/>
  <c r="JI159" i="1"/>
  <c r="JJ159" i="1"/>
  <c r="JK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EW160" i="1"/>
  <c r="EX160" i="1"/>
  <c r="EY160" i="1"/>
  <c r="EZ160" i="1"/>
  <c r="FA160" i="1"/>
  <c r="FB160" i="1"/>
  <c r="FC160" i="1"/>
  <c r="FD160" i="1"/>
  <c r="FE160" i="1"/>
  <c r="FF160" i="1"/>
  <c r="FG160" i="1"/>
  <c r="FH160" i="1"/>
  <c r="FI160" i="1"/>
  <c r="FJ160" i="1"/>
  <c r="FK160" i="1"/>
  <c r="FL160" i="1"/>
  <c r="FM160" i="1"/>
  <c r="FN160" i="1"/>
  <c r="FO160" i="1"/>
  <c r="FP160" i="1"/>
  <c r="FQ160" i="1"/>
  <c r="FR160" i="1"/>
  <c r="FS160" i="1"/>
  <c r="FT160" i="1"/>
  <c r="FU160" i="1"/>
  <c r="FV160" i="1"/>
  <c r="FW160" i="1"/>
  <c r="FX160" i="1"/>
  <c r="FY160" i="1"/>
  <c r="FZ160" i="1"/>
  <c r="GA160" i="1"/>
  <c r="GB160" i="1"/>
  <c r="GC160" i="1"/>
  <c r="GD160" i="1"/>
  <c r="GE160" i="1"/>
  <c r="GF160" i="1"/>
  <c r="GG160" i="1"/>
  <c r="GH160" i="1"/>
  <c r="GI160" i="1"/>
  <c r="GJ160" i="1"/>
  <c r="GK160" i="1"/>
  <c r="GL160" i="1"/>
  <c r="GM160" i="1"/>
  <c r="GN160" i="1"/>
  <c r="GO160" i="1"/>
  <c r="GP160" i="1"/>
  <c r="GQ160" i="1"/>
  <c r="GR160" i="1"/>
  <c r="GS160" i="1"/>
  <c r="GT160" i="1"/>
  <c r="GU160" i="1"/>
  <c r="GV160" i="1"/>
  <c r="GW160" i="1"/>
  <c r="GX160" i="1"/>
  <c r="GY160" i="1"/>
  <c r="GZ160" i="1"/>
  <c r="HA160" i="1"/>
  <c r="HB160" i="1"/>
  <c r="HC160" i="1"/>
  <c r="HD160" i="1"/>
  <c r="HE160" i="1"/>
  <c r="HF160" i="1"/>
  <c r="HG160" i="1"/>
  <c r="HH160" i="1"/>
  <c r="HI160" i="1"/>
  <c r="HJ160" i="1"/>
  <c r="HK160" i="1"/>
  <c r="HL160" i="1"/>
  <c r="HM160" i="1"/>
  <c r="HN160" i="1"/>
  <c r="HO160" i="1"/>
  <c r="HP160" i="1"/>
  <c r="HQ160" i="1"/>
  <c r="HR160" i="1"/>
  <c r="HS160" i="1"/>
  <c r="HT160" i="1"/>
  <c r="HU160" i="1"/>
  <c r="HV160" i="1"/>
  <c r="HW160" i="1"/>
  <c r="HX160" i="1"/>
  <c r="HY160" i="1"/>
  <c r="HZ160" i="1"/>
  <c r="IA160" i="1"/>
  <c r="IB160" i="1"/>
  <c r="IC160" i="1"/>
  <c r="ID160" i="1"/>
  <c r="IE160" i="1"/>
  <c r="IF160" i="1"/>
  <c r="IG160" i="1"/>
  <c r="IH160" i="1"/>
  <c r="II160" i="1"/>
  <c r="IJ160" i="1"/>
  <c r="IK160" i="1"/>
  <c r="IL160" i="1"/>
  <c r="IM160" i="1"/>
  <c r="IN160" i="1"/>
  <c r="IO160" i="1"/>
  <c r="IP160" i="1"/>
  <c r="IQ160" i="1"/>
  <c r="IR160" i="1"/>
  <c r="IS160" i="1"/>
  <c r="IT160" i="1"/>
  <c r="IU160" i="1"/>
  <c r="IV160" i="1"/>
  <c r="IW160" i="1"/>
  <c r="IX160" i="1"/>
  <c r="IY160" i="1"/>
  <c r="IZ160" i="1"/>
  <c r="JA160" i="1"/>
  <c r="JB160" i="1"/>
  <c r="JC160" i="1"/>
  <c r="JD160" i="1"/>
  <c r="JE160" i="1"/>
  <c r="JF160" i="1"/>
  <c r="JG160" i="1"/>
  <c r="JH160" i="1"/>
  <c r="JI160" i="1"/>
  <c r="JJ160" i="1"/>
  <c r="JK160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EW162" i="1"/>
  <c r="EX162" i="1"/>
  <c r="EY162" i="1"/>
  <c r="EZ162" i="1"/>
  <c r="FA162" i="1"/>
  <c r="FB162" i="1"/>
  <c r="FC162" i="1"/>
  <c r="FD162" i="1"/>
  <c r="FE162" i="1"/>
  <c r="FF162" i="1"/>
  <c r="FG162" i="1"/>
  <c r="FH162" i="1"/>
  <c r="FI162" i="1"/>
  <c r="FJ162" i="1"/>
  <c r="FK162" i="1"/>
  <c r="FL162" i="1"/>
  <c r="FM162" i="1"/>
  <c r="FN162" i="1"/>
  <c r="FO162" i="1"/>
  <c r="FP162" i="1"/>
  <c r="FQ162" i="1"/>
  <c r="FR162" i="1"/>
  <c r="FS162" i="1"/>
  <c r="FT162" i="1"/>
  <c r="FU162" i="1"/>
  <c r="FV162" i="1"/>
  <c r="FW162" i="1"/>
  <c r="FX162" i="1"/>
  <c r="FY162" i="1"/>
  <c r="FZ162" i="1"/>
  <c r="GA162" i="1"/>
  <c r="GB162" i="1"/>
  <c r="GC162" i="1"/>
  <c r="GD162" i="1"/>
  <c r="GE162" i="1"/>
  <c r="GF162" i="1"/>
  <c r="GG162" i="1"/>
  <c r="GH162" i="1"/>
  <c r="GI162" i="1"/>
  <c r="GJ162" i="1"/>
  <c r="GK162" i="1"/>
  <c r="GL162" i="1"/>
  <c r="GM162" i="1"/>
  <c r="GN162" i="1"/>
  <c r="GO162" i="1"/>
  <c r="GP162" i="1"/>
  <c r="GQ162" i="1"/>
  <c r="GR162" i="1"/>
  <c r="GS162" i="1"/>
  <c r="GT162" i="1"/>
  <c r="GU162" i="1"/>
  <c r="GV162" i="1"/>
  <c r="GW162" i="1"/>
  <c r="GX162" i="1"/>
  <c r="GY162" i="1"/>
  <c r="GZ162" i="1"/>
  <c r="HA162" i="1"/>
  <c r="HB162" i="1"/>
  <c r="HC162" i="1"/>
  <c r="HD162" i="1"/>
  <c r="HE162" i="1"/>
  <c r="HF162" i="1"/>
  <c r="HG162" i="1"/>
  <c r="HH162" i="1"/>
  <c r="HI162" i="1"/>
  <c r="HJ162" i="1"/>
  <c r="HK162" i="1"/>
  <c r="HL162" i="1"/>
  <c r="HM162" i="1"/>
  <c r="HN162" i="1"/>
  <c r="HO162" i="1"/>
  <c r="HP162" i="1"/>
  <c r="HQ162" i="1"/>
  <c r="HR162" i="1"/>
  <c r="HS162" i="1"/>
  <c r="HT162" i="1"/>
  <c r="HU162" i="1"/>
  <c r="HV162" i="1"/>
  <c r="HW162" i="1"/>
  <c r="HX162" i="1"/>
  <c r="HY162" i="1"/>
  <c r="HZ162" i="1"/>
  <c r="IA162" i="1"/>
  <c r="IB162" i="1"/>
  <c r="IC162" i="1"/>
  <c r="ID162" i="1"/>
  <c r="IE162" i="1"/>
  <c r="IF162" i="1"/>
  <c r="IG162" i="1"/>
  <c r="IH162" i="1"/>
  <c r="II162" i="1"/>
  <c r="IJ162" i="1"/>
  <c r="IK162" i="1"/>
  <c r="IL162" i="1"/>
  <c r="IM162" i="1"/>
  <c r="IN162" i="1"/>
  <c r="IO162" i="1"/>
  <c r="IP162" i="1"/>
  <c r="IQ162" i="1"/>
  <c r="IR162" i="1"/>
  <c r="IS162" i="1"/>
  <c r="IT162" i="1"/>
  <c r="IU162" i="1"/>
  <c r="IV162" i="1"/>
  <c r="IW162" i="1"/>
  <c r="IX162" i="1"/>
  <c r="IY162" i="1"/>
  <c r="IZ162" i="1"/>
  <c r="JA162" i="1"/>
  <c r="JB162" i="1"/>
  <c r="JC162" i="1"/>
  <c r="JD162" i="1"/>
  <c r="JE162" i="1"/>
  <c r="JF162" i="1"/>
  <c r="JG162" i="1"/>
  <c r="JH162" i="1"/>
  <c r="JI162" i="1"/>
  <c r="JJ162" i="1"/>
  <c r="JK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EW163" i="1"/>
  <c r="EX163" i="1"/>
  <c r="EY163" i="1"/>
  <c r="EZ163" i="1"/>
  <c r="FA163" i="1"/>
  <c r="FB163" i="1"/>
  <c r="FC163" i="1"/>
  <c r="FD163" i="1"/>
  <c r="FE163" i="1"/>
  <c r="FF163" i="1"/>
  <c r="FG163" i="1"/>
  <c r="FH163" i="1"/>
  <c r="FI163" i="1"/>
  <c r="FJ163" i="1"/>
  <c r="FK163" i="1"/>
  <c r="FL163" i="1"/>
  <c r="FM163" i="1"/>
  <c r="FN163" i="1"/>
  <c r="FO163" i="1"/>
  <c r="FP163" i="1"/>
  <c r="FQ163" i="1"/>
  <c r="FR163" i="1"/>
  <c r="FS163" i="1"/>
  <c r="FT163" i="1"/>
  <c r="FU163" i="1"/>
  <c r="FV163" i="1"/>
  <c r="FW163" i="1"/>
  <c r="FX163" i="1"/>
  <c r="FY163" i="1"/>
  <c r="FZ163" i="1"/>
  <c r="GA163" i="1"/>
  <c r="GB163" i="1"/>
  <c r="GC163" i="1"/>
  <c r="GD163" i="1"/>
  <c r="GE163" i="1"/>
  <c r="GF163" i="1"/>
  <c r="GG163" i="1"/>
  <c r="GH163" i="1"/>
  <c r="GI163" i="1"/>
  <c r="GJ163" i="1"/>
  <c r="GK163" i="1"/>
  <c r="GL163" i="1"/>
  <c r="GM163" i="1"/>
  <c r="GN163" i="1"/>
  <c r="GO163" i="1"/>
  <c r="GP163" i="1"/>
  <c r="GQ163" i="1"/>
  <c r="GR163" i="1"/>
  <c r="GS163" i="1"/>
  <c r="GT163" i="1"/>
  <c r="GU163" i="1"/>
  <c r="GV163" i="1"/>
  <c r="GW163" i="1"/>
  <c r="GX163" i="1"/>
  <c r="GY163" i="1"/>
  <c r="GZ163" i="1"/>
  <c r="HA163" i="1"/>
  <c r="HB163" i="1"/>
  <c r="HC163" i="1"/>
  <c r="HD163" i="1"/>
  <c r="HE163" i="1"/>
  <c r="HF163" i="1"/>
  <c r="HG163" i="1"/>
  <c r="HH163" i="1"/>
  <c r="HI163" i="1"/>
  <c r="HJ163" i="1"/>
  <c r="HK163" i="1"/>
  <c r="HL163" i="1"/>
  <c r="HM163" i="1"/>
  <c r="HN163" i="1"/>
  <c r="HO163" i="1"/>
  <c r="HP163" i="1"/>
  <c r="HQ163" i="1"/>
  <c r="HR163" i="1"/>
  <c r="HS163" i="1"/>
  <c r="HT163" i="1"/>
  <c r="HU163" i="1"/>
  <c r="HV163" i="1"/>
  <c r="HW163" i="1"/>
  <c r="HX163" i="1"/>
  <c r="HY163" i="1"/>
  <c r="HZ163" i="1"/>
  <c r="IA163" i="1"/>
  <c r="IB163" i="1"/>
  <c r="IC163" i="1"/>
  <c r="ID163" i="1"/>
  <c r="IE163" i="1"/>
  <c r="IF163" i="1"/>
  <c r="IG163" i="1"/>
  <c r="IH163" i="1"/>
  <c r="II163" i="1"/>
  <c r="IJ163" i="1"/>
  <c r="IK163" i="1"/>
  <c r="IL163" i="1"/>
  <c r="IM163" i="1"/>
  <c r="IN163" i="1"/>
  <c r="IO163" i="1"/>
  <c r="IP163" i="1"/>
  <c r="IQ163" i="1"/>
  <c r="IR163" i="1"/>
  <c r="IS163" i="1"/>
  <c r="IT163" i="1"/>
  <c r="IU163" i="1"/>
  <c r="IV163" i="1"/>
  <c r="IW163" i="1"/>
  <c r="IX163" i="1"/>
  <c r="IY163" i="1"/>
  <c r="IZ163" i="1"/>
  <c r="JA163" i="1"/>
  <c r="JB163" i="1"/>
  <c r="JC163" i="1"/>
  <c r="JD163" i="1"/>
  <c r="JE163" i="1"/>
  <c r="JF163" i="1"/>
  <c r="JG163" i="1"/>
  <c r="JH163" i="1"/>
  <c r="JI163" i="1"/>
  <c r="JJ163" i="1"/>
  <c r="JK163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EW165" i="1"/>
  <c r="EX165" i="1"/>
  <c r="EY165" i="1"/>
  <c r="EZ165" i="1"/>
  <c r="FA165" i="1"/>
  <c r="FB165" i="1"/>
  <c r="FC165" i="1"/>
  <c r="FD165" i="1"/>
  <c r="FE165" i="1"/>
  <c r="FF165" i="1"/>
  <c r="FG165" i="1"/>
  <c r="FH165" i="1"/>
  <c r="FI165" i="1"/>
  <c r="FJ165" i="1"/>
  <c r="FK165" i="1"/>
  <c r="FL165" i="1"/>
  <c r="FM165" i="1"/>
  <c r="FN165" i="1"/>
  <c r="FO165" i="1"/>
  <c r="FP165" i="1"/>
  <c r="FQ165" i="1"/>
  <c r="FR165" i="1"/>
  <c r="FS165" i="1"/>
  <c r="FT165" i="1"/>
  <c r="FU165" i="1"/>
  <c r="FV165" i="1"/>
  <c r="FW165" i="1"/>
  <c r="FX165" i="1"/>
  <c r="FY165" i="1"/>
  <c r="FZ165" i="1"/>
  <c r="GA165" i="1"/>
  <c r="GB165" i="1"/>
  <c r="GC165" i="1"/>
  <c r="GD165" i="1"/>
  <c r="GE165" i="1"/>
  <c r="GF165" i="1"/>
  <c r="GG165" i="1"/>
  <c r="GH165" i="1"/>
  <c r="GI165" i="1"/>
  <c r="GJ165" i="1"/>
  <c r="GK165" i="1"/>
  <c r="GL165" i="1"/>
  <c r="GM165" i="1"/>
  <c r="GN165" i="1"/>
  <c r="GO165" i="1"/>
  <c r="GP165" i="1"/>
  <c r="GQ165" i="1"/>
  <c r="GR165" i="1"/>
  <c r="GS165" i="1"/>
  <c r="GT165" i="1"/>
  <c r="GU165" i="1"/>
  <c r="GV165" i="1"/>
  <c r="GW165" i="1"/>
  <c r="GX165" i="1"/>
  <c r="GY165" i="1"/>
  <c r="GZ165" i="1"/>
  <c r="HA165" i="1"/>
  <c r="HB165" i="1"/>
  <c r="HC165" i="1"/>
  <c r="HD165" i="1"/>
  <c r="HE165" i="1"/>
  <c r="HF165" i="1"/>
  <c r="HG165" i="1"/>
  <c r="HH165" i="1"/>
  <c r="HI165" i="1"/>
  <c r="HJ165" i="1"/>
  <c r="HK165" i="1"/>
  <c r="HL165" i="1"/>
  <c r="HM165" i="1"/>
  <c r="HN165" i="1"/>
  <c r="HO165" i="1"/>
  <c r="HP165" i="1"/>
  <c r="HQ165" i="1"/>
  <c r="HR165" i="1"/>
  <c r="HS165" i="1"/>
  <c r="HT165" i="1"/>
  <c r="HU165" i="1"/>
  <c r="HV165" i="1"/>
  <c r="HW165" i="1"/>
  <c r="HX165" i="1"/>
  <c r="HY165" i="1"/>
  <c r="HZ165" i="1"/>
  <c r="IA165" i="1"/>
  <c r="IB165" i="1"/>
  <c r="IC165" i="1"/>
  <c r="ID165" i="1"/>
  <c r="IE165" i="1"/>
  <c r="IF165" i="1"/>
  <c r="IG165" i="1"/>
  <c r="IH165" i="1"/>
  <c r="II165" i="1"/>
  <c r="IJ165" i="1"/>
  <c r="IK165" i="1"/>
  <c r="IL165" i="1"/>
  <c r="IM165" i="1"/>
  <c r="IN165" i="1"/>
  <c r="IO165" i="1"/>
  <c r="IP165" i="1"/>
  <c r="IQ165" i="1"/>
  <c r="IR165" i="1"/>
  <c r="IS165" i="1"/>
  <c r="IT165" i="1"/>
  <c r="IU165" i="1"/>
  <c r="IV165" i="1"/>
  <c r="IW165" i="1"/>
  <c r="IX165" i="1"/>
  <c r="IY165" i="1"/>
  <c r="IZ165" i="1"/>
  <c r="JA165" i="1"/>
  <c r="JB165" i="1"/>
  <c r="JC165" i="1"/>
  <c r="JD165" i="1"/>
  <c r="JE165" i="1"/>
  <c r="JF165" i="1"/>
  <c r="JG165" i="1"/>
  <c r="JH165" i="1"/>
  <c r="JI165" i="1"/>
  <c r="JJ165" i="1"/>
  <c r="JK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EW166" i="1"/>
  <c r="EX166" i="1"/>
  <c r="EY166" i="1"/>
  <c r="EZ166" i="1"/>
  <c r="FA166" i="1"/>
  <c r="FB166" i="1"/>
  <c r="FC166" i="1"/>
  <c r="FD166" i="1"/>
  <c r="FE166" i="1"/>
  <c r="FF166" i="1"/>
  <c r="FG166" i="1"/>
  <c r="FH166" i="1"/>
  <c r="FI166" i="1"/>
  <c r="FJ166" i="1"/>
  <c r="FK166" i="1"/>
  <c r="FL166" i="1"/>
  <c r="FM166" i="1"/>
  <c r="FN166" i="1"/>
  <c r="FO166" i="1"/>
  <c r="FP166" i="1"/>
  <c r="FQ166" i="1"/>
  <c r="FR166" i="1"/>
  <c r="FS166" i="1"/>
  <c r="FT166" i="1"/>
  <c r="FU166" i="1"/>
  <c r="FV166" i="1"/>
  <c r="FW166" i="1"/>
  <c r="FX166" i="1"/>
  <c r="FY166" i="1"/>
  <c r="FZ166" i="1"/>
  <c r="GA166" i="1"/>
  <c r="GB166" i="1"/>
  <c r="GC166" i="1"/>
  <c r="GD166" i="1"/>
  <c r="GE166" i="1"/>
  <c r="GF166" i="1"/>
  <c r="GG166" i="1"/>
  <c r="GH166" i="1"/>
  <c r="GI166" i="1"/>
  <c r="GJ166" i="1"/>
  <c r="GK166" i="1"/>
  <c r="GL166" i="1"/>
  <c r="GM166" i="1"/>
  <c r="GN166" i="1"/>
  <c r="GO166" i="1"/>
  <c r="GP166" i="1"/>
  <c r="GQ166" i="1"/>
  <c r="GR166" i="1"/>
  <c r="GS166" i="1"/>
  <c r="GT166" i="1"/>
  <c r="GU166" i="1"/>
  <c r="GV166" i="1"/>
  <c r="GW166" i="1"/>
  <c r="GX166" i="1"/>
  <c r="GY166" i="1"/>
  <c r="GZ166" i="1"/>
  <c r="HA166" i="1"/>
  <c r="HB166" i="1"/>
  <c r="HC166" i="1"/>
  <c r="HD166" i="1"/>
  <c r="HE166" i="1"/>
  <c r="HF166" i="1"/>
  <c r="HG166" i="1"/>
  <c r="HH166" i="1"/>
  <c r="HI166" i="1"/>
  <c r="HJ166" i="1"/>
  <c r="HK166" i="1"/>
  <c r="HL166" i="1"/>
  <c r="HM166" i="1"/>
  <c r="HN166" i="1"/>
  <c r="HO166" i="1"/>
  <c r="HP166" i="1"/>
  <c r="HQ166" i="1"/>
  <c r="HR166" i="1"/>
  <c r="HS166" i="1"/>
  <c r="HT166" i="1"/>
  <c r="HU166" i="1"/>
  <c r="HV166" i="1"/>
  <c r="HW166" i="1"/>
  <c r="HX166" i="1"/>
  <c r="HY166" i="1"/>
  <c r="HZ166" i="1"/>
  <c r="IA166" i="1"/>
  <c r="IB166" i="1"/>
  <c r="IC166" i="1"/>
  <c r="ID166" i="1"/>
  <c r="IE166" i="1"/>
  <c r="IF166" i="1"/>
  <c r="IG166" i="1"/>
  <c r="IH166" i="1"/>
  <c r="II166" i="1"/>
  <c r="IJ166" i="1"/>
  <c r="IK166" i="1"/>
  <c r="IL166" i="1"/>
  <c r="IM166" i="1"/>
  <c r="IN166" i="1"/>
  <c r="IO166" i="1"/>
  <c r="IP166" i="1"/>
  <c r="IQ166" i="1"/>
  <c r="IR166" i="1"/>
  <c r="IS166" i="1"/>
  <c r="IT166" i="1"/>
  <c r="IU166" i="1"/>
  <c r="IV166" i="1"/>
  <c r="IW166" i="1"/>
  <c r="IX166" i="1"/>
  <c r="IY166" i="1"/>
  <c r="IZ166" i="1"/>
  <c r="JA166" i="1"/>
  <c r="JB166" i="1"/>
  <c r="JC166" i="1"/>
  <c r="JD166" i="1"/>
  <c r="JE166" i="1"/>
  <c r="JF166" i="1"/>
  <c r="JG166" i="1"/>
  <c r="JH166" i="1"/>
  <c r="JI166" i="1"/>
  <c r="JJ166" i="1"/>
  <c r="JK166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EW168" i="1"/>
  <c r="EX168" i="1"/>
  <c r="EY168" i="1"/>
  <c r="EZ168" i="1"/>
  <c r="FA168" i="1"/>
  <c r="FB168" i="1"/>
  <c r="FC168" i="1"/>
  <c r="FD168" i="1"/>
  <c r="FE168" i="1"/>
  <c r="FF168" i="1"/>
  <c r="FG168" i="1"/>
  <c r="FH168" i="1"/>
  <c r="FI168" i="1"/>
  <c r="FJ168" i="1"/>
  <c r="FK168" i="1"/>
  <c r="FL168" i="1"/>
  <c r="FM168" i="1"/>
  <c r="FN168" i="1"/>
  <c r="FO168" i="1"/>
  <c r="FP168" i="1"/>
  <c r="FQ168" i="1"/>
  <c r="FR168" i="1"/>
  <c r="FS168" i="1"/>
  <c r="FT168" i="1"/>
  <c r="FU168" i="1"/>
  <c r="FV168" i="1"/>
  <c r="FW168" i="1"/>
  <c r="FX168" i="1"/>
  <c r="FY168" i="1"/>
  <c r="FZ168" i="1"/>
  <c r="GA168" i="1"/>
  <c r="GB168" i="1"/>
  <c r="GC168" i="1"/>
  <c r="GD168" i="1"/>
  <c r="GE168" i="1"/>
  <c r="GF168" i="1"/>
  <c r="GG168" i="1"/>
  <c r="GH168" i="1"/>
  <c r="GI168" i="1"/>
  <c r="GJ168" i="1"/>
  <c r="GK168" i="1"/>
  <c r="GL168" i="1"/>
  <c r="GM168" i="1"/>
  <c r="GN168" i="1"/>
  <c r="GO168" i="1"/>
  <c r="GP168" i="1"/>
  <c r="GQ168" i="1"/>
  <c r="GR168" i="1"/>
  <c r="GS168" i="1"/>
  <c r="GT168" i="1"/>
  <c r="GU168" i="1"/>
  <c r="GV168" i="1"/>
  <c r="GW168" i="1"/>
  <c r="GX168" i="1"/>
  <c r="GY168" i="1"/>
  <c r="GZ168" i="1"/>
  <c r="HA168" i="1"/>
  <c r="HB168" i="1"/>
  <c r="HC168" i="1"/>
  <c r="HD168" i="1"/>
  <c r="HE168" i="1"/>
  <c r="HF168" i="1"/>
  <c r="HG168" i="1"/>
  <c r="HH168" i="1"/>
  <c r="HI168" i="1"/>
  <c r="HJ168" i="1"/>
  <c r="HK168" i="1"/>
  <c r="HL168" i="1"/>
  <c r="HM168" i="1"/>
  <c r="HN168" i="1"/>
  <c r="HO168" i="1"/>
  <c r="HP168" i="1"/>
  <c r="HQ168" i="1"/>
  <c r="HR168" i="1"/>
  <c r="HS168" i="1"/>
  <c r="HT168" i="1"/>
  <c r="HU168" i="1"/>
  <c r="HV168" i="1"/>
  <c r="HW168" i="1"/>
  <c r="HX168" i="1"/>
  <c r="HY168" i="1"/>
  <c r="HZ168" i="1"/>
  <c r="IA168" i="1"/>
  <c r="IB168" i="1"/>
  <c r="IC168" i="1"/>
  <c r="ID168" i="1"/>
  <c r="IE168" i="1"/>
  <c r="IF168" i="1"/>
  <c r="IG168" i="1"/>
  <c r="IH168" i="1"/>
  <c r="II168" i="1"/>
  <c r="IJ168" i="1"/>
  <c r="IK168" i="1"/>
  <c r="IL168" i="1"/>
  <c r="IM168" i="1"/>
  <c r="IN168" i="1"/>
  <c r="IO168" i="1"/>
  <c r="IP168" i="1"/>
  <c r="IQ168" i="1"/>
  <c r="IR168" i="1"/>
  <c r="IS168" i="1"/>
  <c r="IT168" i="1"/>
  <c r="IU168" i="1"/>
  <c r="IV168" i="1"/>
  <c r="IW168" i="1"/>
  <c r="IX168" i="1"/>
  <c r="IY168" i="1"/>
  <c r="IZ168" i="1"/>
  <c r="JA168" i="1"/>
  <c r="JB168" i="1"/>
  <c r="JC168" i="1"/>
  <c r="JD168" i="1"/>
  <c r="JE168" i="1"/>
  <c r="JF168" i="1"/>
  <c r="JG168" i="1"/>
  <c r="JH168" i="1"/>
  <c r="JI168" i="1"/>
  <c r="JJ168" i="1"/>
  <c r="JK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EW169" i="1"/>
  <c r="EX169" i="1"/>
  <c r="EY169" i="1"/>
  <c r="EZ169" i="1"/>
  <c r="FA169" i="1"/>
  <c r="FB169" i="1"/>
  <c r="FC169" i="1"/>
  <c r="FD169" i="1"/>
  <c r="FE169" i="1"/>
  <c r="FF169" i="1"/>
  <c r="FG169" i="1"/>
  <c r="FH169" i="1"/>
  <c r="FI169" i="1"/>
  <c r="FJ169" i="1"/>
  <c r="FK169" i="1"/>
  <c r="FL169" i="1"/>
  <c r="FM169" i="1"/>
  <c r="FN169" i="1"/>
  <c r="FO169" i="1"/>
  <c r="FP169" i="1"/>
  <c r="FQ169" i="1"/>
  <c r="FR169" i="1"/>
  <c r="FS169" i="1"/>
  <c r="FT169" i="1"/>
  <c r="FU169" i="1"/>
  <c r="FV169" i="1"/>
  <c r="FW169" i="1"/>
  <c r="FX169" i="1"/>
  <c r="FY169" i="1"/>
  <c r="FZ169" i="1"/>
  <c r="GA169" i="1"/>
  <c r="GB169" i="1"/>
  <c r="GC169" i="1"/>
  <c r="GD169" i="1"/>
  <c r="GE169" i="1"/>
  <c r="GF169" i="1"/>
  <c r="GG169" i="1"/>
  <c r="GH169" i="1"/>
  <c r="GI169" i="1"/>
  <c r="GJ169" i="1"/>
  <c r="GK169" i="1"/>
  <c r="GL169" i="1"/>
  <c r="GM169" i="1"/>
  <c r="GN169" i="1"/>
  <c r="GO169" i="1"/>
  <c r="GP169" i="1"/>
  <c r="GQ169" i="1"/>
  <c r="GR169" i="1"/>
  <c r="GS169" i="1"/>
  <c r="GT169" i="1"/>
  <c r="GU169" i="1"/>
  <c r="GV169" i="1"/>
  <c r="GW169" i="1"/>
  <c r="GX169" i="1"/>
  <c r="GY169" i="1"/>
  <c r="GZ169" i="1"/>
  <c r="HA169" i="1"/>
  <c r="HB169" i="1"/>
  <c r="HC169" i="1"/>
  <c r="HD169" i="1"/>
  <c r="HE169" i="1"/>
  <c r="HF169" i="1"/>
  <c r="HG169" i="1"/>
  <c r="HH169" i="1"/>
  <c r="HI169" i="1"/>
  <c r="HJ169" i="1"/>
  <c r="HK169" i="1"/>
  <c r="HL169" i="1"/>
  <c r="HM169" i="1"/>
  <c r="HN169" i="1"/>
  <c r="HO169" i="1"/>
  <c r="HP169" i="1"/>
  <c r="HQ169" i="1"/>
  <c r="HR169" i="1"/>
  <c r="HS169" i="1"/>
  <c r="HT169" i="1"/>
  <c r="HU169" i="1"/>
  <c r="HV169" i="1"/>
  <c r="HW169" i="1"/>
  <c r="HX169" i="1"/>
  <c r="HY169" i="1"/>
  <c r="HZ169" i="1"/>
  <c r="IA169" i="1"/>
  <c r="IB169" i="1"/>
  <c r="IC169" i="1"/>
  <c r="ID169" i="1"/>
  <c r="IE169" i="1"/>
  <c r="IF169" i="1"/>
  <c r="IG169" i="1"/>
  <c r="IH169" i="1"/>
  <c r="II169" i="1"/>
  <c r="IJ169" i="1"/>
  <c r="IK169" i="1"/>
  <c r="IL169" i="1"/>
  <c r="IM169" i="1"/>
  <c r="IN169" i="1"/>
  <c r="IO169" i="1"/>
  <c r="IP169" i="1"/>
  <c r="IQ169" i="1"/>
  <c r="IR169" i="1"/>
  <c r="IS169" i="1"/>
  <c r="IT169" i="1"/>
  <c r="IU169" i="1"/>
  <c r="IV169" i="1"/>
  <c r="IW169" i="1"/>
  <c r="IX169" i="1"/>
  <c r="IY169" i="1"/>
  <c r="IZ169" i="1"/>
  <c r="JA169" i="1"/>
  <c r="JB169" i="1"/>
  <c r="JC169" i="1"/>
  <c r="JD169" i="1"/>
  <c r="JE169" i="1"/>
  <c r="JF169" i="1"/>
  <c r="JG169" i="1"/>
  <c r="JH169" i="1"/>
  <c r="JI169" i="1"/>
  <c r="JJ169" i="1"/>
  <c r="JK169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EW171" i="1"/>
  <c r="EX171" i="1"/>
  <c r="EY171" i="1"/>
  <c r="EZ171" i="1"/>
  <c r="FA171" i="1"/>
  <c r="FB171" i="1"/>
  <c r="FC171" i="1"/>
  <c r="FD171" i="1"/>
  <c r="FE171" i="1"/>
  <c r="FF171" i="1"/>
  <c r="FG171" i="1"/>
  <c r="FH171" i="1"/>
  <c r="FI171" i="1"/>
  <c r="FJ171" i="1"/>
  <c r="FK171" i="1"/>
  <c r="FL171" i="1"/>
  <c r="FM171" i="1"/>
  <c r="FN171" i="1"/>
  <c r="FO171" i="1"/>
  <c r="FP171" i="1"/>
  <c r="FQ171" i="1"/>
  <c r="FR171" i="1"/>
  <c r="FS171" i="1"/>
  <c r="FT171" i="1"/>
  <c r="FU171" i="1"/>
  <c r="FV171" i="1"/>
  <c r="FW171" i="1"/>
  <c r="FX171" i="1"/>
  <c r="FY171" i="1"/>
  <c r="FZ171" i="1"/>
  <c r="GA171" i="1"/>
  <c r="GB171" i="1"/>
  <c r="GC171" i="1"/>
  <c r="GD171" i="1"/>
  <c r="GE171" i="1"/>
  <c r="GF171" i="1"/>
  <c r="GG171" i="1"/>
  <c r="GH171" i="1"/>
  <c r="GI171" i="1"/>
  <c r="GJ171" i="1"/>
  <c r="GK171" i="1"/>
  <c r="GL171" i="1"/>
  <c r="GM171" i="1"/>
  <c r="GN171" i="1"/>
  <c r="GO171" i="1"/>
  <c r="GP171" i="1"/>
  <c r="GQ171" i="1"/>
  <c r="GR171" i="1"/>
  <c r="GS171" i="1"/>
  <c r="GT171" i="1"/>
  <c r="GU171" i="1"/>
  <c r="GV171" i="1"/>
  <c r="GW171" i="1"/>
  <c r="GX171" i="1"/>
  <c r="GY171" i="1"/>
  <c r="GZ171" i="1"/>
  <c r="HA171" i="1"/>
  <c r="HB171" i="1"/>
  <c r="HC171" i="1"/>
  <c r="HD171" i="1"/>
  <c r="HE171" i="1"/>
  <c r="HF171" i="1"/>
  <c r="HG171" i="1"/>
  <c r="HH171" i="1"/>
  <c r="HI171" i="1"/>
  <c r="HJ171" i="1"/>
  <c r="HK171" i="1"/>
  <c r="HL171" i="1"/>
  <c r="HM171" i="1"/>
  <c r="HN171" i="1"/>
  <c r="HO171" i="1"/>
  <c r="HP171" i="1"/>
  <c r="HQ171" i="1"/>
  <c r="HR171" i="1"/>
  <c r="HS171" i="1"/>
  <c r="HT171" i="1"/>
  <c r="HU171" i="1"/>
  <c r="HV171" i="1"/>
  <c r="HW171" i="1"/>
  <c r="HX171" i="1"/>
  <c r="HY171" i="1"/>
  <c r="HZ171" i="1"/>
  <c r="IA171" i="1"/>
  <c r="IB171" i="1"/>
  <c r="IC171" i="1"/>
  <c r="ID171" i="1"/>
  <c r="IE171" i="1"/>
  <c r="IF171" i="1"/>
  <c r="IG171" i="1"/>
  <c r="IH171" i="1"/>
  <c r="II171" i="1"/>
  <c r="IJ171" i="1"/>
  <c r="IK171" i="1"/>
  <c r="IL171" i="1"/>
  <c r="IM171" i="1"/>
  <c r="IN171" i="1"/>
  <c r="IO171" i="1"/>
  <c r="IP171" i="1"/>
  <c r="IQ171" i="1"/>
  <c r="IR171" i="1"/>
  <c r="IS171" i="1"/>
  <c r="IT171" i="1"/>
  <c r="IU171" i="1"/>
  <c r="IV171" i="1"/>
  <c r="IW171" i="1"/>
  <c r="IX171" i="1"/>
  <c r="IY171" i="1"/>
  <c r="IZ171" i="1"/>
  <c r="JA171" i="1"/>
  <c r="JB171" i="1"/>
  <c r="JC171" i="1"/>
  <c r="JD171" i="1"/>
  <c r="JE171" i="1"/>
  <c r="JF171" i="1"/>
  <c r="JG171" i="1"/>
  <c r="JH171" i="1"/>
  <c r="JI171" i="1"/>
  <c r="JJ171" i="1"/>
  <c r="JK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EW172" i="1"/>
  <c r="EX172" i="1"/>
  <c r="EY172" i="1"/>
  <c r="EZ172" i="1"/>
  <c r="FA172" i="1"/>
  <c r="FB172" i="1"/>
  <c r="FC172" i="1"/>
  <c r="FD172" i="1"/>
  <c r="FE172" i="1"/>
  <c r="FF172" i="1"/>
  <c r="FG172" i="1"/>
  <c r="FH172" i="1"/>
  <c r="FI172" i="1"/>
  <c r="FJ172" i="1"/>
  <c r="FK172" i="1"/>
  <c r="FL172" i="1"/>
  <c r="FM172" i="1"/>
  <c r="FN172" i="1"/>
  <c r="FO172" i="1"/>
  <c r="FP172" i="1"/>
  <c r="FQ172" i="1"/>
  <c r="FR172" i="1"/>
  <c r="FS172" i="1"/>
  <c r="FT172" i="1"/>
  <c r="FU172" i="1"/>
  <c r="FV172" i="1"/>
  <c r="FW172" i="1"/>
  <c r="FX172" i="1"/>
  <c r="FY172" i="1"/>
  <c r="FZ172" i="1"/>
  <c r="GA172" i="1"/>
  <c r="GB172" i="1"/>
  <c r="GC172" i="1"/>
  <c r="GD172" i="1"/>
  <c r="GE172" i="1"/>
  <c r="GF172" i="1"/>
  <c r="GG172" i="1"/>
  <c r="GH172" i="1"/>
  <c r="GI172" i="1"/>
  <c r="GJ172" i="1"/>
  <c r="GK172" i="1"/>
  <c r="GL172" i="1"/>
  <c r="GM172" i="1"/>
  <c r="GN172" i="1"/>
  <c r="GO172" i="1"/>
  <c r="GP172" i="1"/>
  <c r="GQ172" i="1"/>
  <c r="GR172" i="1"/>
  <c r="GS172" i="1"/>
  <c r="GT172" i="1"/>
  <c r="GU172" i="1"/>
  <c r="GV172" i="1"/>
  <c r="GW172" i="1"/>
  <c r="GX172" i="1"/>
  <c r="GY172" i="1"/>
  <c r="GZ172" i="1"/>
  <c r="HA172" i="1"/>
  <c r="HB172" i="1"/>
  <c r="HC172" i="1"/>
  <c r="HD172" i="1"/>
  <c r="HE172" i="1"/>
  <c r="HF172" i="1"/>
  <c r="HG172" i="1"/>
  <c r="HH172" i="1"/>
  <c r="HI172" i="1"/>
  <c r="HJ172" i="1"/>
  <c r="HK172" i="1"/>
  <c r="HL172" i="1"/>
  <c r="HM172" i="1"/>
  <c r="HN172" i="1"/>
  <c r="HO172" i="1"/>
  <c r="HP172" i="1"/>
  <c r="HQ172" i="1"/>
  <c r="HR172" i="1"/>
  <c r="HS172" i="1"/>
  <c r="HT172" i="1"/>
  <c r="HU172" i="1"/>
  <c r="HV172" i="1"/>
  <c r="HW172" i="1"/>
  <c r="HX172" i="1"/>
  <c r="HY172" i="1"/>
  <c r="HZ172" i="1"/>
  <c r="IA172" i="1"/>
  <c r="IB172" i="1"/>
  <c r="IC172" i="1"/>
  <c r="ID172" i="1"/>
  <c r="IE172" i="1"/>
  <c r="IF172" i="1"/>
  <c r="IG172" i="1"/>
  <c r="IH172" i="1"/>
  <c r="II172" i="1"/>
  <c r="IJ172" i="1"/>
  <c r="IK172" i="1"/>
  <c r="IL172" i="1"/>
  <c r="IM172" i="1"/>
  <c r="IN172" i="1"/>
  <c r="IO172" i="1"/>
  <c r="IP172" i="1"/>
  <c r="IQ172" i="1"/>
  <c r="IR172" i="1"/>
  <c r="IS172" i="1"/>
  <c r="IT172" i="1"/>
  <c r="IU172" i="1"/>
  <c r="IV172" i="1"/>
  <c r="IW172" i="1"/>
  <c r="IX172" i="1"/>
  <c r="IY172" i="1"/>
  <c r="IZ172" i="1"/>
  <c r="JA172" i="1"/>
  <c r="JB172" i="1"/>
  <c r="JC172" i="1"/>
  <c r="JD172" i="1"/>
  <c r="JE172" i="1"/>
  <c r="JF172" i="1"/>
  <c r="JG172" i="1"/>
  <c r="JH172" i="1"/>
  <c r="JI172" i="1"/>
  <c r="JJ172" i="1"/>
  <c r="JK172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N174" i="1"/>
  <c r="EO174" i="1"/>
  <c r="EP174" i="1"/>
  <c r="EQ174" i="1"/>
  <c r="ER174" i="1"/>
  <c r="ES174" i="1"/>
  <c r="ET174" i="1"/>
  <c r="EU174" i="1"/>
  <c r="EV174" i="1"/>
  <c r="EW174" i="1"/>
  <c r="EX174" i="1"/>
  <c r="EY174" i="1"/>
  <c r="EZ174" i="1"/>
  <c r="FA174" i="1"/>
  <c r="FB174" i="1"/>
  <c r="FC174" i="1"/>
  <c r="FD174" i="1"/>
  <c r="FE174" i="1"/>
  <c r="FF174" i="1"/>
  <c r="FG174" i="1"/>
  <c r="FH174" i="1"/>
  <c r="FI174" i="1"/>
  <c r="FJ174" i="1"/>
  <c r="FK174" i="1"/>
  <c r="FL174" i="1"/>
  <c r="FM174" i="1"/>
  <c r="FN174" i="1"/>
  <c r="FO174" i="1"/>
  <c r="FP174" i="1"/>
  <c r="FQ174" i="1"/>
  <c r="FR174" i="1"/>
  <c r="FS174" i="1"/>
  <c r="FT174" i="1"/>
  <c r="FU174" i="1"/>
  <c r="FV174" i="1"/>
  <c r="FW174" i="1"/>
  <c r="FX174" i="1"/>
  <c r="FY174" i="1"/>
  <c r="FZ174" i="1"/>
  <c r="GA174" i="1"/>
  <c r="GB174" i="1"/>
  <c r="GC174" i="1"/>
  <c r="GD174" i="1"/>
  <c r="GE174" i="1"/>
  <c r="GF174" i="1"/>
  <c r="GG174" i="1"/>
  <c r="GH174" i="1"/>
  <c r="GI174" i="1"/>
  <c r="GJ174" i="1"/>
  <c r="GK174" i="1"/>
  <c r="GL174" i="1"/>
  <c r="GM174" i="1"/>
  <c r="GN174" i="1"/>
  <c r="GO174" i="1"/>
  <c r="GP174" i="1"/>
  <c r="GQ174" i="1"/>
  <c r="GR174" i="1"/>
  <c r="GS174" i="1"/>
  <c r="GT174" i="1"/>
  <c r="GU174" i="1"/>
  <c r="GV174" i="1"/>
  <c r="GW174" i="1"/>
  <c r="GX174" i="1"/>
  <c r="GY174" i="1"/>
  <c r="GZ174" i="1"/>
  <c r="HA174" i="1"/>
  <c r="HB174" i="1"/>
  <c r="HC174" i="1"/>
  <c r="HD174" i="1"/>
  <c r="HE174" i="1"/>
  <c r="HF174" i="1"/>
  <c r="HG174" i="1"/>
  <c r="HH174" i="1"/>
  <c r="HI174" i="1"/>
  <c r="HJ174" i="1"/>
  <c r="HK174" i="1"/>
  <c r="HL174" i="1"/>
  <c r="HM174" i="1"/>
  <c r="HN174" i="1"/>
  <c r="HO174" i="1"/>
  <c r="HP174" i="1"/>
  <c r="HQ174" i="1"/>
  <c r="HR174" i="1"/>
  <c r="HS174" i="1"/>
  <c r="HT174" i="1"/>
  <c r="HU174" i="1"/>
  <c r="HV174" i="1"/>
  <c r="HW174" i="1"/>
  <c r="HX174" i="1"/>
  <c r="HY174" i="1"/>
  <c r="HZ174" i="1"/>
  <c r="IA174" i="1"/>
  <c r="IB174" i="1"/>
  <c r="IC174" i="1"/>
  <c r="ID174" i="1"/>
  <c r="IE174" i="1"/>
  <c r="IF174" i="1"/>
  <c r="IG174" i="1"/>
  <c r="IH174" i="1"/>
  <c r="II174" i="1"/>
  <c r="IJ174" i="1"/>
  <c r="IK174" i="1"/>
  <c r="IL174" i="1"/>
  <c r="IM174" i="1"/>
  <c r="IN174" i="1"/>
  <c r="IO174" i="1"/>
  <c r="IP174" i="1"/>
  <c r="IQ174" i="1"/>
  <c r="IR174" i="1"/>
  <c r="IS174" i="1"/>
  <c r="IT174" i="1"/>
  <c r="IU174" i="1"/>
  <c r="IV174" i="1"/>
  <c r="IW174" i="1"/>
  <c r="IX174" i="1"/>
  <c r="IY174" i="1"/>
  <c r="IZ174" i="1"/>
  <c r="JA174" i="1"/>
  <c r="JB174" i="1"/>
  <c r="JC174" i="1"/>
  <c r="JD174" i="1"/>
  <c r="JE174" i="1"/>
  <c r="JF174" i="1"/>
  <c r="JG174" i="1"/>
  <c r="JH174" i="1"/>
  <c r="JI174" i="1"/>
  <c r="JJ174" i="1"/>
  <c r="JK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DL175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EN175" i="1"/>
  <c r="EO175" i="1"/>
  <c r="EP175" i="1"/>
  <c r="EQ175" i="1"/>
  <c r="ER175" i="1"/>
  <c r="ES175" i="1"/>
  <c r="ET175" i="1"/>
  <c r="EU175" i="1"/>
  <c r="EV175" i="1"/>
  <c r="EW175" i="1"/>
  <c r="EX175" i="1"/>
  <c r="EY175" i="1"/>
  <c r="EZ175" i="1"/>
  <c r="FA175" i="1"/>
  <c r="FB175" i="1"/>
  <c r="FC175" i="1"/>
  <c r="FD175" i="1"/>
  <c r="FE175" i="1"/>
  <c r="FF175" i="1"/>
  <c r="FG175" i="1"/>
  <c r="FH175" i="1"/>
  <c r="FI175" i="1"/>
  <c r="FJ175" i="1"/>
  <c r="FK175" i="1"/>
  <c r="FL175" i="1"/>
  <c r="FM175" i="1"/>
  <c r="FN175" i="1"/>
  <c r="FO175" i="1"/>
  <c r="FP175" i="1"/>
  <c r="FQ175" i="1"/>
  <c r="FR175" i="1"/>
  <c r="FS175" i="1"/>
  <c r="FT175" i="1"/>
  <c r="FU175" i="1"/>
  <c r="FV175" i="1"/>
  <c r="FW175" i="1"/>
  <c r="FX175" i="1"/>
  <c r="FY175" i="1"/>
  <c r="FZ175" i="1"/>
  <c r="GA175" i="1"/>
  <c r="GB175" i="1"/>
  <c r="GC175" i="1"/>
  <c r="GD175" i="1"/>
  <c r="GE175" i="1"/>
  <c r="GF175" i="1"/>
  <c r="GG175" i="1"/>
  <c r="GH175" i="1"/>
  <c r="GI175" i="1"/>
  <c r="GJ175" i="1"/>
  <c r="GK175" i="1"/>
  <c r="GL175" i="1"/>
  <c r="GM175" i="1"/>
  <c r="GN175" i="1"/>
  <c r="GO175" i="1"/>
  <c r="GP175" i="1"/>
  <c r="GQ175" i="1"/>
  <c r="GR175" i="1"/>
  <c r="GS175" i="1"/>
  <c r="GT175" i="1"/>
  <c r="GU175" i="1"/>
  <c r="GV175" i="1"/>
  <c r="GW175" i="1"/>
  <c r="GX175" i="1"/>
  <c r="GY175" i="1"/>
  <c r="GZ175" i="1"/>
  <c r="HA175" i="1"/>
  <c r="HB175" i="1"/>
  <c r="HC175" i="1"/>
  <c r="HD175" i="1"/>
  <c r="HE175" i="1"/>
  <c r="HF175" i="1"/>
  <c r="HG175" i="1"/>
  <c r="HH175" i="1"/>
  <c r="HI175" i="1"/>
  <c r="HJ175" i="1"/>
  <c r="HK175" i="1"/>
  <c r="HL175" i="1"/>
  <c r="HM175" i="1"/>
  <c r="HN175" i="1"/>
  <c r="HO175" i="1"/>
  <c r="HP175" i="1"/>
  <c r="HQ175" i="1"/>
  <c r="HR175" i="1"/>
  <c r="HS175" i="1"/>
  <c r="HT175" i="1"/>
  <c r="HU175" i="1"/>
  <c r="HV175" i="1"/>
  <c r="HW175" i="1"/>
  <c r="HX175" i="1"/>
  <c r="HY175" i="1"/>
  <c r="HZ175" i="1"/>
  <c r="IA175" i="1"/>
  <c r="IB175" i="1"/>
  <c r="IC175" i="1"/>
  <c r="ID175" i="1"/>
  <c r="IE175" i="1"/>
  <c r="IF175" i="1"/>
  <c r="IG175" i="1"/>
  <c r="IH175" i="1"/>
  <c r="II175" i="1"/>
  <c r="IJ175" i="1"/>
  <c r="IK175" i="1"/>
  <c r="IL175" i="1"/>
  <c r="IM175" i="1"/>
  <c r="IN175" i="1"/>
  <c r="IO175" i="1"/>
  <c r="IP175" i="1"/>
  <c r="IQ175" i="1"/>
  <c r="IR175" i="1"/>
  <c r="IS175" i="1"/>
  <c r="IT175" i="1"/>
  <c r="IU175" i="1"/>
  <c r="IV175" i="1"/>
  <c r="IW175" i="1"/>
  <c r="IX175" i="1"/>
  <c r="IY175" i="1"/>
  <c r="IZ175" i="1"/>
  <c r="JA175" i="1"/>
  <c r="JB175" i="1"/>
  <c r="JC175" i="1"/>
  <c r="JD175" i="1"/>
  <c r="JE175" i="1"/>
  <c r="JF175" i="1"/>
  <c r="JG175" i="1"/>
  <c r="JH175" i="1"/>
  <c r="JI175" i="1"/>
  <c r="JJ175" i="1"/>
  <c r="JK175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N177" i="1"/>
  <c r="EO177" i="1"/>
  <c r="EP177" i="1"/>
  <c r="EQ177" i="1"/>
  <c r="ER177" i="1"/>
  <c r="ES177" i="1"/>
  <c r="ET177" i="1"/>
  <c r="EU177" i="1"/>
  <c r="EV177" i="1"/>
  <c r="EW177" i="1"/>
  <c r="EX177" i="1"/>
  <c r="EY177" i="1"/>
  <c r="EZ177" i="1"/>
  <c r="FA177" i="1"/>
  <c r="FB177" i="1"/>
  <c r="FC177" i="1"/>
  <c r="FD177" i="1"/>
  <c r="FE177" i="1"/>
  <c r="FF177" i="1"/>
  <c r="FG177" i="1"/>
  <c r="FH177" i="1"/>
  <c r="FI177" i="1"/>
  <c r="FJ177" i="1"/>
  <c r="FK177" i="1"/>
  <c r="FL177" i="1"/>
  <c r="FM177" i="1"/>
  <c r="FN177" i="1"/>
  <c r="FO177" i="1"/>
  <c r="FP177" i="1"/>
  <c r="FQ177" i="1"/>
  <c r="FR177" i="1"/>
  <c r="FS177" i="1"/>
  <c r="FT177" i="1"/>
  <c r="FU177" i="1"/>
  <c r="FV177" i="1"/>
  <c r="FW177" i="1"/>
  <c r="FX177" i="1"/>
  <c r="FY177" i="1"/>
  <c r="FZ177" i="1"/>
  <c r="GA177" i="1"/>
  <c r="GB177" i="1"/>
  <c r="GC177" i="1"/>
  <c r="GD177" i="1"/>
  <c r="GE177" i="1"/>
  <c r="GF177" i="1"/>
  <c r="GG177" i="1"/>
  <c r="GH177" i="1"/>
  <c r="GI177" i="1"/>
  <c r="GJ177" i="1"/>
  <c r="GK177" i="1"/>
  <c r="GL177" i="1"/>
  <c r="GM177" i="1"/>
  <c r="GN177" i="1"/>
  <c r="GO177" i="1"/>
  <c r="GP177" i="1"/>
  <c r="GQ177" i="1"/>
  <c r="GR177" i="1"/>
  <c r="GS177" i="1"/>
  <c r="GT177" i="1"/>
  <c r="GU177" i="1"/>
  <c r="GV177" i="1"/>
  <c r="GW177" i="1"/>
  <c r="GX177" i="1"/>
  <c r="GY177" i="1"/>
  <c r="GZ177" i="1"/>
  <c r="HA177" i="1"/>
  <c r="HB177" i="1"/>
  <c r="HC177" i="1"/>
  <c r="HD177" i="1"/>
  <c r="HE177" i="1"/>
  <c r="HF177" i="1"/>
  <c r="HG177" i="1"/>
  <c r="HH177" i="1"/>
  <c r="HI177" i="1"/>
  <c r="HJ177" i="1"/>
  <c r="HK177" i="1"/>
  <c r="HL177" i="1"/>
  <c r="HM177" i="1"/>
  <c r="HN177" i="1"/>
  <c r="HO177" i="1"/>
  <c r="HP177" i="1"/>
  <c r="HQ177" i="1"/>
  <c r="HR177" i="1"/>
  <c r="HS177" i="1"/>
  <c r="HT177" i="1"/>
  <c r="HU177" i="1"/>
  <c r="HV177" i="1"/>
  <c r="HW177" i="1"/>
  <c r="HX177" i="1"/>
  <c r="HY177" i="1"/>
  <c r="HZ177" i="1"/>
  <c r="IA177" i="1"/>
  <c r="IB177" i="1"/>
  <c r="IC177" i="1"/>
  <c r="ID177" i="1"/>
  <c r="IE177" i="1"/>
  <c r="IF177" i="1"/>
  <c r="IG177" i="1"/>
  <c r="IH177" i="1"/>
  <c r="II177" i="1"/>
  <c r="IJ177" i="1"/>
  <c r="IK177" i="1"/>
  <c r="IL177" i="1"/>
  <c r="IM177" i="1"/>
  <c r="IN177" i="1"/>
  <c r="IO177" i="1"/>
  <c r="IP177" i="1"/>
  <c r="IQ177" i="1"/>
  <c r="IR177" i="1"/>
  <c r="IS177" i="1"/>
  <c r="IT177" i="1"/>
  <c r="IU177" i="1"/>
  <c r="IV177" i="1"/>
  <c r="IW177" i="1"/>
  <c r="IX177" i="1"/>
  <c r="IY177" i="1"/>
  <c r="IZ177" i="1"/>
  <c r="JA177" i="1"/>
  <c r="JB177" i="1"/>
  <c r="JC177" i="1"/>
  <c r="JD177" i="1"/>
  <c r="JE177" i="1"/>
  <c r="JF177" i="1"/>
  <c r="JG177" i="1"/>
  <c r="JH177" i="1"/>
  <c r="JI177" i="1"/>
  <c r="JJ177" i="1"/>
  <c r="JK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N178" i="1"/>
  <c r="EO178" i="1"/>
  <c r="EP178" i="1"/>
  <c r="EQ178" i="1"/>
  <c r="ER178" i="1"/>
  <c r="ES178" i="1"/>
  <c r="ET178" i="1"/>
  <c r="EU178" i="1"/>
  <c r="EV178" i="1"/>
  <c r="EW178" i="1"/>
  <c r="EX178" i="1"/>
  <c r="EY178" i="1"/>
  <c r="EZ178" i="1"/>
  <c r="FA178" i="1"/>
  <c r="FB178" i="1"/>
  <c r="FC178" i="1"/>
  <c r="FD178" i="1"/>
  <c r="FE178" i="1"/>
  <c r="FF178" i="1"/>
  <c r="FG178" i="1"/>
  <c r="FH178" i="1"/>
  <c r="FI178" i="1"/>
  <c r="FJ178" i="1"/>
  <c r="FK178" i="1"/>
  <c r="FL178" i="1"/>
  <c r="FM178" i="1"/>
  <c r="FN178" i="1"/>
  <c r="FO178" i="1"/>
  <c r="FP178" i="1"/>
  <c r="FQ178" i="1"/>
  <c r="FR178" i="1"/>
  <c r="FS178" i="1"/>
  <c r="FT178" i="1"/>
  <c r="FU178" i="1"/>
  <c r="FV178" i="1"/>
  <c r="FW178" i="1"/>
  <c r="FX178" i="1"/>
  <c r="FY178" i="1"/>
  <c r="FZ178" i="1"/>
  <c r="GA178" i="1"/>
  <c r="GB178" i="1"/>
  <c r="GC178" i="1"/>
  <c r="GD178" i="1"/>
  <c r="GE178" i="1"/>
  <c r="GF178" i="1"/>
  <c r="GG178" i="1"/>
  <c r="GH178" i="1"/>
  <c r="GI178" i="1"/>
  <c r="GJ178" i="1"/>
  <c r="GK178" i="1"/>
  <c r="GL178" i="1"/>
  <c r="GM178" i="1"/>
  <c r="GN178" i="1"/>
  <c r="GO178" i="1"/>
  <c r="GP178" i="1"/>
  <c r="GQ178" i="1"/>
  <c r="GR178" i="1"/>
  <c r="GS178" i="1"/>
  <c r="GT178" i="1"/>
  <c r="GU178" i="1"/>
  <c r="GV178" i="1"/>
  <c r="GW178" i="1"/>
  <c r="GX178" i="1"/>
  <c r="GY178" i="1"/>
  <c r="GZ178" i="1"/>
  <c r="HA178" i="1"/>
  <c r="HB178" i="1"/>
  <c r="HC178" i="1"/>
  <c r="HD178" i="1"/>
  <c r="HE178" i="1"/>
  <c r="HF178" i="1"/>
  <c r="HG178" i="1"/>
  <c r="HH178" i="1"/>
  <c r="HI178" i="1"/>
  <c r="HJ178" i="1"/>
  <c r="HK178" i="1"/>
  <c r="HL178" i="1"/>
  <c r="HM178" i="1"/>
  <c r="HN178" i="1"/>
  <c r="HO178" i="1"/>
  <c r="HP178" i="1"/>
  <c r="HQ178" i="1"/>
  <c r="HR178" i="1"/>
  <c r="HS178" i="1"/>
  <c r="HT178" i="1"/>
  <c r="HU178" i="1"/>
  <c r="HV178" i="1"/>
  <c r="HW178" i="1"/>
  <c r="HX178" i="1"/>
  <c r="HY178" i="1"/>
  <c r="HZ178" i="1"/>
  <c r="IA178" i="1"/>
  <c r="IB178" i="1"/>
  <c r="IC178" i="1"/>
  <c r="ID178" i="1"/>
  <c r="IE178" i="1"/>
  <c r="IF178" i="1"/>
  <c r="IG178" i="1"/>
  <c r="IH178" i="1"/>
  <c r="II178" i="1"/>
  <c r="IJ178" i="1"/>
  <c r="IK178" i="1"/>
  <c r="IL178" i="1"/>
  <c r="IM178" i="1"/>
  <c r="IN178" i="1"/>
  <c r="IO178" i="1"/>
  <c r="IP178" i="1"/>
  <c r="IQ178" i="1"/>
  <c r="IR178" i="1"/>
  <c r="IS178" i="1"/>
  <c r="IT178" i="1"/>
  <c r="IU178" i="1"/>
  <c r="IV178" i="1"/>
  <c r="IW178" i="1"/>
  <c r="IX178" i="1"/>
  <c r="IY178" i="1"/>
  <c r="IZ178" i="1"/>
  <c r="JA178" i="1"/>
  <c r="JB178" i="1"/>
  <c r="JC178" i="1"/>
  <c r="JD178" i="1"/>
  <c r="JE178" i="1"/>
  <c r="JF178" i="1"/>
  <c r="JG178" i="1"/>
  <c r="JH178" i="1"/>
  <c r="JI178" i="1"/>
  <c r="JJ178" i="1"/>
  <c r="JK178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G180" i="1"/>
  <c r="DH180" i="1"/>
  <c r="DI180" i="1"/>
  <c r="DJ180" i="1"/>
  <c r="DK180" i="1"/>
  <c r="DL180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EN180" i="1"/>
  <c r="EO180" i="1"/>
  <c r="EP180" i="1"/>
  <c r="EQ180" i="1"/>
  <c r="ER180" i="1"/>
  <c r="ES180" i="1"/>
  <c r="ET180" i="1"/>
  <c r="EU180" i="1"/>
  <c r="EV180" i="1"/>
  <c r="EW180" i="1"/>
  <c r="EX180" i="1"/>
  <c r="EY180" i="1"/>
  <c r="EZ180" i="1"/>
  <c r="FA180" i="1"/>
  <c r="FB180" i="1"/>
  <c r="FC180" i="1"/>
  <c r="FD180" i="1"/>
  <c r="FE180" i="1"/>
  <c r="FF180" i="1"/>
  <c r="FG180" i="1"/>
  <c r="FH180" i="1"/>
  <c r="FI180" i="1"/>
  <c r="FJ180" i="1"/>
  <c r="FK180" i="1"/>
  <c r="FL180" i="1"/>
  <c r="FM180" i="1"/>
  <c r="FN180" i="1"/>
  <c r="FO180" i="1"/>
  <c r="FP180" i="1"/>
  <c r="FQ180" i="1"/>
  <c r="FR180" i="1"/>
  <c r="FS180" i="1"/>
  <c r="FT180" i="1"/>
  <c r="FU180" i="1"/>
  <c r="FV180" i="1"/>
  <c r="FW180" i="1"/>
  <c r="FX180" i="1"/>
  <c r="FY180" i="1"/>
  <c r="FZ180" i="1"/>
  <c r="GA180" i="1"/>
  <c r="GB180" i="1"/>
  <c r="GC180" i="1"/>
  <c r="GD180" i="1"/>
  <c r="GE180" i="1"/>
  <c r="GF180" i="1"/>
  <c r="GG180" i="1"/>
  <c r="GH180" i="1"/>
  <c r="GI180" i="1"/>
  <c r="GJ180" i="1"/>
  <c r="GK180" i="1"/>
  <c r="GL180" i="1"/>
  <c r="GM180" i="1"/>
  <c r="GN180" i="1"/>
  <c r="GO180" i="1"/>
  <c r="GP180" i="1"/>
  <c r="GQ180" i="1"/>
  <c r="GR180" i="1"/>
  <c r="GS180" i="1"/>
  <c r="GT180" i="1"/>
  <c r="GU180" i="1"/>
  <c r="GV180" i="1"/>
  <c r="GW180" i="1"/>
  <c r="GX180" i="1"/>
  <c r="GY180" i="1"/>
  <c r="GZ180" i="1"/>
  <c r="HA180" i="1"/>
  <c r="HB180" i="1"/>
  <c r="HC180" i="1"/>
  <c r="HD180" i="1"/>
  <c r="HE180" i="1"/>
  <c r="HF180" i="1"/>
  <c r="HG180" i="1"/>
  <c r="HH180" i="1"/>
  <c r="HI180" i="1"/>
  <c r="HJ180" i="1"/>
  <c r="HK180" i="1"/>
  <c r="HL180" i="1"/>
  <c r="HM180" i="1"/>
  <c r="HN180" i="1"/>
  <c r="HO180" i="1"/>
  <c r="HP180" i="1"/>
  <c r="HQ180" i="1"/>
  <c r="HR180" i="1"/>
  <c r="HS180" i="1"/>
  <c r="HT180" i="1"/>
  <c r="HU180" i="1"/>
  <c r="HV180" i="1"/>
  <c r="HW180" i="1"/>
  <c r="HX180" i="1"/>
  <c r="HY180" i="1"/>
  <c r="HZ180" i="1"/>
  <c r="IA180" i="1"/>
  <c r="IB180" i="1"/>
  <c r="IC180" i="1"/>
  <c r="ID180" i="1"/>
  <c r="IE180" i="1"/>
  <c r="IF180" i="1"/>
  <c r="IG180" i="1"/>
  <c r="IH180" i="1"/>
  <c r="II180" i="1"/>
  <c r="IJ180" i="1"/>
  <c r="IK180" i="1"/>
  <c r="IL180" i="1"/>
  <c r="IM180" i="1"/>
  <c r="IN180" i="1"/>
  <c r="IO180" i="1"/>
  <c r="IP180" i="1"/>
  <c r="IQ180" i="1"/>
  <c r="IR180" i="1"/>
  <c r="IS180" i="1"/>
  <c r="IT180" i="1"/>
  <c r="IU180" i="1"/>
  <c r="IV180" i="1"/>
  <c r="IW180" i="1"/>
  <c r="IX180" i="1"/>
  <c r="IY180" i="1"/>
  <c r="IZ180" i="1"/>
  <c r="JA180" i="1"/>
  <c r="JB180" i="1"/>
  <c r="JC180" i="1"/>
  <c r="JD180" i="1"/>
  <c r="JE180" i="1"/>
  <c r="JF180" i="1"/>
  <c r="JG180" i="1"/>
  <c r="JH180" i="1"/>
  <c r="JI180" i="1"/>
  <c r="JJ180" i="1"/>
  <c r="JK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EN181" i="1"/>
  <c r="EO181" i="1"/>
  <c r="EP181" i="1"/>
  <c r="EQ181" i="1"/>
  <c r="ER181" i="1"/>
  <c r="ES181" i="1"/>
  <c r="ET181" i="1"/>
  <c r="EU181" i="1"/>
  <c r="EV181" i="1"/>
  <c r="EW181" i="1"/>
  <c r="EX181" i="1"/>
  <c r="EY181" i="1"/>
  <c r="EZ181" i="1"/>
  <c r="FA181" i="1"/>
  <c r="FB181" i="1"/>
  <c r="FC181" i="1"/>
  <c r="FD181" i="1"/>
  <c r="FE181" i="1"/>
  <c r="FF181" i="1"/>
  <c r="FG181" i="1"/>
  <c r="FH181" i="1"/>
  <c r="FI181" i="1"/>
  <c r="FJ181" i="1"/>
  <c r="FK181" i="1"/>
  <c r="FL181" i="1"/>
  <c r="FM181" i="1"/>
  <c r="FN181" i="1"/>
  <c r="FO181" i="1"/>
  <c r="FP181" i="1"/>
  <c r="FQ181" i="1"/>
  <c r="FR181" i="1"/>
  <c r="FS181" i="1"/>
  <c r="FT181" i="1"/>
  <c r="FU181" i="1"/>
  <c r="FV181" i="1"/>
  <c r="FW181" i="1"/>
  <c r="FX181" i="1"/>
  <c r="FY181" i="1"/>
  <c r="FZ181" i="1"/>
  <c r="GA181" i="1"/>
  <c r="GB181" i="1"/>
  <c r="GC181" i="1"/>
  <c r="GD181" i="1"/>
  <c r="GE181" i="1"/>
  <c r="GF181" i="1"/>
  <c r="GG181" i="1"/>
  <c r="GH181" i="1"/>
  <c r="GI181" i="1"/>
  <c r="GJ181" i="1"/>
  <c r="GK181" i="1"/>
  <c r="GL181" i="1"/>
  <c r="GM181" i="1"/>
  <c r="GN181" i="1"/>
  <c r="GO181" i="1"/>
  <c r="GP181" i="1"/>
  <c r="GQ181" i="1"/>
  <c r="GR181" i="1"/>
  <c r="GS181" i="1"/>
  <c r="GT181" i="1"/>
  <c r="GU181" i="1"/>
  <c r="GV181" i="1"/>
  <c r="GW181" i="1"/>
  <c r="GX181" i="1"/>
  <c r="GY181" i="1"/>
  <c r="GZ181" i="1"/>
  <c r="HA181" i="1"/>
  <c r="HB181" i="1"/>
  <c r="HC181" i="1"/>
  <c r="HD181" i="1"/>
  <c r="HE181" i="1"/>
  <c r="HF181" i="1"/>
  <c r="HG181" i="1"/>
  <c r="HH181" i="1"/>
  <c r="HI181" i="1"/>
  <c r="HJ181" i="1"/>
  <c r="HK181" i="1"/>
  <c r="HL181" i="1"/>
  <c r="HM181" i="1"/>
  <c r="HN181" i="1"/>
  <c r="HO181" i="1"/>
  <c r="HP181" i="1"/>
  <c r="HQ181" i="1"/>
  <c r="HR181" i="1"/>
  <c r="HS181" i="1"/>
  <c r="HT181" i="1"/>
  <c r="HU181" i="1"/>
  <c r="HV181" i="1"/>
  <c r="HW181" i="1"/>
  <c r="HX181" i="1"/>
  <c r="HY181" i="1"/>
  <c r="HZ181" i="1"/>
  <c r="IA181" i="1"/>
  <c r="IB181" i="1"/>
  <c r="IC181" i="1"/>
  <c r="ID181" i="1"/>
  <c r="IE181" i="1"/>
  <c r="IF181" i="1"/>
  <c r="IG181" i="1"/>
  <c r="IH181" i="1"/>
  <c r="II181" i="1"/>
  <c r="IJ181" i="1"/>
  <c r="IK181" i="1"/>
  <c r="IL181" i="1"/>
  <c r="IM181" i="1"/>
  <c r="IN181" i="1"/>
  <c r="IO181" i="1"/>
  <c r="IP181" i="1"/>
  <c r="IQ181" i="1"/>
  <c r="IR181" i="1"/>
  <c r="IS181" i="1"/>
  <c r="IT181" i="1"/>
  <c r="IU181" i="1"/>
  <c r="IV181" i="1"/>
  <c r="IW181" i="1"/>
  <c r="IX181" i="1"/>
  <c r="IY181" i="1"/>
  <c r="IZ181" i="1"/>
  <c r="JA181" i="1"/>
  <c r="JB181" i="1"/>
  <c r="JC181" i="1"/>
  <c r="JD181" i="1"/>
  <c r="JE181" i="1"/>
  <c r="JF181" i="1"/>
  <c r="JG181" i="1"/>
  <c r="JH181" i="1"/>
  <c r="JI181" i="1"/>
  <c r="JJ181" i="1"/>
  <c r="JK181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N183" i="1"/>
  <c r="EO183" i="1"/>
  <c r="EP183" i="1"/>
  <c r="EQ183" i="1"/>
  <c r="ER183" i="1"/>
  <c r="ES183" i="1"/>
  <c r="ET183" i="1"/>
  <c r="EU183" i="1"/>
  <c r="EV183" i="1"/>
  <c r="EW183" i="1"/>
  <c r="EX183" i="1"/>
  <c r="EY183" i="1"/>
  <c r="EZ183" i="1"/>
  <c r="FA183" i="1"/>
  <c r="FB183" i="1"/>
  <c r="FC183" i="1"/>
  <c r="FD183" i="1"/>
  <c r="FE183" i="1"/>
  <c r="FF183" i="1"/>
  <c r="FG183" i="1"/>
  <c r="FH183" i="1"/>
  <c r="FI183" i="1"/>
  <c r="FJ183" i="1"/>
  <c r="FK183" i="1"/>
  <c r="FL183" i="1"/>
  <c r="FM183" i="1"/>
  <c r="FN183" i="1"/>
  <c r="FO183" i="1"/>
  <c r="FP183" i="1"/>
  <c r="FQ183" i="1"/>
  <c r="FR183" i="1"/>
  <c r="FS183" i="1"/>
  <c r="FT183" i="1"/>
  <c r="FU183" i="1"/>
  <c r="FV183" i="1"/>
  <c r="FW183" i="1"/>
  <c r="FX183" i="1"/>
  <c r="FY183" i="1"/>
  <c r="FZ183" i="1"/>
  <c r="GA183" i="1"/>
  <c r="GB183" i="1"/>
  <c r="GC183" i="1"/>
  <c r="GD183" i="1"/>
  <c r="GE183" i="1"/>
  <c r="GF183" i="1"/>
  <c r="GG183" i="1"/>
  <c r="GH183" i="1"/>
  <c r="GI183" i="1"/>
  <c r="GJ183" i="1"/>
  <c r="GK183" i="1"/>
  <c r="GL183" i="1"/>
  <c r="GM183" i="1"/>
  <c r="GN183" i="1"/>
  <c r="GO183" i="1"/>
  <c r="GP183" i="1"/>
  <c r="GQ183" i="1"/>
  <c r="GR183" i="1"/>
  <c r="GS183" i="1"/>
  <c r="GT183" i="1"/>
  <c r="GU183" i="1"/>
  <c r="GV183" i="1"/>
  <c r="GW183" i="1"/>
  <c r="GX183" i="1"/>
  <c r="GY183" i="1"/>
  <c r="GZ183" i="1"/>
  <c r="HA183" i="1"/>
  <c r="HB183" i="1"/>
  <c r="HC183" i="1"/>
  <c r="HD183" i="1"/>
  <c r="HE183" i="1"/>
  <c r="HF183" i="1"/>
  <c r="HG183" i="1"/>
  <c r="HH183" i="1"/>
  <c r="HI183" i="1"/>
  <c r="HJ183" i="1"/>
  <c r="HK183" i="1"/>
  <c r="HL183" i="1"/>
  <c r="HM183" i="1"/>
  <c r="HN183" i="1"/>
  <c r="HO183" i="1"/>
  <c r="HP183" i="1"/>
  <c r="HQ183" i="1"/>
  <c r="HR183" i="1"/>
  <c r="HS183" i="1"/>
  <c r="HT183" i="1"/>
  <c r="HU183" i="1"/>
  <c r="HV183" i="1"/>
  <c r="HW183" i="1"/>
  <c r="HX183" i="1"/>
  <c r="HY183" i="1"/>
  <c r="HZ183" i="1"/>
  <c r="IA183" i="1"/>
  <c r="IB183" i="1"/>
  <c r="IC183" i="1"/>
  <c r="ID183" i="1"/>
  <c r="IE183" i="1"/>
  <c r="IF183" i="1"/>
  <c r="IG183" i="1"/>
  <c r="IH183" i="1"/>
  <c r="II183" i="1"/>
  <c r="IJ183" i="1"/>
  <c r="IK183" i="1"/>
  <c r="IL183" i="1"/>
  <c r="IM183" i="1"/>
  <c r="IN183" i="1"/>
  <c r="IO183" i="1"/>
  <c r="IP183" i="1"/>
  <c r="IQ183" i="1"/>
  <c r="IR183" i="1"/>
  <c r="IS183" i="1"/>
  <c r="IT183" i="1"/>
  <c r="IU183" i="1"/>
  <c r="IV183" i="1"/>
  <c r="IW183" i="1"/>
  <c r="IX183" i="1"/>
  <c r="IY183" i="1"/>
  <c r="IZ183" i="1"/>
  <c r="JA183" i="1"/>
  <c r="JB183" i="1"/>
  <c r="JC183" i="1"/>
  <c r="JD183" i="1"/>
  <c r="JE183" i="1"/>
  <c r="JF183" i="1"/>
  <c r="JG183" i="1"/>
  <c r="JH183" i="1"/>
  <c r="JI183" i="1"/>
  <c r="JJ183" i="1"/>
  <c r="JK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EN184" i="1"/>
  <c r="EO184" i="1"/>
  <c r="EP184" i="1"/>
  <c r="EQ184" i="1"/>
  <c r="ER184" i="1"/>
  <c r="ES184" i="1"/>
  <c r="ET184" i="1"/>
  <c r="EU184" i="1"/>
  <c r="EV184" i="1"/>
  <c r="EW184" i="1"/>
  <c r="EX184" i="1"/>
  <c r="EY184" i="1"/>
  <c r="EZ184" i="1"/>
  <c r="FA184" i="1"/>
  <c r="FB184" i="1"/>
  <c r="FC184" i="1"/>
  <c r="FD184" i="1"/>
  <c r="FE184" i="1"/>
  <c r="FF184" i="1"/>
  <c r="FG184" i="1"/>
  <c r="FH184" i="1"/>
  <c r="FI184" i="1"/>
  <c r="FJ184" i="1"/>
  <c r="FK184" i="1"/>
  <c r="FL184" i="1"/>
  <c r="FM184" i="1"/>
  <c r="FN184" i="1"/>
  <c r="FO184" i="1"/>
  <c r="FP184" i="1"/>
  <c r="FQ184" i="1"/>
  <c r="FR184" i="1"/>
  <c r="FS184" i="1"/>
  <c r="FT184" i="1"/>
  <c r="FU184" i="1"/>
  <c r="FV184" i="1"/>
  <c r="FW184" i="1"/>
  <c r="FX184" i="1"/>
  <c r="FY184" i="1"/>
  <c r="FZ184" i="1"/>
  <c r="GA184" i="1"/>
  <c r="GB184" i="1"/>
  <c r="GC184" i="1"/>
  <c r="GD184" i="1"/>
  <c r="GE184" i="1"/>
  <c r="GF184" i="1"/>
  <c r="GG184" i="1"/>
  <c r="GH184" i="1"/>
  <c r="GI184" i="1"/>
  <c r="GJ184" i="1"/>
  <c r="GK184" i="1"/>
  <c r="GL184" i="1"/>
  <c r="GM184" i="1"/>
  <c r="GN184" i="1"/>
  <c r="GO184" i="1"/>
  <c r="GP184" i="1"/>
  <c r="GQ184" i="1"/>
  <c r="GR184" i="1"/>
  <c r="GS184" i="1"/>
  <c r="GT184" i="1"/>
  <c r="GU184" i="1"/>
  <c r="GV184" i="1"/>
  <c r="GW184" i="1"/>
  <c r="GX184" i="1"/>
  <c r="GY184" i="1"/>
  <c r="GZ184" i="1"/>
  <c r="HA184" i="1"/>
  <c r="HB184" i="1"/>
  <c r="HC184" i="1"/>
  <c r="HD184" i="1"/>
  <c r="HE184" i="1"/>
  <c r="HF184" i="1"/>
  <c r="HG184" i="1"/>
  <c r="HH184" i="1"/>
  <c r="HI184" i="1"/>
  <c r="HJ184" i="1"/>
  <c r="HK184" i="1"/>
  <c r="HL184" i="1"/>
  <c r="HM184" i="1"/>
  <c r="HN184" i="1"/>
  <c r="HO184" i="1"/>
  <c r="HP184" i="1"/>
  <c r="HQ184" i="1"/>
  <c r="HR184" i="1"/>
  <c r="HS184" i="1"/>
  <c r="HT184" i="1"/>
  <c r="HU184" i="1"/>
  <c r="HV184" i="1"/>
  <c r="HW184" i="1"/>
  <c r="HX184" i="1"/>
  <c r="HY184" i="1"/>
  <c r="HZ184" i="1"/>
  <c r="IA184" i="1"/>
  <c r="IB184" i="1"/>
  <c r="IC184" i="1"/>
  <c r="ID184" i="1"/>
  <c r="IE184" i="1"/>
  <c r="IF184" i="1"/>
  <c r="IG184" i="1"/>
  <c r="IH184" i="1"/>
  <c r="II184" i="1"/>
  <c r="IJ184" i="1"/>
  <c r="IK184" i="1"/>
  <c r="IL184" i="1"/>
  <c r="IM184" i="1"/>
  <c r="IN184" i="1"/>
  <c r="IO184" i="1"/>
  <c r="IP184" i="1"/>
  <c r="IQ184" i="1"/>
  <c r="IR184" i="1"/>
  <c r="IS184" i="1"/>
  <c r="IT184" i="1"/>
  <c r="IU184" i="1"/>
  <c r="IV184" i="1"/>
  <c r="IW184" i="1"/>
  <c r="IX184" i="1"/>
  <c r="IY184" i="1"/>
  <c r="IZ184" i="1"/>
  <c r="JA184" i="1"/>
  <c r="JB184" i="1"/>
  <c r="JC184" i="1"/>
  <c r="JD184" i="1"/>
  <c r="JE184" i="1"/>
  <c r="JF184" i="1"/>
  <c r="JG184" i="1"/>
  <c r="JH184" i="1"/>
  <c r="JI184" i="1"/>
  <c r="JJ184" i="1"/>
  <c r="JK184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EN186" i="1"/>
  <c r="EO186" i="1"/>
  <c r="EP186" i="1"/>
  <c r="EQ186" i="1"/>
  <c r="ER186" i="1"/>
  <c r="ES186" i="1"/>
  <c r="ET186" i="1"/>
  <c r="EU186" i="1"/>
  <c r="EV186" i="1"/>
  <c r="EW186" i="1"/>
  <c r="EX186" i="1"/>
  <c r="EY186" i="1"/>
  <c r="EZ186" i="1"/>
  <c r="FA186" i="1"/>
  <c r="FB186" i="1"/>
  <c r="FC186" i="1"/>
  <c r="FD186" i="1"/>
  <c r="FE186" i="1"/>
  <c r="FF186" i="1"/>
  <c r="FG186" i="1"/>
  <c r="FH186" i="1"/>
  <c r="FI186" i="1"/>
  <c r="FJ186" i="1"/>
  <c r="FK186" i="1"/>
  <c r="FL186" i="1"/>
  <c r="FM186" i="1"/>
  <c r="FN186" i="1"/>
  <c r="FO186" i="1"/>
  <c r="FP186" i="1"/>
  <c r="FQ186" i="1"/>
  <c r="FR186" i="1"/>
  <c r="FS186" i="1"/>
  <c r="FT186" i="1"/>
  <c r="FU186" i="1"/>
  <c r="FV186" i="1"/>
  <c r="FW186" i="1"/>
  <c r="FX186" i="1"/>
  <c r="FY186" i="1"/>
  <c r="FZ186" i="1"/>
  <c r="GA186" i="1"/>
  <c r="GB186" i="1"/>
  <c r="GC186" i="1"/>
  <c r="GD186" i="1"/>
  <c r="GE186" i="1"/>
  <c r="GF186" i="1"/>
  <c r="GG186" i="1"/>
  <c r="GH186" i="1"/>
  <c r="GI186" i="1"/>
  <c r="GJ186" i="1"/>
  <c r="GK186" i="1"/>
  <c r="GL186" i="1"/>
  <c r="GM186" i="1"/>
  <c r="GN186" i="1"/>
  <c r="GO186" i="1"/>
  <c r="GP186" i="1"/>
  <c r="GQ186" i="1"/>
  <c r="GR186" i="1"/>
  <c r="GS186" i="1"/>
  <c r="GT186" i="1"/>
  <c r="GU186" i="1"/>
  <c r="GV186" i="1"/>
  <c r="GW186" i="1"/>
  <c r="GX186" i="1"/>
  <c r="GY186" i="1"/>
  <c r="GZ186" i="1"/>
  <c r="HA186" i="1"/>
  <c r="HB186" i="1"/>
  <c r="HC186" i="1"/>
  <c r="HD186" i="1"/>
  <c r="HE186" i="1"/>
  <c r="HF186" i="1"/>
  <c r="HG186" i="1"/>
  <c r="HH186" i="1"/>
  <c r="HI186" i="1"/>
  <c r="HJ186" i="1"/>
  <c r="HK186" i="1"/>
  <c r="HL186" i="1"/>
  <c r="HM186" i="1"/>
  <c r="HN186" i="1"/>
  <c r="HO186" i="1"/>
  <c r="HP186" i="1"/>
  <c r="HQ186" i="1"/>
  <c r="HR186" i="1"/>
  <c r="HS186" i="1"/>
  <c r="HT186" i="1"/>
  <c r="HU186" i="1"/>
  <c r="HV186" i="1"/>
  <c r="HW186" i="1"/>
  <c r="HX186" i="1"/>
  <c r="HY186" i="1"/>
  <c r="HZ186" i="1"/>
  <c r="IA186" i="1"/>
  <c r="IB186" i="1"/>
  <c r="IC186" i="1"/>
  <c r="ID186" i="1"/>
  <c r="IE186" i="1"/>
  <c r="IF186" i="1"/>
  <c r="IG186" i="1"/>
  <c r="IH186" i="1"/>
  <c r="II186" i="1"/>
  <c r="IJ186" i="1"/>
  <c r="IK186" i="1"/>
  <c r="IL186" i="1"/>
  <c r="IM186" i="1"/>
  <c r="IN186" i="1"/>
  <c r="IO186" i="1"/>
  <c r="IP186" i="1"/>
  <c r="IQ186" i="1"/>
  <c r="IR186" i="1"/>
  <c r="IS186" i="1"/>
  <c r="IT186" i="1"/>
  <c r="IU186" i="1"/>
  <c r="IV186" i="1"/>
  <c r="IW186" i="1"/>
  <c r="IX186" i="1"/>
  <c r="IY186" i="1"/>
  <c r="IZ186" i="1"/>
  <c r="JA186" i="1"/>
  <c r="JB186" i="1"/>
  <c r="JC186" i="1"/>
  <c r="JD186" i="1"/>
  <c r="JE186" i="1"/>
  <c r="JF186" i="1"/>
  <c r="JG186" i="1"/>
  <c r="JH186" i="1"/>
  <c r="JI186" i="1"/>
  <c r="JJ186" i="1"/>
  <c r="JK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EN187" i="1"/>
  <c r="EO187" i="1"/>
  <c r="EP187" i="1"/>
  <c r="EQ187" i="1"/>
  <c r="ER187" i="1"/>
  <c r="ES187" i="1"/>
  <c r="ET187" i="1"/>
  <c r="EU187" i="1"/>
  <c r="EV187" i="1"/>
  <c r="EW187" i="1"/>
  <c r="EX187" i="1"/>
  <c r="EY187" i="1"/>
  <c r="EZ187" i="1"/>
  <c r="FA187" i="1"/>
  <c r="FB187" i="1"/>
  <c r="FC187" i="1"/>
  <c r="FD187" i="1"/>
  <c r="FE187" i="1"/>
  <c r="FF187" i="1"/>
  <c r="FG187" i="1"/>
  <c r="FH187" i="1"/>
  <c r="FI187" i="1"/>
  <c r="FJ187" i="1"/>
  <c r="FK187" i="1"/>
  <c r="FL187" i="1"/>
  <c r="FM187" i="1"/>
  <c r="FN187" i="1"/>
  <c r="FO187" i="1"/>
  <c r="FP187" i="1"/>
  <c r="FQ187" i="1"/>
  <c r="FR187" i="1"/>
  <c r="FS187" i="1"/>
  <c r="FT187" i="1"/>
  <c r="FU187" i="1"/>
  <c r="FV187" i="1"/>
  <c r="FW187" i="1"/>
  <c r="FX187" i="1"/>
  <c r="FY187" i="1"/>
  <c r="FZ187" i="1"/>
  <c r="GA187" i="1"/>
  <c r="GB187" i="1"/>
  <c r="GC187" i="1"/>
  <c r="GD187" i="1"/>
  <c r="GE187" i="1"/>
  <c r="GF187" i="1"/>
  <c r="GG187" i="1"/>
  <c r="GH187" i="1"/>
  <c r="GI187" i="1"/>
  <c r="GJ187" i="1"/>
  <c r="GK187" i="1"/>
  <c r="GL187" i="1"/>
  <c r="GM187" i="1"/>
  <c r="GN187" i="1"/>
  <c r="GO187" i="1"/>
  <c r="GP187" i="1"/>
  <c r="GQ187" i="1"/>
  <c r="GR187" i="1"/>
  <c r="GS187" i="1"/>
  <c r="GT187" i="1"/>
  <c r="GU187" i="1"/>
  <c r="GV187" i="1"/>
  <c r="GW187" i="1"/>
  <c r="GX187" i="1"/>
  <c r="GY187" i="1"/>
  <c r="GZ187" i="1"/>
  <c r="HA187" i="1"/>
  <c r="HB187" i="1"/>
  <c r="HC187" i="1"/>
  <c r="HD187" i="1"/>
  <c r="HE187" i="1"/>
  <c r="HF187" i="1"/>
  <c r="HG187" i="1"/>
  <c r="HH187" i="1"/>
  <c r="HI187" i="1"/>
  <c r="HJ187" i="1"/>
  <c r="HK187" i="1"/>
  <c r="HL187" i="1"/>
  <c r="HM187" i="1"/>
  <c r="HN187" i="1"/>
  <c r="HO187" i="1"/>
  <c r="HP187" i="1"/>
  <c r="HQ187" i="1"/>
  <c r="HR187" i="1"/>
  <c r="HS187" i="1"/>
  <c r="HT187" i="1"/>
  <c r="HU187" i="1"/>
  <c r="HV187" i="1"/>
  <c r="HW187" i="1"/>
  <c r="HX187" i="1"/>
  <c r="HY187" i="1"/>
  <c r="HZ187" i="1"/>
  <c r="IA187" i="1"/>
  <c r="IB187" i="1"/>
  <c r="IC187" i="1"/>
  <c r="ID187" i="1"/>
  <c r="IE187" i="1"/>
  <c r="IF187" i="1"/>
  <c r="IG187" i="1"/>
  <c r="IH187" i="1"/>
  <c r="II187" i="1"/>
  <c r="IJ187" i="1"/>
  <c r="IK187" i="1"/>
  <c r="IL187" i="1"/>
  <c r="IM187" i="1"/>
  <c r="IN187" i="1"/>
  <c r="IO187" i="1"/>
  <c r="IP187" i="1"/>
  <c r="IQ187" i="1"/>
  <c r="IR187" i="1"/>
  <c r="IS187" i="1"/>
  <c r="IT187" i="1"/>
  <c r="IU187" i="1"/>
  <c r="IV187" i="1"/>
  <c r="IW187" i="1"/>
  <c r="IX187" i="1"/>
  <c r="IY187" i="1"/>
  <c r="IZ187" i="1"/>
  <c r="JA187" i="1"/>
  <c r="JB187" i="1"/>
  <c r="JC187" i="1"/>
  <c r="JD187" i="1"/>
  <c r="JE187" i="1"/>
  <c r="JF187" i="1"/>
  <c r="JG187" i="1"/>
  <c r="JH187" i="1"/>
  <c r="JI187" i="1"/>
  <c r="JJ187" i="1"/>
  <c r="JK187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N189" i="1"/>
  <c r="EO189" i="1"/>
  <c r="EP189" i="1"/>
  <c r="EQ189" i="1"/>
  <c r="ER189" i="1"/>
  <c r="ES189" i="1"/>
  <c r="ET189" i="1"/>
  <c r="EU189" i="1"/>
  <c r="EV189" i="1"/>
  <c r="EW189" i="1"/>
  <c r="EX189" i="1"/>
  <c r="EY189" i="1"/>
  <c r="EZ189" i="1"/>
  <c r="FA189" i="1"/>
  <c r="FB189" i="1"/>
  <c r="FC189" i="1"/>
  <c r="FD189" i="1"/>
  <c r="FE189" i="1"/>
  <c r="FF189" i="1"/>
  <c r="FG189" i="1"/>
  <c r="FH189" i="1"/>
  <c r="FI189" i="1"/>
  <c r="FJ189" i="1"/>
  <c r="FK189" i="1"/>
  <c r="FL189" i="1"/>
  <c r="FM189" i="1"/>
  <c r="FN189" i="1"/>
  <c r="FO189" i="1"/>
  <c r="FP189" i="1"/>
  <c r="FQ189" i="1"/>
  <c r="FR189" i="1"/>
  <c r="FS189" i="1"/>
  <c r="FT189" i="1"/>
  <c r="FU189" i="1"/>
  <c r="FV189" i="1"/>
  <c r="FW189" i="1"/>
  <c r="FX189" i="1"/>
  <c r="FY189" i="1"/>
  <c r="FZ189" i="1"/>
  <c r="GA189" i="1"/>
  <c r="GB189" i="1"/>
  <c r="GC189" i="1"/>
  <c r="GD189" i="1"/>
  <c r="GE189" i="1"/>
  <c r="GF189" i="1"/>
  <c r="GG189" i="1"/>
  <c r="GH189" i="1"/>
  <c r="GI189" i="1"/>
  <c r="GJ189" i="1"/>
  <c r="GK189" i="1"/>
  <c r="GL189" i="1"/>
  <c r="GM189" i="1"/>
  <c r="GN189" i="1"/>
  <c r="GO189" i="1"/>
  <c r="GP189" i="1"/>
  <c r="GQ189" i="1"/>
  <c r="GR189" i="1"/>
  <c r="GS189" i="1"/>
  <c r="GT189" i="1"/>
  <c r="GU189" i="1"/>
  <c r="GV189" i="1"/>
  <c r="GW189" i="1"/>
  <c r="GX189" i="1"/>
  <c r="GY189" i="1"/>
  <c r="GZ189" i="1"/>
  <c r="HA189" i="1"/>
  <c r="HB189" i="1"/>
  <c r="HC189" i="1"/>
  <c r="HD189" i="1"/>
  <c r="HE189" i="1"/>
  <c r="HF189" i="1"/>
  <c r="HG189" i="1"/>
  <c r="HH189" i="1"/>
  <c r="HI189" i="1"/>
  <c r="HJ189" i="1"/>
  <c r="HK189" i="1"/>
  <c r="HL189" i="1"/>
  <c r="HM189" i="1"/>
  <c r="HN189" i="1"/>
  <c r="HO189" i="1"/>
  <c r="HP189" i="1"/>
  <c r="HQ189" i="1"/>
  <c r="HR189" i="1"/>
  <c r="HS189" i="1"/>
  <c r="HT189" i="1"/>
  <c r="HU189" i="1"/>
  <c r="HV189" i="1"/>
  <c r="HW189" i="1"/>
  <c r="HX189" i="1"/>
  <c r="HY189" i="1"/>
  <c r="HZ189" i="1"/>
  <c r="IA189" i="1"/>
  <c r="IB189" i="1"/>
  <c r="IC189" i="1"/>
  <c r="ID189" i="1"/>
  <c r="IE189" i="1"/>
  <c r="IF189" i="1"/>
  <c r="IG189" i="1"/>
  <c r="IH189" i="1"/>
  <c r="II189" i="1"/>
  <c r="IJ189" i="1"/>
  <c r="IK189" i="1"/>
  <c r="IL189" i="1"/>
  <c r="IM189" i="1"/>
  <c r="IN189" i="1"/>
  <c r="IO189" i="1"/>
  <c r="IP189" i="1"/>
  <c r="IQ189" i="1"/>
  <c r="IR189" i="1"/>
  <c r="IS189" i="1"/>
  <c r="IT189" i="1"/>
  <c r="IU189" i="1"/>
  <c r="IV189" i="1"/>
  <c r="IW189" i="1"/>
  <c r="IX189" i="1"/>
  <c r="IY189" i="1"/>
  <c r="IZ189" i="1"/>
  <c r="JA189" i="1"/>
  <c r="JB189" i="1"/>
  <c r="JC189" i="1"/>
  <c r="JD189" i="1"/>
  <c r="JE189" i="1"/>
  <c r="JF189" i="1"/>
  <c r="JG189" i="1"/>
  <c r="JH189" i="1"/>
  <c r="JI189" i="1"/>
  <c r="JJ189" i="1"/>
  <c r="JK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DL190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EN190" i="1"/>
  <c r="EO190" i="1"/>
  <c r="EP190" i="1"/>
  <c r="EQ190" i="1"/>
  <c r="ER190" i="1"/>
  <c r="ES190" i="1"/>
  <c r="ET190" i="1"/>
  <c r="EU190" i="1"/>
  <c r="EV190" i="1"/>
  <c r="EW190" i="1"/>
  <c r="EX190" i="1"/>
  <c r="EY190" i="1"/>
  <c r="EZ190" i="1"/>
  <c r="FA190" i="1"/>
  <c r="FB190" i="1"/>
  <c r="FC190" i="1"/>
  <c r="FD190" i="1"/>
  <c r="FE190" i="1"/>
  <c r="FF190" i="1"/>
  <c r="FG190" i="1"/>
  <c r="FH190" i="1"/>
  <c r="FI190" i="1"/>
  <c r="FJ190" i="1"/>
  <c r="FK190" i="1"/>
  <c r="FL190" i="1"/>
  <c r="FM190" i="1"/>
  <c r="FN190" i="1"/>
  <c r="FO190" i="1"/>
  <c r="FP190" i="1"/>
  <c r="FQ190" i="1"/>
  <c r="FR190" i="1"/>
  <c r="FS190" i="1"/>
  <c r="FT190" i="1"/>
  <c r="FU190" i="1"/>
  <c r="FV190" i="1"/>
  <c r="FW190" i="1"/>
  <c r="FX190" i="1"/>
  <c r="FY190" i="1"/>
  <c r="FZ190" i="1"/>
  <c r="GA190" i="1"/>
  <c r="GB190" i="1"/>
  <c r="GC190" i="1"/>
  <c r="GD190" i="1"/>
  <c r="GE190" i="1"/>
  <c r="GF190" i="1"/>
  <c r="GG190" i="1"/>
  <c r="GH190" i="1"/>
  <c r="GI190" i="1"/>
  <c r="GJ190" i="1"/>
  <c r="GK190" i="1"/>
  <c r="GL190" i="1"/>
  <c r="GM190" i="1"/>
  <c r="GN190" i="1"/>
  <c r="GO190" i="1"/>
  <c r="GP190" i="1"/>
  <c r="GQ190" i="1"/>
  <c r="GR190" i="1"/>
  <c r="GS190" i="1"/>
  <c r="GT190" i="1"/>
  <c r="GU190" i="1"/>
  <c r="GV190" i="1"/>
  <c r="GW190" i="1"/>
  <c r="GX190" i="1"/>
  <c r="GY190" i="1"/>
  <c r="GZ190" i="1"/>
  <c r="HA190" i="1"/>
  <c r="HB190" i="1"/>
  <c r="HC190" i="1"/>
  <c r="HD190" i="1"/>
  <c r="HE190" i="1"/>
  <c r="HF190" i="1"/>
  <c r="HG190" i="1"/>
  <c r="HH190" i="1"/>
  <c r="HI190" i="1"/>
  <c r="HJ190" i="1"/>
  <c r="HK190" i="1"/>
  <c r="HL190" i="1"/>
  <c r="HM190" i="1"/>
  <c r="HN190" i="1"/>
  <c r="HO190" i="1"/>
  <c r="HP190" i="1"/>
  <c r="HQ190" i="1"/>
  <c r="HR190" i="1"/>
  <c r="HS190" i="1"/>
  <c r="HT190" i="1"/>
  <c r="HU190" i="1"/>
  <c r="HV190" i="1"/>
  <c r="HW190" i="1"/>
  <c r="HX190" i="1"/>
  <c r="HY190" i="1"/>
  <c r="HZ190" i="1"/>
  <c r="IA190" i="1"/>
  <c r="IB190" i="1"/>
  <c r="IC190" i="1"/>
  <c r="ID190" i="1"/>
  <c r="IE190" i="1"/>
  <c r="IF190" i="1"/>
  <c r="IG190" i="1"/>
  <c r="IH190" i="1"/>
  <c r="II190" i="1"/>
  <c r="IJ190" i="1"/>
  <c r="IK190" i="1"/>
  <c r="IL190" i="1"/>
  <c r="IM190" i="1"/>
  <c r="IN190" i="1"/>
  <c r="IO190" i="1"/>
  <c r="IP190" i="1"/>
  <c r="IQ190" i="1"/>
  <c r="IR190" i="1"/>
  <c r="IS190" i="1"/>
  <c r="IT190" i="1"/>
  <c r="IU190" i="1"/>
  <c r="IV190" i="1"/>
  <c r="IW190" i="1"/>
  <c r="IX190" i="1"/>
  <c r="IY190" i="1"/>
  <c r="IZ190" i="1"/>
  <c r="JA190" i="1"/>
  <c r="JB190" i="1"/>
  <c r="JC190" i="1"/>
  <c r="JD190" i="1"/>
  <c r="JE190" i="1"/>
  <c r="JF190" i="1"/>
  <c r="JG190" i="1"/>
  <c r="JH190" i="1"/>
  <c r="JI190" i="1"/>
  <c r="JJ190" i="1"/>
  <c r="JK190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DL192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EN192" i="1"/>
  <c r="EO192" i="1"/>
  <c r="EP192" i="1"/>
  <c r="EQ192" i="1"/>
  <c r="ER192" i="1"/>
  <c r="ES192" i="1"/>
  <c r="ET192" i="1"/>
  <c r="EU192" i="1"/>
  <c r="EV192" i="1"/>
  <c r="EW192" i="1"/>
  <c r="EX192" i="1"/>
  <c r="EY192" i="1"/>
  <c r="EZ192" i="1"/>
  <c r="FA192" i="1"/>
  <c r="FB192" i="1"/>
  <c r="FC192" i="1"/>
  <c r="FD192" i="1"/>
  <c r="FE192" i="1"/>
  <c r="FF192" i="1"/>
  <c r="FG192" i="1"/>
  <c r="FH192" i="1"/>
  <c r="FI192" i="1"/>
  <c r="FJ192" i="1"/>
  <c r="FK192" i="1"/>
  <c r="FL192" i="1"/>
  <c r="FM192" i="1"/>
  <c r="FN192" i="1"/>
  <c r="FO192" i="1"/>
  <c r="FP192" i="1"/>
  <c r="FQ192" i="1"/>
  <c r="FR192" i="1"/>
  <c r="FS192" i="1"/>
  <c r="FT192" i="1"/>
  <c r="FU192" i="1"/>
  <c r="FV192" i="1"/>
  <c r="FW192" i="1"/>
  <c r="FX192" i="1"/>
  <c r="FY192" i="1"/>
  <c r="FZ192" i="1"/>
  <c r="GA192" i="1"/>
  <c r="GB192" i="1"/>
  <c r="GC192" i="1"/>
  <c r="GD192" i="1"/>
  <c r="GE192" i="1"/>
  <c r="GF192" i="1"/>
  <c r="GG192" i="1"/>
  <c r="GH192" i="1"/>
  <c r="GI192" i="1"/>
  <c r="GJ192" i="1"/>
  <c r="GK192" i="1"/>
  <c r="GL192" i="1"/>
  <c r="GM192" i="1"/>
  <c r="GN192" i="1"/>
  <c r="GO192" i="1"/>
  <c r="GP192" i="1"/>
  <c r="GQ192" i="1"/>
  <c r="GR192" i="1"/>
  <c r="GS192" i="1"/>
  <c r="GT192" i="1"/>
  <c r="GU192" i="1"/>
  <c r="GV192" i="1"/>
  <c r="GW192" i="1"/>
  <c r="GX192" i="1"/>
  <c r="GY192" i="1"/>
  <c r="GZ192" i="1"/>
  <c r="HA192" i="1"/>
  <c r="HB192" i="1"/>
  <c r="HC192" i="1"/>
  <c r="HD192" i="1"/>
  <c r="HE192" i="1"/>
  <c r="HF192" i="1"/>
  <c r="HG192" i="1"/>
  <c r="HH192" i="1"/>
  <c r="HI192" i="1"/>
  <c r="HJ192" i="1"/>
  <c r="HK192" i="1"/>
  <c r="HL192" i="1"/>
  <c r="HM192" i="1"/>
  <c r="HN192" i="1"/>
  <c r="HO192" i="1"/>
  <c r="HP192" i="1"/>
  <c r="HQ192" i="1"/>
  <c r="HR192" i="1"/>
  <c r="HS192" i="1"/>
  <c r="HT192" i="1"/>
  <c r="HU192" i="1"/>
  <c r="HV192" i="1"/>
  <c r="HW192" i="1"/>
  <c r="HX192" i="1"/>
  <c r="HY192" i="1"/>
  <c r="HZ192" i="1"/>
  <c r="IA192" i="1"/>
  <c r="IB192" i="1"/>
  <c r="IC192" i="1"/>
  <c r="ID192" i="1"/>
  <c r="IE192" i="1"/>
  <c r="IF192" i="1"/>
  <c r="IG192" i="1"/>
  <c r="IH192" i="1"/>
  <c r="II192" i="1"/>
  <c r="IJ192" i="1"/>
  <c r="IK192" i="1"/>
  <c r="IL192" i="1"/>
  <c r="IM192" i="1"/>
  <c r="IN192" i="1"/>
  <c r="IO192" i="1"/>
  <c r="IP192" i="1"/>
  <c r="IQ192" i="1"/>
  <c r="IR192" i="1"/>
  <c r="IS192" i="1"/>
  <c r="IT192" i="1"/>
  <c r="IU192" i="1"/>
  <c r="IV192" i="1"/>
  <c r="IW192" i="1"/>
  <c r="IX192" i="1"/>
  <c r="IY192" i="1"/>
  <c r="IZ192" i="1"/>
  <c r="JA192" i="1"/>
  <c r="JB192" i="1"/>
  <c r="JC192" i="1"/>
  <c r="JD192" i="1"/>
  <c r="JE192" i="1"/>
  <c r="JF192" i="1"/>
  <c r="JG192" i="1"/>
  <c r="JH192" i="1"/>
  <c r="JI192" i="1"/>
  <c r="JJ192" i="1"/>
  <c r="JK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DL193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EN193" i="1"/>
  <c r="EO193" i="1"/>
  <c r="EP193" i="1"/>
  <c r="EQ193" i="1"/>
  <c r="ER193" i="1"/>
  <c r="ES193" i="1"/>
  <c r="ET193" i="1"/>
  <c r="EU193" i="1"/>
  <c r="EV193" i="1"/>
  <c r="EW193" i="1"/>
  <c r="EX193" i="1"/>
  <c r="EY193" i="1"/>
  <c r="EZ193" i="1"/>
  <c r="FA193" i="1"/>
  <c r="FB193" i="1"/>
  <c r="FC193" i="1"/>
  <c r="FD193" i="1"/>
  <c r="FE193" i="1"/>
  <c r="FF193" i="1"/>
  <c r="FG193" i="1"/>
  <c r="FH193" i="1"/>
  <c r="FI193" i="1"/>
  <c r="FJ193" i="1"/>
  <c r="FK193" i="1"/>
  <c r="FL193" i="1"/>
  <c r="FM193" i="1"/>
  <c r="FN193" i="1"/>
  <c r="FO193" i="1"/>
  <c r="FP193" i="1"/>
  <c r="FQ193" i="1"/>
  <c r="FR193" i="1"/>
  <c r="FS193" i="1"/>
  <c r="FT193" i="1"/>
  <c r="FU193" i="1"/>
  <c r="FV193" i="1"/>
  <c r="FW193" i="1"/>
  <c r="FX193" i="1"/>
  <c r="FY193" i="1"/>
  <c r="FZ193" i="1"/>
  <c r="GA193" i="1"/>
  <c r="GB193" i="1"/>
  <c r="GC193" i="1"/>
  <c r="GD193" i="1"/>
  <c r="GE193" i="1"/>
  <c r="GF193" i="1"/>
  <c r="GG193" i="1"/>
  <c r="GH193" i="1"/>
  <c r="GI193" i="1"/>
  <c r="GJ193" i="1"/>
  <c r="GK193" i="1"/>
  <c r="GL193" i="1"/>
  <c r="GM193" i="1"/>
  <c r="GN193" i="1"/>
  <c r="GO193" i="1"/>
  <c r="GP193" i="1"/>
  <c r="GQ193" i="1"/>
  <c r="GR193" i="1"/>
  <c r="GS193" i="1"/>
  <c r="GT193" i="1"/>
  <c r="GU193" i="1"/>
  <c r="GV193" i="1"/>
  <c r="GW193" i="1"/>
  <c r="GX193" i="1"/>
  <c r="GY193" i="1"/>
  <c r="GZ193" i="1"/>
  <c r="HA193" i="1"/>
  <c r="HB193" i="1"/>
  <c r="HC193" i="1"/>
  <c r="HD193" i="1"/>
  <c r="HE193" i="1"/>
  <c r="HF193" i="1"/>
  <c r="HG193" i="1"/>
  <c r="HH193" i="1"/>
  <c r="HI193" i="1"/>
  <c r="HJ193" i="1"/>
  <c r="HK193" i="1"/>
  <c r="HL193" i="1"/>
  <c r="HM193" i="1"/>
  <c r="HN193" i="1"/>
  <c r="HO193" i="1"/>
  <c r="HP193" i="1"/>
  <c r="HQ193" i="1"/>
  <c r="HR193" i="1"/>
  <c r="HS193" i="1"/>
  <c r="HT193" i="1"/>
  <c r="HU193" i="1"/>
  <c r="HV193" i="1"/>
  <c r="HW193" i="1"/>
  <c r="HX193" i="1"/>
  <c r="HY193" i="1"/>
  <c r="HZ193" i="1"/>
  <c r="IA193" i="1"/>
  <c r="IB193" i="1"/>
  <c r="IC193" i="1"/>
  <c r="ID193" i="1"/>
  <c r="IE193" i="1"/>
  <c r="IF193" i="1"/>
  <c r="IG193" i="1"/>
  <c r="IH193" i="1"/>
  <c r="II193" i="1"/>
  <c r="IJ193" i="1"/>
  <c r="IK193" i="1"/>
  <c r="IL193" i="1"/>
  <c r="IM193" i="1"/>
  <c r="IN193" i="1"/>
  <c r="IO193" i="1"/>
  <c r="IP193" i="1"/>
  <c r="IQ193" i="1"/>
  <c r="IR193" i="1"/>
  <c r="IS193" i="1"/>
  <c r="IT193" i="1"/>
  <c r="IU193" i="1"/>
  <c r="IV193" i="1"/>
  <c r="IW193" i="1"/>
  <c r="IX193" i="1"/>
  <c r="IY193" i="1"/>
  <c r="IZ193" i="1"/>
  <c r="JA193" i="1"/>
  <c r="JB193" i="1"/>
  <c r="JC193" i="1"/>
  <c r="JD193" i="1"/>
  <c r="JE193" i="1"/>
  <c r="JF193" i="1"/>
  <c r="JG193" i="1"/>
  <c r="JH193" i="1"/>
  <c r="JI193" i="1"/>
  <c r="JJ193" i="1"/>
  <c r="JK193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N195" i="1"/>
  <c r="EO195" i="1"/>
  <c r="EP195" i="1"/>
  <c r="EQ195" i="1"/>
  <c r="ER195" i="1"/>
  <c r="ES195" i="1"/>
  <c r="ET195" i="1"/>
  <c r="EU195" i="1"/>
  <c r="EV195" i="1"/>
  <c r="EW195" i="1"/>
  <c r="EX195" i="1"/>
  <c r="EY195" i="1"/>
  <c r="EZ195" i="1"/>
  <c r="FA195" i="1"/>
  <c r="FB195" i="1"/>
  <c r="FC195" i="1"/>
  <c r="FD195" i="1"/>
  <c r="FE195" i="1"/>
  <c r="FF195" i="1"/>
  <c r="FG195" i="1"/>
  <c r="FH195" i="1"/>
  <c r="FI195" i="1"/>
  <c r="FJ195" i="1"/>
  <c r="FK195" i="1"/>
  <c r="FL195" i="1"/>
  <c r="FM195" i="1"/>
  <c r="FN195" i="1"/>
  <c r="FO195" i="1"/>
  <c r="FP195" i="1"/>
  <c r="FQ195" i="1"/>
  <c r="FR195" i="1"/>
  <c r="FS195" i="1"/>
  <c r="FT195" i="1"/>
  <c r="FU195" i="1"/>
  <c r="FV195" i="1"/>
  <c r="FW195" i="1"/>
  <c r="FX195" i="1"/>
  <c r="FY195" i="1"/>
  <c r="FZ195" i="1"/>
  <c r="GA195" i="1"/>
  <c r="GB195" i="1"/>
  <c r="GC195" i="1"/>
  <c r="GD195" i="1"/>
  <c r="GE195" i="1"/>
  <c r="GF195" i="1"/>
  <c r="GG195" i="1"/>
  <c r="GH195" i="1"/>
  <c r="GI195" i="1"/>
  <c r="GJ195" i="1"/>
  <c r="GK195" i="1"/>
  <c r="GL195" i="1"/>
  <c r="GM195" i="1"/>
  <c r="GN195" i="1"/>
  <c r="GO195" i="1"/>
  <c r="GP195" i="1"/>
  <c r="GQ195" i="1"/>
  <c r="GR195" i="1"/>
  <c r="GS195" i="1"/>
  <c r="GT195" i="1"/>
  <c r="GU195" i="1"/>
  <c r="GV195" i="1"/>
  <c r="GW195" i="1"/>
  <c r="GX195" i="1"/>
  <c r="GY195" i="1"/>
  <c r="GZ195" i="1"/>
  <c r="HA195" i="1"/>
  <c r="HB195" i="1"/>
  <c r="HC195" i="1"/>
  <c r="HD195" i="1"/>
  <c r="HE195" i="1"/>
  <c r="HF195" i="1"/>
  <c r="HG195" i="1"/>
  <c r="HH195" i="1"/>
  <c r="HI195" i="1"/>
  <c r="HJ195" i="1"/>
  <c r="HK195" i="1"/>
  <c r="HL195" i="1"/>
  <c r="HM195" i="1"/>
  <c r="HN195" i="1"/>
  <c r="HO195" i="1"/>
  <c r="HP195" i="1"/>
  <c r="HQ195" i="1"/>
  <c r="HR195" i="1"/>
  <c r="HS195" i="1"/>
  <c r="HT195" i="1"/>
  <c r="HU195" i="1"/>
  <c r="HV195" i="1"/>
  <c r="HW195" i="1"/>
  <c r="HX195" i="1"/>
  <c r="HY195" i="1"/>
  <c r="HZ195" i="1"/>
  <c r="IA195" i="1"/>
  <c r="IB195" i="1"/>
  <c r="IC195" i="1"/>
  <c r="ID195" i="1"/>
  <c r="IE195" i="1"/>
  <c r="IF195" i="1"/>
  <c r="IG195" i="1"/>
  <c r="IH195" i="1"/>
  <c r="II195" i="1"/>
  <c r="IJ195" i="1"/>
  <c r="IK195" i="1"/>
  <c r="IL195" i="1"/>
  <c r="IM195" i="1"/>
  <c r="IN195" i="1"/>
  <c r="IO195" i="1"/>
  <c r="IP195" i="1"/>
  <c r="IQ195" i="1"/>
  <c r="IR195" i="1"/>
  <c r="IS195" i="1"/>
  <c r="IT195" i="1"/>
  <c r="IU195" i="1"/>
  <c r="IV195" i="1"/>
  <c r="IW195" i="1"/>
  <c r="IX195" i="1"/>
  <c r="IY195" i="1"/>
  <c r="IZ195" i="1"/>
  <c r="JA195" i="1"/>
  <c r="JB195" i="1"/>
  <c r="JC195" i="1"/>
  <c r="JD195" i="1"/>
  <c r="JE195" i="1"/>
  <c r="JF195" i="1"/>
  <c r="JG195" i="1"/>
  <c r="JH195" i="1"/>
  <c r="JI195" i="1"/>
  <c r="JJ195" i="1"/>
  <c r="JK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N196" i="1"/>
  <c r="EO196" i="1"/>
  <c r="EP196" i="1"/>
  <c r="EQ196" i="1"/>
  <c r="ER196" i="1"/>
  <c r="ES196" i="1"/>
  <c r="ET196" i="1"/>
  <c r="EU196" i="1"/>
  <c r="EV196" i="1"/>
  <c r="EW196" i="1"/>
  <c r="EX196" i="1"/>
  <c r="EY196" i="1"/>
  <c r="EZ196" i="1"/>
  <c r="FA196" i="1"/>
  <c r="FB196" i="1"/>
  <c r="FC196" i="1"/>
  <c r="FD196" i="1"/>
  <c r="FE196" i="1"/>
  <c r="FF196" i="1"/>
  <c r="FG196" i="1"/>
  <c r="FH196" i="1"/>
  <c r="FI196" i="1"/>
  <c r="FJ196" i="1"/>
  <c r="FK196" i="1"/>
  <c r="FL196" i="1"/>
  <c r="FM196" i="1"/>
  <c r="FN196" i="1"/>
  <c r="FO196" i="1"/>
  <c r="FP196" i="1"/>
  <c r="FQ196" i="1"/>
  <c r="FR196" i="1"/>
  <c r="FS196" i="1"/>
  <c r="FT196" i="1"/>
  <c r="FU196" i="1"/>
  <c r="FV196" i="1"/>
  <c r="FW196" i="1"/>
  <c r="FX196" i="1"/>
  <c r="FY196" i="1"/>
  <c r="FZ196" i="1"/>
  <c r="GA196" i="1"/>
  <c r="GB196" i="1"/>
  <c r="GC196" i="1"/>
  <c r="GD196" i="1"/>
  <c r="GE196" i="1"/>
  <c r="GF196" i="1"/>
  <c r="GG196" i="1"/>
  <c r="GH196" i="1"/>
  <c r="GI196" i="1"/>
  <c r="GJ196" i="1"/>
  <c r="GK196" i="1"/>
  <c r="GL196" i="1"/>
  <c r="GM196" i="1"/>
  <c r="GN196" i="1"/>
  <c r="GO196" i="1"/>
  <c r="GP196" i="1"/>
  <c r="GQ196" i="1"/>
  <c r="GR196" i="1"/>
  <c r="GS196" i="1"/>
  <c r="GT196" i="1"/>
  <c r="GU196" i="1"/>
  <c r="GV196" i="1"/>
  <c r="GW196" i="1"/>
  <c r="GX196" i="1"/>
  <c r="GY196" i="1"/>
  <c r="GZ196" i="1"/>
  <c r="HA196" i="1"/>
  <c r="HB196" i="1"/>
  <c r="HC196" i="1"/>
  <c r="HD196" i="1"/>
  <c r="HE196" i="1"/>
  <c r="HF196" i="1"/>
  <c r="HG196" i="1"/>
  <c r="HH196" i="1"/>
  <c r="HI196" i="1"/>
  <c r="HJ196" i="1"/>
  <c r="HK196" i="1"/>
  <c r="HL196" i="1"/>
  <c r="HM196" i="1"/>
  <c r="HN196" i="1"/>
  <c r="HO196" i="1"/>
  <c r="HP196" i="1"/>
  <c r="HQ196" i="1"/>
  <c r="HR196" i="1"/>
  <c r="HS196" i="1"/>
  <c r="HT196" i="1"/>
  <c r="HU196" i="1"/>
  <c r="HV196" i="1"/>
  <c r="HW196" i="1"/>
  <c r="HX196" i="1"/>
  <c r="HY196" i="1"/>
  <c r="HZ196" i="1"/>
  <c r="IA196" i="1"/>
  <c r="IB196" i="1"/>
  <c r="IC196" i="1"/>
  <c r="ID196" i="1"/>
  <c r="IE196" i="1"/>
  <c r="IF196" i="1"/>
  <c r="IG196" i="1"/>
  <c r="IH196" i="1"/>
  <c r="II196" i="1"/>
  <c r="IJ196" i="1"/>
  <c r="IK196" i="1"/>
  <c r="IL196" i="1"/>
  <c r="IM196" i="1"/>
  <c r="IN196" i="1"/>
  <c r="IO196" i="1"/>
  <c r="IP196" i="1"/>
  <c r="IQ196" i="1"/>
  <c r="IR196" i="1"/>
  <c r="IS196" i="1"/>
  <c r="IT196" i="1"/>
  <c r="IU196" i="1"/>
  <c r="IV196" i="1"/>
  <c r="IW196" i="1"/>
  <c r="IX196" i="1"/>
  <c r="IY196" i="1"/>
  <c r="IZ196" i="1"/>
  <c r="JA196" i="1"/>
  <c r="JB196" i="1"/>
  <c r="JC196" i="1"/>
  <c r="JD196" i="1"/>
  <c r="JE196" i="1"/>
  <c r="JF196" i="1"/>
  <c r="JG196" i="1"/>
  <c r="JH196" i="1"/>
  <c r="JI196" i="1"/>
  <c r="JJ196" i="1"/>
  <c r="JK196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DL198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EN198" i="1"/>
  <c r="EO198" i="1"/>
  <c r="EP198" i="1"/>
  <c r="EQ198" i="1"/>
  <c r="ER198" i="1"/>
  <c r="ES198" i="1"/>
  <c r="ET198" i="1"/>
  <c r="EU198" i="1"/>
  <c r="EV198" i="1"/>
  <c r="EW198" i="1"/>
  <c r="EX198" i="1"/>
  <c r="EY198" i="1"/>
  <c r="EZ198" i="1"/>
  <c r="FA198" i="1"/>
  <c r="FB198" i="1"/>
  <c r="FC198" i="1"/>
  <c r="FD198" i="1"/>
  <c r="FE198" i="1"/>
  <c r="FF198" i="1"/>
  <c r="FG198" i="1"/>
  <c r="FH198" i="1"/>
  <c r="FI198" i="1"/>
  <c r="FJ198" i="1"/>
  <c r="FK198" i="1"/>
  <c r="FL198" i="1"/>
  <c r="FM198" i="1"/>
  <c r="FN198" i="1"/>
  <c r="FO198" i="1"/>
  <c r="FP198" i="1"/>
  <c r="FQ198" i="1"/>
  <c r="FR198" i="1"/>
  <c r="FS198" i="1"/>
  <c r="FT198" i="1"/>
  <c r="FU198" i="1"/>
  <c r="FV198" i="1"/>
  <c r="FW198" i="1"/>
  <c r="FX198" i="1"/>
  <c r="FY198" i="1"/>
  <c r="FZ198" i="1"/>
  <c r="GA198" i="1"/>
  <c r="GB198" i="1"/>
  <c r="GC198" i="1"/>
  <c r="GD198" i="1"/>
  <c r="GE198" i="1"/>
  <c r="GF198" i="1"/>
  <c r="GG198" i="1"/>
  <c r="GH198" i="1"/>
  <c r="GI198" i="1"/>
  <c r="GJ198" i="1"/>
  <c r="GK198" i="1"/>
  <c r="GL198" i="1"/>
  <c r="GM198" i="1"/>
  <c r="GN198" i="1"/>
  <c r="GO198" i="1"/>
  <c r="GP198" i="1"/>
  <c r="GQ198" i="1"/>
  <c r="GR198" i="1"/>
  <c r="GS198" i="1"/>
  <c r="GT198" i="1"/>
  <c r="GU198" i="1"/>
  <c r="GV198" i="1"/>
  <c r="GW198" i="1"/>
  <c r="GX198" i="1"/>
  <c r="GY198" i="1"/>
  <c r="GZ198" i="1"/>
  <c r="HA198" i="1"/>
  <c r="HB198" i="1"/>
  <c r="HC198" i="1"/>
  <c r="HD198" i="1"/>
  <c r="HE198" i="1"/>
  <c r="HF198" i="1"/>
  <c r="HG198" i="1"/>
  <c r="HH198" i="1"/>
  <c r="HI198" i="1"/>
  <c r="HJ198" i="1"/>
  <c r="HK198" i="1"/>
  <c r="HL198" i="1"/>
  <c r="HM198" i="1"/>
  <c r="HN198" i="1"/>
  <c r="HO198" i="1"/>
  <c r="HP198" i="1"/>
  <c r="HQ198" i="1"/>
  <c r="HR198" i="1"/>
  <c r="HS198" i="1"/>
  <c r="HT198" i="1"/>
  <c r="HU198" i="1"/>
  <c r="HV198" i="1"/>
  <c r="HW198" i="1"/>
  <c r="HX198" i="1"/>
  <c r="HY198" i="1"/>
  <c r="HZ198" i="1"/>
  <c r="IA198" i="1"/>
  <c r="IB198" i="1"/>
  <c r="IC198" i="1"/>
  <c r="ID198" i="1"/>
  <c r="IE198" i="1"/>
  <c r="IF198" i="1"/>
  <c r="IG198" i="1"/>
  <c r="IH198" i="1"/>
  <c r="II198" i="1"/>
  <c r="IJ198" i="1"/>
  <c r="IK198" i="1"/>
  <c r="IL198" i="1"/>
  <c r="IM198" i="1"/>
  <c r="IN198" i="1"/>
  <c r="IO198" i="1"/>
  <c r="IP198" i="1"/>
  <c r="IQ198" i="1"/>
  <c r="IR198" i="1"/>
  <c r="IS198" i="1"/>
  <c r="IT198" i="1"/>
  <c r="IU198" i="1"/>
  <c r="IV198" i="1"/>
  <c r="IW198" i="1"/>
  <c r="IX198" i="1"/>
  <c r="IY198" i="1"/>
  <c r="IZ198" i="1"/>
  <c r="JA198" i="1"/>
  <c r="JB198" i="1"/>
  <c r="JC198" i="1"/>
  <c r="JD198" i="1"/>
  <c r="JE198" i="1"/>
  <c r="JF198" i="1"/>
  <c r="JG198" i="1"/>
  <c r="JH198" i="1"/>
  <c r="JI198" i="1"/>
  <c r="JJ198" i="1"/>
  <c r="JK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DL199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EN199" i="1"/>
  <c r="EO199" i="1"/>
  <c r="EP199" i="1"/>
  <c r="EQ199" i="1"/>
  <c r="ER199" i="1"/>
  <c r="ES199" i="1"/>
  <c r="ET199" i="1"/>
  <c r="EU199" i="1"/>
  <c r="EV199" i="1"/>
  <c r="EW199" i="1"/>
  <c r="EX199" i="1"/>
  <c r="EY199" i="1"/>
  <c r="EZ199" i="1"/>
  <c r="FA199" i="1"/>
  <c r="FB199" i="1"/>
  <c r="FC199" i="1"/>
  <c r="FD199" i="1"/>
  <c r="FE199" i="1"/>
  <c r="FF199" i="1"/>
  <c r="FG199" i="1"/>
  <c r="FH199" i="1"/>
  <c r="FI199" i="1"/>
  <c r="FJ199" i="1"/>
  <c r="FK199" i="1"/>
  <c r="FL199" i="1"/>
  <c r="FM199" i="1"/>
  <c r="FN199" i="1"/>
  <c r="FO199" i="1"/>
  <c r="FP199" i="1"/>
  <c r="FQ199" i="1"/>
  <c r="FR199" i="1"/>
  <c r="FS199" i="1"/>
  <c r="FT199" i="1"/>
  <c r="FU199" i="1"/>
  <c r="FV199" i="1"/>
  <c r="FW199" i="1"/>
  <c r="FX199" i="1"/>
  <c r="FY199" i="1"/>
  <c r="FZ199" i="1"/>
  <c r="GA199" i="1"/>
  <c r="GB199" i="1"/>
  <c r="GC199" i="1"/>
  <c r="GD199" i="1"/>
  <c r="GE199" i="1"/>
  <c r="GF199" i="1"/>
  <c r="GG199" i="1"/>
  <c r="GH199" i="1"/>
  <c r="GI199" i="1"/>
  <c r="GJ199" i="1"/>
  <c r="GK199" i="1"/>
  <c r="GL199" i="1"/>
  <c r="GM199" i="1"/>
  <c r="GN199" i="1"/>
  <c r="GO199" i="1"/>
  <c r="GP199" i="1"/>
  <c r="GQ199" i="1"/>
  <c r="GR199" i="1"/>
  <c r="GS199" i="1"/>
  <c r="GT199" i="1"/>
  <c r="GU199" i="1"/>
  <c r="GV199" i="1"/>
  <c r="GW199" i="1"/>
  <c r="GX199" i="1"/>
  <c r="GY199" i="1"/>
  <c r="GZ199" i="1"/>
  <c r="HA199" i="1"/>
  <c r="HB199" i="1"/>
  <c r="HC199" i="1"/>
  <c r="HD199" i="1"/>
  <c r="HE199" i="1"/>
  <c r="HF199" i="1"/>
  <c r="HG199" i="1"/>
  <c r="HH199" i="1"/>
  <c r="HI199" i="1"/>
  <c r="HJ199" i="1"/>
  <c r="HK199" i="1"/>
  <c r="HL199" i="1"/>
  <c r="HM199" i="1"/>
  <c r="HN199" i="1"/>
  <c r="HO199" i="1"/>
  <c r="HP199" i="1"/>
  <c r="HQ199" i="1"/>
  <c r="HR199" i="1"/>
  <c r="HS199" i="1"/>
  <c r="HT199" i="1"/>
  <c r="HU199" i="1"/>
  <c r="HV199" i="1"/>
  <c r="HW199" i="1"/>
  <c r="HX199" i="1"/>
  <c r="HY199" i="1"/>
  <c r="HZ199" i="1"/>
  <c r="IA199" i="1"/>
  <c r="IB199" i="1"/>
  <c r="IC199" i="1"/>
  <c r="ID199" i="1"/>
  <c r="IE199" i="1"/>
  <c r="IF199" i="1"/>
  <c r="IG199" i="1"/>
  <c r="IH199" i="1"/>
  <c r="II199" i="1"/>
  <c r="IJ199" i="1"/>
  <c r="IK199" i="1"/>
  <c r="IL199" i="1"/>
  <c r="IM199" i="1"/>
  <c r="IN199" i="1"/>
  <c r="IO199" i="1"/>
  <c r="IP199" i="1"/>
  <c r="IQ199" i="1"/>
  <c r="IR199" i="1"/>
  <c r="IS199" i="1"/>
  <c r="IT199" i="1"/>
  <c r="IU199" i="1"/>
  <c r="IV199" i="1"/>
  <c r="IW199" i="1"/>
  <c r="IX199" i="1"/>
  <c r="IY199" i="1"/>
  <c r="IZ199" i="1"/>
  <c r="JA199" i="1"/>
  <c r="JB199" i="1"/>
  <c r="JC199" i="1"/>
  <c r="JD199" i="1"/>
  <c r="JE199" i="1"/>
  <c r="JF199" i="1"/>
  <c r="JG199" i="1"/>
  <c r="JH199" i="1"/>
  <c r="JI199" i="1"/>
  <c r="JJ199" i="1"/>
  <c r="JK199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N201" i="1"/>
  <c r="EO201" i="1"/>
  <c r="EP201" i="1"/>
  <c r="EQ201" i="1"/>
  <c r="ER201" i="1"/>
  <c r="ES201" i="1"/>
  <c r="ET201" i="1"/>
  <c r="EU201" i="1"/>
  <c r="EV201" i="1"/>
  <c r="EW201" i="1"/>
  <c r="EX201" i="1"/>
  <c r="EY201" i="1"/>
  <c r="EZ201" i="1"/>
  <c r="FA201" i="1"/>
  <c r="FB201" i="1"/>
  <c r="FC201" i="1"/>
  <c r="FD201" i="1"/>
  <c r="FE201" i="1"/>
  <c r="FF201" i="1"/>
  <c r="FG201" i="1"/>
  <c r="FH201" i="1"/>
  <c r="FI201" i="1"/>
  <c r="FJ201" i="1"/>
  <c r="FK201" i="1"/>
  <c r="FL201" i="1"/>
  <c r="FM201" i="1"/>
  <c r="FN201" i="1"/>
  <c r="FO201" i="1"/>
  <c r="FP201" i="1"/>
  <c r="FQ201" i="1"/>
  <c r="FR201" i="1"/>
  <c r="FS201" i="1"/>
  <c r="FT201" i="1"/>
  <c r="FU201" i="1"/>
  <c r="FV201" i="1"/>
  <c r="FW201" i="1"/>
  <c r="FX201" i="1"/>
  <c r="FY201" i="1"/>
  <c r="FZ201" i="1"/>
  <c r="GA201" i="1"/>
  <c r="GB201" i="1"/>
  <c r="GC201" i="1"/>
  <c r="GD201" i="1"/>
  <c r="GE201" i="1"/>
  <c r="GF201" i="1"/>
  <c r="GG201" i="1"/>
  <c r="GH201" i="1"/>
  <c r="GI201" i="1"/>
  <c r="GJ201" i="1"/>
  <c r="GK201" i="1"/>
  <c r="GL201" i="1"/>
  <c r="GM201" i="1"/>
  <c r="GN201" i="1"/>
  <c r="GO201" i="1"/>
  <c r="GP201" i="1"/>
  <c r="GQ201" i="1"/>
  <c r="GR201" i="1"/>
  <c r="GS201" i="1"/>
  <c r="GT201" i="1"/>
  <c r="GU201" i="1"/>
  <c r="GV201" i="1"/>
  <c r="GW201" i="1"/>
  <c r="GX201" i="1"/>
  <c r="GY201" i="1"/>
  <c r="GZ201" i="1"/>
  <c r="HA201" i="1"/>
  <c r="HB201" i="1"/>
  <c r="HC201" i="1"/>
  <c r="HD201" i="1"/>
  <c r="HE201" i="1"/>
  <c r="HF201" i="1"/>
  <c r="HG201" i="1"/>
  <c r="HH201" i="1"/>
  <c r="HI201" i="1"/>
  <c r="HJ201" i="1"/>
  <c r="HK201" i="1"/>
  <c r="HL201" i="1"/>
  <c r="HM201" i="1"/>
  <c r="HN201" i="1"/>
  <c r="HO201" i="1"/>
  <c r="HP201" i="1"/>
  <c r="HQ201" i="1"/>
  <c r="HR201" i="1"/>
  <c r="HS201" i="1"/>
  <c r="HT201" i="1"/>
  <c r="HU201" i="1"/>
  <c r="HV201" i="1"/>
  <c r="HW201" i="1"/>
  <c r="HX201" i="1"/>
  <c r="HY201" i="1"/>
  <c r="HZ201" i="1"/>
  <c r="IA201" i="1"/>
  <c r="IB201" i="1"/>
  <c r="IC201" i="1"/>
  <c r="ID201" i="1"/>
  <c r="IE201" i="1"/>
  <c r="IF201" i="1"/>
  <c r="IG201" i="1"/>
  <c r="IH201" i="1"/>
  <c r="II201" i="1"/>
  <c r="IJ201" i="1"/>
  <c r="IK201" i="1"/>
  <c r="IL201" i="1"/>
  <c r="IM201" i="1"/>
  <c r="IN201" i="1"/>
  <c r="IO201" i="1"/>
  <c r="IP201" i="1"/>
  <c r="IQ201" i="1"/>
  <c r="IR201" i="1"/>
  <c r="IS201" i="1"/>
  <c r="IT201" i="1"/>
  <c r="IU201" i="1"/>
  <c r="IV201" i="1"/>
  <c r="IW201" i="1"/>
  <c r="IX201" i="1"/>
  <c r="IY201" i="1"/>
  <c r="IZ201" i="1"/>
  <c r="JA201" i="1"/>
  <c r="JB201" i="1"/>
  <c r="JC201" i="1"/>
  <c r="JD201" i="1"/>
  <c r="JE201" i="1"/>
  <c r="JF201" i="1"/>
  <c r="JG201" i="1"/>
  <c r="JH201" i="1"/>
  <c r="JI201" i="1"/>
  <c r="JJ201" i="1"/>
  <c r="JK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G202" i="1"/>
  <c r="DH202" i="1"/>
  <c r="DI202" i="1"/>
  <c r="DJ202" i="1"/>
  <c r="DK202" i="1"/>
  <c r="DL202" i="1"/>
  <c r="DM202" i="1"/>
  <c r="DN202" i="1"/>
  <c r="DO202" i="1"/>
  <c r="DP202" i="1"/>
  <c r="DQ202" i="1"/>
  <c r="DR202" i="1"/>
  <c r="DS202" i="1"/>
  <c r="DT202" i="1"/>
  <c r="DU202" i="1"/>
  <c r="DV202" i="1"/>
  <c r="DW202" i="1"/>
  <c r="DX202" i="1"/>
  <c r="DY202" i="1"/>
  <c r="DZ202" i="1"/>
  <c r="EA202" i="1"/>
  <c r="EB202" i="1"/>
  <c r="EC202" i="1"/>
  <c r="ED202" i="1"/>
  <c r="EE202" i="1"/>
  <c r="EF202" i="1"/>
  <c r="EG202" i="1"/>
  <c r="EH202" i="1"/>
  <c r="EI202" i="1"/>
  <c r="EJ202" i="1"/>
  <c r="EK202" i="1"/>
  <c r="EL202" i="1"/>
  <c r="EM202" i="1"/>
  <c r="EN202" i="1"/>
  <c r="EO202" i="1"/>
  <c r="EP202" i="1"/>
  <c r="EQ202" i="1"/>
  <c r="ER202" i="1"/>
  <c r="ES202" i="1"/>
  <c r="ET202" i="1"/>
  <c r="EU202" i="1"/>
  <c r="EV202" i="1"/>
  <c r="EW202" i="1"/>
  <c r="EX202" i="1"/>
  <c r="EY202" i="1"/>
  <c r="EZ202" i="1"/>
  <c r="FA202" i="1"/>
  <c r="FB202" i="1"/>
  <c r="FC202" i="1"/>
  <c r="FD202" i="1"/>
  <c r="FE202" i="1"/>
  <c r="FF202" i="1"/>
  <c r="FG202" i="1"/>
  <c r="FH202" i="1"/>
  <c r="FI202" i="1"/>
  <c r="FJ202" i="1"/>
  <c r="FK202" i="1"/>
  <c r="FL202" i="1"/>
  <c r="FM202" i="1"/>
  <c r="FN202" i="1"/>
  <c r="FO202" i="1"/>
  <c r="FP202" i="1"/>
  <c r="FQ202" i="1"/>
  <c r="FR202" i="1"/>
  <c r="FS202" i="1"/>
  <c r="FT202" i="1"/>
  <c r="FU202" i="1"/>
  <c r="FV202" i="1"/>
  <c r="FW202" i="1"/>
  <c r="FX202" i="1"/>
  <c r="FY202" i="1"/>
  <c r="FZ202" i="1"/>
  <c r="GA202" i="1"/>
  <c r="GB202" i="1"/>
  <c r="GC202" i="1"/>
  <c r="GD202" i="1"/>
  <c r="GE202" i="1"/>
  <c r="GF202" i="1"/>
  <c r="GG202" i="1"/>
  <c r="GH202" i="1"/>
  <c r="GI202" i="1"/>
  <c r="GJ202" i="1"/>
  <c r="GK202" i="1"/>
  <c r="GL202" i="1"/>
  <c r="GM202" i="1"/>
  <c r="GN202" i="1"/>
  <c r="GO202" i="1"/>
  <c r="GP202" i="1"/>
  <c r="GQ202" i="1"/>
  <c r="GR202" i="1"/>
  <c r="GS202" i="1"/>
  <c r="GT202" i="1"/>
  <c r="GU202" i="1"/>
  <c r="GV202" i="1"/>
  <c r="GW202" i="1"/>
  <c r="GX202" i="1"/>
  <c r="GY202" i="1"/>
  <c r="GZ202" i="1"/>
  <c r="HA202" i="1"/>
  <c r="HB202" i="1"/>
  <c r="HC202" i="1"/>
  <c r="HD202" i="1"/>
  <c r="HE202" i="1"/>
  <c r="HF202" i="1"/>
  <c r="HG202" i="1"/>
  <c r="HH202" i="1"/>
  <c r="HI202" i="1"/>
  <c r="HJ202" i="1"/>
  <c r="HK202" i="1"/>
  <c r="HL202" i="1"/>
  <c r="HM202" i="1"/>
  <c r="HN202" i="1"/>
  <c r="HO202" i="1"/>
  <c r="HP202" i="1"/>
  <c r="HQ202" i="1"/>
  <c r="HR202" i="1"/>
  <c r="HS202" i="1"/>
  <c r="HT202" i="1"/>
  <c r="HU202" i="1"/>
  <c r="HV202" i="1"/>
  <c r="HW202" i="1"/>
  <c r="HX202" i="1"/>
  <c r="HY202" i="1"/>
  <c r="HZ202" i="1"/>
  <c r="IA202" i="1"/>
  <c r="IB202" i="1"/>
  <c r="IC202" i="1"/>
  <c r="ID202" i="1"/>
  <c r="IE202" i="1"/>
  <c r="IF202" i="1"/>
  <c r="IG202" i="1"/>
  <c r="IH202" i="1"/>
  <c r="II202" i="1"/>
  <c r="IJ202" i="1"/>
  <c r="IK202" i="1"/>
  <c r="IL202" i="1"/>
  <c r="IM202" i="1"/>
  <c r="IN202" i="1"/>
  <c r="IO202" i="1"/>
  <c r="IP202" i="1"/>
  <c r="IQ202" i="1"/>
  <c r="IR202" i="1"/>
  <c r="IS202" i="1"/>
  <c r="IT202" i="1"/>
  <c r="IU202" i="1"/>
  <c r="IV202" i="1"/>
  <c r="IW202" i="1"/>
  <c r="IX202" i="1"/>
  <c r="IY202" i="1"/>
  <c r="IZ202" i="1"/>
  <c r="JA202" i="1"/>
  <c r="JB202" i="1"/>
  <c r="JC202" i="1"/>
  <c r="JD202" i="1"/>
  <c r="JE202" i="1"/>
  <c r="JF202" i="1"/>
  <c r="JG202" i="1"/>
  <c r="JH202" i="1"/>
  <c r="JI202" i="1"/>
  <c r="JJ202" i="1"/>
  <c r="JK202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Y204" i="1"/>
  <c r="CZ204" i="1"/>
  <c r="DA204" i="1"/>
  <c r="DB204" i="1"/>
  <c r="DC204" i="1"/>
  <c r="DD204" i="1"/>
  <c r="DE204" i="1"/>
  <c r="DF204" i="1"/>
  <c r="DG204" i="1"/>
  <c r="DH204" i="1"/>
  <c r="DI204" i="1"/>
  <c r="DJ204" i="1"/>
  <c r="DK204" i="1"/>
  <c r="DL204" i="1"/>
  <c r="DM204" i="1"/>
  <c r="DN204" i="1"/>
  <c r="DO204" i="1"/>
  <c r="DP204" i="1"/>
  <c r="DQ204" i="1"/>
  <c r="DR204" i="1"/>
  <c r="DS204" i="1"/>
  <c r="DT204" i="1"/>
  <c r="DU204" i="1"/>
  <c r="DV204" i="1"/>
  <c r="DW204" i="1"/>
  <c r="DX204" i="1"/>
  <c r="DY204" i="1"/>
  <c r="DZ204" i="1"/>
  <c r="EA204" i="1"/>
  <c r="EB204" i="1"/>
  <c r="EC204" i="1"/>
  <c r="ED204" i="1"/>
  <c r="EE204" i="1"/>
  <c r="EF204" i="1"/>
  <c r="EG204" i="1"/>
  <c r="EH204" i="1"/>
  <c r="EI204" i="1"/>
  <c r="EJ204" i="1"/>
  <c r="EK204" i="1"/>
  <c r="EL204" i="1"/>
  <c r="EM204" i="1"/>
  <c r="EN204" i="1"/>
  <c r="EO204" i="1"/>
  <c r="EP204" i="1"/>
  <c r="EQ204" i="1"/>
  <c r="ER204" i="1"/>
  <c r="ES204" i="1"/>
  <c r="ET204" i="1"/>
  <c r="EU204" i="1"/>
  <c r="EV204" i="1"/>
  <c r="EW204" i="1"/>
  <c r="EX204" i="1"/>
  <c r="EY204" i="1"/>
  <c r="EZ204" i="1"/>
  <c r="FA204" i="1"/>
  <c r="FB204" i="1"/>
  <c r="FC204" i="1"/>
  <c r="FD204" i="1"/>
  <c r="FE204" i="1"/>
  <c r="FF204" i="1"/>
  <c r="FG204" i="1"/>
  <c r="FH204" i="1"/>
  <c r="FI204" i="1"/>
  <c r="FJ204" i="1"/>
  <c r="FK204" i="1"/>
  <c r="FL204" i="1"/>
  <c r="FM204" i="1"/>
  <c r="FN204" i="1"/>
  <c r="FO204" i="1"/>
  <c r="FP204" i="1"/>
  <c r="FQ204" i="1"/>
  <c r="FR204" i="1"/>
  <c r="FS204" i="1"/>
  <c r="FT204" i="1"/>
  <c r="FU204" i="1"/>
  <c r="FV204" i="1"/>
  <c r="FW204" i="1"/>
  <c r="FX204" i="1"/>
  <c r="FY204" i="1"/>
  <c r="FZ204" i="1"/>
  <c r="GA204" i="1"/>
  <c r="GB204" i="1"/>
  <c r="GC204" i="1"/>
  <c r="GD204" i="1"/>
  <c r="GE204" i="1"/>
  <c r="GF204" i="1"/>
  <c r="GG204" i="1"/>
  <c r="GH204" i="1"/>
  <c r="GI204" i="1"/>
  <c r="GJ204" i="1"/>
  <c r="GK204" i="1"/>
  <c r="GL204" i="1"/>
  <c r="GM204" i="1"/>
  <c r="GN204" i="1"/>
  <c r="GO204" i="1"/>
  <c r="GP204" i="1"/>
  <c r="GQ204" i="1"/>
  <c r="GR204" i="1"/>
  <c r="GS204" i="1"/>
  <c r="GT204" i="1"/>
  <c r="GU204" i="1"/>
  <c r="GV204" i="1"/>
  <c r="GW204" i="1"/>
  <c r="GX204" i="1"/>
  <c r="GY204" i="1"/>
  <c r="GZ204" i="1"/>
  <c r="HA204" i="1"/>
  <c r="HB204" i="1"/>
  <c r="HC204" i="1"/>
  <c r="HD204" i="1"/>
  <c r="HE204" i="1"/>
  <c r="HF204" i="1"/>
  <c r="HG204" i="1"/>
  <c r="HH204" i="1"/>
  <c r="HI204" i="1"/>
  <c r="HJ204" i="1"/>
  <c r="HK204" i="1"/>
  <c r="HL204" i="1"/>
  <c r="HM204" i="1"/>
  <c r="HN204" i="1"/>
  <c r="HO204" i="1"/>
  <c r="HP204" i="1"/>
  <c r="HQ204" i="1"/>
  <c r="HR204" i="1"/>
  <c r="HS204" i="1"/>
  <c r="HT204" i="1"/>
  <c r="HU204" i="1"/>
  <c r="HV204" i="1"/>
  <c r="HW204" i="1"/>
  <c r="HX204" i="1"/>
  <c r="HY204" i="1"/>
  <c r="HZ204" i="1"/>
  <c r="IA204" i="1"/>
  <c r="IB204" i="1"/>
  <c r="IC204" i="1"/>
  <c r="ID204" i="1"/>
  <c r="IE204" i="1"/>
  <c r="IF204" i="1"/>
  <c r="IG204" i="1"/>
  <c r="IH204" i="1"/>
  <c r="II204" i="1"/>
  <c r="IJ204" i="1"/>
  <c r="IK204" i="1"/>
  <c r="IL204" i="1"/>
  <c r="IM204" i="1"/>
  <c r="IN204" i="1"/>
  <c r="IO204" i="1"/>
  <c r="IP204" i="1"/>
  <c r="IQ204" i="1"/>
  <c r="IR204" i="1"/>
  <c r="IS204" i="1"/>
  <c r="IT204" i="1"/>
  <c r="IU204" i="1"/>
  <c r="IV204" i="1"/>
  <c r="IW204" i="1"/>
  <c r="IX204" i="1"/>
  <c r="IY204" i="1"/>
  <c r="IZ204" i="1"/>
  <c r="JA204" i="1"/>
  <c r="JB204" i="1"/>
  <c r="JC204" i="1"/>
  <c r="JD204" i="1"/>
  <c r="JE204" i="1"/>
  <c r="JF204" i="1"/>
  <c r="JG204" i="1"/>
  <c r="JH204" i="1"/>
  <c r="JI204" i="1"/>
  <c r="JJ204" i="1"/>
  <c r="JK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G205" i="1"/>
  <c r="DH205" i="1"/>
  <c r="DI205" i="1"/>
  <c r="DJ205" i="1"/>
  <c r="DK205" i="1"/>
  <c r="DL205" i="1"/>
  <c r="DM205" i="1"/>
  <c r="DN205" i="1"/>
  <c r="DO205" i="1"/>
  <c r="DP205" i="1"/>
  <c r="DQ205" i="1"/>
  <c r="DR205" i="1"/>
  <c r="DS205" i="1"/>
  <c r="DT205" i="1"/>
  <c r="DU205" i="1"/>
  <c r="DV205" i="1"/>
  <c r="DW205" i="1"/>
  <c r="DX205" i="1"/>
  <c r="DY205" i="1"/>
  <c r="DZ205" i="1"/>
  <c r="EA205" i="1"/>
  <c r="EB205" i="1"/>
  <c r="EC205" i="1"/>
  <c r="ED205" i="1"/>
  <c r="EE205" i="1"/>
  <c r="EF205" i="1"/>
  <c r="EG205" i="1"/>
  <c r="EH205" i="1"/>
  <c r="EI205" i="1"/>
  <c r="EJ205" i="1"/>
  <c r="EK205" i="1"/>
  <c r="EL205" i="1"/>
  <c r="EM205" i="1"/>
  <c r="EN205" i="1"/>
  <c r="EO205" i="1"/>
  <c r="EP205" i="1"/>
  <c r="EQ205" i="1"/>
  <c r="ER205" i="1"/>
  <c r="ES205" i="1"/>
  <c r="ET205" i="1"/>
  <c r="EU205" i="1"/>
  <c r="EV205" i="1"/>
  <c r="EW205" i="1"/>
  <c r="EX205" i="1"/>
  <c r="EY205" i="1"/>
  <c r="EZ205" i="1"/>
  <c r="FA205" i="1"/>
  <c r="FB205" i="1"/>
  <c r="FC205" i="1"/>
  <c r="FD205" i="1"/>
  <c r="FE205" i="1"/>
  <c r="FF205" i="1"/>
  <c r="FG205" i="1"/>
  <c r="FH205" i="1"/>
  <c r="FI205" i="1"/>
  <c r="FJ205" i="1"/>
  <c r="FK205" i="1"/>
  <c r="FL205" i="1"/>
  <c r="FM205" i="1"/>
  <c r="FN205" i="1"/>
  <c r="FO205" i="1"/>
  <c r="FP205" i="1"/>
  <c r="FQ205" i="1"/>
  <c r="FR205" i="1"/>
  <c r="FS205" i="1"/>
  <c r="FT205" i="1"/>
  <c r="FU205" i="1"/>
  <c r="FV205" i="1"/>
  <c r="FW205" i="1"/>
  <c r="FX205" i="1"/>
  <c r="FY205" i="1"/>
  <c r="FZ205" i="1"/>
  <c r="GA205" i="1"/>
  <c r="GB205" i="1"/>
  <c r="GC205" i="1"/>
  <c r="GD205" i="1"/>
  <c r="GE205" i="1"/>
  <c r="GF205" i="1"/>
  <c r="GG205" i="1"/>
  <c r="GH205" i="1"/>
  <c r="GI205" i="1"/>
  <c r="GJ205" i="1"/>
  <c r="GK205" i="1"/>
  <c r="GL205" i="1"/>
  <c r="GM205" i="1"/>
  <c r="GN205" i="1"/>
  <c r="GO205" i="1"/>
  <c r="GP205" i="1"/>
  <c r="GQ205" i="1"/>
  <c r="GR205" i="1"/>
  <c r="GS205" i="1"/>
  <c r="GT205" i="1"/>
  <c r="GU205" i="1"/>
  <c r="GV205" i="1"/>
  <c r="GW205" i="1"/>
  <c r="GX205" i="1"/>
  <c r="GY205" i="1"/>
  <c r="GZ205" i="1"/>
  <c r="HA205" i="1"/>
  <c r="HB205" i="1"/>
  <c r="HC205" i="1"/>
  <c r="HD205" i="1"/>
  <c r="HE205" i="1"/>
  <c r="HF205" i="1"/>
  <c r="HG205" i="1"/>
  <c r="HH205" i="1"/>
  <c r="HI205" i="1"/>
  <c r="HJ205" i="1"/>
  <c r="HK205" i="1"/>
  <c r="HL205" i="1"/>
  <c r="HM205" i="1"/>
  <c r="HN205" i="1"/>
  <c r="HO205" i="1"/>
  <c r="HP205" i="1"/>
  <c r="HQ205" i="1"/>
  <c r="HR205" i="1"/>
  <c r="HS205" i="1"/>
  <c r="HT205" i="1"/>
  <c r="HU205" i="1"/>
  <c r="HV205" i="1"/>
  <c r="HW205" i="1"/>
  <c r="HX205" i="1"/>
  <c r="HY205" i="1"/>
  <c r="HZ205" i="1"/>
  <c r="IA205" i="1"/>
  <c r="IB205" i="1"/>
  <c r="IC205" i="1"/>
  <c r="ID205" i="1"/>
  <c r="IE205" i="1"/>
  <c r="IF205" i="1"/>
  <c r="IG205" i="1"/>
  <c r="IH205" i="1"/>
  <c r="II205" i="1"/>
  <c r="IJ205" i="1"/>
  <c r="IK205" i="1"/>
  <c r="IL205" i="1"/>
  <c r="IM205" i="1"/>
  <c r="IN205" i="1"/>
  <c r="IO205" i="1"/>
  <c r="IP205" i="1"/>
  <c r="IQ205" i="1"/>
  <c r="IR205" i="1"/>
  <c r="IS205" i="1"/>
  <c r="IT205" i="1"/>
  <c r="IU205" i="1"/>
  <c r="IV205" i="1"/>
  <c r="IW205" i="1"/>
  <c r="IX205" i="1"/>
  <c r="IY205" i="1"/>
  <c r="IZ205" i="1"/>
  <c r="JA205" i="1"/>
  <c r="JB205" i="1"/>
  <c r="JC205" i="1"/>
  <c r="JD205" i="1"/>
  <c r="JE205" i="1"/>
  <c r="JF205" i="1"/>
  <c r="JG205" i="1"/>
  <c r="JH205" i="1"/>
  <c r="JI205" i="1"/>
  <c r="JJ205" i="1"/>
  <c r="JK205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DL207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EN207" i="1"/>
  <c r="EO207" i="1"/>
  <c r="EP207" i="1"/>
  <c r="EQ207" i="1"/>
  <c r="ER207" i="1"/>
  <c r="ES207" i="1"/>
  <c r="ET207" i="1"/>
  <c r="EU207" i="1"/>
  <c r="EV207" i="1"/>
  <c r="EW207" i="1"/>
  <c r="EX207" i="1"/>
  <c r="EY207" i="1"/>
  <c r="EZ207" i="1"/>
  <c r="FA207" i="1"/>
  <c r="FB207" i="1"/>
  <c r="FC207" i="1"/>
  <c r="FD207" i="1"/>
  <c r="FE207" i="1"/>
  <c r="FF207" i="1"/>
  <c r="FG207" i="1"/>
  <c r="FH207" i="1"/>
  <c r="FI207" i="1"/>
  <c r="FJ207" i="1"/>
  <c r="FK207" i="1"/>
  <c r="FL207" i="1"/>
  <c r="FM207" i="1"/>
  <c r="FN207" i="1"/>
  <c r="FO207" i="1"/>
  <c r="FP207" i="1"/>
  <c r="FQ207" i="1"/>
  <c r="FR207" i="1"/>
  <c r="FS207" i="1"/>
  <c r="FT207" i="1"/>
  <c r="FU207" i="1"/>
  <c r="FV207" i="1"/>
  <c r="FW207" i="1"/>
  <c r="FX207" i="1"/>
  <c r="FY207" i="1"/>
  <c r="FZ207" i="1"/>
  <c r="GA207" i="1"/>
  <c r="GB207" i="1"/>
  <c r="GC207" i="1"/>
  <c r="GD207" i="1"/>
  <c r="GE207" i="1"/>
  <c r="GF207" i="1"/>
  <c r="GG207" i="1"/>
  <c r="GH207" i="1"/>
  <c r="GI207" i="1"/>
  <c r="GJ207" i="1"/>
  <c r="GK207" i="1"/>
  <c r="GL207" i="1"/>
  <c r="GM207" i="1"/>
  <c r="GN207" i="1"/>
  <c r="GO207" i="1"/>
  <c r="GP207" i="1"/>
  <c r="GQ207" i="1"/>
  <c r="GR207" i="1"/>
  <c r="GS207" i="1"/>
  <c r="GT207" i="1"/>
  <c r="GU207" i="1"/>
  <c r="GV207" i="1"/>
  <c r="GW207" i="1"/>
  <c r="GX207" i="1"/>
  <c r="GY207" i="1"/>
  <c r="GZ207" i="1"/>
  <c r="HA207" i="1"/>
  <c r="HB207" i="1"/>
  <c r="HC207" i="1"/>
  <c r="HD207" i="1"/>
  <c r="HE207" i="1"/>
  <c r="HF207" i="1"/>
  <c r="HG207" i="1"/>
  <c r="HH207" i="1"/>
  <c r="HI207" i="1"/>
  <c r="HJ207" i="1"/>
  <c r="HK207" i="1"/>
  <c r="HL207" i="1"/>
  <c r="HM207" i="1"/>
  <c r="HN207" i="1"/>
  <c r="HO207" i="1"/>
  <c r="HP207" i="1"/>
  <c r="HQ207" i="1"/>
  <c r="HR207" i="1"/>
  <c r="HS207" i="1"/>
  <c r="HT207" i="1"/>
  <c r="HU207" i="1"/>
  <c r="HV207" i="1"/>
  <c r="HW207" i="1"/>
  <c r="HX207" i="1"/>
  <c r="HY207" i="1"/>
  <c r="HZ207" i="1"/>
  <c r="IA207" i="1"/>
  <c r="IB207" i="1"/>
  <c r="IC207" i="1"/>
  <c r="ID207" i="1"/>
  <c r="IE207" i="1"/>
  <c r="IF207" i="1"/>
  <c r="IG207" i="1"/>
  <c r="IH207" i="1"/>
  <c r="II207" i="1"/>
  <c r="IJ207" i="1"/>
  <c r="IK207" i="1"/>
  <c r="IL207" i="1"/>
  <c r="IM207" i="1"/>
  <c r="IN207" i="1"/>
  <c r="IO207" i="1"/>
  <c r="IP207" i="1"/>
  <c r="IQ207" i="1"/>
  <c r="IR207" i="1"/>
  <c r="IS207" i="1"/>
  <c r="IT207" i="1"/>
  <c r="IU207" i="1"/>
  <c r="IV207" i="1"/>
  <c r="IW207" i="1"/>
  <c r="IX207" i="1"/>
  <c r="IY207" i="1"/>
  <c r="IZ207" i="1"/>
  <c r="JA207" i="1"/>
  <c r="JB207" i="1"/>
  <c r="JC207" i="1"/>
  <c r="JD207" i="1"/>
  <c r="JE207" i="1"/>
  <c r="JF207" i="1"/>
  <c r="JG207" i="1"/>
  <c r="JH207" i="1"/>
  <c r="JI207" i="1"/>
  <c r="JJ207" i="1"/>
  <c r="JK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G208" i="1"/>
  <c r="DH208" i="1"/>
  <c r="DI208" i="1"/>
  <c r="DJ208" i="1"/>
  <c r="DK208" i="1"/>
  <c r="DL208" i="1"/>
  <c r="DM208" i="1"/>
  <c r="DN208" i="1"/>
  <c r="DO208" i="1"/>
  <c r="DP208" i="1"/>
  <c r="DQ208" i="1"/>
  <c r="DR208" i="1"/>
  <c r="DS208" i="1"/>
  <c r="DT208" i="1"/>
  <c r="DU208" i="1"/>
  <c r="DV208" i="1"/>
  <c r="DW208" i="1"/>
  <c r="DX208" i="1"/>
  <c r="DY208" i="1"/>
  <c r="DZ208" i="1"/>
  <c r="EA208" i="1"/>
  <c r="EB208" i="1"/>
  <c r="EC208" i="1"/>
  <c r="ED208" i="1"/>
  <c r="EE208" i="1"/>
  <c r="EF208" i="1"/>
  <c r="EG208" i="1"/>
  <c r="EH208" i="1"/>
  <c r="EI208" i="1"/>
  <c r="EJ208" i="1"/>
  <c r="EK208" i="1"/>
  <c r="EL208" i="1"/>
  <c r="EM208" i="1"/>
  <c r="EN208" i="1"/>
  <c r="EO208" i="1"/>
  <c r="EP208" i="1"/>
  <c r="EQ208" i="1"/>
  <c r="ER208" i="1"/>
  <c r="ES208" i="1"/>
  <c r="ET208" i="1"/>
  <c r="EU208" i="1"/>
  <c r="EV208" i="1"/>
  <c r="EW208" i="1"/>
  <c r="EX208" i="1"/>
  <c r="EY208" i="1"/>
  <c r="EZ208" i="1"/>
  <c r="FA208" i="1"/>
  <c r="FB208" i="1"/>
  <c r="FC208" i="1"/>
  <c r="FD208" i="1"/>
  <c r="FE208" i="1"/>
  <c r="FF208" i="1"/>
  <c r="FG208" i="1"/>
  <c r="FH208" i="1"/>
  <c r="FI208" i="1"/>
  <c r="FJ208" i="1"/>
  <c r="FK208" i="1"/>
  <c r="FL208" i="1"/>
  <c r="FM208" i="1"/>
  <c r="FN208" i="1"/>
  <c r="FO208" i="1"/>
  <c r="FP208" i="1"/>
  <c r="FQ208" i="1"/>
  <c r="FR208" i="1"/>
  <c r="FS208" i="1"/>
  <c r="FT208" i="1"/>
  <c r="FU208" i="1"/>
  <c r="FV208" i="1"/>
  <c r="FW208" i="1"/>
  <c r="FX208" i="1"/>
  <c r="FY208" i="1"/>
  <c r="FZ208" i="1"/>
  <c r="GA208" i="1"/>
  <c r="GB208" i="1"/>
  <c r="GC208" i="1"/>
  <c r="GD208" i="1"/>
  <c r="GE208" i="1"/>
  <c r="GF208" i="1"/>
  <c r="GG208" i="1"/>
  <c r="GH208" i="1"/>
  <c r="GI208" i="1"/>
  <c r="GJ208" i="1"/>
  <c r="GK208" i="1"/>
  <c r="GL208" i="1"/>
  <c r="GM208" i="1"/>
  <c r="GN208" i="1"/>
  <c r="GO208" i="1"/>
  <c r="GP208" i="1"/>
  <c r="GQ208" i="1"/>
  <c r="GR208" i="1"/>
  <c r="GS208" i="1"/>
  <c r="GT208" i="1"/>
  <c r="GU208" i="1"/>
  <c r="GV208" i="1"/>
  <c r="GW208" i="1"/>
  <c r="GX208" i="1"/>
  <c r="GY208" i="1"/>
  <c r="GZ208" i="1"/>
  <c r="HA208" i="1"/>
  <c r="HB208" i="1"/>
  <c r="HC208" i="1"/>
  <c r="HD208" i="1"/>
  <c r="HE208" i="1"/>
  <c r="HF208" i="1"/>
  <c r="HG208" i="1"/>
  <c r="HH208" i="1"/>
  <c r="HI208" i="1"/>
  <c r="HJ208" i="1"/>
  <c r="HK208" i="1"/>
  <c r="HL208" i="1"/>
  <c r="HM208" i="1"/>
  <c r="HN208" i="1"/>
  <c r="HO208" i="1"/>
  <c r="HP208" i="1"/>
  <c r="HQ208" i="1"/>
  <c r="HR208" i="1"/>
  <c r="HS208" i="1"/>
  <c r="HT208" i="1"/>
  <c r="HU208" i="1"/>
  <c r="HV208" i="1"/>
  <c r="HW208" i="1"/>
  <c r="HX208" i="1"/>
  <c r="HY208" i="1"/>
  <c r="HZ208" i="1"/>
  <c r="IA208" i="1"/>
  <c r="IB208" i="1"/>
  <c r="IC208" i="1"/>
  <c r="ID208" i="1"/>
  <c r="IE208" i="1"/>
  <c r="IF208" i="1"/>
  <c r="IG208" i="1"/>
  <c r="IH208" i="1"/>
  <c r="II208" i="1"/>
  <c r="IJ208" i="1"/>
  <c r="IK208" i="1"/>
  <c r="IL208" i="1"/>
  <c r="IM208" i="1"/>
  <c r="IN208" i="1"/>
  <c r="IO208" i="1"/>
  <c r="IP208" i="1"/>
  <c r="IQ208" i="1"/>
  <c r="IR208" i="1"/>
  <c r="IS208" i="1"/>
  <c r="IT208" i="1"/>
  <c r="IU208" i="1"/>
  <c r="IV208" i="1"/>
  <c r="IW208" i="1"/>
  <c r="IX208" i="1"/>
  <c r="IY208" i="1"/>
  <c r="IZ208" i="1"/>
  <c r="JA208" i="1"/>
  <c r="JB208" i="1"/>
  <c r="JC208" i="1"/>
  <c r="JD208" i="1"/>
  <c r="JE208" i="1"/>
  <c r="JF208" i="1"/>
  <c r="JG208" i="1"/>
  <c r="JH208" i="1"/>
  <c r="JI208" i="1"/>
  <c r="JJ208" i="1"/>
  <c r="JK208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DL210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EN210" i="1"/>
  <c r="EO210" i="1"/>
  <c r="EP210" i="1"/>
  <c r="EQ210" i="1"/>
  <c r="ER210" i="1"/>
  <c r="ES210" i="1"/>
  <c r="ET210" i="1"/>
  <c r="EU210" i="1"/>
  <c r="EV210" i="1"/>
  <c r="EW210" i="1"/>
  <c r="EX210" i="1"/>
  <c r="EY210" i="1"/>
  <c r="EZ210" i="1"/>
  <c r="FA210" i="1"/>
  <c r="FB210" i="1"/>
  <c r="FC210" i="1"/>
  <c r="FD210" i="1"/>
  <c r="FE210" i="1"/>
  <c r="FF210" i="1"/>
  <c r="FG210" i="1"/>
  <c r="FH210" i="1"/>
  <c r="FI210" i="1"/>
  <c r="FJ210" i="1"/>
  <c r="FK210" i="1"/>
  <c r="FL210" i="1"/>
  <c r="FM210" i="1"/>
  <c r="FN210" i="1"/>
  <c r="FO210" i="1"/>
  <c r="FP210" i="1"/>
  <c r="FQ210" i="1"/>
  <c r="FR210" i="1"/>
  <c r="FS210" i="1"/>
  <c r="FT210" i="1"/>
  <c r="FU210" i="1"/>
  <c r="FV210" i="1"/>
  <c r="FW210" i="1"/>
  <c r="FX210" i="1"/>
  <c r="FY210" i="1"/>
  <c r="FZ210" i="1"/>
  <c r="GA210" i="1"/>
  <c r="GB210" i="1"/>
  <c r="GC210" i="1"/>
  <c r="GD210" i="1"/>
  <c r="GE210" i="1"/>
  <c r="GF210" i="1"/>
  <c r="GG210" i="1"/>
  <c r="GH210" i="1"/>
  <c r="GI210" i="1"/>
  <c r="GJ210" i="1"/>
  <c r="GK210" i="1"/>
  <c r="GL210" i="1"/>
  <c r="GM210" i="1"/>
  <c r="GN210" i="1"/>
  <c r="GO210" i="1"/>
  <c r="GP210" i="1"/>
  <c r="GQ210" i="1"/>
  <c r="GR210" i="1"/>
  <c r="GS210" i="1"/>
  <c r="GT210" i="1"/>
  <c r="GU210" i="1"/>
  <c r="GV210" i="1"/>
  <c r="GW210" i="1"/>
  <c r="GX210" i="1"/>
  <c r="GY210" i="1"/>
  <c r="GZ210" i="1"/>
  <c r="HA210" i="1"/>
  <c r="HB210" i="1"/>
  <c r="HC210" i="1"/>
  <c r="HD210" i="1"/>
  <c r="HE210" i="1"/>
  <c r="HF210" i="1"/>
  <c r="HG210" i="1"/>
  <c r="HH210" i="1"/>
  <c r="HI210" i="1"/>
  <c r="HJ210" i="1"/>
  <c r="HK210" i="1"/>
  <c r="HL210" i="1"/>
  <c r="HM210" i="1"/>
  <c r="HN210" i="1"/>
  <c r="HO210" i="1"/>
  <c r="HP210" i="1"/>
  <c r="HQ210" i="1"/>
  <c r="HR210" i="1"/>
  <c r="HS210" i="1"/>
  <c r="HT210" i="1"/>
  <c r="HU210" i="1"/>
  <c r="HV210" i="1"/>
  <c r="HW210" i="1"/>
  <c r="HX210" i="1"/>
  <c r="HY210" i="1"/>
  <c r="HZ210" i="1"/>
  <c r="IA210" i="1"/>
  <c r="IB210" i="1"/>
  <c r="IC210" i="1"/>
  <c r="ID210" i="1"/>
  <c r="IE210" i="1"/>
  <c r="IF210" i="1"/>
  <c r="IG210" i="1"/>
  <c r="IH210" i="1"/>
  <c r="II210" i="1"/>
  <c r="IJ210" i="1"/>
  <c r="IK210" i="1"/>
  <c r="IL210" i="1"/>
  <c r="IM210" i="1"/>
  <c r="IN210" i="1"/>
  <c r="IO210" i="1"/>
  <c r="IP210" i="1"/>
  <c r="IQ210" i="1"/>
  <c r="IR210" i="1"/>
  <c r="IS210" i="1"/>
  <c r="IT210" i="1"/>
  <c r="IU210" i="1"/>
  <c r="IV210" i="1"/>
  <c r="IW210" i="1"/>
  <c r="IX210" i="1"/>
  <c r="IY210" i="1"/>
  <c r="IZ210" i="1"/>
  <c r="JA210" i="1"/>
  <c r="JB210" i="1"/>
  <c r="JC210" i="1"/>
  <c r="JD210" i="1"/>
  <c r="JE210" i="1"/>
  <c r="JF210" i="1"/>
  <c r="JG210" i="1"/>
  <c r="JH210" i="1"/>
  <c r="JI210" i="1"/>
  <c r="JJ210" i="1"/>
  <c r="JK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G211" i="1"/>
  <c r="DH211" i="1"/>
  <c r="DI211" i="1"/>
  <c r="DJ211" i="1"/>
  <c r="DK211" i="1"/>
  <c r="DL211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EN211" i="1"/>
  <c r="EO211" i="1"/>
  <c r="EP211" i="1"/>
  <c r="EQ211" i="1"/>
  <c r="ER211" i="1"/>
  <c r="ES211" i="1"/>
  <c r="ET211" i="1"/>
  <c r="EU211" i="1"/>
  <c r="EV211" i="1"/>
  <c r="EW211" i="1"/>
  <c r="EX211" i="1"/>
  <c r="EY211" i="1"/>
  <c r="EZ211" i="1"/>
  <c r="FA211" i="1"/>
  <c r="FB211" i="1"/>
  <c r="FC211" i="1"/>
  <c r="FD211" i="1"/>
  <c r="FE211" i="1"/>
  <c r="FF211" i="1"/>
  <c r="FG211" i="1"/>
  <c r="FH211" i="1"/>
  <c r="FI211" i="1"/>
  <c r="FJ211" i="1"/>
  <c r="FK211" i="1"/>
  <c r="FL211" i="1"/>
  <c r="FM211" i="1"/>
  <c r="FN211" i="1"/>
  <c r="FO211" i="1"/>
  <c r="FP211" i="1"/>
  <c r="FQ211" i="1"/>
  <c r="FR211" i="1"/>
  <c r="FS211" i="1"/>
  <c r="FT211" i="1"/>
  <c r="FU211" i="1"/>
  <c r="FV211" i="1"/>
  <c r="FW211" i="1"/>
  <c r="FX211" i="1"/>
  <c r="FY211" i="1"/>
  <c r="FZ211" i="1"/>
  <c r="GA211" i="1"/>
  <c r="GB211" i="1"/>
  <c r="GC211" i="1"/>
  <c r="GD211" i="1"/>
  <c r="GE211" i="1"/>
  <c r="GF211" i="1"/>
  <c r="GG211" i="1"/>
  <c r="GH211" i="1"/>
  <c r="GI211" i="1"/>
  <c r="GJ211" i="1"/>
  <c r="GK211" i="1"/>
  <c r="GL211" i="1"/>
  <c r="GM211" i="1"/>
  <c r="GN211" i="1"/>
  <c r="GO211" i="1"/>
  <c r="GP211" i="1"/>
  <c r="GQ211" i="1"/>
  <c r="GR211" i="1"/>
  <c r="GS211" i="1"/>
  <c r="GT211" i="1"/>
  <c r="GU211" i="1"/>
  <c r="GV211" i="1"/>
  <c r="GW211" i="1"/>
  <c r="GX211" i="1"/>
  <c r="GY211" i="1"/>
  <c r="GZ211" i="1"/>
  <c r="HA211" i="1"/>
  <c r="HB211" i="1"/>
  <c r="HC211" i="1"/>
  <c r="HD211" i="1"/>
  <c r="HE211" i="1"/>
  <c r="HF211" i="1"/>
  <c r="HG211" i="1"/>
  <c r="HH211" i="1"/>
  <c r="HI211" i="1"/>
  <c r="HJ211" i="1"/>
  <c r="HK211" i="1"/>
  <c r="HL211" i="1"/>
  <c r="HM211" i="1"/>
  <c r="HN211" i="1"/>
  <c r="HO211" i="1"/>
  <c r="HP211" i="1"/>
  <c r="HQ211" i="1"/>
  <c r="HR211" i="1"/>
  <c r="HS211" i="1"/>
  <c r="HT211" i="1"/>
  <c r="HU211" i="1"/>
  <c r="HV211" i="1"/>
  <c r="HW211" i="1"/>
  <c r="HX211" i="1"/>
  <c r="HY211" i="1"/>
  <c r="HZ211" i="1"/>
  <c r="IA211" i="1"/>
  <c r="IB211" i="1"/>
  <c r="IC211" i="1"/>
  <c r="ID211" i="1"/>
  <c r="IE211" i="1"/>
  <c r="IF211" i="1"/>
  <c r="IG211" i="1"/>
  <c r="IH211" i="1"/>
  <c r="II211" i="1"/>
  <c r="IJ211" i="1"/>
  <c r="IK211" i="1"/>
  <c r="IL211" i="1"/>
  <c r="IM211" i="1"/>
  <c r="IN211" i="1"/>
  <c r="IO211" i="1"/>
  <c r="IP211" i="1"/>
  <c r="IQ211" i="1"/>
  <c r="IR211" i="1"/>
  <c r="IS211" i="1"/>
  <c r="IT211" i="1"/>
  <c r="IU211" i="1"/>
  <c r="IV211" i="1"/>
  <c r="IW211" i="1"/>
  <c r="IX211" i="1"/>
  <c r="IY211" i="1"/>
  <c r="IZ211" i="1"/>
  <c r="JA211" i="1"/>
  <c r="JB211" i="1"/>
  <c r="JC211" i="1"/>
  <c r="JD211" i="1"/>
  <c r="JE211" i="1"/>
  <c r="JF211" i="1"/>
  <c r="JG211" i="1"/>
  <c r="JH211" i="1"/>
  <c r="JI211" i="1"/>
  <c r="JJ211" i="1"/>
  <c r="JK211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DL213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EN213" i="1"/>
  <c r="EO213" i="1"/>
  <c r="EP213" i="1"/>
  <c r="EQ213" i="1"/>
  <c r="ER213" i="1"/>
  <c r="ES213" i="1"/>
  <c r="ET213" i="1"/>
  <c r="EU213" i="1"/>
  <c r="EV213" i="1"/>
  <c r="EW213" i="1"/>
  <c r="EX213" i="1"/>
  <c r="EY213" i="1"/>
  <c r="EZ213" i="1"/>
  <c r="FA213" i="1"/>
  <c r="FB213" i="1"/>
  <c r="FC213" i="1"/>
  <c r="FD213" i="1"/>
  <c r="FE213" i="1"/>
  <c r="FF213" i="1"/>
  <c r="FG213" i="1"/>
  <c r="FH213" i="1"/>
  <c r="FI213" i="1"/>
  <c r="FJ213" i="1"/>
  <c r="FK213" i="1"/>
  <c r="FL213" i="1"/>
  <c r="FM213" i="1"/>
  <c r="FN213" i="1"/>
  <c r="FO213" i="1"/>
  <c r="FP213" i="1"/>
  <c r="FQ213" i="1"/>
  <c r="FR213" i="1"/>
  <c r="FS213" i="1"/>
  <c r="FT213" i="1"/>
  <c r="FU213" i="1"/>
  <c r="FV213" i="1"/>
  <c r="FW213" i="1"/>
  <c r="FX213" i="1"/>
  <c r="FY213" i="1"/>
  <c r="FZ213" i="1"/>
  <c r="GA213" i="1"/>
  <c r="GB213" i="1"/>
  <c r="GC213" i="1"/>
  <c r="GD213" i="1"/>
  <c r="GE213" i="1"/>
  <c r="GF213" i="1"/>
  <c r="GG213" i="1"/>
  <c r="GH213" i="1"/>
  <c r="GI213" i="1"/>
  <c r="GJ213" i="1"/>
  <c r="GK213" i="1"/>
  <c r="GL213" i="1"/>
  <c r="GM213" i="1"/>
  <c r="GN213" i="1"/>
  <c r="GO213" i="1"/>
  <c r="GP213" i="1"/>
  <c r="GQ213" i="1"/>
  <c r="GR213" i="1"/>
  <c r="GS213" i="1"/>
  <c r="GT213" i="1"/>
  <c r="GU213" i="1"/>
  <c r="GV213" i="1"/>
  <c r="GW213" i="1"/>
  <c r="GX213" i="1"/>
  <c r="GY213" i="1"/>
  <c r="GZ213" i="1"/>
  <c r="HA213" i="1"/>
  <c r="HB213" i="1"/>
  <c r="HC213" i="1"/>
  <c r="HD213" i="1"/>
  <c r="HE213" i="1"/>
  <c r="HF213" i="1"/>
  <c r="HG213" i="1"/>
  <c r="HH213" i="1"/>
  <c r="HI213" i="1"/>
  <c r="HJ213" i="1"/>
  <c r="HK213" i="1"/>
  <c r="HL213" i="1"/>
  <c r="HM213" i="1"/>
  <c r="HN213" i="1"/>
  <c r="HO213" i="1"/>
  <c r="HP213" i="1"/>
  <c r="HQ213" i="1"/>
  <c r="HR213" i="1"/>
  <c r="HS213" i="1"/>
  <c r="HT213" i="1"/>
  <c r="HU213" i="1"/>
  <c r="HV213" i="1"/>
  <c r="HW213" i="1"/>
  <c r="HX213" i="1"/>
  <c r="HY213" i="1"/>
  <c r="HZ213" i="1"/>
  <c r="IA213" i="1"/>
  <c r="IB213" i="1"/>
  <c r="IC213" i="1"/>
  <c r="ID213" i="1"/>
  <c r="IE213" i="1"/>
  <c r="IF213" i="1"/>
  <c r="IG213" i="1"/>
  <c r="IH213" i="1"/>
  <c r="II213" i="1"/>
  <c r="IJ213" i="1"/>
  <c r="IK213" i="1"/>
  <c r="IL213" i="1"/>
  <c r="IM213" i="1"/>
  <c r="IN213" i="1"/>
  <c r="IO213" i="1"/>
  <c r="IP213" i="1"/>
  <c r="IQ213" i="1"/>
  <c r="IR213" i="1"/>
  <c r="IS213" i="1"/>
  <c r="IT213" i="1"/>
  <c r="IU213" i="1"/>
  <c r="IV213" i="1"/>
  <c r="IW213" i="1"/>
  <c r="IX213" i="1"/>
  <c r="IY213" i="1"/>
  <c r="IZ213" i="1"/>
  <c r="JA213" i="1"/>
  <c r="JB213" i="1"/>
  <c r="JC213" i="1"/>
  <c r="JD213" i="1"/>
  <c r="JE213" i="1"/>
  <c r="JF213" i="1"/>
  <c r="JG213" i="1"/>
  <c r="JH213" i="1"/>
  <c r="JI213" i="1"/>
  <c r="JJ213" i="1"/>
  <c r="JK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G214" i="1"/>
  <c r="DH214" i="1"/>
  <c r="DI214" i="1"/>
  <c r="DJ214" i="1"/>
  <c r="DK214" i="1"/>
  <c r="DL214" i="1"/>
  <c r="DM214" i="1"/>
  <c r="DN214" i="1"/>
  <c r="DO214" i="1"/>
  <c r="DP214" i="1"/>
  <c r="DQ214" i="1"/>
  <c r="DR214" i="1"/>
  <c r="DS214" i="1"/>
  <c r="DT214" i="1"/>
  <c r="DU214" i="1"/>
  <c r="DV214" i="1"/>
  <c r="DW214" i="1"/>
  <c r="DX214" i="1"/>
  <c r="DY214" i="1"/>
  <c r="DZ214" i="1"/>
  <c r="EA214" i="1"/>
  <c r="EB214" i="1"/>
  <c r="EC214" i="1"/>
  <c r="ED214" i="1"/>
  <c r="EE214" i="1"/>
  <c r="EF214" i="1"/>
  <c r="EG214" i="1"/>
  <c r="EH214" i="1"/>
  <c r="EI214" i="1"/>
  <c r="EJ214" i="1"/>
  <c r="EK214" i="1"/>
  <c r="EL214" i="1"/>
  <c r="EM214" i="1"/>
  <c r="EN214" i="1"/>
  <c r="EO214" i="1"/>
  <c r="EP214" i="1"/>
  <c r="EQ214" i="1"/>
  <c r="ER214" i="1"/>
  <c r="ES214" i="1"/>
  <c r="ET214" i="1"/>
  <c r="EU214" i="1"/>
  <c r="EV214" i="1"/>
  <c r="EW214" i="1"/>
  <c r="EX214" i="1"/>
  <c r="EY214" i="1"/>
  <c r="EZ214" i="1"/>
  <c r="FA214" i="1"/>
  <c r="FB214" i="1"/>
  <c r="FC214" i="1"/>
  <c r="FD214" i="1"/>
  <c r="FE214" i="1"/>
  <c r="FF214" i="1"/>
  <c r="FG214" i="1"/>
  <c r="FH214" i="1"/>
  <c r="FI214" i="1"/>
  <c r="FJ214" i="1"/>
  <c r="FK214" i="1"/>
  <c r="FL214" i="1"/>
  <c r="FM214" i="1"/>
  <c r="FN214" i="1"/>
  <c r="FO214" i="1"/>
  <c r="FP214" i="1"/>
  <c r="FQ214" i="1"/>
  <c r="FR214" i="1"/>
  <c r="FS214" i="1"/>
  <c r="FT214" i="1"/>
  <c r="FU214" i="1"/>
  <c r="FV214" i="1"/>
  <c r="FW214" i="1"/>
  <c r="FX214" i="1"/>
  <c r="FY214" i="1"/>
  <c r="FZ214" i="1"/>
  <c r="GA214" i="1"/>
  <c r="GB214" i="1"/>
  <c r="GC214" i="1"/>
  <c r="GD214" i="1"/>
  <c r="GE214" i="1"/>
  <c r="GF214" i="1"/>
  <c r="GG214" i="1"/>
  <c r="GH214" i="1"/>
  <c r="GI214" i="1"/>
  <c r="GJ214" i="1"/>
  <c r="GK214" i="1"/>
  <c r="GL214" i="1"/>
  <c r="GM214" i="1"/>
  <c r="GN214" i="1"/>
  <c r="GO214" i="1"/>
  <c r="GP214" i="1"/>
  <c r="GQ214" i="1"/>
  <c r="GR214" i="1"/>
  <c r="GS214" i="1"/>
  <c r="GT214" i="1"/>
  <c r="GU214" i="1"/>
  <c r="GV214" i="1"/>
  <c r="GW214" i="1"/>
  <c r="GX214" i="1"/>
  <c r="GY214" i="1"/>
  <c r="GZ214" i="1"/>
  <c r="HA214" i="1"/>
  <c r="HB214" i="1"/>
  <c r="HC214" i="1"/>
  <c r="HD214" i="1"/>
  <c r="HE214" i="1"/>
  <c r="HF214" i="1"/>
  <c r="HG214" i="1"/>
  <c r="HH214" i="1"/>
  <c r="HI214" i="1"/>
  <c r="HJ214" i="1"/>
  <c r="HK214" i="1"/>
  <c r="HL214" i="1"/>
  <c r="HM214" i="1"/>
  <c r="HN214" i="1"/>
  <c r="HO214" i="1"/>
  <c r="HP214" i="1"/>
  <c r="HQ214" i="1"/>
  <c r="HR214" i="1"/>
  <c r="HS214" i="1"/>
  <c r="HT214" i="1"/>
  <c r="HU214" i="1"/>
  <c r="HV214" i="1"/>
  <c r="HW214" i="1"/>
  <c r="HX214" i="1"/>
  <c r="HY214" i="1"/>
  <c r="HZ214" i="1"/>
  <c r="IA214" i="1"/>
  <c r="IB214" i="1"/>
  <c r="IC214" i="1"/>
  <c r="ID214" i="1"/>
  <c r="IE214" i="1"/>
  <c r="IF214" i="1"/>
  <c r="IG214" i="1"/>
  <c r="IH214" i="1"/>
  <c r="II214" i="1"/>
  <c r="IJ214" i="1"/>
  <c r="IK214" i="1"/>
  <c r="IL214" i="1"/>
  <c r="IM214" i="1"/>
  <c r="IN214" i="1"/>
  <c r="IO214" i="1"/>
  <c r="IP214" i="1"/>
  <c r="IQ214" i="1"/>
  <c r="IR214" i="1"/>
  <c r="IS214" i="1"/>
  <c r="IT214" i="1"/>
  <c r="IU214" i="1"/>
  <c r="IV214" i="1"/>
  <c r="IW214" i="1"/>
  <c r="IX214" i="1"/>
  <c r="IY214" i="1"/>
  <c r="IZ214" i="1"/>
  <c r="JA214" i="1"/>
  <c r="JB214" i="1"/>
  <c r="JC214" i="1"/>
  <c r="JD214" i="1"/>
  <c r="JE214" i="1"/>
  <c r="JF214" i="1"/>
  <c r="JG214" i="1"/>
  <c r="JH214" i="1"/>
  <c r="JI214" i="1"/>
  <c r="JJ214" i="1"/>
  <c r="JK214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Y216" i="1"/>
  <c r="CZ216" i="1"/>
  <c r="DA216" i="1"/>
  <c r="DB216" i="1"/>
  <c r="DC216" i="1"/>
  <c r="DD216" i="1"/>
  <c r="DE216" i="1"/>
  <c r="DF216" i="1"/>
  <c r="DG216" i="1"/>
  <c r="DH216" i="1"/>
  <c r="DI216" i="1"/>
  <c r="DJ216" i="1"/>
  <c r="DK216" i="1"/>
  <c r="DL216" i="1"/>
  <c r="DM216" i="1"/>
  <c r="DN216" i="1"/>
  <c r="DO216" i="1"/>
  <c r="DP216" i="1"/>
  <c r="DQ216" i="1"/>
  <c r="DR216" i="1"/>
  <c r="DS216" i="1"/>
  <c r="DT216" i="1"/>
  <c r="DU216" i="1"/>
  <c r="DV216" i="1"/>
  <c r="DW216" i="1"/>
  <c r="DX216" i="1"/>
  <c r="DY216" i="1"/>
  <c r="DZ216" i="1"/>
  <c r="EA216" i="1"/>
  <c r="EB216" i="1"/>
  <c r="EC216" i="1"/>
  <c r="ED216" i="1"/>
  <c r="EE216" i="1"/>
  <c r="EF216" i="1"/>
  <c r="EG216" i="1"/>
  <c r="EH216" i="1"/>
  <c r="EI216" i="1"/>
  <c r="EJ216" i="1"/>
  <c r="EK216" i="1"/>
  <c r="EL216" i="1"/>
  <c r="EM216" i="1"/>
  <c r="EN216" i="1"/>
  <c r="EO216" i="1"/>
  <c r="EP216" i="1"/>
  <c r="EQ216" i="1"/>
  <c r="ER216" i="1"/>
  <c r="ES216" i="1"/>
  <c r="ET216" i="1"/>
  <c r="EU216" i="1"/>
  <c r="EV216" i="1"/>
  <c r="EW216" i="1"/>
  <c r="EX216" i="1"/>
  <c r="EY216" i="1"/>
  <c r="EZ216" i="1"/>
  <c r="FA216" i="1"/>
  <c r="FB216" i="1"/>
  <c r="FC216" i="1"/>
  <c r="FD216" i="1"/>
  <c r="FE216" i="1"/>
  <c r="FF216" i="1"/>
  <c r="FG216" i="1"/>
  <c r="FH216" i="1"/>
  <c r="FI216" i="1"/>
  <c r="FJ216" i="1"/>
  <c r="FK216" i="1"/>
  <c r="FL216" i="1"/>
  <c r="FM216" i="1"/>
  <c r="FN216" i="1"/>
  <c r="FO216" i="1"/>
  <c r="FP216" i="1"/>
  <c r="FQ216" i="1"/>
  <c r="FR216" i="1"/>
  <c r="FS216" i="1"/>
  <c r="FT216" i="1"/>
  <c r="FU216" i="1"/>
  <c r="FV216" i="1"/>
  <c r="FW216" i="1"/>
  <c r="FX216" i="1"/>
  <c r="FY216" i="1"/>
  <c r="FZ216" i="1"/>
  <c r="GA216" i="1"/>
  <c r="GB216" i="1"/>
  <c r="GC216" i="1"/>
  <c r="GD216" i="1"/>
  <c r="GE216" i="1"/>
  <c r="GF216" i="1"/>
  <c r="GG216" i="1"/>
  <c r="GH216" i="1"/>
  <c r="GI216" i="1"/>
  <c r="GJ216" i="1"/>
  <c r="GK216" i="1"/>
  <c r="GL216" i="1"/>
  <c r="GM216" i="1"/>
  <c r="GN216" i="1"/>
  <c r="GO216" i="1"/>
  <c r="GP216" i="1"/>
  <c r="GQ216" i="1"/>
  <c r="GR216" i="1"/>
  <c r="GS216" i="1"/>
  <c r="GT216" i="1"/>
  <c r="GU216" i="1"/>
  <c r="GV216" i="1"/>
  <c r="GW216" i="1"/>
  <c r="GX216" i="1"/>
  <c r="GY216" i="1"/>
  <c r="GZ216" i="1"/>
  <c r="HA216" i="1"/>
  <c r="HB216" i="1"/>
  <c r="HC216" i="1"/>
  <c r="HD216" i="1"/>
  <c r="HE216" i="1"/>
  <c r="HF216" i="1"/>
  <c r="HG216" i="1"/>
  <c r="HH216" i="1"/>
  <c r="HI216" i="1"/>
  <c r="HJ216" i="1"/>
  <c r="HK216" i="1"/>
  <c r="HL216" i="1"/>
  <c r="HM216" i="1"/>
  <c r="HN216" i="1"/>
  <c r="HO216" i="1"/>
  <c r="HP216" i="1"/>
  <c r="HQ216" i="1"/>
  <c r="HR216" i="1"/>
  <c r="HS216" i="1"/>
  <c r="HT216" i="1"/>
  <c r="HU216" i="1"/>
  <c r="HV216" i="1"/>
  <c r="HW216" i="1"/>
  <c r="HX216" i="1"/>
  <c r="HY216" i="1"/>
  <c r="HZ216" i="1"/>
  <c r="IA216" i="1"/>
  <c r="IB216" i="1"/>
  <c r="IC216" i="1"/>
  <c r="ID216" i="1"/>
  <c r="IE216" i="1"/>
  <c r="IF216" i="1"/>
  <c r="IG216" i="1"/>
  <c r="IH216" i="1"/>
  <c r="II216" i="1"/>
  <c r="IJ216" i="1"/>
  <c r="IK216" i="1"/>
  <c r="IL216" i="1"/>
  <c r="IM216" i="1"/>
  <c r="IN216" i="1"/>
  <c r="IO216" i="1"/>
  <c r="IP216" i="1"/>
  <c r="IQ216" i="1"/>
  <c r="IR216" i="1"/>
  <c r="IS216" i="1"/>
  <c r="IT216" i="1"/>
  <c r="IU216" i="1"/>
  <c r="IV216" i="1"/>
  <c r="IW216" i="1"/>
  <c r="IX216" i="1"/>
  <c r="IY216" i="1"/>
  <c r="IZ216" i="1"/>
  <c r="JA216" i="1"/>
  <c r="JB216" i="1"/>
  <c r="JC216" i="1"/>
  <c r="JD216" i="1"/>
  <c r="JE216" i="1"/>
  <c r="JF216" i="1"/>
  <c r="JG216" i="1"/>
  <c r="JH216" i="1"/>
  <c r="JI216" i="1"/>
  <c r="JJ216" i="1"/>
  <c r="JK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Y217" i="1"/>
  <c r="CZ217" i="1"/>
  <c r="DA217" i="1"/>
  <c r="DB217" i="1"/>
  <c r="DC217" i="1"/>
  <c r="DD217" i="1"/>
  <c r="DE217" i="1"/>
  <c r="DF217" i="1"/>
  <c r="DG217" i="1"/>
  <c r="DH217" i="1"/>
  <c r="DI217" i="1"/>
  <c r="DJ217" i="1"/>
  <c r="DK217" i="1"/>
  <c r="DL217" i="1"/>
  <c r="DM217" i="1"/>
  <c r="DN217" i="1"/>
  <c r="DO217" i="1"/>
  <c r="DP217" i="1"/>
  <c r="DQ217" i="1"/>
  <c r="DR217" i="1"/>
  <c r="DS217" i="1"/>
  <c r="DT217" i="1"/>
  <c r="DU217" i="1"/>
  <c r="DV217" i="1"/>
  <c r="DW217" i="1"/>
  <c r="DX217" i="1"/>
  <c r="DY217" i="1"/>
  <c r="DZ217" i="1"/>
  <c r="EA217" i="1"/>
  <c r="EB217" i="1"/>
  <c r="EC217" i="1"/>
  <c r="ED217" i="1"/>
  <c r="EE217" i="1"/>
  <c r="EF217" i="1"/>
  <c r="EG217" i="1"/>
  <c r="EH217" i="1"/>
  <c r="EI217" i="1"/>
  <c r="EJ217" i="1"/>
  <c r="EK217" i="1"/>
  <c r="EL217" i="1"/>
  <c r="EM217" i="1"/>
  <c r="EN217" i="1"/>
  <c r="EO217" i="1"/>
  <c r="EP217" i="1"/>
  <c r="EQ217" i="1"/>
  <c r="ER217" i="1"/>
  <c r="ES217" i="1"/>
  <c r="ET217" i="1"/>
  <c r="EU217" i="1"/>
  <c r="EV217" i="1"/>
  <c r="EW217" i="1"/>
  <c r="EX217" i="1"/>
  <c r="EY217" i="1"/>
  <c r="EZ217" i="1"/>
  <c r="FA217" i="1"/>
  <c r="FB217" i="1"/>
  <c r="FC217" i="1"/>
  <c r="FD217" i="1"/>
  <c r="FE217" i="1"/>
  <c r="FF217" i="1"/>
  <c r="FG217" i="1"/>
  <c r="FH217" i="1"/>
  <c r="FI217" i="1"/>
  <c r="FJ217" i="1"/>
  <c r="FK217" i="1"/>
  <c r="FL217" i="1"/>
  <c r="FM217" i="1"/>
  <c r="FN217" i="1"/>
  <c r="FO217" i="1"/>
  <c r="FP217" i="1"/>
  <c r="FQ217" i="1"/>
  <c r="FR217" i="1"/>
  <c r="FS217" i="1"/>
  <c r="FT217" i="1"/>
  <c r="FU217" i="1"/>
  <c r="FV217" i="1"/>
  <c r="FW217" i="1"/>
  <c r="FX217" i="1"/>
  <c r="FY217" i="1"/>
  <c r="FZ217" i="1"/>
  <c r="GA217" i="1"/>
  <c r="GB217" i="1"/>
  <c r="GC217" i="1"/>
  <c r="GD217" i="1"/>
  <c r="GE217" i="1"/>
  <c r="GF217" i="1"/>
  <c r="GG217" i="1"/>
  <c r="GH217" i="1"/>
  <c r="GI217" i="1"/>
  <c r="GJ217" i="1"/>
  <c r="GK217" i="1"/>
  <c r="GL217" i="1"/>
  <c r="GM217" i="1"/>
  <c r="GN217" i="1"/>
  <c r="GO217" i="1"/>
  <c r="GP217" i="1"/>
  <c r="GQ217" i="1"/>
  <c r="GR217" i="1"/>
  <c r="GS217" i="1"/>
  <c r="GT217" i="1"/>
  <c r="GU217" i="1"/>
  <c r="GV217" i="1"/>
  <c r="GW217" i="1"/>
  <c r="GX217" i="1"/>
  <c r="GY217" i="1"/>
  <c r="GZ217" i="1"/>
  <c r="HA217" i="1"/>
  <c r="HB217" i="1"/>
  <c r="HC217" i="1"/>
  <c r="HD217" i="1"/>
  <c r="HE217" i="1"/>
  <c r="HF217" i="1"/>
  <c r="HG217" i="1"/>
  <c r="HH217" i="1"/>
  <c r="HI217" i="1"/>
  <c r="HJ217" i="1"/>
  <c r="HK217" i="1"/>
  <c r="HL217" i="1"/>
  <c r="HM217" i="1"/>
  <c r="HN217" i="1"/>
  <c r="HO217" i="1"/>
  <c r="HP217" i="1"/>
  <c r="HQ217" i="1"/>
  <c r="HR217" i="1"/>
  <c r="HS217" i="1"/>
  <c r="HT217" i="1"/>
  <c r="HU217" i="1"/>
  <c r="HV217" i="1"/>
  <c r="HW217" i="1"/>
  <c r="HX217" i="1"/>
  <c r="HY217" i="1"/>
  <c r="HZ217" i="1"/>
  <c r="IA217" i="1"/>
  <c r="IB217" i="1"/>
  <c r="IC217" i="1"/>
  <c r="ID217" i="1"/>
  <c r="IE217" i="1"/>
  <c r="IF217" i="1"/>
  <c r="IG217" i="1"/>
  <c r="IH217" i="1"/>
  <c r="II217" i="1"/>
  <c r="IJ217" i="1"/>
  <c r="IK217" i="1"/>
  <c r="IL217" i="1"/>
  <c r="IM217" i="1"/>
  <c r="IN217" i="1"/>
  <c r="IO217" i="1"/>
  <c r="IP217" i="1"/>
  <c r="IQ217" i="1"/>
  <c r="IR217" i="1"/>
  <c r="IS217" i="1"/>
  <c r="IT217" i="1"/>
  <c r="IU217" i="1"/>
  <c r="IV217" i="1"/>
  <c r="IW217" i="1"/>
  <c r="IX217" i="1"/>
  <c r="IY217" i="1"/>
  <c r="IZ217" i="1"/>
  <c r="JA217" i="1"/>
  <c r="JB217" i="1"/>
  <c r="JC217" i="1"/>
  <c r="JD217" i="1"/>
  <c r="JE217" i="1"/>
  <c r="JF217" i="1"/>
  <c r="JG217" i="1"/>
  <c r="JH217" i="1"/>
  <c r="JI217" i="1"/>
  <c r="JJ217" i="1"/>
  <c r="JK217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EN219" i="1"/>
  <c r="EO219" i="1"/>
  <c r="EP219" i="1"/>
  <c r="EQ219" i="1"/>
  <c r="ER219" i="1"/>
  <c r="ES219" i="1"/>
  <c r="ET219" i="1"/>
  <c r="EU219" i="1"/>
  <c r="EV219" i="1"/>
  <c r="EW219" i="1"/>
  <c r="EX219" i="1"/>
  <c r="EY219" i="1"/>
  <c r="EZ219" i="1"/>
  <c r="FA219" i="1"/>
  <c r="FB219" i="1"/>
  <c r="FC219" i="1"/>
  <c r="FD219" i="1"/>
  <c r="FE219" i="1"/>
  <c r="FF219" i="1"/>
  <c r="FG219" i="1"/>
  <c r="FH219" i="1"/>
  <c r="FI219" i="1"/>
  <c r="FJ219" i="1"/>
  <c r="FK219" i="1"/>
  <c r="FL219" i="1"/>
  <c r="FM219" i="1"/>
  <c r="FN219" i="1"/>
  <c r="FO219" i="1"/>
  <c r="FP219" i="1"/>
  <c r="FQ219" i="1"/>
  <c r="FR219" i="1"/>
  <c r="FS219" i="1"/>
  <c r="FT219" i="1"/>
  <c r="FU219" i="1"/>
  <c r="FV219" i="1"/>
  <c r="FW219" i="1"/>
  <c r="FX219" i="1"/>
  <c r="FY219" i="1"/>
  <c r="FZ219" i="1"/>
  <c r="GA219" i="1"/>
  <c r="GB219" i="1"/>
  <c r="GC219" i="1"/>
  <c r="GD219" i="1"/>
  <c r="GE219" i="1"/>
  <c r="GF219" i="1"/>
  <c r="GG219" i="1"/>
  <c r="GH219" i="1"/>
  <c r="GI219" i="1"/>
  <c r="GJ219" i="1"/>
  <c r="GK219" i="1"/>
  <c r="GL219" i="1"/>
  <c r="GM219" i="1"/>
  <c r="GN219" i="1"/>
  <c r="GO219" i="1"/>
  <c r="GP219" i="1"/>
  <c r="GQ219" i="1"/>
  <c r="GR219" i="1"/>
  <c r="GS219" i="1"/>
  <c r="GT219" i="1"/>
  <c r="GU219" i="1"/>
  <c r="GV219" i="1"/>
  <c r="GW219" i="1"/>
  <c r="GX219" i="1"/>
  <c r="GY219" i="1"/>
  <c r="GZ219" i="1"/>
  <c r="HA219" i="1"/>
  <c r="HB219" i="1"/>
  <c r="HC219" i="1"/>
  <c r="HD219" i="1"/>
  <c r="HE219" i="1"/>
  <c r="HF219" i="1"/>
  <c r="HG219" i="1"/>
  <c r="HH219" i="1"/>
  <c r="HI219" i="1"/>
  <c r="HJ219" i="1"/>
  <c r="HK219" i="1"/>
  <c r="HL219" i="1"/>
  <c r="HM219" i="1"/>
  <c r="HN219" i="1"/>
  <c r="HO219" i="1"/>
  <c r="HP219" i="1"/>
  <c r="HQ219" i="1"/>
  <c r="HR219" i="1"/>
  <c r="HS219" i="1"/>
  <c r="HT219" i="1"/>
  <c r="HU219" i="1"/>
  <c r="HV219" i="1"/>
  <c r="HW219" i="1"/>
  <c r="HX219" i="1"/>
  <c r="HY219" i="1"/>
  <c r="HZ219" i="1"/>
  <c r="IA219" i="1"/>
  <c r="IB219" i="1"/>
  <c r="IC219" i="1"/>
  <c r="ID219" i="1"/>
  <c r="IE219" i="1"/>
  <c r="IF219" i="1"/>
  <c r="IG219" i="1"/>
  <c r="IH219" i="1"/>
  <c r="II219" i="1"/>
  <c r="IJ219" i="1"/>
  <c r="IK219" i="1"/>
  <c r="IL219" i="1"/>
  <c r="IM219" i="1"/>
  <c r="IN219" i="1"/>
  <c r="IO219" i="1"/>
  <c r="IP219" i="1"/>
  <c r="IQ219" i="1"/>
  <c r="IR219" i="1"/>
  <c r="IS219" i="1"/>
  <c r="IT219" i="1"/>
  <c r="IU219" i="1"/>
  <c r="IV219" i="1"/>
  <c r="IW219" i="1"/>
  <c r="IX219" i="1"/>
  <c r="IY219" i="1"/>
  <c r="IZ219" i="1"/>
  <c r="JA219" i="1"/>
  <c r="JB219" i="1"/>
  <c r="JC219" i="1"/>
  <c r="JD219" i="1"/>
  <c r="JE219" i="1"/>
  <c r="JF219" i="1"/>
  <c r="JG219" i="1"/>
  <c r="JH219" i="1"/>
  <c r="JI219" i="1"/>
  <c r="JJ219" i="1"/>
  <c r="JK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G220" i="1"/>
  <c r="DH220" i="1"/>
  <c r="DI220" i="1"/>
  <c r="DJ220" i="1"/>
  <c r="DK220" i="1"/>
  <c r="DL220" i="1"/>
  <c r="DM220" i="1"/>
  <c r="DN220" i="1"/>
  <c r="DO220" i="1"/>
  <c r="DP220" i="1"/>
  <c r="DQ220" i="1"/>
  <c r="DR220" i="1"/>
  <c r="DS220" i="1"/>
  <c r="DT220" i="1"/>
  <c r="DU220" i="1"/>
  <c r="DV220" i="1"/>
  <c r="DW220" i="1"/>
  <c r="DX220" i="1"/>
  <c r="DY220" i="1"/>
  <c r="DZ220" i="1"/>
  <c r="EA220" i="1"/>
  <c r="EB220" i="1"/>
  <c r="EC220" i="1"/>
  <c r="ED220" i="1"/>
  <c r="EE220" i="1"/>
  <c r="EF220" i="1"/>
  <c r="EG220" i="1"/>
  <c r="EH220" i="1"/>
  <c r="EI220" i="1"/>
  <c r="EJ220" i="1"/>
  <c r="EK220" i="1"/>
  <c r="EL220" i="1"/>
  <c r="EM220" i="1"/>
  <c r="EN220" i="1"/>
  <c r="EO220" i="1"/>
  <c r="EP220" i="1"/>
  <c r="EQ220" i="1"/>
  <c r="ER220" i="1"/>
  <c r="ES220" i="1"/>
  <c r="ET220" i="1"/>
  <c r="EU220" i="1"/>
  <c r="EV220" i="1"/>
  <c r="EW220" i="1"/>
  <c r="EX220" i="1"/>
  <c r="EY220" i="1"/>
  <c r="EZ220" i="1"/>
  <c r="FA220" i="1"/>
  <c r="FB220" i="1"/>
  <c r="FC220" i="1"/>
  <c r="FD220" i="1"/>
  <c r="FE220" i="1"/>
  <c r="FF220" i="1"/>
  <c r="FG220" i="1"/>
  <c r="FH220" i="1"/>
  <c r="FI220" i="1"/>
  <c r="FJ220" i="1"/>
  <c r="FK220" i="1"/>
  <c r="FL220" i="1"/>
  <c r="FM220" i="1"/>
  <c r="FN220" i="1"/>
  <c r="FO220" i="1"/>
  <c r="FP220" i="1"/>
  <c r="FQ220" i="1"/>
  <c r="FR220" i="1"/>
  <c r="FS220" i="1"/>
  <c r="FT220" i="1"/>
  <c r="FU220" i="1"/>
  <c r="FV220" i="1"/>
  <c r="FW220" i="1"/>
  <c r="FX220" i="1"/>
  <c r="FY220" i="1"/>
  <c r="FZ220" i="1"/>
  <c r="GA220" i="1"/>
  <c r="GB220" i="1"/>
  <c r="GC220" i="1"/>
  <c r="GD220" i="1"/>
  <c r="GE220" i="1"/>
  <c r="GF220" i="1"/>
  <c r="GG220" i="1"/>
  <c r="GH220" i="1"/>
  <c r="GI220" i="1"/>
  <c r="GJ220" i="1"/>
  <c r="GK220" i="1"/>
  <c r="GL220" i="1"/>
  <c r="GM220" i="1"/>
  <c r="GN220" i="1"/>
  <c r="GO220" i="1"/>
  <c r="GP220" i="1"/>
  <c r="GQ220" i="1"/>
  <c r="GR220" i="1"/>
  <c r="GS220" i="1"/>
  <c r="GT220" i="1"/>
  <c r="GU220" i="1"/>
  <c r="GV220" i="1"/>
  <c r="GW220" i="1"/>
  <c r="GX220" i="1"/>
  <c r="GY220" i="1"/>
  <c r="GZ220" i="1"/>
  <c r="HA220" i="1"/>
  <c r="HB220" i="1"/>
  <c r="HC220" i="1"/>
  <c r="HD220" i="1"/>
  <c r="HE220" i="1"/>
  <c r="HF220" i="1"/>
  <c r="HG220" i="1"/>
  <c r="HH220" i="1"/>
  <c r="HI220" i="1"/>
  <c r="HJ220" i="1"/>
  <c r="HK220" i="1"/>
  <c r="HL220" i="1"/>
  <c r="HM220" i="1"/>
  <c r="HN220" i="1"/>
  <c r="HO220" i="1"/>
  <c r="HP220" i="1"/>
  <c r="HQ220" i="1"/>
  <c r="HR220" i="1"/>
  <c r="HS220" i="1"/>
  <c r="HT220" i="1"/>
  <c r="HU220" i="1"/>
  <c r="HV220" i="1"/>
  <c r="HW220" i="1"/>
  <c r="HX220" i="1"/>
  <c r="HY220" i="1"/>
  <c r="HZ220" i="1"/>
  <c r="IA220" i="1"/>
  <c r="IB220" i="1"/>
  <c r="IC220" i="1"/>
  <c r="ID220" i="1"/>
  <c r="IE220" i="1"/>
  <c r="IF220" i="1"/>
  <c r="IG220" i="1"/>
  <c r="IH220" i="1"/>
  <c r="II220" i="1"/>
  <c r="IJ220" i="1"/>
  <c r="IK220" i="1"/>
  <c r="IL220" i="1"/>
  <c r="IM220" i="1"/>
  <c r="IN220" i="1"/>
  <c r="IO220" i="1"/>
  <c r="IP220" i="1"/>
  <c r="IQ220" i="1"/>
  <c r="IR220" i="1"/>
  <c r="IS220" i="1"/>
  <c r="IT220" i="1"/>
  <c r="IU220" i="1"/>
  <c r="IV220" i="1"/>
  <c r="IW220" i="1"/>
  <c r="IX220" i="1"/>
  <c r="IY220" i="1"/>
  <c r="IZ220" i="1"/>
  <c r="JA220" i="1"/>
  <c r="JB220" i="1"/>
  <c r="JC220" i="1"/>
  <c r="JD220" i="1"/>
  <c r="JE220" i="1"/>
  <c r="JF220" i="1"/>
  <c r="JG220" i="1"/>
  <c r="JH220" i="1"/>
  <c r="JI220" i="1"/>
  <c r="JJ220" i="1"/>
  <c r="JK220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Y222" i="1"/>
  <c r="CZ222" i="1"/>
  <c r="DA222" i="1"/>
  <c r="DB222" i="1"/>
  <c r="DC222" i="1"/>
  <c r="DD222" i="1"/>
  <c r="DE222" i="1"/>
  <c r="DF222" i="1"/>
  <c r="DG222" i="1"/>
  <c r="DH222" i="1"/>
  <c r="DI222" i="1"/>
  <c r="DJ222" i="1"/>
  <c r="DK222" i="1"/>
  <c r="DL222" i="1"/>
  <c r="DM222" i="1"/>
  <c r="DN222" i="1"/>
  <c r="DO222" i="1"/>
  <c r="DP222" i="1"/>
  <c r="DQ222" i="1"/>
  <c r="DR222" i="1"/>
  <c r="DS222" i="1"/>
  <c r="DT222" i="1"/>
  <c r="DU222" i="1"/>
  <c r="DV222" i="1"/>
  <c r="DW222" i="1"/>
  <c r="DX222" i="1"/>
  <c r="DY222" i="1"/>
  <c r="DZ222" i="1"/>
  <c r="EA222" i="1"/>
  <c r="EB222" i="1"/>
  <c r="EC222" i="1"/>
  <c r="ED222" i="1"/>
  <c r="EE222" i="1"/>
  <c r="EF222" i="1"/>
  <c r="EG222" i="1"/>
  <c r="EH222" i="1"/>
  <c r="EI222" i="1"/>
  <c r="EJ222" i="1"/>
  <c r="EK222" i="1"/>
  <c r="EL222" i="1"/>
  <c r="EM222" i="1"/>
  <c r="EN222" i="1"/>
  <c r="EO222" i="1"/>
  <c r="EP222" i="1"/>
  <c r="EQ222" i="1"/>
  <c r="ER222" i="1"/>
  <c r="ES222" i="1"/>
  <c r="ET222" i="1"/>
  <c r="EU222" i="1"/>
  <c r="EV222" i="1"/>
  <c r="EW222" i="1"/>
  <c r="EX222" i="1"/>
  <c r="EY222" i="1"/>
  <c r="EZ222" i="1"/>
  <c r="FA222" i="1"/>
  <c r="FB222" i="1"/>
  <c r="FC222" i="1"/>
  <c r="FD222" i="1"/>
  <c r="FE222" i="1"/>
  <c r="FF222" i="1"/>
  <c r="FG222" i="1"/>
  <c r="FH222" i="1"/>
  <c r="FI222" i="1"/>
  <c r="FJ222" i="1"/>
  <c r="FK222" i="1"/>
  <c r="FL222" i="1"/>
  <c r="FM222" i="1"/>
  <c r="FN222" i="1"/>
  <c r="FO222" i="1"/>
  <c r="FP222" i="1"/>
  <c r="FQ222" i="1"/>
  <c r="FR222" i="1"/>
  <c r="FS222" i="1"/>
  <c r="FT222" i="1"/>
  <c r="FU222" i="1"/>
  <c r="FV222" i="1"/>
  <c r="FW222" i="1"/>
  <c r="FX222" i="1"/>
  <c r="FY222" i="1"/>
  <c r="FZ222" i="1"/>
  <c r="GA222" i="1"/>
  <c r="GB222" i="1"/>
  <c r="GC222" i="1"/>
  <c r="GD222" i="1"/>
  <c r="GE222" i="1"/>
  <c r="GF222" i="1"/>
  <c r="GG222" i="1"/>
  <c r="GH222" i="1"/>
  <c r="GI222" i="1"/>
  <c r="GJ222" i="1"/>
  <c r="GK222" i="1"/>
  <c r="GL222" i="1"/>
  <c r="GM222" i="1"/>
  <c r="GN222" i="1"/>
  <c r="GO222" i="1"/>
  <c r="GP222" i="1"/>
  <c r="GQ222" i="1"/>
  <c r="GR222" i="1"/>
  <c r="GS222" i="1"/>
  <c r="GT222" i="1"/>
  <c r="GU222" i="1"/>
  <c r="GV222" i="1"/>
  <c r="GW222" i="1"/>
  <c r="GX222" i="1"/>
  <c r="GY222" i="1"/>
  <c r="GZ222" i="1"/>
  <c r="HA222" i="1"/>
  <c r="HB222" i="1"/>
  <c r="HC222" i="1"/>
  <c r="HD222" i="1"/>
  <c r="HE222" i="1"/>
  <c r="HF222" i="1"/>
  <c r="HG222" i="1"/>
  <c r="HH222" i="1"/>
  <c r="HI222" i="1"/>
  <c r="HJ222" i="1"/>
  <c r="HK222" i="1"/>
  <c r="HL222" i="1"/>
  <c r="HM222" i="1"/>
  <c r="HN222" i="1"/>
  <c r="HO222" i="1"/>
  <c r="HP222" i="1"/>
  <c r="HQ222" i="1"/>
  <c r="HR222" i="1"/>
  <c r="HS222" i="1"/>
  <c r="HT222" i="1"/>
  <c r="HU222" i="1"/>
  <c r="HV222" i="1"/>
  <c r="HW222" i="1"/>
  <c r="HX222" i="1"/>
  <c r="HY222" i="1"/>
  <c r="HZ222" i="1"/>
  <c r="IA222" i="1"/>
  <c r="IB222" i="1"/>
  <c r="IC222" i="1"/>
  <c r="ID222" i="1"/>
  <c r="IE222" i="1"/>
  <c r="IF222" i="1"/>
  <c r="IG222" i="1"/>
  <c r="IH222" i="1"/>
  <c r="II222" i="1"/>
  <c r="IJ222" i="1"/>
  <c r="IK222" i="1"/>
  <c r="IL222" i="1"/>
  <c r="IM222" i="1"/>
  <c r="IN222" i="1"/>
  <c r="IO222" i="1"/>
  <c r="IP222" i="1"/>
  <c r="IQ222" i="1"/>
  <c r="IR222" i="1"/>
  <c r="IS222" i="1"/>
  <c r="IT222" i="1"/>
  <c r="IU222" i="1"/>
  <c r="IV222" i="1"/>
  <c r="IW222" i="1"/>
  <c r="IX222" i="1"/>
  <c r="IY222" i="1"/>
  <c r="IZ222" i="1"/>
  <c r="JA222" i="1"/>
  <c r="JB222" i="1"/>
  <c r="JC222" i="1"/>
  <c r="JD222" i="1"/>
  <c r="JE222" i="1"/>
  <c r="JF222" i="1"/>
  <c r="JG222" i="1"/>
  <c r="JH222" i="1"/>
  <c r="JI222" i="1"/>
  <c r="JJ222" i="1"/>
  <c r="JK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Y223" i="1"/>
  <c r="CZ223" i="1"/>
  <c r="DA223" i="1"/>
  <c r="DB223" i="1"/>
  <c r="DC223" i="1"/>
  <c r="DD223" i="1"/>
  <c r="DE223" i="1"/>
  <c r="DF223" i="1"/>
  <c r="DG223" i="1"/>
  <c r="DH223" i="1"/>
  <c r="DI223" i="1"/>
  <c r="DJ223" i="1"/>
  <c r="DK223" i="1"/>
  <c r="DL223" i="1"/>
  <c r="DM223" i="1"/>
  <c r="DN223" i="1"/>
  <c r="DO223" i="1"/>
  <c r="DP223" i="1"/>
  <c r="DQ223" i="1"/>
  <c r="DR223" i="1"/>
  <c r="DS223" i="1"/>
  <c r="DT223" i="1"/>
  <c r="DU223" i="1"/>
  <c r="DV223" i="1"/>
  <c r="DW223" i="1"/>
  <c r="DX223" i="1"/>
  <c r="DY223" i="1"/>
  <c r="DZ223" i="1"/>
  <c r="EA223" i="1"/>
  <c r="EB223" i="1"/>
  <c r="EC223" i="1"/>
  <c r="ED223" i="1"/>
  <c r="EE223" i="1"/>
  <c r="EF223" i="1"/>
  <c r="EG223" i="1"/>
  <c r="EH223" i="1"/>
  <c r="EI223" i="1"/>
  <c r="EJ223" i="1"/>
  <c r="EK223" i="1"/>
  <c r="EL223" i="1"/>
  <c r="EM223" i="1"/>
  <c r="EN223" i="1"/>
  <c r="EO223" i="1"/>
  <c r="EP223" i="1"/>
  <c r="EQ223" i="1"/>
  <c r="ER223" i="1"/>
  <c r="ES223" i="1"/>
  <c r="ET223" i="1"/>
  <c r="EU223" i="1"/>
  <c r="EV223" i="1"/>
  <c r="EW223" i="1"/>
  <c r="EX223" i="1"/>
  <c r="EY223" i="1"/>
  <c r="EZ223" i="1"/>
  <c r="FA223" i="1"/>
  <c r="FB223" i="1"/>
  <c r="FC223" i="1"/>
  <c r="FD223" i="1"/>
  <c r="FE223" i="1"/>
  <c r="FF223" i="1"/>
  <c r="FG223" i="1"/>
  <c r="FH223" i="1"/>
  <c r="FI223" i="1"/>
  <c r="FJ223" i="1"/>
  <c r="FK223" i="1"/>
  <c r="FL223" i="1"/>
  <c r="FM223" i="1"/>
  <c r="FN223" i="1"/>
  <c r="FO223" i="1"/>
  <c r="FP223" i="1"/>
  <c r="FQ223" i="1"/>
  <c r="FR223" i="1"/>
  <c r="FS223" i="1"/>
  <c r="FT223" i="1"/>
  <c r="FU223" i="1"/>
  <c r="FV223" i="1"/>
  <c r="FW223" i="1"/>
  <c r="FX223" i="1"/>
  <c r="FY223" i="1"/>
  <c r="FZ223" i="1"/>
  <c r="GA223" i="1"/>
  <c r="GB223" i="1"/>
  <c r="GC223" i="1"/>
  <c r="GD223" i="1"/>
  <c r="GE223" i="1"/>
  <c r="GF223" i="1"/>
  <c r="GG223" i="1"/>
  <c r="GH223" i="1"/>
  <c r="GI223" i="1"/>
  <c r="GJ223" i="1"/>
  <c r="GK223" i="1"/>
  <c r="GL223" i="1"/>
  <c r="GM223" i="1"/>
  <c r="GN223" i="1"/>
  <c r="GO223" i="1"/>
  <c r="GP223" i="1"/>
  <c r="GQ223" i="1"/>
  <c r="GR223" i="1"/>
  <c r="GS223" i="1"/>
  <c r="GT223" i="1"/>
  <c r="GU223" i="1"/>
  <c r="GV223" i="1"/>
  <c r="GW223" i="1"/>
  <c r="GX223" i="1"/>
  <c r="GY223" i="1"/>
  <c r="GZ223" i="1"/>
  <c r="HA223" i="1"/>
  <c r="HB223" i="1"/>
  <c r="HC223" i="1"/>
  <c r="HD223" i="1"/>
  <c r="HE223" i="1"/>
  <c r="HF223" i="1"/>
  <c r="HG223" i="1"/>
  <c r="HH223" i="1"/>
  <c r="HI223" i="1"/>
  <c r="HJ223" i="1"/>
  <c r="HK223" i="1"/>
  <c r="HL223" i="1"/>
  <c r="HM223" i="1"/>
  <c r="HN223" i="1"/>
  <c r="HO223" i="1"/>
  <c r="HP223" i="1"/>
  <c r="HQ223" i="1"/>
  <c r="HR223" i="1"/>
  <c r="HS223" i="1"/>
  <c r="HT223" i="1"/>
  <c r="HU223" i="1"/>
  <c r="HV223" i="1"/>
  <c r="HW223" i="1"/>
  <c r="HX223" i="1"/>
  <c r="HY223" i="1"/>
  <c r="HZ223" i="1"/>
  <c r="IA223" i="1"/>
  <c r="IB223" i="1"/>
  <c r="IC223" i="1"/>
  <c r="ID223" i="1"/>
  <c r="IE223" i="1"/>
  <c r="IF223" i="1"/>
  <c r="IG223" i="1"/>
  <c r="IH223" i="1"/>
  <c r="II223" i="1"/>
  <c r="IJ223" i="1"/>
  <c r="IK223" i="1"/>
  <c r="IL223" i="1"/>
  <c r="IM223" i="1"/>
  <c r="IN223" i="1"/>
  <c r="IO223" i="1"/>
  <c r="IP223" i="1"/>
  <c r="IQ223" i="1"/>
  <c r="IR223" i="1"/>
  <c r="IS223" i="1"/>
  <c r="IT223" i="1"/>
  <c r="IU223" i="1"/>
  <c r="IV223" i="1"/>
  <c r="IW223" i="1"/>
  <c r="IX223" i="1"/>
  <c r="IY223" i="1"/>
  <c r="IZ223" i="1"/>
  <c r="JA223" i="1"/>
  <c r="JB223" i="1"/>
  <c r="JC223" i="1"/>
  <c r="JD223" i="1"/>
  <c r="JE223" i="1"/>
  <c r="JF223" i="1"/>
  <c r="JG223" i="1"/>
  <c r="JH223" i="1"/>
  <c r="JI223" i="1"/>
  <c r="JJ223" i="1"/>
  <c r="JK223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DL225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EN225" i="1"/>
  <c r="EO225" i="1"/>
  <c r="EP225" i="1"/>
  <c r="EQ225" i="1"/>
  <c r="ER225" i="1"/>
  <c r="ES225" i="1"/>
  <c r="ET225" i="1"/>
  <c r="EU225" i="1"/>
  <c r="EV225" i="1"/>
  <c r="EW225" i="1"/>
  <c r="EX225" i="1"/>
  <c r="EY225" i="1"/>
  <c r="EZ225" i="1"/>
  <c r="FA225" i="1"/>
  <c r="FB225" i="1"/>
  <c r="FC225" i="1"/>
  <c r="FD225" i="1"/>
  <c r="FE225" i="1"/>
  <c r="FF225" i="1"/>
  <c r="FG225" i="1"/>
  <c r="FH225" i="1"/>
  <c r="FI225" i="1"/>
  <c r="FJ225" i="1"/>
  <c r="FK225" i="1"/>
  <c r="FL225" i="1"/>
  <c r="FM225" i="1"/>
  <c r="FN225" i="1"/>
  <c r="FO225" i="1"/>
  <c r="FP225" i="1"/>
  <c r="FQ225" i="1"/>
  <c r="FR225" i="1"/>
  <c r="FS225" i="1"/>
  <c r="FT225" i="1"/>
  <c r="FU225" i="1"/>
  <c r="FV225" i="1"/>
  <c r="FW225" i="1"/>
  <c r="FX225" i="1"/>
  <c r="FY225" i="1"/>
  <c r="FZ225" i="1"/>
  <c r="GA225" i="1"/>
  <c r="GB225" i="1"/>
  <c r="GC225" i="1"/>
  <c r="GD225" i="1"/>
  <c r="GE225" i="1"/>
  <c r="GF225" i="1"/>
  <c r="GG225" i="1"/>
  <c r="GH225" i="1"/>
  <c r="GI225" i="1"/>
  <c r="GJ225" i="1"/>
  <c r="GK225" i="1"/>
  <c r="GL225" i="1"/>
  <c r="GM225" i="1"/>
  <c r="GN225" i="1"/>
  <c r="GO225" i="1"/>
  <c r="GP225" i="1"/>
  <c r="GQ225" i="1"/>
  <c r="GR225" i="1"/>
  <c r="GS225" i="1"/>
  <c r="GT225" i="1"/>
  <c r="GU225" i="1"/>
  <c r="GV225" i="1"/>
  <c r="GW225" i="1"/>
  <c r="GX225" i="1"/>
  <c r="GY225" i="1"/>
  <c r="GZ225" i="1"/>
  <c r="HA225" i="1"/>
  <c r="HB225" i="1"/>
  <c r="HC225" i="1"/>
  <c r="HD225" i="1"/>
  <c r="HE225" i="1"/>
  <c r="HF225" i="1"/>
  <c r="HG225" i="1"/>
  <c r="HH225" i="1"/>
  <c r="HI225" i="1"/>
  <c r="HJ225" i="1"/>
  <c r="HK225" i="1"/>
  <c r="HL225" i="1"/>
  <c r="HM225" i="1"/>
  <c r="HN225" i="1"/>
  <c r="HO225" i="1"/>
  <c r="HP225" i="1"/>
  <c r="HQ225" i="1"/>
  <c r="HR225" i="1"/>
  <c r="HS225" i="1"/>
  <c r="HT225" i="1"/>
  <c r="HU225" i="1"/>
  <c r="HV225" i="1"/>
  <c r="HW225" i="1"/>
  <c r="HX225" i="1"/>
  <c r="HY225" i="1"/>
  <c r="HZ225" i="1"/>
  <c r="IA225" i="1"/>
  <c r="IB225" i="1"/>
  <c r="IC225" i="1"/>
  <c r="ID225" i="1"/>
  <c r="IE225" i="1"/>
  <c r="IF225" i="1"/>
  <c r="IG225" i="1"/>
  <c r="IH225" i="1"/>
  <c r="II225" i="1"/>
  <c r="IJ225" i="1"/>
  <c r="IK225" i="1"/>
  <c r="IL225" i="1"/>
  <c r="IM225" i="1"/>
  <c r="IN225" i="1"/>
  <c r="IO225" i="1"/>
  <c r="IP225" i="1"/>
  <c r="IQ225" i="1"/>
  <c r="IR225" i="1"/>
  <c r="IS225" i="1"/>
  <c r="IT225" i="1"/>
  <c r="IU225" i="1"/>
  <c r="IV225" i="1"/>
  <c r="IW225" i="1"/>
  <c r="IX225" i="1"/>
  <c r="IY225" i="1"/>
  <c r="IZ225" i="1"/>
  <c r="JA225" i="1"/>
  <c r="JB225" i="1"/>
  <c r="JC225" i="1"/>
  <c r="JD225" i="1"/>
  <c r="JE225" i="1"/>
  <c r="JF225" i="1"/>
  <c r="JG225" i="1"/>
  <c r="JH225" i="1"/>
  <c r="JI225" i="1"/>
  <c r="JJ225" i="1"/>
  <c r="JK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W226" i="1"/>
  <c r="CX226" i="1"/>
  <c r="CY226" i="1"/>
  <c r="CZ226" i="1"/>
  <c r="DA226" i="1"/>
  <c r="DB226" i="1"/>
  <c r="DC226" i="1"/>
  <c r="DD226" i="1"/>
  <c r="DE226" i="1"/>
  <c r="DF226" i="1"/>
  <c r="DG226" i="1"/>
  <c r="DH226" i="1"/>
  <c r="DI226" i="1"/>
  <c r="DJ226" i="1"/>
  <c r="DK226" i="1"/>
  <c r="DL226" i="1"/>
  <c r="DM226" i="1"/>
  <c r="DN226" i="1"/>
  <c r="DO226" i="1"/>
  <c r="DP226" i="1"/>
  <c r="DQ226" i="1"/>
  <c r="DR226" i="1"/>
  <c r="DS226" i="1"/>
  <c r="DT226" i="1"/>
  <c r="DU226" i="1"/>
  <c r="DV226" i="1"/>
  <c r="DW226" i="1"/>
  <c r="DX226" i="1"/>
  <c r="DY226" i="1"/>
  <c r="DZ226" i="1"/>
  <c r="EA226" i="1"/>
  <c r="EB226" i="1"/>
  <c r="EC226" i="1"/>
  <c r="ED226" i="1"/>
  <c r="EE226" i="1"/>
  <c r="EF226" i="1"/>
  <c r="EG226" i="1"/>
  <c r="EH226" i="1"/>
  <c r="EI226" i="1"/>
  <c r="EJ226" i="1"/>
  <c r="EK226" i="1"/>
  <c r="EL226" i="1"/>
  <c r="EM226" i="1"/>
  <c r="EN226" i="1"/>
  <c r="EO226" i="1"/>
  <c r="EP226" i="1"/>
  <c r="EQ226" i="1"/>
  <c r="ER226" i="1"/>
  <c r="ES226" i="1"/>
  <c r="ET226" i="1"/>
  <c r="EU226" i="1"/>
  <c r="EV226" i="1"/>
  <c r="EW226" i="1"/>
  <c r="EX226" i="1"/>
  <c r="EY226" i="1"/>
  <c r="EZ226" i="1"/>
  <c r="FA226" i="1"/>
  <c r="FB226" i="1"/>
  <c r="FC226" i="1"/>
  <c r="FD226" i="1"/>
  <c r="FE226" i="1"/>
  <c r="FF226" i="1"/>
  <c r="FG226" i="1"/>
  <c r="FH226" i="1"/>
  <c r="FI226" i="1"/>
  <c r="FJ226" i="1"/>
  <c r="FK226" i="1"/>
  <c r="FL226" i="1"/>
  <c r="FM226" i="1"/>
  <c r="FN226" i="1"/>
  <c r="FO226" i="1"/>
  <c r="FP226" i="1"/>
  <c r="FQ226" i="1"/>
  <c r="FR226" i="1"/>
  <c r="FS226" i="1"/>
  <c r="FT226" i="1"/>
  <c r="FU226" i="1"/>
  <c r="FV226" i="1"/>
  <c r="FW226" i="1"/>
  <c r="FX226" i="1"/>
  <c r="FY226" i="1"/>
  <c r="FZ226" i="1"/>
  <c r="GA226" i="1"/>
  <c r="GB226" i="1"/>
  <c r="GC226" i="1"/>
  <c r="GD226" i="1"/>
  <c r="GE226" i="1"/>
  <c r="GF226" i="1"/>
  <c r="GG226" i="1"/>
  <c r="GH226" i="1"/>
  <c r="GI226" i="1"/>
  <c r="GJ226" i="1"/>
  <c r="GK226" i="1"/>
  <c r="GL226" i="1"/>
  <c r="GM226" i="1"/>
  <c r="GN226" i="1"/>
  <c r="GO226" i="1"/>
  <c r="GP226" i="1"/>
  <c r="GQ226" i="1"/>
  <c r="GR226" i="1"/>
  <c r="GS226" i="1"/>
  <c r="GT226" i="1"/>
  <c r="GU226" i="1"/>
  <c r="GV226" i="1"/>
  <c r="GW226" i="1"/>
  <c r="GX226" i="1"/>
  <c r="GY226" i="1"/>
  <c r="GZ226" i="1"/>
  <c r="HA226" i="1"/>
  <c r="HB226" i="1"/>
  <c r="HC226" i="1"/>
  <c r="HD226" i="1"/>
  <c r="HE226" i="1"/>
  <c r="HF226" i="1"/>
  <c r="HG226" i="1"/>
  <c r="HH226" i="1"/>
  <c r="HI226" i="1"/>
  <c r="HJ226" i="1"/>
  <c r="HK226" i="1"/>
  <c r="HL226" i="1"/>
  <c r="HM226" i="1"/>
  <c r="HN226" i="1"/>
  <c r="HO226" i="1"/>
  <c r="HP226" i="1"/>
  <c r="HQ226" i="1"/>
  <c r="HR226" i="1"/>
  <c r="HS226" i="1"/>
  <c r="HT226" i="1"/>
  <c r="HU226" i="1"/>
  <c r="HV226" i="1"/>
  <c r="HW226" i="1"/>
  <c r="HX226" i="1"/>
  <c r="HY226" i="1"/>
  <c r="HZ226" i="1"/>
  <c r="IA226" i="1"/>
  <c r="IB226" i="1"/>
  <c r="IC226" i="1"/>
  <c r="ID226" i="1"/>
  <c r="IE226" i="1"/>
  <c r="IF226" i="1"/>
  <c r="IG226" i="1"/>
  <c r="IH226" i="1"/>
  <c r="II226" i="1"/>
  <c r="IJ226" i="1"/>
  <c r="IK226" i="1"/>
  <c r="IL226" i="1"/>
  <c r="IM226" i="1"/>
  <c r="IN226" i="1"/>
  <c r="IO226" i="1"/>
  <c r="IP226" i="1"/>
  <c r="IQ226" i="1"/>
  <c r="IR226" i="1"/>
  <c r="IS226" i="1"/>
  <c r="IT226" i="1"/>
  <c r="IU226" i="1"/>
  <c r="IV226" i="1"/>
  <c r="IW226" i="1"/>
  <c r="IX226" i="1"/>
  <c r="IY226" i="1"/>
  <c r="IZ226" i="1"/>
  <c r="JA226" i="1"/>
  <c r="JB226" i="1"/>
  <c r="JC226" i="1"/>
  <c r="JD226" i="1"/>
  <c r="JE226" i="1"/>
  <c r="JF226" i="1"/>
  <c r="JG226" i="1"/>
  <c r="JH226" i="1"/>
  <c r="JI226" i="1"/>
  <c r="JJ226" i="1"/>
  <c r="JK226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Y228" i="1"/>
  <c r="CZ228" i="1"/>
  <c r="DA228" i="1"/>
  <c r="DB228" i="1"/>
  <c r="DC228" i="1"/>
  <c r="DD228" i="1"/>
  <c r="DE228" i="1"/>
  <c r="DF228" i="1"/>
  <c r="DG228" i="1"/>
  <c r="DH228" i="1"/>
  <c r="DI228" i="1"/>
  <c r="DJ228" i="1"/>
  <c r="DK228" i="1"/>
  <c r="DL228" i="1"/>
  <c r="DM228" i="1"/>
  <c r="DN228" i="1"/>
  <c r="DO228" i="1"/>
  <c r="DP228" i="1"/>
  <c r="DQ228" i="1"/>
  <c r="DR228" i="1"/>
  <c r="DS228" i="1"/>
  <c r="DT228" i="1"/>
  <c r="DU228" i="1"/>
  <c r="DV228" i="1"/>
  <c r="DW228" i="1"/>
  <c r="DX228" i="1"/>
  <c r="DY228" i="1"/>
  <c r="DZ228" i="1"/>
  <c r="EA228" i="1"/>
  <c r="EB228" i="1"/>
  <c r="EC228" i="1"/>
  <c r="ED228" i="1"/>
  <c r="EE228" i="1"/>
  <c r="EF228" i="1"/>
  <c r="EG228" i="1"/>
  <c r="EH228" i="1"/>
  <c r="EI228" i="1"/>
  <c r="EJ228" i="1"/>
  <c r="EK228" i="1"/>
  <c r="EL228" i="1"/>
  <c r="EM228" i="1"/>
  <c r="EN228" i="1"/>
  <c r="EO228" i="1"/>
  <c r="EP228" i="1"/>
  <c r="EQ228" i="1"/>
  <c r="ER228" i="1"/>
  <c r="ES228" i="1"/>
  <c r="ET228" i="1"/>
  <c r="EU228" i="1"/>
  <c r="EV228" i="1"/>
  <c r="EW228" i="1"/>
  <c r="EX228" i="1"/>
  <c r="EY228" i="1"/>
  <c r="EZ228" i="1"/>
  <c r="FA228" i="1"/>
  <c r="FB228" i="1"/>
  <c r="FC228" i="1"/>
  <c r="FD228" i="1"/>
  <c r="FE228" i="1"/>
  <c r="FF228" i="1"/>
  <c r="FG228" i="1"/>
  <c r="FH228" i="1"/>
  <c r="FI228" i="1"/>
  <c r="FJ228" i="1"/>
  <c r="FK228" i="1"/>
  <c r="FL228" i="1"/>
  <c r="FM228" i="1"/>
  <c r="FN228" i="1"/>
  <c r="FO228" i="1"/>
  <c r="FP228" i="1"/>
  <c r="FQ228" i="1"/>
  <c r="FR228" i="1"/>
  <c r="FS228" i="1"/>
  <c r="FT228" i="1"/>
  <c r="FU228" i="1"/>
  <c r="FV228" i="1"/>
  <c r="FW228" i="1"/>
  <c r="FX228" i="1"/>
  <c r="FY228" i="1"/>
  <c r="FZ228" i="1"/>
  <c r="GA228" i="1"/>
  <c r="GB228" i="1"/>
  <c r="GC228" i="1"/>
  <c r="GD228" i="1"/>
  <c r="GE228" i="1"/>
  <c r="GF228" i="1"/>
  <c r="GG228" i="1"/>
  <c r="GH228" i="1"/>
  <c r="GI228" i="1"/>
  <c r="GJ228" i="1"/>
  <c r="GK228" i="1"/>
  <c r="GL228" i="1"/>
  <c r="GM228" i="1"/>
  <c r="GN228" i="1"/>
  <c r="GO228" i="1"/>
  <c r="GP228" i="1"/>
  <c r="GQ228" i="1"/>
  <c r="GR228" i="1"/>
  <c r="GS228" i="1"/>
  <c r="GT228" i="1"/>
  <c r="GU228" i="1"/>
  <c r="GV228" i="1"/>
  <c r="GW228" i="1"/>
  <c r="GX228" i="1"/>
  <c r="GY228" i="1"/>
  <c r="GZ228" i="1"/>
  <c r="HA228" i="1"/>
  <c r="HB228" i="1"/>
  <c r="HC228" i="1"/>
  <c r="HD228" i="1"/>
  <c r="HE228" i="1"/>
  <c r="HF228" i="1"/>
  <c r="HG228" i="1"/>
  <c r="HH228" i="1"/>
  <c r="HI228" i="1"/>
  <c r="HJ228" i="1"/>
  <c r="HK228" i="1"/>
  <c r="HL228" i="1"/>
  <c r="HM228" i="1"/>
  <c r="HN228" i="1"/>
  <c r="HO228" i="1"/>
  <c r="HP228" i="1"/>
  <c r="HQ228" i="1"/>
  <c r="HR228" i="1"/>
  <c r="HS228" i="1"/>
  <c r="HT228" i="1"/>
  <c r="HU228" i="1"/>
  <c r="HV228" i="1"/>
  <c r="HW228" i="1"/>
  <c r="HX228" i="1"/>
  <c r="HY228" i="1"/>
  <c r="HZ228" i="1"/>
  <c r="IA228" i="1"/>
  <c r="IB228" i="1"/>
  <c r="IC228" i="1"/>
  <c r="ID228" i="1"/>
  <c r="IE228" i="1"/>
  <c r="IF228" i="1"/>
  <c r="IG228" i="1"/>
  <c r="IH228" i="1"/>
  <c r="II228" i="1"/>
  <c r="IJ228" i="1"/>
  <c r="IK228" i="1"/>
  <c r="IL228" i="1"/>
  <c r="IM228" i="1"/>
  <c r="IN228" i="1"/>
  <c r="IO228" i="1"/>
  <c r="IP228" i="1"/>
  <c r="IQ228" i="1"/>
  <c r="IR228" i="1"/>
  <c r="IS228" i="1"/>
  <c r="IT228" i="1"/>
  <c r="IU228" i="1"/>
  <c r="IV228" i="1"/>
  <c r="IW228" i="1"/>
  <c r="IX228" i="1"/>
  <c r="IY228" i="1"/>
  <c r="IZ228" i="1"/>
  <c r="JA228" i="1"/>
  <c r="JB228" i="1"/>
  <c r="JC228" i="1"/>
  <c r="JD228" i="1"/>
  <c r="JE228" i="1"/>
  <c r="JF228" i="1"/>
  <c r="JG228" i="1"/>
  <c r="JH228" i="1"/>
  <c r="JI228" i="1"/>
  <c r="JJ228" i="1"/>
  <c r="JK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Y229" i="1"/>
  <c r="CZ229" i="1"/>
  <c r="DA229" i="1"/>
  <c r="DB229" i="1"/>
  <c r="DC229" i="1"/>
  <c r="DD229" i="1"/>
  <c r="DE229" i="1"/>
  <c r="DF229" i="1"/>
  <c r="DG229" i="1"/>
  <c r="DH229" i="1"/>
  <c r="DI229" i="1"/>
  <c r="DJ229" i="1"/>
  <c r="DK229" i="1"/>
  <c r="DL229" i="1"/>
  <c r="DM229" i="1"/>
  <c r="DN229" i="1"/>
  <c r="DO229" i="1"/>
  <c r="DP229" i="1"/>
  <c r="DQ229" i="1"/>
  <c r="DR229" i="1"/>
  <c r="DS229" i="1"/>
  <c r="DT229" i="1"/>
  <c r="DU229" i="1"/>
  <c r="DV229" i="1"/>
  <c r="DW229" i="1"/>
  <c r="DX229" i="1"/>
  <c r="DY229" i="1"/>
  <c r="DZ229" i="1"/>
  <c r="EA229" i="1"/>
  <c r="EB229" i="1"/>
  <c r="EC229" i="1"/>
  <c r="ED229" i="1"/>
  <c r="EE229" i="1"/>
  <c r="EF229" i="1"/>
  <c r="EG229" i="1"/>
  <c r="EH229" i="1"/>
  <c r="EI229" i="1"/>
  <c r="EJ229" i="1"/>
  <c r="EK229" i="1"/>
  <c r="EL229" i="1"/>
  <c r="EM229" i="1"/>
  <c r="EN229" i="1"/>
  <c r="EO229" i="1"/>
  <c r="EP229" i="1"/>
  <c r="EQ229" i="1"/>
  <c r="ER229" i="1"/>
  <c r="ES229" i="1"/>
  <c r="ET229" i="1"/>
  <c r="EU229" i="1"/>
  <c r="EV229" i="1"/>
  <c r="EW229" i="1"/>
  <c r="EX229" i="1"/>
  <c r="EY229" i="1"/>
  <c r="EZ229" i="1"/>
  <c r="FA229" i="1"/>
  <c r="FB229" i="1"/>
  <c r="FC229" i="1"/>
  <c r="FD229" i="1"/>
  <c r="FE229" i="1"/>
  <c r="FF229" i="1"/>
  <c r="FG229" i="1"/>
  <c r="FH229" i="1"/>
  <c r="FI229" i="1"/>
  <c r="FJ229" i="1"/>
  <c r="FK229" i="1"/>
  <c r="FL229" i="1"/>
  <c r="FM229" i="1"/>
  <c r="FN229" i="1"/>
  <c r="FO229" i="1"/>
  <c r="FP229" i="1"/>
  <c r="FQ229" i="1"/>
  <c r="FR229" i="1"/>
  <c r="FS229" i="1"/>
  <c r="FT229" i="1"/>
  <c r="FU229" i="1"/>
  <c r="FV229" i="1"/>
  <c r="FW229" i="1"/>
  <c r="FX229" i="1"/>
  <c r="FY229" i="1"/>
  <c r="FZ229" i="1"/>
  <c r="GA229" i="1"/>
  <c r="GB229" i="1"/>
  <c r="GC229" i="1"/>
  <c r="GD229" i="1"/>
  <c r="GE229" i="1"/>
  <c r="GF229" i="1"/>
  <c r="GG229" i="1"/>
  <c r="GH229" i="1"/>
  <c r="GI229" i="1"/>
  <c r="GJ229" i="1"/>
  <c r="GK229" i="1"/>
  <c r="GL229" i="1"/>
  <c r="GM229" i="1"/>
  <c r="GN229" i="1"/>
  <c r="GO229" i="1"/>
  <c r="GP229" i="1"/>
  <c r="GQ229" i="1"/>
  <c r="GR229" i="1"/>
  <c r="GS229" i="1"/>
  <c r="GT229" i="1"/>
  <c r="GU229" i="1"/>
  <c r="GV229" i="1"/>
  <c r="GW229" i="1"/>
  <c r="GX229" i="1"/>
  <c r="GY229" i="1"/>
  <c r="GZ229" i="1"/>
  <c r="HA229" i="1"/>
  <c r="HB229" i="1"/>
  <c r="HC229" i="1"/>
  <c r="HD229" i="1"/>
  <c r="HE229" i="1"/>
  <c r="HF229" i="1"/>
  <c r="HG229" i="1"/>
  <c r="HH229" i="1"/>
  <c r="HI229" i="1"/>
  <c r="HJ229" i="1"/>
  <c r="HK229" i="1"/>
  <c r="HL229" i="1"/>
  <c r="HM229" i="1"/>
  <c r="HN229" i="1"/>
  <c r="HO229" i="1"/>
  <c r="HP229" i="1"/>
  <c r="HQ229" i="1"/>
  <c r="HR229" i="1"/>
  <c r="HS229" i="1"/>
  <c r="HT229" i="1"/>
  <c r="HU229" i="1"/>
  <c r="HV229" i="1"/>
  <c r="HW229" i="1"/>
  <c r="HX229" i="1"/>
  <c r="HY229" i="1"/>
  <c r="HZ229" i="1"/>
  <c r="IA229" i="1"/>
  <c r="IB229" i="1"/>
  <c r="IC229" i="1"/>
  <c r="ID229" i="1"/>
  <c r="IE229" i="1"/>
  <c r="IF229" i="1"/>
  <c r="IG229" i="1"/>
  <c r="IH229" i="1"/>
  <c r="II229" i="1"/>
  <c r="IJ229" i="1"/>
  <c r="IK229" i="1"/>
  <c r="IL229" i="1"/>
  <c r="IM229" i="1"/>
  <c r="IN229" i="1"/>
  <c r="IO229" i="1"/>
  <c r="IP229" i="1"/>
  <c r="IQ229" i="1"/>
  <c r="IR229" i="1"/>
  <c r="IS229" i="1"/>
  <c r="IT229" i="1"/>
  <c r="IU229" i="1"/>
  <c r="IV229" i="1"/>
  <c r="IW229" i="1"/>
  <c r="IX229" i="1"/>
  <c r="IY229" i="1"/>
  <c r="IZ229" i="1"/>
  <c r="JA229" i="1"/>
  <c r="JB229" i="1"/>
  <c r="JC229" i="1"/>
  <c r="JD229" i="1"/>
  <c r="JE229" i="1"/>
  <c r="JF229" i="1"/>
  <c r="JG229" i="1"/>
  <c r="JH229" i="1"/>
  <c r="JI229" i="1"/>
  <c r="JJ229" i="1"/>
  <c r="JK229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W231" i="1"/>
  <c r="CX231" i="1"/>
  <c r="CY231" i="1"/>
  <c r="CZ231" i="1"/>
  <c r="DA231" i="1"/>
  <c r="DB231" i="1"/>
  <c r="DC231" i="1"/>
  <c r="DD231" i="1"/>
  <c r="DE231" i="1"/>
  <c r="DF231" i="1"/>
  <c r="DG231" i="1"/>
  <c r="DH231" i="1"/>
  <c r="DI231" i="1"/>
  <c r="DJ231" i="1"/>
  <c r="DK231" i="1"/>
  <c r="DL231" i="1"/>
  <c r="DM231" i="1"/>
  <c r="DN231" i="1"/>
  <c r="DO231" i="1"/>
  <c r="DP231" i="1"/>
  <c r="DQ231" i="1"/>
  <c r="DR231" i="1"/>
  <c r="DS231" i="1"/>
  <c r="DT231" i="1"/>
  <c r="DU231" i="1"/>
  <c r="DV231" i="1"/>
  <c r="DW231" i="1"/>
  <c r="DX231" i="1"/>
  <c r="DY231" i="1"/>
  <c r="DZ231" i="1"/>
  <c r="EA231" i="1"/>
  <c r="EB231" i="1"/>
  <c r="EC231" i="1"/>
  <c r="ED231" i="1"/>
  <c r="EE231" i="1"/>
  <c r="EF231" i="1"/>
  <c r="EG231" i="1"/>
  <c r="EH231" i="1"/>
  <c r="EI231" i="1"/>
  <c r="EJ231" i="1"/>
  <c r="EK231" i="1"/>
  <c r="EL231" i="1"/>
  <c r="EM231" i="1"/>
  <c r="EN231" i="1"/>
  <c r="EO231" i="1"/>
  <c r="EP231" i="1"/>
  <c r="EQ231" i="1"/>
  <c r="ER231" i="1"/>
  <c r="ES231" i="1"/>
  <c r="ET231" i="1"/>
  <c r="EU231" i="1"/>
  <c r="EV231" i="1"/>
  <c r="EW231" i="1"/>
  <c r="EX231" i="1"/>
  <c r="EY231" i="1"/>
  <c r="EZ231" i="1"/>
  <c r="FA231" i="1"/>
  <c r="FB231" i="1"/>
  <c r="FC231" i="1"/>
  <c r="FD231" i="1"/>
  <c r="FE231" i="1"/>
  <c r="FF231" i="1"/>
  <c r="FG231" i="1"/>
  <c r="FH231" i="1"/>
  <c r="FI231" i="1"/>
  <c r="FJ231" i="1"/>
  <c r="FK231" i="1"/>
  <c r="FL231" i="1"/>
  <c r="FM231" i="1"/>
  <c r="FN231" i="1"/>
  <c r="FO231" i="1"/>
  <c r="FP231" i="1"/>
  <c r="FQ231" i="1"/>
  <c r="FR231" i="1"/>
  <c r="FS231" i="1"/>
  <c r="FT231" i="1"/>
  <c r="FU231" i="1"/>
  <c r="FV231" i="1"/>
  <c r="FW231" i="1"/>
  <c r="FX231" i="1"/>
  <c r="FY231" i="1"/>
  <c r="FZ231" i="1"/>
  <c r="GA231" i="1"/>
  <c r="GB231" i="1"/>
  <c r="GC231" i="1"/>
  <c r="GD231" i="1"/>
  <c r="GE231" i="1"/>
  <c r="GF231" i="1"/>
  <c r="GG231" i="1"/>
  <c r="GH231" i="1"/>
  <c r="GI231" i="1"/>
  <c r="GJ231" i="1"/>
  <c r="GK231" i="1"/>
  <c r="GL231" i="1"/>
  <c r="GM231" i="1"/>
  <c r="GN231" i="1"/>
  <c r="GO231" i="1"/>
  <c r="GP231" i="1"/>
  <c r="GQ231" i="1"/>
  <c r="GR231" i="1"/>
  <c r="GS231" i="1"/>
  <c r="GT231" i="1"/>
  <c r="GU231" i="1"/>
  <c r="GV231" i="1"/>
  <c r="GW231" i="1"/>
  <c r="GX231" i="1"/>
  <c r="GY231" i="1"/>
  <c r="GZ231" i="1"/>
  <c r="HA231" i="1"/>
  <c r="HB231" i="1"/>
  <c r="HC231" i="1"/>
  <c r="HD231" i="1"/>
  <c r="HE231" i="1"/>
  <c r="HF231" i="1"/>
  <c r="HG231" i="1"/>
  <c r="HH231" i="1"/>
  <c r="HI231" i="1"/>
  <c r="HJ231" i="1"/>
  <c r="HK231" i="1"/>
  <c r="HL231" i="1"/>
  <c r="HM231" i="1"/>
  <c r="HN231" i="1"/>
  <c r="HO231" i="1"/>
  <c r="HP231" i="1"/>
  <c r="HQ231" i="1"/>
  <c r="HR231" i="1"/>
  <c r="HS231" i="1"/>
  <c r="HT231" i="1"/>
  <c r="HU231" i="1"/>
  <c r="HV231" i="1"/>
  <c r="HW231" i="1"/>
  <c r="HX231" i="1"/>
  <c r="HY231" i="1"/>
  <c r="HZ231" i="1"/>
  <c r="IA231" i="1"/>
  <c r="IB231" i="1"/>
  <c r="IC231" i="1"/>
  <c r="ID231" i="1"/>
  <c r="IE231" i="1"/>
  <c r="IF231" i="1"/>
  <c r="IG231" i="1"/>
  <c r="IH231" i="1"/>
  <c r="II231" i="1"/>
  <c r="IJ231" i="1"/>
  <c r="IK231" i="1"/>
  <c r="IL231" i="1"/>
  <c r="IM231" i="1"/>
  <c r="IN231" i="1"/>
  <c r="IO231" i="1"/>
  <c r="IP231" i="1"/>
  <c r="IQ231" i="1"/>
  <c r="IR231" i="1"/>
  <c r="IS231" i="1"/>
  <c r="IT231" i="1"/>
  <c r="IU231" i="1"/>
  <c r="IV231" i="1"/>
  <c r="IW231" i="1"/>
  <c r="IX231" i="1"/>
  <c r="IY231" i="1"/>
  <c r="IZ231" i="1"/>
  <c r="JA231" i="1"/>
  <c r="JB231" i="1"/>
  <c r="JC231" i="1"/>
  <c r="JD231" i="1"/>
  <c r="JE231" i="1"/>
  <c r="JF231" i="1"/>
  <c r="JG231" i="1"/>
  <c r="JH231" i="1"/>
  <c r="JI231" i="1"/>
  <c r="JJ231" i="1"/>
  <c r="JK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G232" i="1"/>
  <c r="DH232" i="1"/>
  <c r="DI232" i="1"/>
  <c r="DJ232" i="1"/>
  <c r="DK232" i="1"/>
  <c r="DL232" i="1"/>
  <c r="DM232" i="1"/>
  <c r="DN232" i="1"/>
  <c r="DO232" i="1"/>
  <c r="DP232" i="1"/>
  <c r="DQ232" i="1"/>
  <c r="DR232" i="1"/>
  <c r="DS232" i="1"/>
  <c r="DT232" i="1"/>
  <c r="DU232" i="1"/>
  <c r="DV232" i="1"/>
  <c r="DW232" i="1"/>
  <c r="DX232" i="1"/>
  <c r="DY232" i="1"/>
  <c r="DZ232" i="1"/>
  <c r="EA232" i="1"/>
  <c r="EB232" i="1"/>
  <c r="EC232" i="1"/>
  <c r="ED232" i="1"/>
  <c r="EE232" i="1"/>
  <c r="EF232" i="1"/>
  <c r="EG232" i="1"/>
  <c r="EH232" i="1"/>
  <c r="EI232" i="1"/>
  <c r="EJ232" i="1"/>
  <c r="EK232" i="1"/>
  <c r="EL232" i="1"/>
  <c r="EM232" i="1"/>
  <c r="EN232" i="1"/>
  <c r="EO232" i="1"/>
  <c r="EP232" i="1"/>
  <c r="EQ232" i="1"/>
  <c r="ER232" i="1"/>
  <c r="ES232" i="1"/>
  <c r="ET232" i="1"/>
  <c r="EU232" i="1"/>
  <c r="EV232" i="1"/>
  <c r="EW232" i="1"/>
  <c r="EX232" i="1"/>
  <c r="EY232" i="1"/>
  <c r="EZ232" i="1"/>
  <c r="FA232" i="1"/>
  <c r="FB232" i="1"/>
  <c r="FC232" i="1"/>
  <c r="FD232" i="1"/>
  <c r="FE232" i="1"/>
  <c r="FF232" i="1"/>
  <c r="FG232" i="1"/>
  <c r="FH232" i="1"/>
  <c r="FI232" i="1"/>
  <c r="FJ232" i="1"/>
  <c r="FK232" i="1"/>
  <c r="FL232" i="1"/>
  <c r="FM232" i="1"/>
  <c r="FN232" i="1"/>
  <c r="FO232" i="1"/>
  <c r="FP232" i="1"/>
  <c r="FQ232" i="1"/>
  <c r="FR232" i="1"/>
  <c r="FS232" i="1"/>
  <c r="FT232" i="1"/>
  <c r="FU232" i="1"/>
  <c r="FV232" i="1"/>
  <c r="FW232" i="1"/>
  <c r="FX232" i="1"/>
  <c r="FY232" i="1"/>
  <c r="FZ232" i="1"/>
  <c r="GA232" i="1"/>
  <c r="GB232" i="1"/>
  <c r="GC232" i="1"/>
  <c r="GD232" i="1"/>
  <c r="GE232" i="1"/>
  <c r="GF232" i="1"/>
  <c r="GG232" i="1"/>
  <c r="GH232" i="1"/>
  <c r="GI232" i="1"/>
  <c r="GJ232" i="1"/>
  <c r="GK232" i="1"/>
  <c r="GL232" i="1"/>
  <c r="GM232" i="1"/>
  <c r="GN232" i="1"/>
  <c r="GO232" i="1"/>
  <c r="GP232" i="1"/>
  <c r="GQ232" i="1"/>
  <c r="GR232" i="1"/>
  <c r="GS232" i="1"/>
  <c r="GT232" i="1"/>
  <c r="GU232" i="1"/>
  <c r="GV232" i="1"/>
  <c r="GW232" i="1"/>
  <c r="GX232" i="1"/>
  <c r="GY232" i="1"/>
  <c r="GZ232" i="1"/>
  <c r="HA232" i="1"/>
  <c r="HB232" i="1"/>
  <c r="HC232" i="1"/>
  <c r="HD232" i="1"/>
  <c r="HE232" i="1"/>
  <c r="HF232" i="1"/>
  <c r="HG232" i="1"/>
  <c r="HH232" i="1"/>
  <c r="HI232" i="1"/>
  <c r="HJ232" i="1"/>
  <c r="HK232" i="1"/>
  <c r="HL232" i="1"/>
  <c r="HM232" i="1"/>
  <c r="HN232" i="1"/>
  <c r="HO232" i="1"/>
  <c r="HP232" i="1"/>
  <c r="HQ232" i="1"/>
  <c r="HR232" i="1"/>
  <c r="HS232" i="1"/>
  <c r="HT232" i="1"/>
  <c r="HU232" i="1"/>
  <c r="HV232" i="1"/>
  <c r="HW232" i="1"/>
  <c r="HX232" i="1"/>
  <c r="HY232" i="1"/>
  <c r="HZ232" i="1"/>
  <c r="IA232" i="1"/>
  <c r="IB232" i="1"/>
  <c r="IC232" i="1"/>
  <c r="ID232" i="1"/>
  <c r="IE232" i="1"/>
  <c r="IF232" i="1"/>
  <c r="IG232" i="1"/>
  <c r="IH232" i="1"/>
  <c r="II232" i="1"/>
  <c r="IJ232" i="1"/>
  <c r="IK232" i="1"/>
  <c r="IL232" i="1"/>
  <c r="IM232" i="1"/>
  <c r="IN232" i="1"/>
  <c r="IO232" i="1"/>
  <c r="IP232" i="1"/>
  <c r="IQ232" i="1"/>
  <c r="IR232" i="1"/>
  <c r="IS232" i="1"/>
  <c r="IT232" i="1"/>
  <c r="IU232" i="1"/>
  <c r="IV232" i="1"/>
  <c r="IW232" i="1"/>
  <c r="IX232" i="1"/>
  <c r="IY232" i="1"/>
  <c r="IZ232" i="1"/>
  <c r="JA232" i="1"/>
  <c r="JB232" i="1"/>
  <c r="JC232" i="1"/>
  <c r="JD232" i="1"/>
  <c r="JE232" i="1"/>
  <c r="JF232" i="1"/>
  <c r="JG232" i="1"/>
  <c r="JH232" i="1"/>
  <c r="JI232" i="1"/>
  <c r="JJ232" i="1"/>
  <c r="JK232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CW234" i="1"/>
  <c r="CX234" i="1"/>
  <c r="CY234" i="1"/>
  <c r="CZ234" i="1"/>
  <c r="DA234" i="1"/>
  <c r="DB234" i="1"/>
  <c r="DC234" i="1"/>
  <c r="DD234" i="1"/>
  <c r="DE234" i="1"/>
  <c r="DF234" i="1"/>
  <c r="DG234" i="1"/>
  <c r="DH234" i="1"/>
  <c r="DI234" i="1"/>
  <c r="DJ234" i="1"/>
  <c r="DK234" i="1"/>
  <c r="DL234" i="1"/>
  <c r="DM234" i="1"/>
  <c r="DN234" i="1"/>
  <c r="DO234" i="1"/>
  <c r="DP234" i="1"/>
  <c r="DQ234" i="1"/>
  <c r="DR234" i="1"/>
  <c r="DS234" i="1"/>
  <c r="DT234" i="1"/>
  <c r="DU234" i="1"/>
  <c r="DV234" i="1"/>
  <c r="DW234" i="1"/>
  <c r="DX234" i="1"/>
  <c r="DY234" i="1"/>
  <c r="DZ234" i="1"/>
  <c r="EA234" i="1"/>
  <c r="EB234" i="1"/>
  <c r="EC234" i="1"/>
  <c r="ED234" i="1"/>
  <c r="EE234" i="1"/>
  <c r="EF234" i="1"/>
  <c r="EG234" i="1"/>
  <c r="EH234" i="1"/>
  <c r="EI234" i="1"/>
  <c r="EJ234" i="1"/>
  <c r="EK234" i="1"/>
  <c r="EL234" i="1"/>
  <c r="EM234" i="1"/>
  <c r="EN234" i="1"/>
  <c r="EO234" i="1"/>
  <c r="EP234" i="1"/>
  <c r="EQ234" i="1"/>
  <c r="ER234" i="1"/>
  <c r="ES234" i="1"/>
  <c r="ET234" i="1"/>
  <c r="EU234" i="1"/>
  <c r="EV234" i="1"/>
  <c r="EW234" i="1"/>
  <c r="EX234" i="1"/>
  <c r="EY234" i="1"/>
  <c r="EZ234" i="1"/>
  <c r="FA234" i="1"/>
  <c r="FB234" i="1"/>
  <c r="FC234" i="1"/>
  <c r="FD234" i="1"/>
  <c r="FE234" i="1"/>
  <c r="FF234" i="1"/>
  <c r="FG234" i="1"/>
  <c r="FH234" i="1"/>
  <c r="FI234" i="1"/>
  <c r="FJ234" i="1"/>
  <c r="FK234" i="1"/>
  <c r="FL234" i="1"/>
  <c r="FM234" i="1"/>
  <c r="FN234" i="1"/>
  <c r="FO234" i="1"/>
  <c r="FP234" i="1"/>
  <c r="FQ234" i="1"/>
  <c r="FR234" i="1"/>
  <c r="FS234" i="1"/>
  <c r="FT234" i="1"/>
  <c r="FU234" i="1"/>
  <c r="FV234" i="1"/>
  <c r="FW234" i="1"/>
  <c r="FX234" i="1"/>
  <c r="FY234" i="1"/>
  <c r="FZ234" i="1"/>
  <c r="GA234" i="1"/>
  <c r="GB234" i="1"/>
  <c r="GC234" i="1"/>
  <c r="GD234" i="1"/>
  <c r="GE234" i="1"/>
  <c r="GF234" i="1"/>
  <c r="GG234" i="1"/>
  <c r="GH234" i="1"/>
  <c r="GI234" i="1"/>
  <c r="GJ234" i="1"/>
  <c r="GK234" i="1"/>
  <c r="GL234" i="1"/>
  <c r="GM234" i="1"/>
  <c r="GN234" i="1"/>
  <c r="GO234" i="1"/>
  <c r="GP234" i="1"/>
  <c r="GQ234" i="1"/>
  <c r="GR234" i="1"/>
  <c r="GS234" i="1"/>
  <c r="GT234" i="1"/>
  <c r="GU234" i="1"/>
  <c r="GV234" i="1"/>
  <c r="GW234" i="1"/>
  <c r="GX234" i="1"/>
  <c r="GY234" i="1"/>
  <c r="GZ234" i="1"/>
  <c r="HA234" i="1"/>
  <c r="HB234" i="1"/>
  <c r="HC234" i="1"/>
  <c r="HD234" i="1"/>
  <c r="HE234" i="1"/>
  <c r="HF234" i="1"/>
  <c r="HG234" i="1"/>
  <c r="HH234" i="1"/>
  <c r="HI234" i="1"/>
  <c r="HJ234" i="1"/>
  <c r="HK234" i="1"/>
  <c r="HL234" i="1"/>
  <c r="HM234" i="1"/>
  <c r="HN234" i="1"/>
  <c r="HO234" i="1"/>
  <c r="HP234" i="1"/>
  <c r="HQ234" i="1"/>
  <c r="HR234" i="1"/>
  <c r="HS234" i="1"/>
  <c r="HT234" i="1"/>
  <c r="HU234" i="1"/>
  <c r="HV234" i="1"/>
  <c r="HW234" i="1"/>
  <c r="HX234" i="1"/>
  <c r="HY234" i="1"/>
  <c r="HZ234" i="1"/>
  <c r="IA234" i="1"/>
  <c r="IB234" i="1"/>
  <c r="IC234" i="1"/>
  <c r="ID234" i="1"/>
  <c r="IE234" i="1"/>
  <c r="IF234" i="1"/>
  <c r="IG234" i="1"/>
  <c r="IH234" i="1"/>
  <c r="II234" i="1"/>
  <c r="IJ234" i="1"/>
  <c r="IK234" i="1"/>
  <c r="IL234" i="1"/>
  <c r="IM234" i="1"/>
  <c r="IN234" i="1"/>
  <c r="IO234" i="1"/>
  <c r="IP234" i="1"/>
  <c r="IQ234" i="1"/>
  <c r="IR234" i="1"/>
  <c r="IS234" i="1"/>
  <c r="IT234" i="1"/>
  <c r="IU234" i="1"/>
  <c r="IV234" i="1"/>
  <c r="IW234" i="1"/>
  <c r="IX234" i="1"/>
  <c r="IY234" i="1"/>
  <c r="IZ234" i="1"/>
  <c r="JA234" i="1"/>
  <c r="JB234" i="1"/>
  <c r="JC234" i="1"/>
  <c r="JD234" i="1"/>
  <c r="JE234" i="1"/>
  <c r="JF234" i="1"/>
  <c r="JG234" i="1"/>
  <c r="JH234" i="1"/>
  <c r="JI234" i="1"/>
  <c r="JJ234" i="1"/>
  <c r="JK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CW235" i="1"/>
  <c r="CX235" i="1"/>
  <c r="CY235" i="1"/>
  <c r="CZ235" i="1"/>
  <c r="DA235" i="1"/>
  <c r="DB235" i="1"/>
  <c r="DC235" i="1"/>
  <c r="DD235" i="1"/>
  <c r="DE235" i="1"/>
  <c r="DF235" i="1"/>
  <c r="DG235" i="1"/>
  <c r="DH235" i="1"/>
  <c r="DI235" i="1"/>
  <c r="DJ235" i="1"/>
  <c r="DK235" i="1"/>
  <c r="DL235" i="1"/>
  <c r="DM235" i="1"/>
  <c r="DN235" i="1"/>
  <c r="DO235" i="1"/>
  <c r="DP235" i="1"/>
  <c r="DQ235" i="1"/>
  <c r="DR235" i="1"/>
  <c r="DS235" i="1"/>
  <c r="DT235" i="1"/>
  <c r="DU235" i="1"/>
  <c r="DV235" i="1"/>
  <c r="DW235" i="1"/>
  <c r="DX235" i="1"/>
  <c r="DY235" i="1"/>
  <c r="DZ235" i="1"/>
  <c r="EA235" i="1"/>
  <c r="EB235" i="1"/>
  <c r="EC235" i="1"/>
  <c r="ED235" i="1"/>
  <c r="EE235" i="1"/>
  <c r="EF235" i="1"/>
  <c r="EG235" i="1"/>
  <c r="EH235" i="1"/>
  <c r="EI235" i="1"/>
  <c r="EJ235" i="1"/>
  <c r="EK235" i="1"/>
  <c r="EL235" i="1"/>
  <c r="EM235" i="1"/>
  <c r="EN235" i="1"/>
  <c r="EO235" i="1"/>
  <c r="EP235" i="1"/>
  <c r="EQ235" i="1"/>
  <c r="ER235" i="1"/>
  <c r="ES235" i="1"/>
  <c r="ET235" i="1"/>
  <c r="EU235" i="1"/>
  <c r="EV235" i="1"/>
  <c r="EW235" i="1"/>
  <c r="EX235" i="1"/>
  <c r="EY235" i="1"/>
  <c r="EZ235" i="1"/>
  <c r="FA235" i="1"/>
  <c r="FB235" i="1"/>
  <c r="FC235" i="1"/>
  <c r="FD235" i="1"/>
  <c r="FE235" i="1"/>
  <c r="FF235" i="1"/>
  <c r="FG235" i="1"/>
  <c r="FH235" i="1"/>
  <c r="FI235" i="1"/>
  <c r="FJ235" i="1"/>
  <c r="FK235" i="1"/>
  <c r="FL235" i="1"/>
  <c r="FM235" i="1"/>
  <c r="FN235" i="1"/>
  <c r="FO235" i="1"/>
  <c r="FP235" i="1"/>
  <c r="FQ235" i="1"/>
  <c r="FR235" i="1"/>
  <c r="FS235" i="1"/>
  <c r="FT235" i="1"/>
  <c r="FU235" i="1"/>
  <c r="FV235" i="1"/>
  <c r="FW235" i="1"/>
  <c r="FX235" i="1"/>
  <c r="FY235" i="1"/>
  <c r="FZ235" i="1"/>
  <c r="GA235" i="1"/>
  <c r="GB235" i="1"/>
  <c r="GC235" i="1"/>
  <c r="GD235" i="1"/>
  <c r="GE235" i="1"/>
  <c r="GF235" i="1"/>
  <c r="GG235" i="1"/>
  <c r="GH235" i="1"/>
  <c r="GI235" i="1"/>
  <c r="GJ235" i="1"/>
  <c r="GK235" i="1"/>
  <c r="GL235" i="1"/>
  <c r="GM235" i="1"/>
  <c r="GN235" i="1"/>
  <c r="GO235" i="1"/>
  <c r="GP235" i="1"/>
  <c r="GQ235" i="1"/>
  <c r="GR235" i="1"/>
  <c r="GS235" i="1"/>
  <c r="GT235" i="1"/>
  <c r="GU235" i="1"/>
  <c r="GV235" i="1"/>
  <c r="GW235" i="1"/>
  <c r="GX235" i="1"/>
  <c r="GY235" i="1"/>
  <c r="GZ235" i="1"/>
  <c r="HA235" i="1"/>
  <c r="HB235" i="1"/>
  <c r="HC235" i="1"/>
  <c r="HD235" i="1"/>
  <c r="HE235" i="1"/>
  <c r="HF235" i="1"/>
  <c r="HG235" i="1"/>
  <c r="HH235" i="1"/>
  <c r="HI235" i="1"/>
  <c r="HJ235" i="1"/>
  <c r="HK235" i="1"/>
  <c r="HL235" i="1"/>
  <c r="HM235" i="1"/>
  <c r="HN235" i="1"/>
  <c r="HO235" i="1"/>
  <c r="HP235" i="1"/>
  <c r="HQ235" i="1"/>
  <c r="HR235" i="1"/>
  <c r="HS235" i="1"/>
  <c r="HT235" i="1"/>
  <c r="HU235" i="1"/>
  <c r="HV235" i="1"/>
  <c r="HW235" i="1"/>
  <c r="HX235" i="1"/>
  <c r="HY235" i="1"/>
  <c r="HZ235" i="1"/>
  <c r="IA235" i="1"/>
  <c r="IB235" i="1"/>
  <c r="IC235" i="1"/>
  <c r="ID235" i="1"/>
  <c r="IE235" i="1"/>
  <c r="IF235" i="1"/>
  <c r="IG235" i="1"/>
  <c r="IH235" i="1"/>
  <c r="II235" i="1"/>
  <c r="IJ235" i="1"/>
  <c r="IK235" i="1"/>
  <c r="IL235" i="1"/>
  <c r="IM235" i="1"/>
  <c r="IN235" i="1"/>
  <c r="IO235" i="1"/>
  <c r="IP235" i="1"/>
  <c r="IQ235" i="1"/>
  <c r="IR235" i="1"/>
  <c r="IS235" i="1"/>
  <c r="IT235" i="1"/>
  <c r="IU235" i="1"/>
  <c r="IV235" i="1"/>
  <c r="IW235" i="1"/>
  <c r="IX235" i="1"/>
  <c r="IY235" i="1"/>
  <c r="IZ235" i="1"/>
  <c r="JA235" i="1"/>
  <c r="JB235" i="1"/>
  <c r="JC235" i="1"/>
  <c r="JD235" i="1"/>
  <c r="JE235" i="1"/>
  <c r="JF235" i="1"/>
  <c r="JG235" i="1"/>
  <c r="JH235" i="1"/>
  <c r="JI235" i="1"/>
  <c r="JJ235" i="1"/>
  <c r="JK235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W237" i="1"/>
  <c r="CX237" i="1"/>
  <c r="CY237" i="1"/>
  <c r="CZ237" i="1"/>
  <c r="DA237" i="1"/>
  <c r="DB237" i="1"/>
  <c r="DC237" i="1"/>
  <c r="DD237" i="1"/>
  <c r="DE237" i="1"/>
  <c r="DF237" i="1"/>
  <c r="DG237" i="1"/>
  <c r="DH237" i="1"/>
  <c r="DI237" i="1"/>
  <c r="DJ237" i="1"/>
  <c r="DK237" i="1"/>
  <c r="DL237" i="1"/>
  <c r="DM237" i="1"/>
  <c r="DN237" i="1"/>
  <c r="DO237" i="1"/>
  <c r="DP237" i="1"/>
  <c r="DQ237" i="1"/>
  <c r="DR237" i="1"/>
  <c r="DS237" i="1"/>
  <c r="DT237" i="1"/>
  <c r="DU237" i="1"/>
  <c r="DV237" i="1"/>
  <c r="DW237" i="1"/>
  <c r="DX237" i="1"/>
  <c r="DY237" i="1"/>
  <c r="DZ237" i="1"/>
  <c r="EA237" i="1"/>
  <c r="EB237" i="1"/>
  <c r="EC237" i="1"/>
  <c r="ED237" i="1"/>
  <c r="EE237" i="1"/>
  <c r="EF237" i="1"/>
  <c r="EG237" i="1"/>
  <c r="EH237" i="1"/>
  <c r="EI237" i="1"/>
  <c r="EJ237" i="1"/>
  <c r="EK237" i="1"/>
  <c r="EL237" i="1"/>
  <c r="EM237" i="1"/>
  <c r="EN237" i="1"/>
  <c r="EO237" i="1"/>
  <c r="EP237" i="1"/>
  <c r="EQ237" i="1"/>
  <c r="ER237" i="1"/>
  <c r="ES237" i="1"/>
  <c r="ET237" i="1"/>
  <c r="EU237" i="1"/>
  <c r="EV237" i="1"/>
  <c r="EW237" i="1"/>
  <c r="EX237" i="1"/>
  <c r="EY237" i="1"/>
  <c r="EZ237" i="1"/>
  <c r="FA237" i="1"/>
  <c r="FB237" i="1"/>
  <c r="FC237" i="1"/>
  <c r="FD237" i="1"/>
  <c r="FE237" i="1"/>
  <c r="FF237" i="1"/>
  <c r="FG237" i="1"/>
  <c r="FH237" i="1"/>
  <c r="FI237" i="1"/>
  <c r="FJ237" i="1"/>
  <c r="FK237" i="1"/>
  <c r="FL237" i="1"/>
  <c r="FM237" i="1"/>
  <c r="FN237" i="1"/>
  <c r="FO237" i="1"/>
  <c r="FP237" i="1"/>
  <c r="FQ237" i="1"/>
  <c r="FR237" i="1"/>
  <c r="FS237" i="1"/>
  <c r="FT237" i="1"/>
  <c r="FU237" i="1"/>
  <c r="FV237" i="1"/>
  <c r="FW237" i="1"/>
  <c r="FX237" i="1"/>
  <c r="FY237" i="1"/>
  <c r="FZ237" i="1"/>
  <c r="GA237" i="1"/>
  <c r="GB237" i="1"/>
  <c r="GC237" i="1"/>
  <c r="GD237" i="1"/>
  <c r="GE237" i="1"/>
  <c r="GF237" i="1"/>
  <c r="GG237" i="1"/>
  <c r="GH237" i="1"/>
  <c r="GI237" i="1"/>
  <c r="GJ237" i="1"/>
  <c r="GK237" i="1"/>
  <c r="GL237" i="1"/>
  <c r="GM237" i="1"/>
  <c r="GN237" i="1"/>
  <c r="GO237" i="1"/>
  <c r="GP237" i="1"/>
  <c r="GQ237" i="1"/>
  <c r="GR237" i="1"/>
  <c r="GS237" i="1"/>
  <c r="GT237" i="1"/>
  <c r="GU237" i="1"/>
  <c r="GV237" i="1"/>
  <c r="GW237" i="1"/>
  <c r="GX237" i="1"/>
  <c r="GY237" i="1"/>
  <c r="GZ237" i="1"/>
  <c r="HA237" i="1"/>
  <c r="HB237" i="1"/>
  <c r="HC237" i="1"/>
  <c r="HD237" i="1"/>
  <c r="HE237" i="1"/>
  <c r="HF237" i="1"/>
  <c r="HG237" i="1"/>
  <c r="HH237" i="1"/>
  <c r="HI237" i="1"/>
  <c r="HJ237" i="1"/>
  <c r="HK237" i="1"/>
  <c r="HL237" i="1"/>
  <c r="HM237" i="1"/>
  <c r="HN237" i="1"/>
  <c r="HO237" i="1"/>
  <c r="HP237" i="1"/>
  <c r="HQ237" i="1"/>
  <c r="HR237" i="1"/>
  <c r="HS237" i="1"/>
  <c r="HT237" i="1"/>
  <c r="HU237" i="1"/>
  <c r="HV237" i="1"/>
  <c r="HW237" i="1"/>
  <c r="HX237" i="1"/>
  <c r="HY237" i="1"/>
  <c r="HZ237" i="1"/>
  <c r="IA237" i="1"/>
  <c r="IB237" i="1"/>
  <c r="IC237" i="1"/>
  <c r="ID237" i="1"/>
  <c r="IE237" i="1"/>
  <c r="IF237" i="1"/>
  <c r="IG237" i="1"/>
  <c r="IH237" i="1"/>
  <c r="II237" i="1"/>
  <c r="IJ237" i="1"/>
  <c r="IK237" i="1"/>
  <c r="IL237" i="1"/>
  <c r="IM237" i="1"/>
  <c r="IN237" i="1"/>
  <c r="IO237" i="1"/>
  <c r="IP237" i="1"/>
  <c r="IQ237" i="1"/>
  <c r="IR237" i="1"/>
  <c r="IS237" i="1"/>
  <c r="IT237" i="1"/>
  <c r="IU237" i="1"/>
  <c r="IV237" i="1"/>
  <c r="IW237" i="1"/>
  <c r="IX237" i="1"/>
  <c r="IY237" i="1"/>
  <c r="IZ237" i="1"/>
  <c r="JA237" i="1"/>
  <c r="JB237" i="1"/>
  <c r="JC237" i="1"/>
  <c r="JD237" i="1"/>
  <c r="JE237" i="1"/>
  <c r="JF237" i="1"/>
  <c r="JG237" i="1"/>
  <c r="JH237" i="1"/>
  <c r="JI237" i="1"/>
  <c r="JJ237" i="1"/>
  <c r="JK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G238" i="1"/>
  <c r="DH238" i="1"/>
  <c r="DI238" i="1"/>
  <c r="DJ238" i="1"/>
  <c r="DK238" i="1"/>
  <c r="DL238" i="1"/>
  <c r="DM238" i="1"/>
  <c r="DN238" i="1"/>
  <c r="DO238" i="1"/>
  <c r="DP238" i="1"/>
  <c r="DQ238" i="1"/>
  <c r="DR238" i="1"/>
  <c r="DS238" i="1"/>
  <c r="DT238" i="1"/>
  <c r="DU238" i="1"/>
  <c r="DV238" i="1"/>
  <c r="DW238" i="1"/>
  <c r="DX238" i="1"/>
  <c r="DY238" i="1"/>
  <c r="DZ238" i="1"/>
  <c r="EA238" i="1"/>
  <c r="EB238" i="1"/>
  <c r="EC238" i="1"/>
  <c r="ED238" i="1"/>
  <c r="EE238" i="1"/>
  <c r="EF238" i="1"/>
  <c r="EG238" i="1"/>
  <c r="EH238" i="1"/>
  <c r="EI238" i="1"/>
  <c r="EJ238" i="1"/>
  <c r="EK238" i="1"/>
  <c r="EL238" i="1"/>
  <c r="EM238" i="1"/>
  <c r="EN238" i="1"/>
  <c r="EO238" i="1"/>
  <c r="EP238" i="1"/>
  <c r="EQ238" i="1"/>
  <c r="ER238" i="1"/>
  <c r="ES238" i="1"/>
  <c r="ET238" i="1"/>
  <c r="EU238" i="1"/>
  <c r="EV238" i="1"/>
  <c r="EW238" i="1"/>
  <c r="EX238" i="1"/>
  <c r="EY238" i="1"/>
  <c r="EZ238" i="1"/>
  <c r="FA238" i="1"/>
  <c r="FB238" i="1"/>
  <c r="FC238" i="1"/>
  <c r="FD238" i="1"/>
  <c r="FE238" i="1"/>
  <c r="FF238" i="1"/>
  <c r="FG238" i="1"/>
  <c r="FH238" i="1"/>
  <c r="FI238" i="1"/>
  <c r="FJ238" i="1"/>
  <c r="FK238" i="1"/>
  <c r="FL238" i="1"/>
  <c r="FM238" i="1"/>
  <c r="FN238" i="1"/>
  <c r="FO238" i="1"/>
  <c r="FP238" i="1"/>
  <c r="FQ238" i="1"/>
  <c r="FR238" i="1"/>
  <c r="FS238" i="1"/>
  <c r="FT238" i="1"/>
  <c r="FU238" i="1"/>
  <c r="FV238" i="1"/>
  <c r="FW238" i="1"/>
  <c r="FX238" i="1"/>
  <c r="FY238" i="1"/>
  <c r="FZ238" i="1"/>
  <c r="GA238" i="1"/>
  <c r="GB238" i="1"/>
  <c r="GC238" i="1"/>
  <c r="GD238" i="1"/>
  <c r="GE238" i="1"/>
  <c r="GF238" i="1"/>
  <c r="GG238" i="1"/>
  <c r="GH238" i="1"/>
  <c r="GI238" i="1"/>
  <c r="GJ238" i="1"/>
  <c r="GK238" i="1"/>
  <c r="GL238" i="1"/>
  <c r="GM238" i="1"/>
  <c r="GN238" i="1"/>
  <c r="GO238" i="1"/>
  <c r="GP238" i="1"/>
  <c r="GQ238" i="1"/>
  <c r="GR238" i="1"/>
  <c r="GS238" i="1"/>
  <c r="GT238" i="1"/>
  <c r="GU238" i="1"/>
  <c r="GV238" i="1"/>
  <c r="GW238" i="1"/>
  <c r="GX238" i="1"/>
  <c r="GY238" i="1"/>
  <c r="GZ238" i="1"/>
  <c r="HA238" i="1"/>
  <c r="HB238" i="1"/>
  <c r="HC238" i="1"/>
  <c r="HD238" i="1"/>
  <c r="HE238" i="1"/>
  <c r="HF238" i="1"/>
  <c r="HG238" i="1"/>
  <c r="HH238" i="1"/>
  <c r="HI238" i="1"/>
  <c r="HJ238" i="1"/>
  <c r="HK238" i="1"/>
  <c r="HL238" i="1"/>
  <c r="HM238" i="1"/>
  <c r="HN238" i="1"/>
  <c r="HO238" i="1"/>
  <c r="HP238" i="1"/>
  <c r="HQ238" i="1"/>
  <c r="HR238" i="1"/>
  <c r="HS238" i="1"/>
  <c r="HT238" i="1"/>
  <c r="HU238" i="1"/>
  <c r="HV238" i="1"/>
  <c r="HW238" i="1"/>
  <c r="HX238" i="1"/>
  <c r="HY238" i="1"/>
  <c r="HZ238" i="1"/>
  <c r="IA238" i="1"/>
  <c r="IB238" i="1"/>
  <c r="IC238" i="1"/>
  <c r="ID238" i="1"/>
  <c r="IE238" i="1"/>
  <c r="IF238" i="1"/>
  <c r="IG238" i="1"/>
  <c r="IH238" i="1"/>
  <c r="II238" i="1"/>
  <c r="IJ238" i="1"/>
  <c r="IK238" i="1"/>
  <c r="IL238" i="1"/>
  <c r="IM238" i="1"/>
  <c r="IN238" i="1"/>
  <c r="IO238" i="1"/>
  <c r="IP238" i="1"/>
  <c r="IQ238" i="1"/>
  <c r="IR238" i="1"/>
  <c r="IS238" i="1"/>
  <c r="IT238" i="1"/>
  <c r="IU238" i="1"/>
  <c r="IV238" i="1"/>
  <c r="IW238" i="1"/>
  <c r="IX238" i="1"/>
  <c r="IY238" i="1"/>
  <c r="IZ238" i="1"/>
  <c r="JA238" i="1"/>
  <c r="JB238" i="1"/>
  <c r="JC238" i="1"/>
  <c r="JD238" i="1"/>
  <c r="JE238" i="1"/>
  <c r="JF238" i="1"/>
  <c r="JG238" i="1"/>
  <c r="JH238" i="1"/>
  <c r="JI238" i="1"/>
  <c r="JJ238" i="1"/>
  <c r="JK238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Y240" i="1"/>
  <c r="CZ240" i="1"/>
  <c r="DA240" i="1"/>
  <c r="DB240" i="1"/>
  <c r="DC240" i="1"/>
  <c r="DD240" i="1"/>
  <c r="DE240" i="1"/>
  <c r="DF240" i="1"/>
  <c r="DG240" i="1"/>
  <c r="DH240" i="1"/>
  <c r="DI240" i="1"/>
  <c r="DJ240" i="1"/>
  <c r="DK240" i="1"/>
  <c r="DL240" i="1"/>
  <c r="DM240" i="1"/>
  <c r="DN240" i="1"/>
  <c r="DO240" i="1"/>
  <c r="DP240" i="1"/>
  <c r="DQ240" i="1"/>
  <c r="DR240" i="1"/>
  <c r="DS240" i="1"/>
  <c r="DT240" i="1"/>
  <c r="DU240" i="1"/>
  <c r="DV240" i="1"/>
  <c r="DW240" i="1"/>
  <c r="DX240" i="1"/>
  <c r="DY240" i="1"/>
  <c r="DZ240" i="1"/>
  <c r="EA240" i="1"/>
  <c r="EB240" i="1"/>
  <c r="EC240" i="1"/>
  <c r="ED240" i="1"/>
  <c r="EE240" i="1"/>
  <c r="EF240" i="1"/>
  <c r="EG240" i="1"/>
  <c r="EH240" i="1"/>
  <c r="EI240" i="1"/>
  <c r="EJ240" i="1"/>
  <c r="EK240" i="1"/>
  <c r="EL240" i="1"/>
  <c r="EM240" i="1"/>
  <c r="EN240" i="1"/>
  <c r="EO240" i="1"/>
  <c r="EP240" i="1"/>
  <c r="EQ240" i="1"/>
  <c r="ER240" i="1"/>
  <c r="ES240" i="1"/>
  <c r="ET240" i="1"/>
  <c r="EU240" i="1"/>
  <c r="EV240" i="1"/>
  <c r="EW240" i="1"/>
  <c r="EX240" i="1"/>
  <c r="EY240" i="1"/>
  <c r="EZ240" i="1"/>
  <c r="FA240" i="1"/>
  <c r="FB240" i="1"/>
  <c r="FC240" i="1"/>
  <c r="FD240" i="1"/>
  <c r="FE240" i="1"/>
  <c r="FF240" i="1"/>
  <c r="FG240" i="1"/>
  <c r="FH240" i="1"/>
  <c r="FI240" i="1"/>
  <c r="FJ240" i="1"/>
  <c r="FK240" i="1"/>
  <c r="FL240" i="1"/>
  <c r="FM240" i="1"/>
  <c r="FN240" i="1"/>
  <c r="FO240" i="1"/>
  <c r="FP240" i="1"/>
  <c r="FQ240" i="1"/>
  <c r="FR240" i="1"/>
  <c r="FS240" i="1"/>
  <c r="FT240" i="1"/>
  <c r="FU240" i="1"/>
  <c r="FV240" i="1"/>
  <c r="FW240" i="1"/>
  <c r="FX240" i="1"/>
  <c r="FY240" i="1"/>
  <c r="FZ240" i="1"/>
  <c r="GA240" i="1"/>
  <c r="GB240" i="1"/>
  <c r="GC240" i="1"/>
  <c r="GD240" i="1"/>
  <c r="GE240" i="1"/>
  <c r="GF240" i="1"/>
  <c r="GG240" i="1"/>
  <c r="GH240" i="1"/>
  <c r="GI240" i="1"/>
  <c r="GJ240" i="1"/>
  <c r="GK240" i="1"/>
  <c r="GL240" i="1"/>
  <c r="GM240" i="1"/>
  <c r="GN240" i="1"/>
  <c r="GO240" i="1"/>
  <c r="GP240" i="1"/>
  <c r="GQ240" i="1"/>
  <c r="GR240" i="1"/>
  <c r="GS240" i="1"/>
  <c r="GT240" i="1"/>
  <c r="GU240" i="1"/>
  <c r="GV240" i="1"/>
  <c r="GW240" i="1"/>
  <c r="GX240" i="1"/>
  <c r="GY240" i="1"/>
  <c r="GZ240" i="1"/>
  <c r="HA240" i="1"/>
  <c r="HB240" i="1"/>
  <c r="HC240" i="1"/>
  <c r="HD240" i="1"/>
  <c r="HE240" i="1"/>
  <c r="HF240" i="1"/>
  <c r="HG240" i="1"/>
  <c r="HH240" i="1"/>
  <c r="HI240" i="1"/>
  <c r="HJ240" i="1"/>
  <c r="HK240" i="1"/>
  <c r="HL240" i="1"/>
  <c r="HM240" i="1"/>
  <c r="HN240" i="1"/>
  <c r="HO240" i="1"/>
  <c r="HP240" i="1"/>
  <c r="HQ240" i="1"/>
  <c r="HR240" i="1"/>
  <c r="HS240" i="1"/>
  <c r="HT240" i="1"/>
  <c r="HU240" i="1"/>
  <c r="HV240" i="1"/>
  <c r="HW240" i="1"/>
  <c r="HX240" i="1"/>
  <c r="HY240" i="1"/>
  <c r="HZ240" i="1"/>
  <c r="IA240" i="1"/>
  <c r="IB240" i="1"/>
  <c r="IC240" i="1"/>
  <c r="ID240" i="1"/>
  <c r="IE240" i="1"/>
  <c r="IF240" i="1"/>
  <c r="IG240" i="1"/>
  <c r="IH240" i="1"/>
  <c r="II240" i="1"/>
  <c r="IJ240" i="1"/>
  <c r="IK240" i="1"/>
  <c r="IL240" i="1"/>
  <c r="IM240" i="1"/>
  <c r="IN240" i="1"/>
  <c r="IO240" i="1"/>
  <c r="IP240" i="1"/>
  <c r="IQ240" i="1"/>
  <c r="IR240" i="1"/>
  <c r="IS240" i="1"/>
  <c r="IT240" i="1"/>
  <c r="IU240" i="1"/>
  <c r="IV240" i="1"/>
  <c r="IW240" i="1"/>
  <c r="IX240" i="1"/>
  <c r="IY240" i="1"/>
  <c r="IZ240" i="1"/>
  <c r="JA240" i="1"/>
  <c r="JB240" i="1"/>
  <c r="JC240" i="1"/>
  <c r="JD240" i="1"/>
  <c r="JE240" i="1"/>
  <c r="JF240" i="1"/>
  <c r="JG240" i="1"/>
  <c r="JH240" i="1"/>
  <c r="JI240" i="1"/>
  <c r="JJ240" i="1"/>
  <c r="JK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CW241" i="1"/>
  <c r="CX241" i="1"/>
  <c r="CY241" i="1"/>
  <c r="CZ241" i="1"/>
  <c r="DA241" i="1"/>
  <c r="DB241" i="1"/>
  <c r="DC241" i="1"/>
  <c r="DD241" i="1"/>
  <c r="DE241" i="1"/>
  <c r="DF241" i="1"/>
  <c r="DG241" i="1"/>
  <c r="DH241" i="1"/>
  <c r="DI241" i="1"/>
  <c r="DJ241" i="1"/>
  <c r="DK241" i="1"/>
  <c r="DL241" i="1"/>
  <c r="DM241" i="1"/>
  <c r="DN241" i="1"/>
  <c r="DO241" i="1"/>
  <c r="DP241" i="1"/>
  <c r="DQ241" i="1"/>
  <c r="DR241" i="1"/>
  <c r="DS241" i="1"/>
  <c r="DT241" i="1"/>
  <c r="DU241" i="1"/>
  <c r="DV241" i="1"/>
  <c r="DW241" i="1"/>
  <c r="DX241" i="1"/>
  <c r="DY241" i="1"/>
  <c r="DZ241" i="1"/>
  <c r="EA241" i="1"/>
  <c r="EB241" i="1"/>
  <c r="EC241" i="1"/>
  <c r="ED241" i="1"/>
  <c r="EE241" i="1"/>
  <c r="EF241" i="1"/>
  <c r="EG241" i="1"/>
  <c r="EH241" i="1"/>
  <c r="EI241" i="1"/>
  <c r="EJ241" i="1"/>
  <c r="EK241" i="1"/>
  <c r="EL241" i="1"/>
  <c r="EM241" i="1"/>
  <c r="EN241" i="1"/>
  <c r="EO241" i="1"/>
  <c r="EP241" i="1"/>
  <c r="EQ241" i="1"/>
  <c r="ER241" i="1"/>
  <c r="ES241" i="1"/>
  <c r="ET241" i="1"/>
  <c r="EU241" i="1"/>
  <c r="EV241" i="1"/>
  <c r="EW241" i="1"/>
  <c r="EX241" i="1"/>
  <c r="EY241" i="1"/>
  <c r="EZ241" i="1"/>
  <c r="FA241" i="1"/>
  <c r="FB241" i="1"/>
  <c r="FC241" i="1"/>
  <c r="FD241" i="1"/>
  <c r="FE241" i="1"/>
  <c r="FF241" i="1"/>
  <c r="FG241" i="1"/>
  <c r="FH241" i="1"/>
  <c r="FI241" i="1"/>
  <c r="FJ241" i="1"/>
  <c r="FK241" i="1"/>
  <c r="FL241" i="1"/>
  <c r="FM241" i="1"/>
  <c r="FN241" i="1"/>
  <c r="FO241" i="1"/>
  <c r="FP241" i="1"/>
  <c r="FQ241" i="1"/>
  <c r="FR241" i="1"/>
  <c r="FS241" i="1"/>
  <c r="FT241" i="1"/>
  <c r="FU241" i="1"/>
  <c r="FV241" i="1"/>
  <c r="FW241" i="1"/>
  <c r="FX241" i="1"/>
  <c r="FY241" i="1"/>
  <c r="FZ241" i="1"/>
  <c r="GA241" i="1"/>
  <c r="GB241" i="1"/>
  <c r="GC241" i="1"/>
  <c r="GD241" i="1"/>
  <c r="GE241" i="1"/>
  <c r="GF241" i="1"/>
  <c r="GG241" i="1"/>
  <c r="GH241" i="1"/>
  <c r="GI241" i="1"/>
  <c r="GJ241" i="1"/>
  <c r="GK241" i="1"/>
  <c r="GL241" i="1"/>
  <c r="GM241" i="1"/>
  <c r="GN241" i="1"/>
  <c r="GO241" i="1"/>
  <c r="GP241" i="1"/>
  <c r="GQ241" i="1"/>
  <c r="GR241" i="1"/>
  <c r="GS241" i="1"/>
  <c r="GT241" i="1"/>
  <c r="GU241" i="1"/>
  <c r="GV241" i="1"/>
  <c r="GW241" i="1"/>
  <c r="GX241" i="1"/>
  <c r="GY241" i="1"/>
  <c r="GZ241" i="1"/>
  <c r="HA241" i="1"/>
  <c r="HB241" i="1"/>
  <c r="HC241" i="1"/>
  <c r="HD241" i="1"/>
  <c r="HE241" i="1"/>
  <c r="HF241" i="1"/>
  <c r="HG241" i="1"/>
  <c r="HH241" i="1"/>
  <c r="HI241" i="1"/>
  <c r="HJ241" i="1"/>
  <c r="HK241" i="1"/>
  <c r="HL241" i="1"/>
  <c r="HM241" i="1"/>
  <c r="HN241" i="1"/>
  <c r="HO241" i="1"/>
  <c r="HP241" i="1"/>
  <c r="HQ241" i="1"/>
  <c r="HR241" i="1"/>
  <c r="HS241" i="1"/>
  <c r="HT241" i="1"/>
  <c r="HU241" i="1"/>
  <c r="HV241" i="1"/>
  <c r="HW241" i="1"/>
  <c r="HX241" i="1"/>
  <c r="HY241" i="1"/>
  <c r="HZ241" i="1"/>
  <c r="IA241" i="1"/>
  <c r="IB241" i="1"/>
  <c r="IC241" i="1"/>
  <c r="ID241" i="1"/>
  <c r="IE241" i="1"/>
  <c r="IF241" i="1"/>
  <c r="IG241" i="1"/>
  <c r="IH241" i="1"/>
  <c r="II241" i="1"/>
  <c r="IJ241" i="1"/>
  <c r="IK241" i="1"/>
  <c r="IL241" i="1"/>
  <c r="IM241" i="1"/>
  <c r="IN241" i="1"/>
  <c r="IO241" i="1"/>
  <c r="IP241" i="1"/>
  <c r="IQ241" i="1"/>
  <c r="IR241" i="1"/>
  <c r="IS241" i="1"/>
  <c r="IT241" i="1"/>
  <c r="IU241" i="1"/>
  <c r="IV241" i="1"/>
  <c r="IW241" i="1"/>
  <c r="IX241" i="1"/>
  <c r="IY241" i="1"/>
  <c r="IZ241" i="1"/>
  <c r="JA241" i="1"/>
  <c r="JB241" i="1"/>
  <c r="JC241" i="1"/>
  <c r="JD241" i="1"/>
  <c r="JE241" i="1"/>
  <c r="JF241" i="1"/>
  <c r="JG241" i="1"/>
  <c r="JH241" i="1"/>
  <c r="JI241" i="1"/>
  <c r="JJ241" i="1"/>
  <c r="JK241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H243" i="1"/>
  <c r="DI243" i="1"/>
  <c r="DJ243" i="1"/>
  <c r="DK243" i="1"/>
  <c r="DL243" i="1"/>
  <c r="DM243" i="1"/>
  <c r="DN243" i="1"/>
  <c r="DO243" i="1"/>
  <c r="DP243" i="1"/>
  <c r="DQ243" i="1"/>
  <c r="DR243" i="1"/>
  <c r="DS243" i="1"/>
  <c r="DT243" i="1"/>
  <c r="DU243" i="1"/>
  <c r="DV243" i="1"/>
  <c r="DW243" i="1"/>
  <c r="DX243" i="1"/>
  <c r="DY243" i="1"/>
  <c r="DZ243" i="1"/>
  <c r="EA243" i="1"/>
  <c r="EB243" i="1"/>
  <c r="EC243" i="1"/>
  <c r="ED243" i="1"/>
  <c r="EE243" i="1"/>
  <c r="EF243" i="1"/>
  <c r="EG243" i="1"/>
  <c r="EH243" i="1"/>
  <c r="EI243" i="1"/>
  <c r="EJ243" i="1"/>
  <c r="EK243" i="1"/>
  <c r="EL243" i="1"/>
  <c r="EM243" i="1"/>
  <c r="EN243" i="1"/>
  <c r="EO243" i="1"/>
  <c r="EP243" i="1"/>
  <c r="EQ243" i="1"/>
  <c r="ER243" i="1"/>
  <c r="ES243" i="1"/>
  <c r="ET243" i="1"/>
  <c r="EU243" i="1"/>
  <c r="EV243" i="1"/>
  <c r="EW243" i="1"/>
  <c r="EX243" i="1"/>
  <c r="EY243" i="1"/>
  <c r="EZ243" i="1"/>
  <c r="FA243" i="1"/>
  <c r="FB243" i="1"/>
  <c r="FC243" i="1"/>
  <c r="FD243" i="1"/>
  <c r="FE243" i="1"/>
  <c r="FF243" i="1"/>
  <c r="FG243" i="1"/>
  <c r="FH243" i="1"/>
  <c r="FI243" i="1"/>
  <c r="FJ243" i="1"/>
  <c r="FK243" i="1"/>
  <c r="FL243" i="1"/>
  <c r="FM243" i="1"/>
  <c r="FN243" i="1"/>
  <c r="FO243" i="1"/>
  <c r="FP243" i="1"/>
  <c r="FQ243" i="1"/>
  <c r="FR243" i="1"/>
  <c r="FS243" i="1"/>
  <c r="FT243" i="1"/>
  <c r="FU243" i="1"/>
  <c r="FV243" i="1"/>
  <c r="FW243" i="1"/>
  <c r="FX243" i="1"/>
  <c r="FY243" i="1"/>
  <c r="FZ243" i="1"/>
  <c r="GA243" i="1"/>
  <c r="GB243" i="1"/>
  <c r="GC243" i="1"/>
  <c r="GD243" i="1"/>
  <c r="GE243" i="1"/>
  <c r="GF243" i="1"/>
  <c r="GG243" i="1"/>
  <c r="GH243" i="1"/>
  <c r="GI243" i="1"/>
  <c r="GJ243" i="1"/>
  <c r="GK243" i="1"/>
  <c r="GL243" i="1"/>
  <c r="GM243" i="1"/>
  <c r="GN243" i="1"/>
  <c r="GO243" i="1"/>
  <c r="GP243" i="1"/>
  <c r="GQ243" i="1"/>
  <c r="GR243" i="1"/>
  <c r="GS243" i="1"/>
  <c r="GT243" i="1"/>
  <c r="GU243" i="1"/>
  <c r="GV243" i="1"/>
  <c r="GW243" i="1"/>
  <c r="GX243" i="1"/>
  <c r="GY243" i="1"/>
  <c r="GZ243" i="1"/>
  <c r="HA243" i="1"/>
  <c r="HB243" i="1"/>
  <c r="HC243" i="1"/>
  <c r="HD243" i="1"/>
  <c r="HE243" i="1"/>
  <c r="HF243" i="1"/>
  <c r="HG243" i="1"/>
  <c r="HH243" i="1"/>
  <c r="HI243" i="1"/>
  <c r="HJ243" i="1"/>
  <c r="HK243" i="1"/>
  <c r="HL243" i="1"/>
  <c r="HM243" i="1"/>
  <c r="HN243" i="1"/>
  <c r="HO243" i="1"/>
  <c r="HP243" i="1"/>
  <c r="HQ243" i="1"/>
  <c r="HR243" i="1"/>
  <c r="HS243" i="1"/>
  <c r="HT243" i="1"/>
  <c r="HU243" i="1"/>
  <c r="HV243" i="1"/>
  <c r="HW243" i="1"/>
  <c r="HX243" i="1"/>
  <c r="HY243" i="1"/>
  <c r="HZ243" i="1"/>
  <c r="IA243" i="1"/>
  <c r="IB243" i="1"/>
  <c r="IC243" i="1"/>
  <c r="ID243" i="1"/>
  <c r="IE243" i="1"/>
  <c r="IF243" i="1"/>
  <c r="IG243" i="1"/>
  <c r="IH243" i="1"/>
  <c r="II243" i="1"/>
  <c r="IJ243" i="1"/>
  <c r="IK243" i="1"/>
  <c r="IL243" i="1"/>
  <c r="IM243" i="1"/>
  <c r="IN243" i="1"/>
  <c r="IO243" i="1"/>
  <c r="IP243" i="1"/>
  <c r="IQ243" i="1"/>
  <c r="IR243" i="1"/>
  <c r="IS243" i="1"/>
  <c r="IT243" i="1"/>
  <c r="IU243" i="1"/>
  <c r="IV243" i="1"/>
  <c r="IW243" i="1"/>
  <c r="IX243" i="1"/>
  <c r="IY243" i="1"/>
  <c r="IZ243" i="1"/>
  <c r="JA243" i="1"/>
  <c r="JB243" i="1"/>
  <c r="JC243" i="1"/>
  <c r="JD243" i="1"/>
  <c r="JE243" i="1"/>
  <c r="JF243" i="1"/>
  <c r="JG243" i="1"/>
  <c r="JH243" i="1"/>
  <c r="JI243" i="1"/>
  <c r="JJ243" i="1"/>
  <c r="JK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G244" i="1"/>
  <c r="DH244" i="1"/>
  <c r="DI244" i="1"/>
  <c r="DJ244" i="1"/>
  <c r="DK244" i="1"/>
  <c r="DL244" i="1"/>
  <c r="DM244" i="1"/>
  <c r="DN244" i="1"/>
  <c r="DO244" i="1"/>
  <c r="DP244" i="1"/>
  <c r="DQ244" i="1"/>
  <c r="DR244" i="1"/>
  <c r="DS244" i="1"/>
  <c r="DT244" i="1"/>
  <c r="DU244" i="1"/>
  <c r="DV244" i="1"/>
  <c r="DW244" i="1"/>
  <c r="DX244" i="1"/>
  <c r="DY244" i="1"/>
  <c r="DZ244" i="1"/>
  <c r="EA244" i="1"/>
  <c r="EB244" i="1"/>
  <c r="EC244" i="1"/>
  <c r="ED244" i="1"/>
  <c r="EE244" i="1"/>
  <c r="EF244" i="1"/>
  <c r="EG244" i="1"/>
  <c r="EH244" i="1"/>
  <c r="EI244" i="1"/>
  <c r="EJ244" i="1"/>
  <c r="EK244" i="1"/>
  <c r="EL244" i="1"/>
  <c r="EM244" i="1"/>
  <c r="EN244" i="1"/>
  <c r="EO244" i="1"/>
  <c r="EP244" i="1"/>
  <c r="EQ244" i="1"/>
  <c r="ER244" i="1"/>
  <c r="ES244" i="1"/>
  <c r="ET244" i="1"/>
  <c r="EU244" i="1"/>
  <c r="EV244" i="1"/>
  <c r="EW244" i="1"/>
  <c r="EX244" i="1"/>
  <c r="EY244" i="1"/>
  <c r="EZ244" i="1"/>
  <c r="FA244" i="1"/>
  <c r="FB244" i="1"/>
  <c r="FC244" i="1"/>
  <c r="FD244" i="1"/>
  <c r="FE244" i="1"/>
  <c r="FF244" i="1"/>
  <c r="FG244" i="1"/>
  <c r="FH244" i="1"/>
  <c r="FI244" i="1"/>
  <c r="FJ244" i="1"/>
  <c r="FK244" i="1"/>
  <c r="FL244" i="1"/>
  <c r="FM244" i="1"/>
  <c r="FN244" i="1"/>
  <c r="FO244" i="1"/>
  <c r="FP244" i="1"/>
  <c r="FQ244" i="1"/>
  <c r="FR244" i="1"/>
  <c r="FS244" i="1"/>
  <c r="FT244" i="1"/>
  <c r="FU244" i="1"/>
  <c r="FV244" i="1"/>
  <c r="FW244" i="1"/>
  <c r="FX244" i="1"/>
  <c r="FY244" i="1"/>
  <c r="FZ244" i="1"/>
  <c r="GA244" i="1"/>
  <c r="GB244" i="1"/>
  <c r="GC244" i="1"/>
  <c r="GD244" i="1"/>
  <c r="GE244" i="1"/>
  <c r="GF244" i="1"/>
  <c r="GG244" i="1"/>
  <c r="GH244" i="1"/>
  <c r="GI244" i="1"/>
  <c r="GJ244" i="1"/>
  <c r="GK244" i="1"/>
  <c r="GL244" i="1"/>
  <c r="GM244" i="1"/>
  <c r="GN244" i="1"/>
  <c r="GO244" i="1"/>
  <c r="GP244" i="1"/>
  <c r="GQ244" i="1"/>
  <c r="GR244" i="1"/>
  <c r="GS244" i="1"/>
  <c r="GT244" i="1"/>
  <c r="GU244" i="1"/>
  <c r="GV244" i="1"/>
  <c r="GW244" i="1"/>
  <c r="GX244" i="1"/>
  <c r="GY244" i="1"/>
  <c r="GZ244" i="1"/>
  <c r="HA244" i="1"/>
  <c r="HB244" i="1"/>
  <c r="HC244" i="1"/>
  <c r="HD244" i="1"/>
  <c r="HE244" i="1"/>
  <c r="HF244" i="1"/>
  <c r="HG244" i="1"/>
  <c r="HH244" i="1"/>
  <c r="HI244" i="1"/>
  <c r="HJ244" i="1"/>
  <c r="HK244" i="1"/>
  <c r="HL244" i="1"/>
  <c r="HM244" i="1"/>
  <c r="HN244" i="1"/>
  <c r="HO244" i="1"/>
  <c r="HP244" i="1"/>
  <c r="HQ244" i="1"/>
  <c r="HR244" i="1"/>
  <c r="HS244" i="1"/>
  <c r="HT244" i="1"/>
  <c r="HU244" i="1"/>
  <c r="HV244" i="1"/>
  <c r="HW244" i="1"/>
  <c r="HX244" i="1"/>
  <c r="HY244" i="1"/>
  <c r="HZ244" i="1"/>
  <c r="IA244" i="1"/>
  <c r="IB244" i="1"/>
  <c r="IC244" i="1"/>
  <c r="ID244" i="1"/>
  <c r="IE244" i="1"/>
  <c r="IF244" i="1"/>
  <c r="IG244" i="1"/>
  <c r="IH244" i="1"/>
  <c r="II244" i="1"/>
  <c r="IJ244" i="1"/>
  <c r="IK244" i="1"/>
  <c r="IL244" i="1"/>
  <c r="IM244" i="1"/>
  <c r="IN244" i="1"/>
  <c r="IO244" i="1"/>
  <c r="IP244" i="1"/>
  <c r="IQ244" i="1"/>
  <c r="IR244" i="1"/>
  <c r="IS244" i="1"/>
  <c r="IT244" i="1"/>
  <c r="IU244" i="1"/>
  <c r="IV244" i="1"/>
  <c r="IW244" i="1"/>
  <c r="IX244" i="1"/>
  <c r="IY244" i="1"/>
  <c r="IZ244" i="1"/>
  <c r="JA244" i="1"/>
  <c r="JB244" i="1"/>
  <c r="JC244" i="1"/>
  <c r="JD244" i="1"/>
  <c r="JE244" i="1"/>
  <c r="JF244" i="1"/>
  <c r="JG244" i="1"/>
  <c r="JH244" i="1"/>
  <c r="JI244" i="1"/>
  <c r="JJ244" i="1"/>
  <c r="JK244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Y246" i="1"/>
  <c r="CZ246" i="1"/>
  <c r="DA246" i="1"/>
  <c r="DB246" i="1"/>
  <c r="DC246" i="1"/>
  <c r="DD246" i="1"/>
  <c r="DE246" i="1"/>
  <c r="DF246" i="1"/>
  <c r="DG246" i="1"/>
  <c r="DH246" i="1"/>
  <c r="DI246" i="1"/>
  <c r="DJ246" i="1"/>
  <c r="DK246" i="1"/>
  <c r="DL246" i="1"/>
  <c r="DM246" i="1"/>
  <c r="DN246" i="1"/>
  <c r="DO246" i="1"/>
  <c r="DP246" i="1"/>
  <c r="DQ246" i="1"/>
  <c r="DR246" i="1"/>
  <c r="DS246" i="1"/>
  <c r="DT246" i="1"/>
  <c r="DU246" i="1"/>
  <c r="DV246" i="1"/>
  <c r="DW246" i="1"/>
  <c r="DX246" i="1"/>
  <c r="DY246" i="1"/>
  <c r="DZ246" i="1"/>
  <c r="EA246" i="1"/>
  <c r="EB246" i="1"/>
  <c r="EC246" i="1"/>
  <c r="ED246" i="1"/>
  <c r="EE246" i="1"/>
  <c r="EF246" i="1"/>
  <c r="EG246" i="1"/>
  <c r="EH246" i="1"/>
  <c r="EI246" i="1"/>
  <c r="EJ246" i="1"/>
  <c r="EK246" i="1"/>
  <c r="EL246" i="1"/>
  <c r="EM246" i="1"/>
  <c r="EN246" i="1"/>
  <c r="EO246" i="1"/>
  <c r="EP246" i="1"/>
  <c r="EQ246" i="1"/>
  <c r="ER246" i="1"/>
  <c r="ES246" i="1"/>
  <c r="ET246" i="1"/>
  <c r="EU246" i="1"/>
  <c r="EV246" i="1"/>
  <c r="EW246" i="1"/>
  <c r="EX246" i="1"/>
  <c r="EY246" i="1"/>
  <c r="EZ246" i="1"/>
  <c r="FA246" i="1"/>
  <c r="FB246" i="1"/>
  <c r="FC246" i="1"/>
  <c r="FD246" i="1"/>
  <c r="FE246" i="1"/>
  <c r="FF246" i="1"/>
  <c r="FG246" i="1"/>
  <c r="FH246" i="1"/>
  <c r="FI246" i="1"/>
  <c r="FJ246" i="1"/>
  <c r="FK246" i="1"/>
  <c r="FL246" i="1"/>
  <c r="FM246" i="1"/>
  <c r="FN246" i="1"/>
  <c r="FO246" i="1"/>
  <c r="FP246" i="1"/>
  <c r="FQ246" i="1"/>
  <c r="FR246" i="1"/>
  <c r="FS246" i="1"/>
  <c r="FT246" i="1"/>
  <c r="FU246" i="1"/>
  <c r="FV246" i="1"/>
  <c r="FW246" i="1"/>
  <c r="FX246" i="1"/>
  <c r="FY246" i="1"/>
  <c r="FZ246" i="1"/>
  <c r="GA246" i="1"/>
  <c r="GB246" i="1"/>
  <c r="GC246" i="1"/>
  <c r="GD246" i="1"/>
  <c r="GE246" i="1"/>
  <c r="GF246" i="1"/>
  <c r="GG246" i="1"/>
  <c r="GH246" i="1"/>
  <c r="GI246" i="1"/>
  <c r="GJ246" i="1"/>
  <c r="GK246" i="1"/>
  <c r="GL246" i="1"/>
  <c r="GM246" i="1"/>
  <c r="GN246" i="1"/>
  <c r="GO246" i="1"/>
  <c r="GP246" i="1"/>
  <c r="GQ246" i="1"/>
  <c r="GR246" i="1"/>
  <c r="GS246" i="1"/>
  <c r="GT246" i="1"/>
  <c r="GU246" i="1"/>
  <c r="GV246" i="1"/>
  <c r="GW246" i="1"/>
  <c r="GX246" i="1"/>
  <c r="GY246" i="1"/>
  <c r="GZ246" i="1"/>
  <c r="HA246" i="1"/>
  <c r="HB246" i="1"/>
  <c r="HC246" i="1"/>
  <c r="HD246" i="1"/>
  <c r="HE246" i="1"/>
  <c r="HF246" i="1"/>
  <c r="HG246" i="1"/>
  <c r="HH246" i="1"/>
  <c r="HI246" i="1"/>
  <c r="HJ246" i="1"/>
  <c r="HK246" i="1"/>
  <c r="HL246" i="1"/>
  <c r="HM246" i="1"/>
  <c r="HN246" i="1"/>
  <c r="HO246" i="1"/>
  <c r="HP246" i="1"/>
  <c r="HQ246" i="1"/>
  <c r="HR246" i="1"/>
  <c r="HS246" i="1"/>
  <c r="HT246" i="1"/>
  <c r="HU246" i="1"/>
  <c r="HV246" i="1"/>
  <c r="HW246" i="1"/>
  <c r="HX246" i="1"/>
  <c r="HY246" i="1"/>
  <c r="HZ246" i="1"/>
  <c r="IA246" i="1"/>
  <c r="IB246" i="1"/>
  <c r="IC246" i="1"/>
  <c r="ID246" i="1"/>
  <c r="IE246" i="1"/>
  <c r="IF246" i="1"/>
  <c r="IG246" i="1"/>
  <c r="IH246" i="1"/>
  <c r="II246" i="1"/>
  <c r="IJ246" i="1"/>
  <c r="IK246" i="1"/>
  <c r="IL246" i="1"/>
  <c r="IM246" i="1"/>
  <c r="IN246" i="1"/>
  <c r="IO246" i="1"/>
  <c r="IP246" i="1"/>
  <c r="IQ246" i="1"/>
  <c r="IR246" i="1"/>
  <c r="IS246" i="1"/>
  <c r="IT246" i="1"/>
  <c r="IU246" i="1"/>
  <c r="IV246" i="1"/>
  <c r="IW246" i="1"/>
  <c r="IX246" i="1"/>
  <c r="IY246" i="1"/>
  <c r="IZ246" i="1"/>
  <c r="JA246" i="1"/>
  <c r="JB246" i="1"/>
  <c r="JC246" i="1"/>
  <c r="JD246" i="1"/>
  <c r="JE246" i="1"/>
  <c r="JF246" i="1"/>
  <c r="JG246" i="1"/>
  <c r="JH246" i="1"/>
  <c r="JI246" i="1"/>
  <c r="JJ246" i="1"/>
  <c r="JK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Y247" i="1"/>
  <c r="CZ247" i="1"/>
  <c r="DA247" i="1"/>
  <c r="DB247" i="1"/>
  <c r="DC247" i="1"/>
  <c r="DD247" i="1"/>
  <c r="DE247" i="1"/>
  <c r="DF247" i="1"/>
  <c r="DG247" i="1"/>
  <c r="DH247" i="1"/>
  <c r="DI247" i="1"/>
  <c r="DJ247" i="1"/>
  <c r="DK247" i="1"/>
  <c r="DL247" i="1"/>
  <c r="DM247" i="1"/>
  <c r="DN247" i="1"/>
  <c r="DO247" i="1"/>
  <c r="DP247" i="1"/>
  <c r="DQ247" i="1"/>
  <c r="DR247" i="1"/>
  <c r="DS247" i="1"/>
  <c r="DT247" i="1"/>
  <c r="DU247" i="1"/>
  <c r="DV247" i="1"/>
  <c r="DW247" i="1"/>
  <c r="DX247" i="1"/>
  <c r="DY247" i="1"/>
  <c r="DZ247" i="1"/>
  <c r="EA247" i="1"/>
  <c r="EB247" i="1"/>
  <c r="EC247" i="1"/>
  <c r="ED247" i="1"/>
  <c r="EE247" i="1"/>
  <c r="EF247" i="1"/>
  <c r="EG247" i="1"/>
  <c r="EH247" i="1"/>
  <c r="EI247" i="1"/>
  <c r="EJ247" i="1"/>
  <c r="EK247" i="1"/>
  <c r="EL247" i="1"/>
  <c r="EM247" i="1"/>
  <c r="EN247" i="1"/>
  <c r="EO247" i="1"/>
  <c r="EP247" i="1"/>
  <c r="EQ247" i="1"/>
  <c r="ER247" i="1"/>
  <c r="ES247" i="1"/>
  <c r="ET247" i="1"/>
  <c r="EU247" i="1"/>
  <c r="EV247" i="1"/>
  <c r="EW247" i="1"/>
  <c r="EX247" i="1"/>
  <c r="EY247" i="1"/>
  <c r="EZ247" i="1"/>
  <c r="FA247" i="1"/>
  <c r="FB247" i="1"/>
  <c r="FC247" i="1"/>
  <c r="FD247" i="1"/>
  <c r="FE247" i="1"/>
  <c r="FF247" i="1"/>
  <c r="FG247" i="1"/>
  <c r="FH247" i="1"/>
  <c r="FI247" i="1"/>
  <c r="FJ247" i="1"/>
  <c r="FK247" i="1"/>
  <c r="FL247" i="1"/>
  <c r="FM247" i="1"/>
  <c r="FN247" i="1"/>
  <c r="FO247" i="1"/>
  <c r="FP247" i="1"/>
  <c r="FQ247" i="1"/>
  <c r="FR247" i="1"/>
  <c r="FS247" i="1"/>
  <c r="FT247" i="1"/>
  <c r="FU247" i="1"/>
  <c r="FV247" i="1"/>
  <c r="FW247" i="1"/>
  <c r="FX247" i="1"/>
  <c r="FY247" i="1"/>
  <c r="FZ247" i="1"/>
  <c r="GA247" i="1"/>
  <c r="GB247" i="1"/>
  <c r="GC247" i="1"/>
  <c r="GD247" i="1"/>
  <c r="GE247" i="1"/>
  <c r="GF247" i="1"/>
  <c r="GG247" i="1"/>
  <c r="GH247" i="1"/>
  <c r="GI247" i="1"/>
  <c r="GJ247" i="1"/>
  <c r="GK247" i="1"/>
  <c r="GL247" i="1"/>
  <c r="GM247" i="1"/>
  <c r="GN247" i="1"/>
  <c r="GO247" i="1"/>
  <c r="GP247" i="1"/>
  <c r="GQ247" i="1"/>
  <c r="GR247" i="1"/>
  <c r="GS247" i="1"/>
  <c r="GT247" i="1"/>
  <c r="GU247" i="1"/>
  <c r="GV247" i="1"/>
  <c r="GW247" i="1"/>
  <c r="GX247" i="1"/>
  <c r="GY247" i="1"/>
  <c r="GZ247" i="1"/>
  <c r="HA247" i="1"/>
  <c r="HB247" i="1"/>
  <c r="HC247" i="1"/>
  <c r="HD247" i="1"/>
  <c r="HE247" i="1"/>
  <c r="HF247" i="1"/>
  <c r="HG247" i="1"/>
  <c r="HH247" i="1"/>
  <c r="HI247" i="1"/>
  <c r="HJ247" i="1"/>
  <c r="HK247" i="1"/>
  <c r="HL247" i="1"/>
  <c r="HM247" i="1"/>
  <c r="HN247" i="1"/>
  <c r="HO247" i="1"/>
  <c r="HP247" i="1"/>
  <c r="HQ247" i="1"/>
  <c r="HR247" i="1"/>
  <c r="HS247" i="1"/>
  <c r="HT247" i="1"/>
  <c r="HU247" i="1"/>
  <c r="HV247" i="1"/>
  <c r="HW247" i="1"/>
  <c r="HX247" i="1"/>
  <c r="HY247" i="1"/>
  <c r="HZ247" i="1"/>
  <c r="IA247" i="1"/>
  <c r="IB247" i="1"/>
  <c r="IC247" i="1"/>
  <c r="ID247" i="1"/>
  <c r="IE247" i="1"/>
  <c r="IF247" i="1"/>
  <c r="IG247" i="1"/>
  <c r="IH247" i="1"/>
  <c r="II247" i="1"/>
  <c r="IJ247" i="1"/>
  <c r="IK247" i="1"/>
  <c r="IL247" i="1"/>
  <c r="IM247" i="1"/>
  <c r="IN247" i="1"/>
  <c r="IO247" i="1"/>
  <c r="IP247" i="1"/>
  <c r="IQ247" i="1"/>
  <c r="IR247" i="1"/>
  <c r="IS247" i="1"/>
  <c r="IT247" i="1"/>
  <c r="IU247" i="1"/>
  <c r="IV247" i="1"/>
  <c r="IW247" i="1"/>
  <c r="IX247" i="1"/>
  <c r="IY247" i="1"/>
  <c r="IZ247" i="1"/>
  <c r="JA247" i="1"/>
  <c r="JB247" i="1"/>
  <c r="JC247" i="1"/>
  <c r="JD247" i="1"/>
  <c r="JE247" i="1"/>
  <c r="JF247" i="1"/>
  <c r="JG247" i="1"/>
  <c r="JH247" i="1"/>
  <c r="JI247" i="1"/>
  <c r="JJ247" i="1"/>
  <c r="JK247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H249" i="1"/>
  <c r="DI249" i="1"/>
  <c r="DJ249" i="1"/>
  <c r="DK249" i="1"/>
  <c r="DL249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EA249" i="1"/>
  <c r="EB249" i="1"/>
  <c r="EC249" i="1"/>
  <c r="ED249" i="1"/>
  <c r="EE249" i="1"/>
  <c r="EF249" i="1"/>
  <c r="EG249" i="1"/>
  <c r="EH249" i="1"/>
  <c r="EI249" i="1"/>
  <c r="EJ249" i="1"/>
  <c r="EK249" i="1"/>
  <c r="EL249" i="1"/>
  <c r="EM249" i="1"/>
  <c r="EN249" i="1"/>
  <c r="EO249" i="1"/>
  <c r="EP249" i="1"/>
  <c r="EQ249" i="1"/>
  <c r="ER249" i="1"/>
  <c r="ES249" i="1"/>
  <c r="ET249" i="1"/>
  <c r="EU249" i="1"/>
  <c r="EV249" i="1"/>
  <c r="EW249" i="1"/>
  <c r="EX249" i="1"/>
  <c r="EY249" i="1"/>
  <c r="EZ249" i="1"/>
  <c r="FA249" i="1"/>
  <c r="FB249" i="1"/>
  <c r="FC249" i="1"/>
  <c r="FD249" i="1"/>
  <c r="FE249" i="1"/>
  <c r="FF249" i="1"/>
  <c r="FG249" i="1"/>
  <c r="FH249" i="1"/>
  <c r="FI249" i="1"/>
  <c r="FJ249" i="1"/>
  <c r="FK249" i="1"/>
  <c r="FL249" i="1"/>
  <c r="FM249" i="1"/>
  <c r="FN249" i="1"/>
  <c r="FO249" i="1"/>
  <c r="FP249" i="1"/>
  <c r="FQ249" i="1"/>
  <c r="FR249" i="1"/>
  <c r="FS249" i="1"/>
  <c r="FT249" i="1"/>
  <c r="FU249" i="1"/>
  <c r="FV249" i="1"/>
  <c r="FW249" i="1"/>
  <c r="FX249" i="1"/>
  <c r="FY249" i="1"/>
  <c r="FZ249" i="1"/>
  <c r="GA249" i="1"/>
  <c r="GB249" i="1"/>
  <c r="GC249" i="1"/>
  <c r="GD249" i="1"/>
  <c r="GE249" i="1"/>
  <c r="GF249" i="1"/>
  <c r="GG249" i="1"/>
  <c r="GH249" i="1"/>
  <c r="GI249" i="1"/>
  <c r="GJ249" i="1"/>
  <c r="GK249" i="1"/>
  <c r="GL249" i="1"/>
  <c r="GM249" i="1"/>
  <c r="GN249" i="1"/>
  <c r="GO249" i="1"/>
  <c r="GP249" i="1"/>
  <c r="GQ249" i="1"/>
  <c r="GR249" i="1"/>
  <c r="GS249" i="1"/>
  <c r="GT249" i="1"/>
  <c r="GU249" i="1"/>
  <c r="GV249" i="1"/>
  <c r="GW249" i="1"/>
  <c r="GX249" i="1"/>
  <c r="GY249" i="1"/>
  <c r="GZ249" i="1"/>
  <c r="HA249" i="1"/>
  <c r="HB249" i="1"/>
  <c r="HC249" i="1"/>
  <c r="HD249" i="1"/>
  <c r="HE249" i="1"/>
  <c r="HF249" i="1"/>
  <c r="HG249" i="1"/>
  <c r="HH249" i="1"/>
  <c r="HI249" i="1"/>
  <c r="HJ249" i="1"/>
  <c r="HK249" i="1"/>
  <c r="HL249" i="1"/>
  <c r="HM249" i="1"/>
  <c r="HN249" i="1"/>
  <c r="HO249" i="1"/>
  <c r="HP249" i="1"/>
  <c r="HQ249" i="1"/>
  <c r="HR249" i="1"/>
  <c r="HS249" i="1"/>
  <c r="HT249" i="1"/>
  <c r="HU249" i="1"/>
  <c r="HV249" i="1"/>
  <c r="HW249" i="1"/>
  <c r="HX249" i="1"/>
  <c r="HY249" i="1"/>
  <c r="HZ249" i="1"/>
  <c r="IA249" i="1"/>
  <c r="IB249" i="1"/>
  <c r="IC249" i="1"/>
  <c r="ID249" i="1"/>
  <c r="IE249" i="1"/>
  <c r="IF249" i="1"/>
  <c r="IG249" i="1"/>
  <c r="IH249" i="1"/>
  <c r="II249" i="1"/>
  <c r="IJ249" i="1"/>
  <c r="IK249" i="1"/>
  <c r="IL249" i="1"/>
  <c r="IM249" i="1"/>
  <c r="IN249" i="1"/>
  <c r="IO249" i="1"/>
  <c r="IP249" i="1"/>
  <c r="IQ249" i="1"/>
  <c r="IR249" i="1"/>
  <c r="IS249" i="1"/>
  <c r="IT249" i="1"/>
  <c r="IU249" i="1"/>
  <c r="IV249" i="1"/>
  <c r="IW249" i="1"/>
  <c r="IX249" i="1"/>
  <c r="IY249" i="1"/>
  <c r="IZ249" i="1"/>
  <c r="JA249" i="1"/>
  <c r="JB249" i="1"/>
  <c r="JC249" i="1"/>
  <c r="JD249" i="1"/>
  <c r="JE249" i="1"/>
  <c r="JF249" i="1"/>
  <c r="JG249" i="1"/>
  <c r="JH249" i="1"/>
  <c r="JI249" i="1"/>
  <c r="JJ249" i="1"/>
  <c r="JK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G250" i="1"/>
  <c r="DH250" i="1"/>
  <c r="DI250" i="1"/>
  <c r="DJ250" i="1"/>
  <c r="DK250" i="1"/>
  <c r="DL250" i="1"/>
  <c r="DM250" i="1"/>
  <c r="DN250" i="1"/>
  <c r="DO250" i="1"/>
  <c r="DP250" i="1"/>
  <c r="DQ250" i="1"/>
  <c r="DR250" i="1"/>
  <c r="DS250" i="1"/>
  <c r="DT250" i="1"/>
  <c r="DU250" i="1"/>
  <c r="DV250" i="1"/>
  <c r="DW250" i="1"/>
  <c r="DX250" i="1"/>
  <c r="DY250" i="1"/>
  <c r="DZ250" i="1"/>
  <c r="EA250" i="1"/>
  <c r="EB250" i="1"/>
  <c r="EC250" i="1"/>
  <c r="ED250" i="1"/>
  <c r="EE250" i="1"/>
  <c r="EF250" i="1"/>
  <c r="EG250" i="1"/>
  <c r="EH250" i="1"/>
  <c r="EI250" i="1"/>
  <c r="EJ250" i="1"/>
  <c r="EK250" i="1"/>
  <c r="EL250" i="1"/>
  <c r="EM250" i="1"/>
  <c r="EN250" i="1"/>
  <c r="EO250" i="1"/>
  <c r="EP250" i="1"/>
  <c r="EQ250" i="1"/>
  <c r="ER250" i="1"/>
  <c r="ES250" i="1"/>
  <c r="ET250" i="1"/>
  <c r="EU250" i="1"/>
  <c r="EV250" i="1"/>
  <c r="EW250" i="1"/>
  <c r="EX250" i="1"/>
  <c r="EY250" i="1"/>
  <c r="EZ250" i="1"/>
  <c r="FA250" i="1"/>
  <c r="FB250" i="1"/>
  <c r="FC250" i="1"/>
  <c r="FD250" i="1"/>
  <c r="FE250" i="1"/>
  <c r="FF250" i="1"/>
  <c r="FG250" i="1"/>
  <c r="FH250" i="1"/>
  <c r="FI250" i="1"/>
  <c r="FJ250" i="1"/>
  <c r="FK250" i="1"/>
  <c r="FL250" i="1"/>
  <c r="FM250" i="1"/>
  <c r="FN250" i="1"/>
  <c r="FO250" i="1"/>
  <c r="FP250" i="1"/>
  <c r="FQ250" i="1"/>
  <c r="FR250" i="1"/>
  <c r="FS250" i="1"/>
  <c r="FT250" i="1"/>
  <c r="FU250" i="1"/>
  <c r="FV250" i="1"/>
  <c r="FW250" i="1"/>
  <c r="FX250" i="1"/>
  <c r="FY250" i="1"/>
  <c r="FZ250" i="1"/>
  <c r="GA250" i="1"/>
  <c r="GB250" i="1"/>
  <c r="GC250" i="1"/>
  <c r="GD250" i="1"/>
  <c r="GE250" i="1"/>
  <c r="GF250" i="1"/>
  <c r="GG250" i="1"/>
  <c r="GH250" i="1"/>
  <c r="GI250" i="1"/>
  <c r="GJ250" i="1"/>
  <c r="GK250" i="1"/>
  <c r="GL250" i="1"/>
  <c r="GM250" i="1"/>
  <c r="GN250" i="1"/>
  <c r="GO250" i="1"/>
  <c r="GP250" i="1"/>
  <c r="GQ250" i="1"/>
  <c r="GR250" i="1"/>
  <c r="GS250" i="1"/>
  <c r="GT250" i="1"/>
  <c r="GU250" i="1"/>
  <c r="GV250" i="1"/>
  <c r="GW250" i="1"/>
  <c r="GX250" i="1"/>
  <c r="GY250" i="1"/>
  <c r="GZ250" i="1"/>
  <c r="HA250" i="1"/>
  <c r="HB250" i="1"/>
  <c r="HC250" i="1"/>
  <c r="HD250" i="1"/>
  <c r="HE250" i="1"/>
  <c r="HF250" i="1"/>
  <c r="HG250" i="1"/>
  <c r="HH250" i="1"/>
  <c r="HI250" i="1"/>
  <c r="HJ250" i="1"/>
  <c r="HK250" i="1"/>
  <c r="HL250" i="1"/>
  <c r="HM250" i="1"/>
  <c r="HN250" i="1"/>
  <c r="HO250" i="1"/>
  <c r="HP250" i="1"/>
  <c r="HQ250" i="1"/>
  <c r="HR250" i="1"/>
  <c r="HS250" i="1"/>
  <c r="HT250" i="1"/>
  <c r="HU250" i="1"/>
  <c r="HV250" i="1"/>
  <c r="HW250" i="1"/>
  <c r="HX250" i="1"/>
  <c r="HY250" i="1"/>
  <c r="HZ250" i="1"/>
  <c r="IA250" i="1"/>
  <c r="IB250" i="1"/>
  <c r="IC250" i="1"/>
  <c r="ID250" i="1"/>
  <c r="IE250" i="1"/>
  <c r="IF250" i="1"/>
  <c r="IG250" i="1"/>
  <c r="IH250" i="1"/>
  <c r="II250" i="1"/>
  <c r="IJ250" i="1"/>
  <c r="IK250" i="1"/>
  <c r="IL250" i="1"/>
  <c r="IM250" i="1"/>
  <c r="IN250" i="1"/>
  <c r="IO250" i="1"/>
  <c r="IP250" i="1"/>
  <c r="IQ250" i="1"/>
  <c r="IR250" i="1"/>
  <c r="IS250" i="1"/>
  <c r="IT250" i="1"/>
  <c r="IU250" i="1"/>
  <c r="IV250" i="1"/>
  <c r="IW250" i="1"/>
  <c r="IX250" i="1"/>
  <c r="IY250" i="1"/>
  <c r="IZ250" i="1"/>
  <c r="JA250" i="1"/>
  <c r="JB250" i="1"/>
  <c r="JC250" i="1"/>
  <c r="JD250" i="1"/>
  <c r="JE250" i="1"/>
  <c r="JF250" i="1"/>
  <c r="JG250" i="1"/>
  <c r="JH250" i="1"/>
  <c r="JI250" i="1"/>
  <c r="JJ250" i="1"/>
  <c r="JK250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Y252" i="1"/>
  <c r="CZ252" i="1"/>
  <c r="DA252" i="1"/>
  <c r="DB252" i="1"/>
  <c r="DC252" i="1"/>
  <c r="DD252" i="1"/>
  <c r="DE252" i="1"/>
  <c r="DF252" i="1"/>
  <c r="DG252" i="1"/>
  <c r="DH252" i="1"/>
  <c r="DI252" i="1"/>
  <c r="DJ252" i="1"/>
  <c r="DK252" i="1"/>
  <c r="DL252" i="1"/>
  <c r="DM252" i="1"/>
  <c r="DN252" i="1"/>
  <c r="DO252" i="1"/>
  <c r="DP252" i="1"/>
  <c r="DQ252" i="1"/>
  <c r="DR252" i="1"/>
  <c r="DS252" i="1"/>
  <c r="DT252" i="1"/>
  <c r="DU252" i="1"/>
  <c r="DV252" i="1"/>
  <c r="DW252" i="1"/>
  <c r="DX252" i="1"/>
  <c r="DY252" i="1"/>
  <c r="DZ252" i="1"/>
  <c r="EA252" i="1"/>
  <c r="EB252" i="1"/>
  <c r="EC252" i="1"/>
  <c r="ED252" i="1"/>
  <c r="EE252" i="1"/>
  <c r="EF252" i="1"/>
  <c r="EG252" i="1"/>
  <c r="EH252" i="1"/>
  <c r="EI252" i="1"/>
  <c r="EJ252" i="1"/>
  <c r="EK252" i="1"/>
  <c r="EL252" i="1"/>
  <c r="EM252" i="1"/>
  <c r="EN252" i="1"/>
  <c r="EO252" i="1"/>
  <c r="EP252" i="1"/>
  <c r="EQ252" i="1"/>
  <c r="ER252" i="1"/>
  <c r="ES252" i="1"/>
  <c r="ET252" i="1"/>
  <c r="EU252" i="1"/>
  <c r="EV252" i="1"/>
  <c r="EW252" i="1"/>
  <c r="EX252" i="1"/>
  <c r="EY252" i="1"/>
  <c r="EZ252" i="1"/>
  <c r="FA252" i="1"/>
  <c r="FB252" i="1"/>
  <c r="FC252" i="1"/>
  <c r="FD252" i="1"/>
  <c r="FE252" i="1"/>
  <c r="FF252" i="1"/>
  <c r="FG252" i="1"/>
  <c r="FH252" i="1"/>
  <c r="FI252" i="1"/>
  <c r="FJ252" i="1"/>
  <c r="FK252" i="1"/>
  <c r="FL252" i="1"/>
  <c r="FM252" i="1"/>
  <c r="FN252" i="1"/>
  <c r="FO252" i="1"/>
  <c r="FP252" i="1"/>
  <c r="FQ252" i="1"/>
  <c r="FR252" i="1"/>
  <c r="FS252" i="1"/>
  <c r="FT252" i="1"/>
  <c r="FU252" i="1"/>
  <c r="FV252" i="1"/>
  <c r="FW252" i="1"/>
  <c r="FX252" i="1"/>
  <c r="FY252" i="1"/>
  <c r="FZ252" i="1"/>
  <c r="GA252" i="1"/>
  <c r="GB252" i="1"/>
  <c r="GC252" i="1"/>
  <c r="GD252" i="1"/>
  <c r="GE252" i="1"/>
  <c r="GF252" i="1"/>
  <c r="GG252" i="1"/>
  <c r="GH252" i="1"/>
  <c r="GI252" i="1"/>
  <c r="GJ252" i="1"/>
  <c r="GK252" i="1"/>
  <c r="GL252" i="1"/>
  <c r="GM252" i="1"/>
  <c r="GN252" i="1"/>
  <c r="GO252" i="1"/>
  <c r="GP252" i="1"/>
  <c r="GQ252" i="1"/>
  <c r="GR252" i="1"/>
  <c r="GS252" i="1"/>
  <c r="GT252" i="1"/>
  <c r="GU252" i="1"/>
  <c r="GV252" i="1"/>
  <c r="GW252" i="1"/>
  <c r="GX252" i="1"/>
  <c r="GY252" i="1"/>
  <c r="GZ252" i="1"/>
  <c r="HA252" i="1"/>
  <c r="HB252" i="1"/>
  <c r="HC252" i="1"/>
  <c r="HD252" i="1"/>
  <c r="HE252" i="1"/>
  <c r="HF252" i="1"/>
  <c r="HG252" i="1"/>
  <c r="HH252" i="1"/>
  <c r="HI252" i="1"/>
  <c r="HJ252" i="1"/>
  <c r="HK252" i="1"/>
  <c r="HL252" i="1"/>
  <c r="HM252" i="1"/>
  <c r="HN252" i="1"/>
  <c r="HO252" i="1"/>
  <c r="HP252" i="1"/>
  <c r="HQ252" i="1"/>
  <c r="HR252" i="1"/>
  <c r="HS252" i="1"/>
  <c r="HT252" i="1"/>
  <c r="HU252" i="1"/>
  <c r="HV252" i="1"/>
  <c r="HW252" i="1"/>
  <c r="HX252" i="1"/>
  <c r="HY252" i="1"/>
  <c r="HZ252" i="1"/>
  <c r="IA252" i="1"/>
  <c r="IB252" i="1"/>
  <c r="IC252" i="1"/>
  <c r="ID252" i="1"/>
  <c r="IE252" i="1"/>
  <c r="IF252" i="1"/>
  <c r="IG252" i="1"/>
  <c r="IH252" i="1"/>
  <c r="II252" i="1"/>
  <c r="IJ252" i="1"/>
  <c r="IK252" i="1"/>
  <c r="IL252" i="1"/>
  <c r="IM252" i="1"/>
  <c r="IN252" i="1"/>
  <c r="IO252" i="1"/>
  <c r="IP252" i="1"/>
  <c r="IQ252" i="1"/>
  <c r="IR252" i="1"/>
  <c r="IS252" i="1"/>
  <c r="IT252" i="1"/>
  <c r="IU252" i="1"/>
  <c r="IV252" i="1"/>
  <c r="IW252" i="1"/>
  <c r="IX252" i="1"/>
  <c r="IY252" i="1"/>
  <c r="IZ252" i="1"/>
  <c r="JA252" i="1"/>
  <c r="JB252" i="1"/>
  <c r="JC252" i="1"/>
  <c r="JD252" i="1"/>
  <c r="JE252" i="1"/>
  <c r="JF252" i="1"/>
  <c r="JG252" i="1"/>
  <c r="JH252" i="1"/>
  <c r="JI252" i="1"/>
  <c r="JJ252" i="1"/>
  <c r="JK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CJ253" i="1"/>
  <c r="CK253" i="1"/>
  <c r="CL253" i="1"/>
  <c r="CM253" i="1"/>
  <c r="CN253" i="1"/>
  <c r="CO253" i="1"/>
  <c r="CP253" i="1"/>
  <c r="CQ253" i="1"/>
  <c r="CR253" i="1"/>
  <c r="CS253" i="1"/>
  <c r="CT253" i="1"/>
  <c r="CU253" i="1"/>
  <c r="CV253" i="1"/>
  <c r="CW253" i="1"/>
  <c r="CX253" i="1"/>
  <c r="CY253" i="1"/>
  <c r="CZ253" i="1"/>
  <c r="DA253" i="1"/>
  <c r="DB253" i="1"/>
  <c r="DC253" i="1"/>
  <c r="DD253" i="1"/>
  <c r="DE253" i="1"/>
  <c r="DF253" i="1"/>
  <c r="DG253" i="1"/>
  <c r="DH253" i="1"/>
  <c r="DI253" i="1"/>
  <c r="DJ253" i="1"/>
  <c r="DK253" i="1"/>
  <c r="DL253" i="1"/>
  <c r="DM253" i="1"/>
  <c r="DN253" i="1"/>
  <c r="DO253" i="1"/>
  <c r="DP253" i="1"/>
  <c r="DQ253" i="1"/>
  <c r="DR253" i="1"/>
  <c r="DS253" i="1"/>
  <c r="DT253" i="1"/>
  <c r="DU253" i="1"/>
  <c r="DV253" i="1"/>
  <c r="DW253" i="1"/>
  <c r="DX253" i="1"/>
  <c r="DY253" i="1"/>
  <c r="DZ253" i="1"/>
  <c r="EA253" i="1"/>
  <c r="EB253" i="1"/>
  <c r="EC253" i="1"/>
  <c r="ED253" i="1"/>
  <c r="EE253" i="1"/>
  <c r="EF253" i="1"/>
  <c r="EG253" i="1"/>
  <c r="EH253" i="1"/>
  <c r="EI253" i="1"/>
  <c r="EJ253" i="1"/>
  <c r="EK253" i="1"/>
  <c r="EL253" i="1"/>
  <c r="EM253" i="1"/>
  <c r="EN253" i="1"/>
  <c r="EO253" i="1"/>
  <c r="EP253" i="1"/>
  <c r="EQ253" i="1"/>
  <c r="ER253" i="1"/>
  <c r="ES253" i="1"/>
  <c r="ET253" i="1"/>
  <c r="EU253" i="1"/>
  <c r="EV253" i="1"/>
  <c r="EW253" i="1"/>
  <c r="EX253" i="1"/>
  <c r="EY253" i="1"/>
  <c r="EZ253" i="1"/>
  <c r="FA253" i="1"/>
  <c r="FB253" i="1"/>
  <c r="FC253" i="1"/>
  <c r="FD253" i="1"/>
  <c r="FE253" i="1"/>
  <c r="FF253" i="1"/>
  <c r="FG253" i="1"/>
  <c r="FH253" i="1"/>
  <c r="FI253" i="1"/>
  <c r="FJ253" i="1"/>
  <c r="FK253" i="1"/>
  <c r="FL253" i="1"/>
  <c r="FM253" i="1"/>
  <c r="FN253" i="1"/>
  <c r="FO253" i="1"/>
  <c r="FP253" i="1"/>
  <c r="FQ253" i="1"/>
  <c r="FR253" i="1"/>
  <c r="FS253" i="1"/>
  <c r="FT253" i="1"/>
  <c r="FU253" i="1"/>
  <c r="FV253" i="1"/>
  <c r="FW253" i="1"/>
  <c r="FX253" i="1"/>
  <c r="FY253" i="1"/>
  <c r="FZ253" i="1"/>
  <c r="GA253" i="1"/>
  <c r="GB253" i="1"/>
  <c r="GC253" i="1"/>
  <c r="GD253" i="1"/>
  <c r="GE253" i="1"/>
  <c r="GF253" i="1"/>
  <c r="GG253" i="1"/>
  <c r="GH253" i="1"/>
  <c r="GI253" i="1"/>
  <c r="GJ253" i="1"/>
  <c r="GK253" i="1"/>
  <c r="GL253" i="1"/>
  <c r="GM253" i="1"/>
  <c r="GN253" i="1"/>
  <c r="GO253" i="1"/>
  <c r="GP253" i="1"/>
  <c r="GQ253" i="1"/>
  <c r="GR253" i="1"/>
  <c r="GS253" i="1"/>
  <c r="GT253" i="1"/>
  <c r="GU253" i="1"/>
  <c r="GV253" i="1"/>
  <c r="GW253" i="1"/>
  <c r="GX253" i="1"/>
  <c r="GY253" i="1"/>
  <c r="GZ253" i="1"/>
  <c r="HA253" i="1"/>
  <c r="HB253" i="1"/>
  <c r="HC253" i="1"/>
  <c r="HD253" i="1"/>
  <c r="HE253" i="1"/>
  <c r="HF253" i="1"/>
  <c r="HG253" i="1"/>
  <c r="HH253" i="1"/>
  <c r="HI253" i="1"/>
  <c r="HJ253" i="1"/>
  <c r="HK253" i="1"/>
  <c r="HL253" i="1"/>
  <c r="HM253" i="1"/>
  <c r="HN253" i="1"/>
  <c r="HO253" i="1"/>
  <c r="HP253" i="1"/>
  <c r="HQ253" i="1"/>
  <c r="HR253" i="1"/>
  <c r="HS253" i="1"/>
  <c r="HT253" i="1"/>
  <c r="HU253" i="1"/>
  <c r="HV253" i="1"/>
  <c r="HW253" i="1"/>
  <c r="HX253" i="1"/>
  <c r="HY253" i="1"/>
  <c r="HZ253" i="1"/>
  <c r="IA253" i="1"/>
  <c r="IB253" i="1"/>
  <c r="IC253" i="1"/>
  <c r="ID253" i="1"/>
  <c r="IE253" i="1"/>
  <c r="IF253" i="1"/>
  <c r="IG253" i="1"/>
  <c r="IH253" i="1"/>
  <c r="II253" i="1"/>
  <c r="IJ253" i="1"/>
  <c r="IK253" i="1"/>
  <c r="IL253" i="1"/>
  <c r="IM253" i="1"/>
  <c r="IN253" i="1"/>
  <c r="IO253" i="1"/>
  <c r="IP253" i="1"/>
  <c r="IQ253" i="1"/>
  <c r="IR253" i="1"/>
  <c r="IS253" i="1"/>
  <c r="IT253" i="1"/>
  <c r="IU253" i="1"/>
  <c r="IV253" i="1"/>
  <c r="IW253" i="1"/>
  <c r="IX253" i="1"/>
  <c r="IY253" i="1"/>
  <c r="IZ253" i="1"/>
  <c r="JA253" i="1"/>
  <c r="JB253" i="1"/>
  <c r="JC253" i="1"/>
  <c r="JD253" i="1"/>
  <c r="JE253" i="1"/>
  <c r="JF253" i="1"/>
  <c r="JG253" i="1"/>
  <c r="JH253" i="1"/>
  <c r="JI253" i="1"/>
  <c r="JJ253" i="1"/>
  <c r="JK253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CJ255" i="1"/>
  <c r="CK255" i="1"/>
  <c r="CL255" i="1"/>
  <c r="CM255" i="1"/>
  <c r="CN255" i="1"/>
  <c r="CO255" i="1"/>
  <c r="CP255" i="1"/>
  <c r="CQ255" i="1"/>
  <c r="CR255" i="1"/>
  <c r="CS255" i="1"/>
  <c r="CT255" i="1"/>
  <c r="CU255" i="1"/>
  <c r="CV255" i="1"/>
  <c r="CW255" i="1"/>
  <c r="CX255" i="1"/>
  <c r="CY255" i="1"/>
  <c r="CZ255" i="1"/>
  <c r="DA255" i="1"/>
  <c r="DB255" i="1"/>
  <c r="DC255" i="1"/>
  <c r="DD255" i="1"/>
  <c r="DE255" i="1"/>
  <c r="DF255" i="1"/>
  <c r="DG255" i="1"/>
  <c r="DH255" i="1"/>
  <c r="DI255" i="1"/>
  <c r="DJ255" i="1"/>
  <c r="DK255" i="1"/>
  <c r="DL255" i="1"/>
  <c r="DM255" i="1"/>
  <c r="DN255" i="1"/>
  <c r="DO255" i="1"/>
  <c r="DP255" i="1"/>
  <c r="DQ255" i="1"/>
  <c r="DR255" i="1"/>
  <c r="DS255" i="1"/>
  <c r="DT255" i="1"/>
  <c r="DU255" i="1"/>
  <c r="DV255" i="1"/>
  <c r="DW255" i="1"/>
  <c r="DX255" i="1"/>
  <c r="DY255" i="1"/>
  <c r="DZ255" i="1"/>
  <c r="EA255" i="1"/>
  <c r="EB255" i="1"/>
  <c r="EC255" i="1"/>
  <c r="ED255" i="1"/>
  <c r="EE255" i="1"/>
  <c r="EF255" i="1"/>
  <c r="EG255" i="1"/>
  <c r="EH255" i="1"/>
  <c r="EI255" i="1"/>
  <c r="EJ255" i="1"/>
  <c r="EK255" i="1"/>
  <c r="EL255" i="1"/>
  <c r="EM255" i="1"/>
  <c r="EN255" i="1"/>
  <c r="EO255" i="1"/>
  <c r="EP255" i="1"/>
  <c r="EQ255" i="1"/>
  <c r="ER255" i="1"/>
  <c r="ES255" i="1"/>
  <c r="ET255" i="1"/>
  <c r="EU255" i="1"/>
  <c r="EV255" i="1"/>
  <c r="EW255" i="1"/>
  <c r="EX255" i="1"/>
  <c r="EY255" i="1"/>
  <c r="EZ255" i="1"/>
  <c r="FA255" i="1"/>
  <c r="FB255" i="1"/>
  <c r="FC255" i="1"/>
  <c r="FD255" i="1"/>
  <c r="FE255" i="1"/>
  <c r="FF255" i="1"/>
  <c r="FG255" i="1"/>
  <c r="FH255" i="1"/>
  <c r="FI255" i="1"/>
  <c r="FJ255" i="1"/>
  <c r="FK255" i="1"/>
  <c r="FL255" i="1"/>
  <c r="FM255" i="1"/>
  <c r="FN255" i="1"/>
  <c r="FO255" i="1"/>
  <c r="FP255" i="1"/>
  <c r="FQ255" i="1"/>
  <c r="FR255" i="1"/>
  <c r="FS255" i="1"/>
  <c r="FT255" i="1"/>
  <c r="FU255" i="1"/>
  <c r="FV255" i="1"/>
  <c r="FW255" i="1"/>
  <c r="FX255" i="1"/>
  <c r="FY255" i="1"/>
  <c r="FZ255" i="1"/>
  <c r="GA255" i="1"/>
  <c r="GB255" i="1"/>
  <c r="GC255" i="1"/>
  <c r="GD255" i="1"/>
  <c r="GE255" i="1"/>
  <c r="GF255" i="1"/>
  <c r="GG255" i="1"/>
  <c r="GH255" i="1"/>
  <c r="GI255" i="1"/>
  <c r="GJ255" i="1"/>
  <c r="GK255" i="1"/>
  <c r="GL255" i="1"/>
  <c r="GM255" i="1"/>
  <c r="GN255" i="1"/>
  <c r="GO255" i="1"/>
  <c r="GP255" i="1"/>
  <c r="GQ255" i="1"/>
  <c r="GR255" i="1"/>
  <c r="GS255" i="1"/>
  <c r="GT255" i="1"/>
  <c r="GU255" i="1"/>
  <c r="GV255" i="1"/>
  <c r="GW255" i="1"/>
  <c r="GX255" i="1"/>
  <c r="GY255" i="1"/>
  <c r="GZ255" i="1"/>
  <c r="HA255" i="1"/>
  <c r="HB255" i="1"/>
  <c r="HC255" i="1"/>
  <c r="HD255" i="1"/>
  <c r="HE255" i="1"/>
  <c r="HF255" i="1"/>
  <c r="HG255" i="1"/>
  <c r="HH255" i="1"/>
  <c r="HI255" i="1"/>
  <c r="HJ255" i="1"/>
  <c r="HK255" i="1"/>
  <c r="HL255" i="1"/>
  <c r="HM255" i="1"/>
  <c r="HN255" i="1"/>
  <c r="HO255" i="1"/>
  <c r="HP255" i="1"/>
  <c r="HQ255" i="1"/>
  <c r="HR255" i="1"/>
  <c r="HS255" i="1"/>
  <c r="HT255" i="1"/>
  <c r="HU255" i="1"/>
  <c r="HV255" i="1"/>
  <c r="HW255" i="1"/>
  <c r="HX255" i="1"/>
  <c r="HY255" i="1"/>
  <c r="HZ255" i="1"/>
  <c r="IA255" i="1"/>
  <c r="IB255" i="1"/>
  <c r="IC255" i="1"/>
  <c r="ID255" i="1"/>
  <c r="IE255" i="1"/>
  <c r="IF255" i="1"/>
  <c r="IG255" i="1"/>
  <c r="IH255" i="1"/>
  <c r="II255" i="1"/>
  <c r="IJ255" i="1"/>
  <c r="IK255" i="1"/>
  <c r="IL255" i="1"/>
  <c r="IM255" i="1"/>
  <c r="IN255" i="1"/>
  <c r="IO255" i="1"/>
  <c r="IP255" i="1"/>
  <c r="IQ255" i="1"/>
  <c r="IR255" i="1"/>
  <c r="IS255" i="1"/>
  <c r="IT255" i="1"/>
  <c r="IU255" i="1"/>
  <c r="IV255" i="1"/>
  <c r="IW255" i="1"/>
  <c r="IX255" i="1"/>
  <c r="IY255" i="1"/>
  <c r="IZ255" i="1"/>
  <c r="JA255" i="1"/>
  <c r="JB255" i="1"/>
  <c r="JC255" i="1"/>
  <c r="JD255" i="1"/>
  <c r="JE255" i="1"/>
  <c r="JF255" i="1"/>
  <c r="JG255" i="1"/>
  <c r="JH255" i="1"/>
  <c r="JI255" i="1"/>
  <c r="JJ255" i="1"/>
  <c r="JK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CJ256" i="1"/>
  <c r="CK256" i="1"/>
  <c r="CL256" i="1"/>
  <c r="CM256" i="1"/>
  <c r="CN256" i="1"/>
  <c r="CO256" i="1"/>
  <c r="CP256" i="1"/>
  <c r="CQ256" i="1"/>
  <c r="CR256" i="1"/>
  <c r="CS256" i="1"/>
  <c r="CT256" i="1"/>
  <c r="CU256" i="1"/>
  <c r="CV256" i="1"/>
  <c r="CW256" i="1"/>
  <c r="CX256" i="1"/>
  <c r="CY256" i="1"/>
  <c r="CZ256" i="1"/>
  <c r="DA256" i="1"/>
  <c r="DB256" i="1"/>
  <c r="DC256" i="1"/>
  <c r="DD256" i="1"/>
  <c r="DE256" i="1"/>
  <c r="DF256" i="1"/>
  <c r="DG256" i="1"/>
  <c r="DH256" i="1"/>
  <c r="DI256" i="1"/>
  <c r="DJ256" i="1"/>
  <c r="DK256" i="1"/>
  <c r="DL256" i="1"/>
  <c r="DM256" i="1"/>
  <c r="DN256" i="1"/>
  <c r="DO256" i="1"/>
  <c r="DP256" i="1"/>
  <c r="DQ256" i="1"/>
  <c r="DR256" i="1"/>
  <c r="DS256" i="1"/>
  <c r="DT256" i="1"/>
  <c r="DU256" i="1"/>
  <c r="DV256" i="1"/>
  <c r="DW256" i="1"/>
  <c r="DX256" i="1"/>
  <c r="DY256" i="1"/>
  <c r="DZ256" i="1"/>
  <c r="EA256" i="1"/>
  <c r="EB256" i="1"/>
  <c r="EC256" i="1"/>
  <c r="ED256" i="1"/>
  <c r="EE256" i="1"/>
  <c r="EF256" i="1"/>
  <c r="EG256" i="1"/>
  <c r="EH256" i="1"/>
  <c r="EI256" i="1"/>
  <c r="EJ256" i="1"/>
  <c r="EK256" i="1"/>
  <c r="EL256" i="1"/>
  <c r="EM256" i="1"/>
  <c r="EN256" i="1"/>
  <c r="EO256" i="1"/>
  <c r="EP256" i="1"/>
  <c r="EQ256" i="1"/>
  <c r="ER256" i="1"/>
  <c r="ES256" i="1"/>
  <c r="ET256" i="1"/>
  <c r="EU256" i="1"/>
  <c r="EV256" i="1"/>
  <c r="EW256" i="1"/>
  <c r="EX256" i="1"/>
  <c r="EY256" i="1"/>
  <c r="EZ256" i="1"/>
  <c r="FA256" i="1"/>
  <c r="FB256" i="1"/>
  <c r="FC256" i="1"/>
  <c r="FD256" i="1"/>
  <c r="FE256" i="1"/>
  <c r="FF256" i="1"/>
  <c r="FG256" i="1"/>
  <c r="FH256" i="1"/>
  <c r="FI256" i="1"/>
  <c r="FJ256" i="1"/>
  <c r="FK256" i="1"/>
  <c r="FL256" i="1"/>
  <c r="FM256" i="1"/>
  <c r="FN256" i="1"/>
  <c r="FO256" i="1"/>
  <c r="FP256" i="1"/>
  <c r="FQ256" i="1"/>
  <c r="FR256" i="1"/>
  <c r="FS256" i="1"/>
  <c r="FT256" i="1"/>
  <c r="FU256" i="1"/>
  <c r="FV256" i="1"/>
  <c r="FW256" i="1"/>
  <c r="FX256" i="1"/>
  <c r="FY256" i="1"/>
  <c r="FZ256" i="1"/>
  <c r="GA256" i="1"/>
  <c r="GB256" i="1"/>
  <c r="GC256" i="1"/>
  <c r="GD256" i="1"/>
  <c r="GE256" i="1"/>
  <c r="GF256" i="1"/>
  <c r="GG256" i="1"/>
  <c r="GH256" i="1"/>
  <c r="GI256" i="1"/>
  <c r="GJ256" i="1"/>
  <c r="GK256" i="1"/>
  <c r="GL256" i="1"/>
  <c r="GM256" i="1"/>
  <c r="GN256" i="1"/>
  <c r="GO256" i="1"/>
  <c r="GP256" i="1"/>
  <c r="GQ256" i="1"/>
  <c r="GR256" i="1"/>
  <c r="GS256" i="1"/>
  <c r="GT256" i="1"/>
  <c r="GU256" i="1"/>
  <c r="GV256" i="1"/>
  <c r="GW256" i="1"/>
  <c r="GX256" i="1"/>
  <c r="GY256" i="1"/>
  <c r="GZ256" i="1"/>
  <c r="HA256" i="1"/>
  <c r="HB256" i="1"/>
  <c r="HC256" i="1"/>
  <c r="HD256" i="1"/>
  <c r="HE256" i="1"/>
  <c r="HF256" i="1"/>
  <c r="HG256" i="1"/>
  <c r="HH256" i="1"/>
  <c r="HI256" i="1"/>
  <c r="HJ256" i="1"/>
  <c r="HK256" i="1"/>
  <c r="HL256" i="1"/>
  <c r="HM256" i="1"/>
  <c r="HN256" i="1"/>
  <c r="HO256" i="1"/>
  <c r="HP256" i="1"/>
  <c r="HQ256" i="1"/>
  <c r="HR256" i="1"/>
  <c r="HS256" i="1"/>
  <c r="HT256" i="1"/>
  <c r="HU256" i="1"/>
  <c r="HV256" i="1"/>
  <c r="HW256" i="1"/>
  <c r="HX256" i="1"/>
  <c r="HY256" i="1"/>
  <c r="HZ256" i="1"/>
  <c r="IA256" i="1"/>
  <c r="IB256" i="1"/>
  <c r="IC256" i="1"/>
  <c r="ID256" i="1"/>
  <c r="IE256" i="1"/>
  <c r="IF256" i="1"/>
  <c r="IG256" i="1"/>
  <c r="IH256" i="1"/>
  <c r="II256" i="1"/>
  <c r="IJ256" i="1"/>
  <c r="IK256" i="1"/>
  <c r="IL256" i="1"/>
  <c r="IM256" i="1"/>
  <c r="IN256" i="1"/>
  <c r="IO256" i="1"/>
  <c r="IP256" i="1"/>
  <c r="IQ256" i="1"/>
  <c r="IR256" i="1"/>
  <c r="IS256" i="1"/>
  <c r="IT256" i="1"/>
  <c r="IU256" i="1"/>
  <c r="IV256" i="1"/>
  <c r="IW256" i="1"/>
  <c r="IX256" i="1"/>
  <c r="IY256" i="1"/>
  <c r="IZ256" i="1"/>
  <c r="JA256" i="1"/>
  <c r="JB256" i="1"/>
  <c r="JC256" i="1"/>
  <c r="JD256" i="1"/>
  <c r="JE256" i="1"/>
  <c r="JF256" i="1"/>
  <c r="JG256" i="1"/>
  <c r="JH256" i="1"/>
  <c r="JI256" i="1"/>
  <c r="JJ256" i="1"/>
  <c r="JK256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CJ258" i="1"/>
  <c r="CK258" i="1"/>
  <c r="CL258" i="1"/>
  <c r="CM258" i="1"/>
  <c r="CN258" i="1"/>
  <c r="CO258" i="1"/>
  <c r="CP258" i="1"/>
  <c r="CQ258" i="1"/>
  <c r="CR258" i="1"/>
  <c r="CS258" i="1"/>
  <c r="CT258" i="1"/>
  <c r="CU258" i="1"/>
  <c r="CV258" i="1"/>
  <c r="CW258" i="1"/>
  <c r="CX258" i="1"/>
  <c r="CY258" i="1"/>
  <c r="CZ258" i="1"/>
  <c r="DA258" i="1"/>
  <c r="DB258" i="1"/>
  <c r="DC258" i="1"/>
  <c r="DD258" i="1"/>
  <c r="DE258" i="1"/>
  <c r="DF258" i="1"/>
  <c r="DG258" i="1"/>
  <c r="DH258" i="1"/>
  <c r="DI258" i="1"/>
  <c r="DJ258" i="1"/>
  <c r="DK258" i="1"/>
  <c r="DL258" i="1"/>
  <c r="DM258" i="1"/>
  <c r="DN258" i="1"/>
  <c r="DO258" i="1"/>
  <c r="DP258" i="1"/>
  <c r="DQ258" i="1"/>
  <c r="DR258" i="1"/>
  <c r="DS258" i="1"/>
  <c r="DT258" i="1"/>
  <c r="DU258" i="1"/>
  <c r="DV258" i="1"/>
  <c r="DW258" i="1"/>
  <c r="DX258" i="1"/>
  <c r="DY258" i="1"/>
  <c r="DZ258" i="1"/>
  <c r="EA258" i="1"/>
  <c r="EB258" i="1"/>
  <c r="EC258" i="1"/>
  <c r="ED258" i="1"/>
  <c r="EE258" i="1"/>
  <c r="EF258" i="1"/>
  <c r="EG258" i="1"/>
  <c r="EH258" i="1"/>
  <c r="EI258" i="1"/>
  <c r="EJ258" i="1"/>
  <c r="EK258" i="1"/>
  <c r="EL258" i="1"/>
  <c r="EM258" i="1"/>
  <c r="EN258" i="1"/>
  <c r="EO258" i="1"/>
  <c r="EP258" i="1"/>
  <c r="EQ258" i="1"/>
  <c r="ER258" i="1"/>
  <c r="ES258" i="1"/>
  <c r="ET258" i="1"/>
  <c r="EU258" i="1"/>
  <c r="EV258" i="1"/>
  <c r="EW258" i="1"/>
  <c r="EX258" i="1"/>
  <c r="EY258" i="1"/>
  <c r="EZ258" i="1"/>
  <c r="FA258" i="1"/>
  <c r="FB258" i="1"/>
  <c r="FC258" i="1"/>
  <c r="FD258" i="1"/>
  <c r="FE258" i="1"/>
  <c r="FF258" i="1"/>
  <c r="FG258" i="1"/>
  <c r="FH258" i="1"/>
  <c r="FI258" i="1"/>
  <c r="FJ258" i="1"/>
  <c r="FK258" i="1"/>
  <c r="FL258" i="1"/>
  <c r="FM258" i="1"/>
  <c r="FN258" i="1"/>
  <c r="FO258" i="1"/>
  <c r="FP258" i="1"/>
  <c r="FQ258" i="1"/>
  <c r="FR258" i="1"/>
  <c r="FS258" i="1"/>
  <c r="FT258" i="1"/>
  <c r="FU258" i="1"/>
  <c r="FV258" i="1"/>
  <c r="FW258" i="1"/>
  <c r="FX258" i="1"/>
  <c r="FY258" i="1"/>
  <c r="FZ258" i="1"/>
  <c r="GA258" i="1"/>
  <c r="GB258" i="1"/>
  <c r="GC258" i="1"/>
  <c r="GD258" i="1"/>
  <c r="GE258" i="1"/>
  <c r="GF258" i="1"/>
  <c r="GG258" i="1"/>
  <c r="GH258" i="1"/>
  <c r="GI258" i="1"/>
  <c r="GJ258" i="1"/>
  <c r="GK258" i="1"/>
  <c r="GL258" i="1"/>
  <c r="GM258" i="1"/>
  <c r="GN258" i="1"/>
  <c r="GO258" i="1"/>
  <c r="GP258" i="1"/>
  <c r="GQ258" i="1"/>
  <c r="GR258" i="1"/>
  <c r="GS258" i="1"/>
  <c r="GT258" i="1"/>
  <c r="GU258" i="1"/>
  <c r="GV258" i="1"/>
  <c r="GW258" i="1"/>
  <c r="GX258" i="1"/>
  <c r="GY258" i="1"/>
  <c r="GZ258" i="1"/>
  <c r="HA258" i="1"/>
  <c r="HB258" i="1"/>
  <c r="HC258" i="1"/>
  <c r="HD258" i="1"/>
  <c r="HE258" i="1"/>
  <c r="HF258" i="1"/>
  <c r="HG258" i="1"/>
  <c r="HH258" i="1"/>
  <c r="HI258" i="1"/>
  <c r="HJ258" i="1"/>
  <c r="HK258" i="1"/>
  <c r="HL258" i="1"/>
  <c r="HM258" i="1"/>
  <c r="HN258" i="1"/>
  <c r="HO258" i="1"/>
  <c r="HP258" i="1"/>
  <c r="HQ258" i="1"/>
  <c r="HR258" i="1"/>
  <c r="HS258" i="1"/>
  <c r="HT258" i="1"/>
  <c r="HU258" i="1"/>
  <c r="HV258" i="1"/>
  <c r="HW258" i="1"/>
  <c r="HX258" i="1"/>
  <c r="HY258" i="1"/>
  <c r="HZ258" i="1"/>
  <c r="IA258" i="1"/>
  <c r="IB258" i="1"/>
  <c r="IC258" i="1"/>
  <c r="ID258" i="1"/>
  <c r="IE258" i="1"/>
  <c r="IF258" i="1"/>
  <c r="IG258" i="1"/>
  <c r="IH258" i="1"/>
  <c r="II258" i="1"/>
  <c r="IJ258" i="1"/>
  <c r="IK258" i="1"/>
  <c r="IL258" i="1"/>
  <c r="IM258" i="1"/>
  <c r="IN258" i="1"/>
  <c r="IO258" i="1"/>
  <c r="IP258" i="1"/>
  <c r="IQ258" i="1"/>
  <c r="IR258" i="1"/>
  <c r="IS258" i="1"/>
  <c r="IT258" i="1"/>
  <c r="IU258" i="1"/>
  <c r="IV258" i="1"/>
  <c r="IW258" i="1"/>
  <c r="IX258" i="1"/>
  <c r="IY258" i="1"/>
  <c r="IZ258" i="1"/>
  <c r="JA258" i="1"/>
  <c r="JB258" i="1"/>
  <c r="JC258" i="1"/>
  <c r="JD258" i="1"/>
  <c r="JE258" i="1"/>
  <c r="JF258" i="1"/>
  <c r="JG258" i="1"/>
  <c r="JH258" i="1"/>
  <c r="JI258" i="1"/>
  <c r="JJ258" i="1"/>
  <c r="JK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CJ259" i="1"/>
  <c r="CK259" i="1"/>
  <c r="CL259" i="1"/>
  <c r="CM259" i="1"/>
  <c r="CN259" i="1"/>
  <c r="CO259" i="1"/>
  <c r="CP259" i="1"/>
  <c r="CQ259" i="1"/>
  <c r="CR259" i="1"/>
  <c r="CS259" i="1"/>
  <c r="CT259" i="1"/>
  <c r="CU259" i="1"/>
  <c r="CV259" i="1"/>
  <c r="CW259" i="1"/>
  <c r="CX259" i="1"/>
  <c r="CY259" i="1"/>
  <c r="CZ259" i="1"/>
  <c r="DA259" i="1"/>
  <c r="DB259" i="1"/>
  <c r="DC259" i="1"/>
  <c r="DD259" i="1"/>
  <c r="DE259" i="1"/>
  <c r="DF259" i="1"/>
  <c r="DG259" i="1"/>
  <c r="DH259" i="1"/>
  <c r="DI259" i="1"/>
  <c r="DJ259" i="1"/>
  <c r="DK259" i="1"/>
  <c r="DL259" i="1"/>
  <c r="DM259" i="1"/>
  <c r="DN259" i="1"/>
  <c r="DO259" i="1"/>
  <c r="DP259" i="1"/>
  <c r="DQ259" i="1"/>
  <c r="DR259" i="1"/>
  <c r="DS259" i="1"/>
  <c r="DT259" i="1"/>
  <c r="DU259" i="1"/>
  <c r="DV259" i="1"/>
  <c r="DW259" i="1"/>
  <c r="DX259" i="1"/>
  <c r="DY259" i="1"/>
  <c r="DZ259" i="1"/>
  <c r="EA259" i="1"/>
  <c r="EB259" i="1"/>
  <c r="EC259" i="1"/>
  <c r="ED259" i="1"/>
  <c r="EE259" i="1"/>
  <c r="EF259" i="1"/>
  <c r="EG259" i="1"/>
  <c r="EH259" i="1"/>
  <c r="EI259" i="1"/>
  <c r="EJ259" i="1"/>
  <c r="EK259" i="1"/>
  <c r="EL259" i="1"/>
  <c r="EM259" i="1"/>
  <c r="EN259" i="1"/>
  <c r="EO259" i="1"/>
  <c r="EP259" i="1"/>
  <c r="EQ259" i="1"/>
  <c r="ER259" i="1"/>
  <c r="ES259" i="1"/>
  <c r="ET259" i="1"/>
  <c r="EU259" i="1"/>
  <c r="EV259" i="1"/>
  <c r="EW259" i="1"/>
  <c r="EX259" i="1"/>
  <c r="EY259" i="1"/>
  <c r="EZ259" i="1"/>
  <c r="FA259" i="1"/>
  <c r="FB259" i="1"/>
  <c r="FC259" i="1"/>
  <c r="FD259" i="1"/>
  <c r="FE259" i="1"/>
  <c r="FF259" i="1"/>
  <c r="FG259" i="1"/>
  <c r="FH259" i="1"/>
  <c r="FI259" i="1"/>
  <c r="FJ259" i="1"/>
  <c r="FK259" i="1"/>
  <c r="FL259" i="1"/>
  <c r="FM259" i="1"/>
  <c r="FN259" i="1"/>
  <c r="FO259" i="1"/>
  <c r="FP259" i="1"/>
  <c r="FQ259" i="1"/>
  <c r="FR259" i="1"/>
  <c r="FS259" i="1"/>
  <c r="FT259" i="1"/>
  <c r="FU259" i="1"/>
  <c r="FV259" i="1"/>
  <c r="FW259" i="1"/>
  <c r="FX259" i="1"/>
  <c r="FY259" i="1"/>
  <c r="FZ259" i="1"/>
  <c r="GA259" i="1"/>
  <c r="GB259" i="1"/>
  <c r="GC259" i="1"/>
  <c r="GD259" i="1"/>
  <c r="GE259" i="1"/>
  <c r="GF259" i="1"/>
  <c r="GG259" i="1"/>
  <c r="GH259" i="1"/>
  <c r="GI259" i="1"/>
  <c r="GJ259" i="1"/>
  <c r="GK259" i="1"/>
  <c r="GL259" i="1"/>
  <c r="GM259" i="1"/>
  <c r="GN259" i="1"/>
  <c r="GO259" i="1"/>
  <c r="GP259" i="1"/>
  <c r="GQ259" i="1"/>
  <c r="GR259" i="1"/>
  <c r="GS259" i="1"/>
  <c r="GT259" i="1"/>
  <c r="GU259" i="1"/>
  <c r="GV259" i="1"/>
  <c r="GW259" i="1"/>
  <c r="GX259" i="1"/>
  <c r="GY259" i="1"/>
  <c r="GZ259" i="1"/>
  <c r="HA259" i="1"/>
  <c r="HB259" i="1"/>
  <c r="HC259" i="1"/>
  <c r="HD259" i="1"/>
  <c r="HE259" i="1"/>
  <c r="HF259" i="1"/>
  <c r="HG259" i="1"/>
  <c r="HH259" i="1"/>
  <c r="HI259" i="1"/>
  <c r="HJ259" i="1"/>
  <c r="HK259" i="1"/>
  <c r="HL259" i="1"/>
  <c r="HM259" i="1"/>
  <c r="HN259" i="1"/>
  <c r="HO259" i="1"/>
  <c r="HP259" i="1"/>
  <c r="HQ259" i="1"/>
  <c r="HR259" i="1"/>
  <c r="HS259" i="1"/>
  <c r="HT259" i="1"/>
  <c r="HU259" i="1"/>
  <c r="HV259" i="1"/>
  <c r="HW259" i="1"/>
  <c r="HX259" i="1"/>
  <c r="HY259" i="1"/>
  <c r="HZ259" i="1"/>
  <c r="IA259" i="1"/>
  <c r="IB259" i="1"/>
  <c r="IC259" i="1"/>
  <c r="ID259" i="1"/>
  <c r="IE259" i="1"/>
  <c r="IF259" i="1"/>
  <c r="IG259" i="1"/>
  <c r="IH259" i="1"/>
  <c r="II259" i="1"/>
  <c r="IJ259" i="1"/>
  <c r="IK259" i="1"/>
  <c r="IL259" i="1"/>
  <c r="IM259" i="1"/>
  <c r="IN259" i="1"/>
  <c r="IO259" i="1"/>
  <c r="IP259" i="1"/>
  <c r="IQ259" i="1"/>
  <c r="IR259" i="1"/>
  <c r="IS259" i="1"/>
  <c r="IT259" i="1"/>
  <c r="IU259" i="1"/>
  <c r="IV259" i="1"/>
  <c r="IW259" i="1"/>
  <c r="IX259" i="1"/>
  <c r="IY259" i="1"/>
  <c r="IZ259" i="1"/>
  <c r="JA259" i="1"/>
  <c r="JB259" i="1"/>
  <c r="JC259" i="1"/>
  <c r="JD259" i="1"/>
  <c r="JE259" i="1"/>
  <c r="JF259" i="1"/>
  <c r="JG259" i="1"/>
  <c r="JH259" i="1"/>
  <c r="JI259" i="1"/>
  <c r="JJ259" i="1"/>
  <c r="JK259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CQ261" i="1"/>
  <c r="CR261" i="1"/>
  <c r="CS261" i="1"/>
  <c r="CT261" i="1"/>
  <c r="CU261" i="1"/>
  <c r="CV261" i="1"/>
  <c r="CW261" i="1"/>
  <c r="CX261" i="1"/>
  <c r="CY261" i="1"/>
  <c r="CZ261" i="1"/>
  <c r="DA261" i="1"/>
  <c r="DB261" i="1"/>
  <c r="DC261" i="1"/>
  <c r="DD261" i="1"/>
  <c r="DE261" i="1"/>
  <c r="DF261" i="1"/>
  <c r="DG261" i="1"/>
  <c r="DH261" i="1"/>
  <c r="DI261" i="1"/>
  <c r="DJ261" i="1"/>
  <c r="DK261" i="1"/>
  <c r="DL261" i="1"/>
  <c r="DM261" i="1"/>
  <c r="DN261" i="1"/>
  <c r="DO261" i="1"/>
  <c r="DP261" i="1"/>
  <c r="DQ261" i="1"/>
  <c r="DR261" i="1"/>
  <c r="DS261" i="1"/>
  <c r="DT261" i="1"/>
  <c r="DU261" i="1"/>
  <c r="DV261" i="1"/>
  <c r="DW261" i="1"/>
  <c r="DX261" i="1"/>
  <c r="DY261" i="1"/>
  <c r="DZ261" i="1"/>
  <c r="EA261" i="1"/>
  <c r="EB261" i="1"/>
  <c r="EC261" i="1"/>
  <c r="ED261" i="1"/>
  <c r="EE261" i="1"/>
  <c r="EF261" i="1"/>
  <c r="EG261" i="1"/>
  <c r="EH261" i="1"/>
  <c r="EI261" i="1"/>
  <c r="EJ261" i="1"/>
  <c r="EK261" i="1"/>
  <c r="EL261" i="1"/>
  <c r="EM261" i="1"/>
  <c r="EN261" i="1"/>
  <c r="EO261" i="1"/>
  <c r="EP261" i="1"/>
  <c r="EQ261" i="1"/>
  <c r="ER261" i="1"/>
  <c r="ES261" i="1"/>
  <c r="ET261" i="1"/>
  <c r="EU261" i="1"/>
  <c r="EV261" i="1"/>
  <c r="EW261" i="1"/>
  <c r="EX261" i="1"/>
  <c r="EY261" i="1"/>
  <c r="EZ261" i="1"/>
  <c r="FA261" i="1"/>
  <c r="FB261" i="1"/>
  <c r="FC261" i="1"/>
  <c r="FD261" i="1"/>
  <c r="FE261" i="1"/>
  <c r="FF261" i="1"/>
  <c r="FG261" i="1"/>
  <c r="FH261" i="1"/>
  <c r="FI261" i="1"/>
  <c r="FJ261" i="1"/>
  <c r="FK261" i="1"/>
  <c r="FL261" i="1"/>
  <c r="FM261" i="1"/>
  <c r="FN261" i="1"/>
  <c r="FO261" i="1"/>
  <c r="FP261" i="1"/>
  <c r="FQ261" i="1"/>
  <c r="FR261" i="1"/>
  <c r="FS261" i="1"/>
  <c r="FT261" i="1"/>
  <c r="FU261" i="1"/>
  <c r="FV261" i="1"/>
  <c r="FW261" i="1"/>
  <c r="FX261" i="1"/>
  <c r="FY261" i="1"/>
  <c r="FZ261" i="1"/>
  <c r="GA261" i="1"/>
  <c r="GB261" i="1"/>
  <c r="GC261" i="1"/>
  <c r="GD261" i="1"/>
  <c r="GE261" i="1"/>
  <c r="GF261" i="1"/>
  <c r="GG261" i="1"/>
  <c r="GH261" i="1"/>
  <c r="GI261" i="1"/>
  <c r="GJ261" i="1"/>
  <c r="GK261" i="1"/>
  <c r="GL261" i="1"/>
  <c r="GM261" i="1"/>
  <c r="GN261" i="1"/>
  <c r="GO261" i="1"/>
  <c r="GP261" i="1"/>
  <c r="GQ261" i="1"/>
  <c r="GR261" i="1"/>
  <c r="GS261" i="1"/>
  <c r="GT261" i="1"/>
  <c r="GU261" i="1"/>
  <c r="GV261" i="1"/>
  <c r="GW261" i="1"/>
  <c r="GX261" i="1"/>
  <c r="GY261" i="1"/>
  <c r="GZ261" i="1"/>
  <c r="HA261" i="1"/>
  <c r="HB261" i="1"/>
  <c r="HC261" i="1"/>
  <c r="HD261" i="1"/>
  <c r="HE261" i="1"/>
  <c r="HF261" i="1"/>
  <c r="HG261" i="1"/>
  <c r="HH261" i="1"/>
  <c r="HI261" i="1"/>
  <c r="HJ261" i="1"/>
  <c r="HK261" i="1"/>
  <c r="HL261" i="1"/>
  <c r="HM261" i="1"/>
  <c r="HN261" i="1"/>
  <c r="HO261" i="1"/>
  <c r="HP261" i="1"/>
  <c r="HQ261" i="1"/>
  <c r="HR261" i="1"/>
  <c r="HS261" i="1"/>
  <c r="HT261" i="1"/>
  <c r="HU261" i="1"/>
  <c r="HV261" i="1"/>
  <c r="HW261" i="1"/>
  <c r="HX261" i="1"/>
  <c r="HY261" i="1"/>
  <c r="HZ261" i="1"/>
  <c r="IA261" i="1"/>
  <c r="IB261" i="1"/>
  <c r="IC261" i="1"/>
  <c r="ID261" i="1"/>
  <c r="IE261" i="1"/>
  <c r="IF261" i="1"/>
  <c r="IG261" i="1"/>
  <c r="IH261" i="1"/>
  <c r="II261" i="1"/>
  <c r="IJ261" i="1"/>
  <c r="IK261" i="1"/>
  <c r="IL261" i="1"/>
  <c r="IM261" i="1"/>
  <c r="IN261" i="1"/>
  <c r="IO261" i="1"/>
  <c r="IP261" i="1"/>
  <c r="IQ261" i="1"/>
  <c r="IR261" i="1"/>
  <c r="IS261" i="1"/>
  <c r="IT261" i="1"/>
  <c r="IU261" i="1"/>
  <c r="IV261" i="1"/>
  <c r="IW261" i="1"/>
  <c r="IX261" i="1"/>
  <c r="IY261" i="1"/>
  <c r="IZ261" i="1"/>
  <c r="JA261" i="1"/>
  <c r="JB261" i="1"/>
  <c r="JC261" i="1"/>
  <c r="JD261" i="1"/>
  <c r="JE261" i="1"/>
  <c r="JF261" i="1"/>
  <c r="JG261" i="1"/>
  <c r="JH261" i="1"/>
  <c r="JI261" i="1"/>
  <c r="JJ261" i="1"/>
  <c r="JK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CJ262" i="1"/>
  <c r="CK262" i="1"/>
  <c r="CL262" i="1"/>
  <c r="CM262" i="1"/>
  <c r="CN262" i="1"/>
  <c r="CO262" i="1"/>
  <c r="CP262" i="1"/>
  <c r="CQ262" i="1"/>
  <c r="CR262" i="1"/>
  <c r="CS262" i="1"/>
  <c r="CT262" i="1"/>
  <c r="CU262" i="1"/>
  <c r="CV262" i="1"/>
  <c r="CW262" i="1"/>
  <c r="CX262" i="1"/>
  <c r="CY262" i="1"/>
  <c r="CZ262" i="1"/>
  <c r="DA262" i="1"/>
  <c r="DB262" i="1"/>
  <c r="DC262" i="1"/>
  <c r="DD262" i="1"/>
  <c r="DE262" i="1"/>
  <c r="DF262" i="1"/>
  <c r="DG262" i="1"/>
  <c r="DH262" i="1"/>
  <c r="DI262" i="1"/>
  <c r="DJ262" i="1"/>
  <c r="DK262" i="1"/>
  <c r="DL262" i="1"/>
  <c r="DM262" i="1"/>
  <c r="DN262" i="1"/>
  <c r="DO262" i="1"/>
  <c r="DP262" i="1"/>
  <c r="DQ262" i="1"/>
  <c r="DR262" i="1"/>
  <c r="DS262" i="1"/>
  <c r="DT262" i="1"/>
  <c r="DU262" i="1"/>
  <c r="DV262" i="1"/>
  <c r="DW262" i="1"/>
  <c r="DX262" i="1"/>
  <c r="DY262" i="1"/>
  <c r="DZ262" i="1"/>
  <c r="EA262" i="1"/>
  <c r="EB262" i="1"/>
  <c r="EC262" i="1"/>
  <c r="ED262" i="1"/>
  <c r="EE262" i="1"/>
  <c r="EF262" i="1"/>
  <c r="EG262" i="1"/>
  <c r="EH262" i="1"/>
  <c r="EI262" i="1"/>
  <c r="EJ262" i="1"/>
  <c r="EK262" i="1"/>
  <c r="EL262" i="1"/>
  <c r="EM262" i="1"/>
  <c r="EN262" i="1"/>
  <c r="EO262" i="1"/>
  <c r="EP262" i="1"/>
  <c r="EQ262" i="1"/>
  <c r="ER262" i="1"/>
  <c r="ES262" i="1"/>
  <c r="ET262" i="1"/>
  <c r="EU262" i="1"/>
  <c r="EV262" i="1"/>
  <c r="EW262" i="1"/>
  <c r="EX262" i="1"/>
  <c r="EY262" i="1"/>
  <c r="EZ262" i="1"/>
  <c r="FA262" i="1"/>
  <c r="FB262" i="1"/>
  <c r="FC262" i="1"/>
  <c r="FD262" i="1"/>
  <c r="FE262" i="1"/>
  <c r="FF262" i="1"/>
  <c r="FG262" i="1"/>
  <c r="FH262" i="1"/>
  <c r="FI262" i="1"/>
  <c r="FJ262" i="1"/>
  <c r="FK262" i="1"/>
  <c r="FL262" i="1"/>
  <c r="FM262" i="1"/>
  <c r="FN262" i="1"/>
  <c r="FO262" i="1"/>
  <c r="FP262" i="1"/>
  <c r="FQ262" i="1"/>
  <c r="FR262" i="1"/>
  <c r="FS262" i="1"/>
  <c r="FT262" i="1"/>
  <c r="FU262" i="1"/>
  <c r="FV262" i="1"/>
  <c r="FW262" i="1"/>
  <c r="FX262" i="1"/>
  <c r="FY262" i="1"/>
  <c r="FZ262" i="1"/>
  <c r="GA262" i="1"/>
  <c r="GB262" i="1"/>
  <c r="GC262" i="1"/>
  <c r="GD262" i="1"/>
  <c r="GE262" i="1"/>
  <c r="GF262" i="1"/>
  <c r="GG262" i="1"/>
  <c r="GH262" i="1"/>
  <c r="GI262" i="1"/>
  <c r="GJ262" i="1"/>
  <c r="GK262" i="1"/>
  <c r="GL262" i="1"/>
  <c r="GM262" i="1"/>
  <c r="GN262" i="1"/>
  <c r="GO262" i="1"/>
  <c r="GP262" i="1"/>
  <c r="GQ262" i="1"/>
  <c r="GR262" i="1"/>
  <c r="GS262" i="1"/>
  <c r="GT262" i="1"/>
  <c r="GU262" i="1"/>
  <c r="GV262" i="1"/>
  <c r="GW262" i="1"/>
  <c r="GX262" i="1"/>
  <c r="GY262" i="1"/>
  <c r="GZ262" i="1"/>
  <c r="HA262" i="1"/>
  <c r="HB262" i="1"/>
  <c r="HC262" i="1"/>
  <c r="HD262" i="1"/>
  <c r="HE262" i="1"/>
  <c r="HF262" i="1"/>
  <c r="HG262" i="1"/>
  <c r="HH262" i="1"/>
  <c r="HI262" i="1"/>
  <c r="HJ262" i="1"/>
  <c r="HK262" i="1"/>
  <c r="HL262" i="1"/>
  <c r="HM262" i="1"/>
  <c r="HN262" i="1"/>
  <c r="HO262" i="1"/>
  <c r="HP262" i="1"/>
  <c r="HQ262" i="1"/>
  <c r="HR262" i="1"/>
  <c r="HS262" i="1"/>
  <c r="HT262" i="1"/>
  <c r="HU262" i="1"/>
  <c r="HV262" i="1"/>
  <c r="HW262" i="1"/>
  <c r="HX262" i="1"/>
  <c r="HY262" i="1"/>
  <c r="HZ262" i="1"/>
  <c r="IA262" i="1"/>
  <c r="IB262" i="1"/>
  <c r="IC262" i="1"/>
  <c r="ID262" i="1"/>
  <c r="IE262" i="1"/>
  <c r="IF262" i="1"/>
  <c r="IG262" i="1"/>
  <c r="IH262" i="1"/>
  <c r="II262" i="1"/>
  <c r="IJ262" i="1"/>
  <c r="IK262" i="1"/>
  <c r="IL262" i="1"/>
  <c r="IM262" i="1"/>
  <c r="IN262" i="1"/>
  <c r="IO262" i="1"/>
  <c r="IP262" i="1"/>
  <c r="IQ262" i="1"/>
  <c r="IR262" i="1"/>
  <c r="IS262" i="1"/>
  <c r="IT262" i="1"/>
  <c r="IU262" i="1"/>
  <c r="IV262" i="1"/>
  <c r="IW262" i="1"/>
  <c r="IX262" i="1"/>
  <c r="IY262" i="1"/>
  <c r="IZ262" i="1"/>
  <c r="JA262" i="1"/>
  <c r="JB262" i="1"/>
  <c r="JC262" i="1"/>
  <c r="JD262" i="1"/>
  <c r="JE262" i="1"/>
  <c r="JF262" i="1"/>
  <c r="JG262" i="1"/>
  <c r="JH262" i="1"/>
  <c r="JI262" i="1"/>
  <c r="JJ262" i="1"/>
  <c r="JK262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CJ264" i="1"/>
  <c r="CK264" i="1"/>
  <c r="CL264" i="1"/>
  <c r="CM264" i="1"/>
  <c r="CN264" i="1"/>
  <c r="CO264" i="1"/>
  <c r="CP264" i="1"/>
  <c r="CQ264" i="1"/>
  <c r="CR264" i="1"/>
  <c r="CS264" i="1"/>
  <c r="CT264" i="1"/>
  <c r="CU264" i="1"/>
  <c r="CV264" i="1"/>
  <c r="CW264" i="1"/>
  <c r="CX264" i="1"/>
  <c r="CY264" i="1"/>
  <c r="CZ264" i="1"/>
  <c r="DA264" i="1"/>
  <c r="DB264" i="1"/>
  <c r="DC264" i="1"/>
  <c r="DD264" i="1"/>
  <c r="DE264" i="1"/>
  <c r="DF264" i="1"/>
  <c r="DG264" i="1"/>
  <c r="DH264" i="1"/>
  <c r="DI264" i="1"/>
  <c r="DJ264" i="1"/>
  <c r="DK264" i="1"/>
  <c r="DL264" i="1"/>
  <c r="DM264" i="1"/>
  <c r="DN264" i="1"/>
  <c r="DO264" i="1"/>
  <c r="DP264" i="1"/>
  <c r="DQ264" i="1"/>
  <c r="DR264" i="1"/>
  <c r="DS264" i="1"/>
  <c r="DT264" i="1"/>
  <c r="DU264" i="1"/>
  <c r="DV264" i="1"/>
  <c r="DW264" i="1"/>
  <c r="DX264" i="1"/>
  <c r="DY264" i="1"/>
  <c r="DZ264" i="1"/>
  <c r="EA264" i="1"/>
  <c r="EB264" i="1"/>
  <c r="EC264" i="1"/>
  <c r="ED264" i="1"/>
  <c r="EE264" i="1"/>
  <c r="EF264" i="1"/>
  <c r="EG264" i="1"/>
  <c r="EH264" i="1"/>
  <c r="EI264" i="1"/>
  <c r="EJ264" i="1"/>
  <c r="EK264" i="1"/>
  <c r="EL264" i="1"/>
  <c r="EM264" i="1"/>
  <c r="EN264" i="1"/>
  <c r="EO264" i="1"/>
  <c r="EP264" i="1"/>
  <c r="EQ264" i="1"/>
  <c r="ER264" i="1"/>
  <c r="ES264" i="1"/>
  <c r="ET264" i="1"/>
  <c r="EU264" i="1"/>
  <c r="EV264" i="1"/>
  <c r="EW264" i="1"/>
  <c r="EX264" i="1"/>
  <c r="EY264" i="1"/>
  <c r="EZ264" i="1"/>
  <c r="FA264" i="1"/>
  <c r="FB264" i="1"/>
  <c r="FC264" i="1"/>
  <c r="FD264" i="1"/>
  <c r="FE264" i="1"/>
  <c r="FF264" i="1"/>
  <c r="FG264" i="1"/>
  <c r="FH264" i="1"/>
  <c r="FI264" i="1"/>
  <c r="FJ264" i="1"/>
  <c r="FK264" i="1"/>
  <c r="FL264" i="1"/>
  <c r="FM264" i="1"/>
  <c r="FN264" i="1"/>
  <c r="FO264" i="1"/>
  <c r="FP264" i="1"/>
  <c r="FQ264" i="1"/>
  <c r="FR264" i="1"/>
  <c r="FS264" i="1"/>
  <c r="FT264" i="1"/>
  <c r="FU264" i="1"/>
  <c r="FV264" i="1"/>
  <c r="FW264" i="1"/>
  <c r="FX264" i="1"/>
  <c r="FY264" i="1"/>
  <c r="FZ264" i="1"/>
  <c r="GA264" i="1"/>
  <c r="GB264" i="1"/>
  <c r="GC264" i="1"/>
  <c r="GD264" i="1"/>
  <c r="GE264" i="1"/>
  <c r="GF264" i="1"/>
  <c r="GG264" i="1"/>
  <c r="GH264" i="1"/>
  <c r="GI264" i="1"/>
  <c r="GJ264" i="1"/>
  <c r="GK264" i="1"/>
  <c r="GL264" i="1"/>
  <c r="GM264" i="1"/>
  <c r="GN264" i="1"/>
  <c r="GO264" i="1"/>
  <c r="GP264" i="1"/>
  <c r="GQ264" i="1"/>
  <c r="GR264" i="1"/>
  <c r="GS264" i="1"/>
  <c r="GT264" i="1"/>
  <c r="GU264" i="1"/>
  <c r="GV264" i="1"/>
  <c r="GW264" i="1"/>
  <c r="GX264" i="1"/>
  <c r="GY264" i="1"/>
  <c r="GZ264" i="1"/>
  <c r="HA264" i="1"/>
  <c r="HB264" i="1"/>
  <c r="HC264" i="1"/>
  <c r="HD264" i="1"/>
  <c r="HE264" i="1"/>
  <c r="HF264" i="1"/>
  <c r="HG264" i="1"/>
  <c r="HH264" i="1"/>
  <c r="HI264" i="1"/>
  <c r="HJ264" i="1"/>
  <c r="HK264" i="1"/>
  <c r="HL264" i="1"/>
  <c r="HM264" i="1"/>
  <c r="HN264" i="1"/>
  <c r="HO264" i="1"/>
  <c r="HP264" i="1"/>
  <c r="HQ264" i="1"/>
  <c r="HR264" i="1"/>
  <c r="HS264" i="1"/>
  <c r="HT264" i="1"/>
  <c r="HU264" i="1"/>
  <c r="HV264" i="1"/>
  <c r="HW264" i="1"/>
  <c r="HX264" i="1"/>
  <c r="HY264" i="1"/>
  <c r="HZ264" i="1"/>
  <c r="IA264" i="1"/>
  <c r="IB264" i="1"/>
  <c r="IC264" i="1"/>
  <c r="ID264" i="1"/>
  <c r="IE264" i="1"/>
  <c r="IF264" i="1"/>
  <c r="IG264" i="1"/>
  <c r="IH264" i="1"/>
  <c r="II264" i="1"/>
  <c r="IJ264" i="1"/>
  <c r="IK264" i="1"/>
  <c r="IL264" i="1"/>
  <c r="IM264" i="1"/>
  <c r="IN264" i="1"/>
  <c r="IO264" i="1"/>
  <c r="IP264" i="1"/>
  <c r="IQ264" i="1"/>
  <c r="IR264" i="1"/>
  <c r="IS264" i="1"/>
  <c r="IT264" i="1"/>
  <c r="IU264" i="1"/>
  <c r="IV264" i="1"/>
  <c r="IW264" i="1"/>
  <c r="IX264" i="1"/>
  <c r="IY264" i="1"/>
  <c r="IZ264" i="1"/>
  <c r="JA264" i="1"/>
  <c r="JB264" i="1"/>
  <c r="JC264" i="1"/>
  <c r="JD264" i="1"/>
  <c r="JE264" i="1"/>
  <c r="JF264" i="1"/>
  <c r="JG264" i="1"/>
  <c r="JH264" i="1"/>
  <c r="JI264" i="1"/>
  <c r="JJ264" i="1"/>
  <c r="JK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CJ265" i="1"/>
  <c r="CK265" i="1"/>
  <c r="CL265" i="1"/>
  <c r="CM265" i="1"/>
  <c r="CN265" i="1"/>
  <c r="CO265" i="1"/>
  <c r="CP265" i="1"/>
  <c r="CQ265" i="1"/>
  <c r="CR265" i="1"/>
  <c r="CS265" i="1"/>
  <c r="CT265" i="1"/>
  <c r="CU265" i="1"/>
  <c r="CV265" i="1"/>
  <c r="CW265" i="1"/>
  <c r="CX265" i="1"/>
  <c r="CY265" i="1"/>
  <c r="CZ265" i="1"/>
  <c r="DA265" i="1"/>
  <c r="DB265" i="1"/>
  <c r="DC265" i="1"/>
  <c r="DD265" i="1"/>
  <c r="DE265" i="1"/>
  <c r="DF265" i="1"/>
  <c r="DG265" i="1"/>
  <c r="DH265" i="1"/>
  <c r="DI265" i="1"/>
  <c r="DJ265" i="1"/>
  <c r="DK265" i="1"/>
  <c r="DL265" i="1"/>
  <c r="DM265" i="1"/>
  <c r="DN265" i="1"/>
  <c r="DO265" i="1"/>
  <c r="DP265" i="1"/>
  <c r="DQ265" i="1"/>
  <c r="DR265" i="1"/>
  <c r="DS265" i="1"/>
  <c r="DT265" i="1"/>
  <c r="DU265" i="1"/>
  <c r="DV265" i="1"/>
  <c r="DW265" i="1"/>
  <c r="DX265" i="1"/>
  <c r="DY265" i="1"/>
  <c r="DZ265" i="1"/>
  <c r="EA265" i="1"/>
  <c r="EB265" i="1"/>
  <c r="EC265" i="1"/>
  <c r="ED265" i="1"/>
  <c r="EE265" i="1"/>
  <c r="EF265" i="1"/>
  <c r="EG265" i="1"/>
  <c r="EH265" i="1"/>
  <c r="EI265" i="1"/>
  <c r="EJ265" i="1"/>
  <c r="EK265" i="1"/>
  <c r="EL265" i="1"/>
  <c r="EM265" i="1"/>
  <c r="EN265" i="1"/>
  <c r="EO265" i="1"/>
  <c r="EP265" i="1"/>
  <c r="EQ265" i="1"/>
  <c r="ER265" i="1"/>
  <c r="ES265" i="1"/>
  <c r="ET265" i="1"/>
  <c r="EU265" i="1"/>
  <c r="EV265" i="1"/>
  <c r="EW265" i="1"/>
  <c r="EX265" i="1"/>
  <c r="EY265" i="1"/>
  <c r="EZ265" i="1"/>
  <c r="FA265" i="1"/>
  <c r="FB265" i="1"/>
  <c r="FC265" i="1"/>
  <c r="FD265" i="1"/>
  <c r="FE265" i="1"/>
  <c r="FF265" i="1"/>
  <c r="FG265" i="1"/>
  <c r="FH265" i="1"/>
  <c r="FI265" i="1"/>
  <c r="FJ265" i="1"/>
  <c r="FK265" i="1"/>
  <c r="FL265" i="1"/>
  <c r="FM265" i="1"/>
  <c r="FN265" i="1"/>
  <c r="FO265" i="1"/>
  <c r="FP265" i="1"/>
  <c r="FQ265" i="1"/>
  <c r="FR265" i="1"/>
  <c r="FS265" i="1"/>
  <c r="FT265" i="1"/>
  <c r="FU265" i="1"/>
  <c r="FV265" i="1"/>
  <c r="FW265" i="1"/>
  <c r="FX265" i="1"/>
  <c r="FY265" i="1"/>
  <c r="FZ265" i="1"/>
  <c r="GA265" i="1"/>
  <c r="GB265" i="1"/>
  <c r="GC265" i="1"/>
  <c r="GD265" i="1"/>
  <c r="GE265" i="1"/>
  <c r="GF265" i="1"/>
  <c r="GG265" i="1"/>
  <c r="GH265" i="1"/>
  <c r="GI265" i="1"/>
  <c r="GJ265" i="1"/>
  <c r="GK265" i="1"/>
  <c r="GL265" i="1"/>
  <c r="GM265" i="1"/>
  <c r="GN265" i="1"/>
  <c r="GO265" i="1"/>
  <c r="GP265" i="1"/>
  <c r="GQ265" i="1"/>
  <c r="GR265" i="1"/>
  <c r="GS265" i="1"/>
  <c r="GT265" i="1"/>
  <c r="GU265" i="1"/>
  <c r="GV265" i="1"/>
  <c r="GW265" i="1"/>
  <c r="GX265" i="1"/>
  <c r="GY265" i="1"/>
  <c r="GZ265" i="1"/>
  <c r="HA265" i="1"/>
  <c r="HB265" i="1"/>
  <c r="HC265" i="1"/>
  <c r="HD265" i="1"/>
  <c r="HE265" i="1"/>
  <c r="HF265" i="1"/>
  <c r="HG265" i="1"/>
  <c r="HH265" i="1"/>
  <c r="HI265" i="1"/>
  <c r="HJ265" i="1"/>
  <c r="HK265" i="1"/>
  <c r="HL265" i="1"/>
  <c r="HM265" i="1"/>
  <c r="HN265" i="1"/>
  <c r="HO265" i="1"/>
  <c r="HP265" i="1"/>
  <c r="HQ265" i="1"/>
  <c r="HR265" i="1"/>
  <c r="HS265" i="1"/>
  <c r="HT265" i="1"/>
  <c r="HU265" i="1"/>
  <c r="HV265" i="1"/>
  <c r="HW265" i="1"/>
  <c r="HX265" i="1"/>
  <c r="HY265" i="1"/>
  <c r="HZ265" i="1"/>
  <c r="IA265" i="1"/>
  <c r="IB265" i="1"/>
  <c r="IC265" i="1"/>
  <c r="ID265" i="1"/>
  <c r="IE265" i="1"/>
  <c r="IF265" i="1"/>
  <c r="IG265" i="1"/>
  <c r="IH265" i="1"/>
  <c r="II265" i="1"/>
  <c r="IJ265" i="1"/>
  <c r="IK265" i="1"/>
  <c r="IL265" i="1"/>
  <c r="IM265" i="1"/>
  <c r="IN265" i="1"/>
  <c r="IO265" i="1"/>
  <c r="IP265" i="1"/>
  <c r="IQ265" i="1"/>
  <c r="IR265" i="1"/>
  <c r="IS265" i="1"/>
  <c r="IT265" i="1"/>
  <c r="IU265" i="1"/>
  <c r="IV265" i="1"/>
  <c r="IW265" i="1"/>
  <c r="IX265" i="1"/>
  <c r="IY265" i="1"/>
  <c r="IZ265" i="1"/>
  <c r="JA265" i="1"/>
  <c r="JB265" i="1"/>
  <c r="JC265" i="1"/>
  <c r="JD265" i="1"/>
  <c r="JE265" i="1"/>
  <c r="JF265" i="1"/>
  <c r="JG265" i="1"/>
  <c r="JH265" i="1"/>
  <c r="JI265" i="1"/>
  <c r="JJ265" i="1"/>
  <c r="JK265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CJ267" i="1"/>
  <c r="CK267" i="1"/>
  <c r="CL267" i="1"/>
  <c r="CM267" i="1"/>
  <c r="CN267" i="1"/>
  <c r="CO267" i="1"/>
  <c r="CP267" i="1"/>
  <c r="CQ267" i="1"/>
  <c r="CR267" i="1"/>
  <c r="CS267" i="1"/>
  <c r="CT267" i="1"/>
  <c r="CU267" i="1"/>
  <c r="CV267" i="1"/>
  <c r="CW267" i="1"/>
  <c r="CX267" i="1"/>
  <c r="CY267" i="1"/>
  <c r="CZ267" i="1"/>
  <c r="DA267" i="1"/>
  <c r="DB267" i="1"/>
  <c r="DC267" i="1"/>
  <c r="DD267" i="1"/>
  <c r="DE267" i="1"/>
  <c r="DF267" i="1"/>
  <c r="DG267" i="1"/>
  <c r="DH267" i="1"/>
  <c r="DI267" i="1"/>
  <c r="DJ267" i="1"/>
  <c r="DK267" i="1"/>
  <c r="DL267" i="1"/>
  <c r="DM267" i="1"/>
  <c r="DN267" i="1"/>
  <c r="DO267" i="1"/>
  <c r="DP267" i="1"/>
  <c r="DQ267" i="1"/>
  <c r="DR267" i="1"/>
  <c r="DS267" i="1"/>
  <c r="DT267" i="1"/>
  <c r="DU267" i="1"/>
  <c r="DV267" i="1"/>
  <c r="DW267" i="1"/>
  <c r="DX267" i="1"/>
  <c r="DY267" i="1"/>
  <c r="DZ267" i="1"/>
  <c r="EA267" i="1"/>
  <c r="EB267" i="1"/>
  <c r="EC267" i="1"/>
  <c r="ED267" i="1"/>
  <c r="EE267" i="1"/>
  <c r="EF267" i="1"/>
  <c r="EG267" i="1"/>
  <c r="EH267" i="1"/>
  <c r="EI267" i="1"/>
  <c r="EJ267" i="1"/>
  <c r="EK267" i="1"/>
  <c r="EL267" i="1"/>
  <c r="EM267" i="1"/>
  <c r="EN267" i="1"/>
  <c r="EO267" i="1"/>
  <c r="EP267" i="1"/>
  <c r="EQ267" i="1"/>
  <c r="ER267" i="1"/>
  <c r="ES267" i="1"/>
  <c r="ET267" i="1"/>
  <c r="EU267" i="1"/>
  <c r="EV267" i="1"/>
  <c r="EW267" i="1"/>
  <c r="EX267" i="1"/>
  <c r="EY267" i="1"/>
  <c r="EZ267" i="1"/>
  <c r="FA267" i="1"/>
  <c r="FB267" i="1"/>
  <c r="FC267" i="1"/>
  <c r="FD267" i="1"/>
  <c r="FE267" i="1"/>
  <c r="FF267" i="1"/>
  <c r="FG267" i="1"/>
  <c r="FH267" i="1"/>
  <c r="FI267" i="1"/>
  <c r="FJ267" i="1"/>
  <c r="FK267" i="1"/>
  <c r="FL267" i="1"/>
  <c r="FM267" i="1"/>
  <c r="FN267" i="1"/>
  <c r="FO267" i="1"/>
  <c r="FP267" i="1"/>
  <c r="FQ267" i="1"/>
  <c r="FR267" i="1"/>
  <c r="FS267" i="1"/>
  <c r="FT267" i="1"/>
  <c r="FU267" i="1"/>
  <c r="FV267" i="1"/>
  <c r="FW267" i="1"/>
  <c r="FX267" i="1"/>
  <c r="FY267" i="1"/>
  <c r="FZ267" i="1"/>
  <c r="GA267" i="1"/>
  <c r="GB267" i="1"/>
  <c r="GC267" i="1"/>
  <c r="GD267" i="1"/>
  <c r="GE267" i="1"/>
  <c r="GF267" i="1"/>
  <c r="GG267" i="1"/>
  <c r="GH267" i="1"/>
  <c r="GI267" i="1"/>
  <c r="GJ267" i="1"/>
  <c r="GK267" i="1"/>
  <c r="GL267" i="1"/>
  <c r="GM267" i="1"/>
  <c r="GN267" i="1"/>
  <c r="GO267" i="1"/>
  <c r="GP267" i="1"/>
  <c r="GQ267" i="1"/>
  <c r="GR267" i="1"/>
  <c r="GS267" i="1"/>
  <c r="GT267" i="1"/>
  <c r="GU267" i="1"/>
  <c r="GV267" i="1"/>
  <c r="GW267" i="1"/>
  <c r="GX267" i="1"/>
  <c r="GY267" i="1"/>
  <c r="GZ267" i="1"/>
  <c r="HA267" i="1"/>
  <c r="HB267" i="1"/>
  <c r="HC267" i="1"/>
  <c r="HD267" i="1"/>
  <c r="HE267" i="1"/>
  <c r="HF267" i="1"/>
  <c r="HG267" i="1"/>
  <c r="HH267" i="1"/>
  <c r="HI267" i="1"/>
  <c r="HJ267" i="1"/>
  <c r="HK267" i="1"/>
  <c r="HL267" i="1"/>
  <c r="HM267" i="1"/>
  <c r="HN267" i="1"/>
  <c r="HO267" i="1"/>
  <c r="HP267" i="1"/>
  <c r="HQ267" i="1"/>
  <c r="HR267" i="1"/>
  <c r="HS267" i="1"/>
  <c r="HT267" i="1"/>
  <c r="HU267" i="1"/>
  <c r="HV267" i="1"/>
  <c r="HW267" i="1"/>
  <c r="HX267" i="1"/>
  <c r="HY267" i="1"/>
  <c r="HZ267" i="1"/>
  <c r="IA267" i="1"/>
  <c r="IB267" i="1"/>
  <c r="IC267" i="1"/>
  <c r="ID267" i="1"/>
  <c r="IE267" i="1"/>
  <c r="IF267" i="1"/>
  <c r="IG267" i="1"/>
  <c r="IH267" i="1"/>
  <c r="II267" i="1"/>
  <c r="IJ267" i="1"/>
  <c r="IK267" i="1"/>
  <c r="IL267" i="1"/>
  <c r="IM267" i="1"/>
  <c r="IN267" i="1"/>
  <c r="IO267" i="1"/>
  <c r="IP267" i="1"/>
  <c r="IQ267" i="1"/>
  <c r="IR267" i="1"/>
  <c r="IS267" i="1"/>
  <c r="IT267" i="1"/>
  <c r="IU267" i="1"/>
  <c r="IV267" i="1"/>
  <c r="IW267" i="1"/>
  <c r="IX267" i="1"/>
  <c r="IY267" i="1"/>
  <c r="IZ267" i="1"/>
  <c r="JA267" i="1"/>
  <c r="JB267" i="1"/>
  <c r="JC267" i="1"/>
  <c r="JD267" i="1"/>
  <c r="JE267" i="1"/>
  <c r="JF267" i="1"/>
  <c r="JG267" i="1"/>
  <c r="JH267" i="1"/>
  <c r="JI267" i="1"/>
  <c r="JJ267" i="1"/>
  <c r="JK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CJ268" i="1"/>
  <c r="CK268" i="1"/>
  <c r="CL268" i="1"/>
  <c r="CM268" i="1"/>
  <c r="CN268" i="1"/>
  <c r="CO268" i="1"/>
  <c r="CP268" i="1"/>
  <c r="CQ268" i="1"/>
  <c r="CR268" i="1"/>
  <c r="CS268" i="1"/>
  <c r="CT268" i="1"/>
  <c r="CU268" i="1"/>
  <c r="CV268" i="1"/>
  <c r="CW268" i="1"/>
  <c r="CX268" i="1"/>
  <c r="CY268" i="1"/>
  <c r="CZ268" i="1"/>
  <c r="DA268" i="1"/>
  <c r="DB268" i="1"/>
  <c r="DC268" i="1"/>
  <c r="DD268" i="1"/>
  <c r="DE268" i="1"/>
  <c r="DF268" i="1"/>
  <c r="DG268" i="1"/>
  <c r="DH268" i="1"/>
  <c r="DI268" i="1"/>
  <c r="DJ268" i="1"/>
  <c r="DK268" i="1"/>
  <c r="DL268" i="1"/>
  <c r="DM268" i="1"/>
  <c r="DN268" i="1"/>
  <c r="DO268" i="1"/>
  <c r="DP268" i="1"/>
  <c r="DQ268" i="1"/>
  <c r="DR268" i="1"/>
  <c r="DS268" i="1"/>
  <c r="DT268" i="1"/>
  <c r="DU268" i="1"/>
  <c r="DV268" i="1"/>
  <c r="DW268" i="1"/>
  <c r="DX268" i="1"/>
  <c r="DY268" i="1"/>
  <c r="DZ268" i="1"/>
  <c r="EA268" i="1"/>
  <c r="EB268" i="1"/>
  <c r="EC268" i="1"/>
  <c r="ED268" i="1"/>
  <c r="EE268" i="1"/>
  <c r="EF268" i="1"/>
  <c r="EG268" i="1"/>
  <c r="EH268" i="1"/>
  <c r="EI268" i="1"/>
  <c r="EJ268" i="1"/>
  <c r="EK268" i="1"/>
  <c r="EL268" i="1"/>
  <c r="EM268" i="1"/>
  <c r="EN268" i="1"/>
  <c r="EO268" i="1"/>
  <c r="EP268" i="1"/>
  <c r="EQ268" i="1"/>
  <c r="ER268" i="1"/>
  <c r="ES268" i="1"/>
  <c r="ET268" i="1"/>
  <c r="EU268" i="1"/>
  <c r="EV268" i="1"/>
  <c r="EW268" i="1"/>
  <c r="EX268" i="1"/>
  <c r="EY268" i="1"/>
  <c r="EZ268" i="1"/>
  <c r="FA268" i="1"/>
  <c r="FB268" i="1"/>
  <c r="FC268" i="1"/>
  <c r="FD268" i="1"/>
  <c r="FE268" i="1"/>
  <c r="FF268" i="1"/>
  <c r="FG268" i="1"/>
  <c r="FH268" i="1"/>
  <c r="FI268" i="1"/>
  <c r="FJ268" i="1"/>
  <c r="FK268" i="1"/>
  <c r="FL268" i="1"/>
  <c r="FM268" i="1"/>
  <c r="FN268" i="1"/>
  <c r="FO268" i="1"/>
  <c r="FP268" i="1"/>
  <c r="FQ268" i="1"/>
  <c r="FR268" i="1"/>
  <c r="FS268" i="1"/>
  <c r="FT268" i="1"/>
  <c r="FU268" i="1"/>
  <c r="FV268" i="1"/>
  <c r="FW268" i="1"/>
  <c r="FX268" i="1"/>
  <c r="FY268" i="1"/>
  <c r="FZ268" i="1"/>
  <c r="GA268" i="1"/>
  <c r="GB268" i="1"/>
  <c r="GC268" i="1"/>
  <c r="GD268" i="1"/>
  <c r="GE268" i="1"/>
  <c r="GF268" i="1"/>
  <c r="GG268" i="1"/>
  <c r="GH268" i="1"/>
  <c r="GI268" i="1"/>
  <c r="GJ268" i="1"/>
  <c r="GK268" i="1"/>
  <c r="GL268" i="1"/>
  <c r="GM268" i="1"/>
  <c r="GN268" i="1"/>
  <c r="GO268" i="1"/>
  <c r="GP268" i="1"/>
  <c r="GQ268" i="1"/>
  <c r="GR268" i="1"/>
  <c r="GS268" i="1"/>
  <c r="GT268" i="1"/>
  <c r="GU268" i="1"/>
  <c r="GV268" i="1"/>
  <c r="GW268" i="1"/>
  <c r="GX268" i="1"/>
  <c r="GY268" i="1"/>
  <c r="GZ268" i="1"/>
  <c r="HA268" i="1"/>
  <c r="HB268" i="1"/>
  <c r="HC268" i="1"/>
  <c r="HD268" i="1"/>
  <c r="HE268" i="1"/>
  <c r="HF268" i="1"/>
  <c r="HG268" i="1"/>
  <c r="HH268" i="1"/>
  <c r="HI268" i="1"/>
  <c r="HJ268" i="1"/>
  <c r="HK268" i="1"/>
  <c r="HL268" i="1"/>
  <c r="HM268" i="1"/>
  <c r="HN268" i="1"/>
  <c r="HO268" i="1"/>
  <c r="HP268" i="1"/>
  <c r="HQ268" i="1"/>
  <c r="HR268" i="1"/>
  <c r="HS268" i="1"/>
  <c r="HT268" i="1"/>
  <c r="HU268" i="1"/>
  <c r="HV268" i="1"/>
  <c r="HW268" i="1"/>
  <c r="HX268" i="1"/>
  <c r="HY268" i="1"/>
  <c r="HZ268" i="1"/>
  <c r="IA268" i="1"/>
  <c r="IB268" i="1"/>
  <c r="IC268" i="1"/>
  <c r="ID268" i="1"/>
  <c r="IE268" i="1"/>
  <c r="IF268" i="1"/>
  <c r="IG268" i="1"/>
  <c r="IH268" i="1"/>
  <c r="II268" i="1"/>
  <c r="IJ268" i="1"/>
  <c r="IK268" i="1"/>
  <c r="IL268" i="1"/>
  <c r="IM268" i="1"/>
  <c r="IN268" i="1"/>
  <c r="IO268" i="1"/>
  <c r="IP268" i="1"/>
  <c r="IQ268" i="1"/>
  <c r="IR268" i="1"/>
  <c r="IS268" i="1"/>
  <c r="IT268" i="1"/>
  <c r="IU268" i="1"/>
  <c r="IV268" i="1"/>
  <c r="IW268" i="1"/>
  <c r="IX268" i="1"/>
  <c r="IY268" i="1"/>
  <c r="IZ268" i="1"/>
  <c r="JA268" i="1"/>
  <c r="JB268" i="1"/>
  <c r="JC268" i="1"/>
  <c r="JD268" i="1"/>
  <c r="JE268" i="1"/>
  <c r="JF268" i="1"/>
  <c r="JG268" i="1"/>
  <c r="JH268" i="1"/>
  <c r="JI268" i="1"/>
  <c r="JJ268" i="1"/>
  <c r="JK268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CJ270" i="1"/>
  <c r="CK270" i="1"/>
  <c r="CL270" i="1"/>
  <c r="CM270" i="1"/>
  <c r="CN270" i="1"/>
  <c r="CO270" i="1"/>
  <c r="CP270" i="1"/>
  <c r="CQ270" i="1"/>
  <c r="CR270" i="1"/>
  <c r="CS270" i="1"/>
  <c r="CT270" i="1"/>
  <c r="CU270" i="1"/>
  <c r="CV270" i="1"/>
  <c r="CW270" i="1"/>
  <c r="CX270" i="1"/>
  <c r="CY270" i="1"/>
  <c r="CZ270" i="1"/>
  <c r="DA270" i="1"/>
  <c r="DB270" i="1"/>
  <c r="DC270" i="1"/>
  <c r="DD270" i="1"/>
  <c r="DE270" i="1"/>
  <c r="DF270" i="1"/>
  <c r="DG270" i="1"/>
  <c r="DH270" i="1"/>
  <c r="DI270" i="1"/>
  <c r="DJ270" i="1"/>
  <c r="DK270" i="1"/>
  <c r="DL270" i="1"/>
  <c r="DM270" i="1"/>
  <c r="DN270" i="1"/>
  <c r="DO270" i="1"/>
  <c r="DP270" i="1"/>
  <c r="DQ270" i="1"/>
  <c r="DR270" i="1"/>
  <c r="DS270" i="1"/>
  <c r="DT270" i="1"/>
  <c r="DU270" i="1"/>
  <c r="DV270" i="1"/>
  <c r="DW270" i="1"/>
  <c r="DX270" i="1"/>
  <c r="DY270" i="1"/>
  <c r="DZ270" i="1"/>
  <c r="EA270" i="1"/>
  <c r="EB270" i="1"/>
  <c r="EC270" i="1"/>
  <c r="ED270" i="1"/>
  <c r="EE270" i="1"/>
  <c r="EF270" i="1"/>
  <c r="EG270" i="1"/>
  <c r="EH270" i="1"/>
  <c r="EI270" i="1"/>
  <c r="EJ270" i="1"/>
  <c r="EK270" i="1"/>
  <c r="EL270" i="1"/>
  <c r="EM270" i="1"/>
  <c r="EN270" i="1"/>
  <c r="EO270" i="1"/>
  <c r="EP270" i="1"/>
  <c r="EQ270" i="1"/>
  <c r="ER270" i="1"/>
  <c r="ES270" i="1"/>
  <c r="ET270" i="1"/>
  <c r="EU270" i="1"/>
  <c r="EV270" i="1"/>
  <c r="EW270" i="1"/>
  <c r="EX270" i="1"/>
  <c r="EY270" i="1"/>
  <c r="EZ270" i="1"/>
  <c r="FA270" i="1"/>
  <c r="FB270" i="1"/>
  <c r="FC270" i="1"/>
  <c r="FD270" i="1"/>
  <c r="FE270" i="1"/>
  <c r="FF270" i="1"/>
  <c r="FG270" i="1"/>
  <c r="FH270" i="1"/>
  <c r="FI270" i="1"/>
  <c r="FJ270" i="1"/>
  <c r="FK270" i="1"/>
  <c r="FL270" i="1"/>
  <c r="FM270" i="1"/>
  <c r="FN270" i="1"/>
  <c r="FO270" i="1"/>
  <c r="FP270" i="1"/>
  <c r="FQ270" i="1"/>
  <c r="FR270" i="1"/>
  <c r="FS270" i="1"/>
  <c r="FT270" i="1"/>
  <c r="FU270" i="1"/>
  <c r="FV270" i="1"/>
  <c r="FW270" i="1"/>
  <c r="FX270" i="1"/>
  <c r="FY270" i="1"/>
  <c r="FZ270" i="1"/>
  <c r="GA270" i="1"/>
  <c r="GB270" i="1"/>
  <c r="GC270" i="1"/>
  <c r="GD270" i="1"/>
  <c r="GE270" i="1"/>
  <c r="GF270" i="1"/>
  <c r="GG270" i="1"/>
  <c r="GH270" i="1"/>
  <c r="GI270" i="1"/>
  <c r="GJ270" i="1"/>
  <c r="GK270" i="1"/>
  <c r="GL270" i="1"/>
  <c r="GM270" i="1"/>
  <c r="GN270" i="1"/>
  <c r="GO270" i="1"/>
  <c r="GP270" i="1"/>
  <c r="GQ270" i="1"/>
  <c r="GR270" i="1"/>
  <c r="GS270" i="1"/>
  <c r="GT270" i="1"/>
  <c r="GU270" i="1"/>
  <c r="GV270" i="1"/>
  <c r="GW270" i="1"/>
  <c r="GX270" i="1"/>
  <c r="GY270" i="1"/>
  <c r="GZ270" i="1"/>
  <c r="HA270" i="1"/>
  <c r="HB270" i="1"/>
  <c r="HC270" i="1"/>
  <c r="HD270" i="1"/>
  <c r="HE270" i="1"/>
  <c r="HF270" i="1"/>
  <c r="HG270" i="1"/>
  <c r="HH270" i="1"/>
  <c r="HI270" i="1"/>
  <c r="HJ270" i="1"/>
  <c r="HK270" i="1"/>
  <c r="HL270" i="1"/>
  <c r="HM270" i="1"/>
  <c r="HN270" i="1"/>
  <c r="HO270" i="1"/>
  <c r="HP270" i="1"/>
  <c r="HQ270" i="1"/>
  <c r="HR270" i="1"/>
  <c r="HS270" i="1"/>
  <c r="HT270" i="1"/>
  <c r="HU270" i="1"/>
  <c r="HV270" i="1"/>
  <c r="HW270" i="1"/>
  <c r="HX270" i="1"/>
  <c r="HY270" i="1"/>
  <c r="HZ270" i="1"/>
  <c r="IA270" i="1"/>
  <c r="IB270" i="1"/>
  <c r="IC270" i="1"/>
  <c r="ID270" i="1"/>
  <c r="IE270" i="1"/>
  <c r="IF270" i="1"/>
  <c r="IG270" i="1"/>
  <c r="IH270" i="1"/>
  <c r="II270" i="1"/>
  <c r="IJ270" i="1"/>
  <c r="IK270" i="1"/>
  <c r="IL270" i="1"/>
  <c r="IM270" i="1"/>
  <c r="IN270" i="1"/>
  <c r="IO270" i="1"/>
  <c r="IP270" i="1"/>
  <c r="IQ270" i="1"/>
  <c r="IR270" i="1"/>
  <c r="IS270" i="1"/>
  <c r="IT270" i="1"/>
  <c r="IU270" i="1"/>
  <c r="IV270" i="1"/>
  <c r="IW270" i="1"/>
  <c r="IX270" i="1"/>
  <c r="IY270" i="1"/>
  <c r="IZ270" i="1"/>
  <c r="JA270" i="1"/>
  <c r="JB270" i="1"/>
  <c r="JC270" i="1"/>
  <c r="JD270" i="1"/>
  <c r="JE270" i="1"/>
  <c r="JF270" i="1"/>
  <c r="JG270" i="1"/>
  <c r="JH270" i="1"/>
  <c r="JI270" i="1"/>
  <c r="JJ270" i="1"/>
  <c r="JK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CJ271" i="1"/>
  <c r="CK271" i="1"/>
  <c r="CL271" i="1"/>
  <c r="CM271" i="1"/>
  <c r="CN271" i="1"/>
  <c r="CO271" i="1"/>
  <c r="CP271" i="1"/>
  <c r="CQ271" i="1"/>
  <c r="CR271" i="1"/>
  <c r="CS271" i="1"/>
  <c r="CT271" i="1"/>
  <c r="CU271" i="1"/>
  <c r="CV271" i="1"/>
  <c r="CW271" i="1"/>
  <c r="CX271" i="1"/>
  <c r="CY271" i="1"/>
  <c r="CZ271" i="1"/>
  <c r="DA271" i="1"/>
  <c r="DB271" i="1"/>
  <c r="DC271" i="1"/>
  <c r="DD271" i="1"/>
  <c r="DE271" i="1"/>
  <c r="DF271" i="1"/>
  <c r="DG271" i="1"/>
  <c r="DH271" i="1"/>
  <c r="DI271" i="1"/>
  <c r="DJ271" i="1"/>
  <c r="DK271" i="1"/>
  <c r="DL271" i="1"/>
  <c r="DM271" i="1"/>
  <c r="DN271" i="1"/>
  <c r="DO271" i="1"/>
  <c r="DP271" i="1"/>
  <c r="DQ271" i="1"/>
  <c r="DR271" i="1"/>
  <c r="DS271" i="1"/>
  <c r="DT271" i="1"/>
  <c r="DU271" i="1"/>
  <c r="DV271" i="1"/>
  <c r="DW271" i="1"/>
  <c r="DX271" i="1"/>
  <c r="DY271" i="1"/>
  <c r="DZ271" i="1"/>
  <c r="EA271" i="1"/>
  <c r="EB271" i="1"/>
  <c r="EC271" i="1"/>
  <c r="ED271" i="1"/>
  <c r="EE271" i="1"/>
  <c r="EF271" i="1"/>
  <c r="EG271" i="1"/>
  <c r="EH271" i="1"/>
  <c r="EI271" i="1"/>
  <c r="EJ271" i="1"/>
  <c r="EK271" i="1"/>
  <c r="EL271" i="1"/>
  <c r="EM271" i="1"/>
  <c r="EN271" i="1"/>
  <c r="EO271" i="1"/>
  <c r="EP271" i="1"/>
  <c r="EQ271" i="1"/>
  <c r="ER271" i="1"/>
  <c r="ES271" i="1"/>
  <c r="ET271" i="1"/>
  <c r="EU271" i="1"/>
  <c r="EV271" i="1"/>
  <c r="EW271" i="1"/>
  <c r="EX271" i="1"/>
  <c r="EY271" i="1"/>
  <c r="EZ271" i="1"/>
  <c r="FA271" i="1"/>
  <c r="FB271" i="1"/>
  <c r="FC271" i="1"/>
  <c r="FD271" i="1"/>
  <c r="FE271" i="1"/>
  <c r="FF271" i="1"/>
  <c r="FG271" i="1"/>
  <c r="FH271" i="1"/>
  <c r="FI271" i="1"/>
  <c r="FJ271" i="1"/>
  <c r="FK271" i="1"/>
  <c r="FL271" i="1"/>
  <c r="FM271" i="1"/>
  <c r="FN271" i="1"/>
  <c r="FO271" i="1"/>
  <c r="FP271" i="1"/>
  <c r="FQ271" i="1"/>
  <c r="FR271" i="1"/>
  <c r="FS271" i="1"/>
  <c r="FT271" i="1"/>
  <c r="FU271" i="1"/>
  <c r="FV271" i="1"/>
  <c r="FW271" i="1"/>
  <c r="FX271" i="1"/>
  <c r="FY271" i="1"/>
  <c r="FZ271" i="1"/>
  <c r="GA271" i="1"/>
  <c r="GB271" i="1"/>
  <c r="GC271" i="1"/>
  <c r="GD271" i="1"/>
  <c r="GE271" i="1"/>
  <c r="GF271" i="1"/>
  <c r="GG271" i="1"/>
  <c r="GH271" i="1"/>
  <c r="GI271" i="1"/>
  <c r="GJ271" i="1"/>
  <c r="GK271" i="1"/>
  <c r="GL271" i="1"/>
  <c r="GM271" i="1"/>
  <c r="GN271" i="1"/>
  <c r="GO271" i="1"/>
  <c r="GP271" i="1"/>
  <c r="GQ271" i="1"/>
  <c r="GR271" i="1"/>
  <c r="GS271" i="1"/>
  <c r="GT271" i="1"/>
  <c r="GU271" i="1"/>
  <c r="GV271" i="1"/>
  <c r="GW271" i="1"/>
  <c r="GX271" i="1"/>
  <c r="GY271" i="1"/>
  <c r="GZ271" i="1"/>
  <c r="HA271" i="1"/>
  <c r="HB271" i="1"/>
  <c r="HC271" i="1"/>
  <c r="HD271" i="1"/>
  <c r="HE271" i="1"/>
  <c r="HF271" i="1"/>
  <c r="HG271" i="1"/>
  <c r="HH271" i="1"/>
  <c r="HI271" i="1"/>
  <c r="HJ271" i="1"/>
  <c r="HK271" i="1"/>
  <c r="HL271" i="1"/>
  <c r="HM271" i="1"/>
  <c r="HN271" i="1"/>
  <c r="HO271" i="1"/>
  <c r="HP271" i="1"/>
  <c r="HQ271" i="1"/>
  <c r="HR271" i="1"/>
  <c r="HS271" i="1"/>
  <c r="HT271" i="1"/>
  <c r="HU271" i="1"/>
  <c r="HV271" i="1"/>
  <c r="HW271" i="1"/>
  <c r="HX271" i="1"/>
  <c r="HY271" i="1"/>
  <c r="HZ271" i="1"/>
  <c r="IA271" i="1"/>
  <c r="IB271" i="1"/>
  <c r="IC271" i="1"/>
  <c r="ID271" i="1"/>
  <c r="IE271" i="1"/>
  <c r="IF271" i="1"/>
  <c r="IG271" i="1"/>
  <c r="IH271" i="1"/>
  <c r="II271" i="1"/>
  <c r="IJ271" i="1"/>
  <c r="IK271" i="1"/>
  <c r="IL271" i="1"/>
  <c r="IM271" i="1"/>
  <c r="IN271" i="1"/>
  <c r="IO271" i="1"/>
  <c r="IP271" i="1"/>
  <c r="IQ271" i="1"/>
  <c r="IR271" i="1"/>
  <c r="IS271" i="1"/>
  <c r="IT271" i="1"/>
  <c r="IU271" i="1"/>
  <c r="IV271" i="1"/>
  <c r="IW271" i="1"/>
  <c r="IX271" i="1"/>
  <c r="IY271" i="1"/>
  <c r="IZ271" i="1"/>
  <c r="JA271" i="1"/>
  <c r="JB271" i="1"/>
  <c r="JC271" i="1"/>
  <c r="JD271" i="1"/>
  <c r="JE271" i="1"/>
  <c r="JF271" i="1"/>
  <c r="JG271" i="1"/>
  <c r="JH271" i="1"/>
  <c r="JI271" i="1"/>
  <c r="JJ271" i="1"/>
  <c r="JK271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B273" i="1"/>
  <c r="CC273" i="1"/>
  <c r="CD273" i="1"/>
  <c r="CE273" i="1"/>
  <c r="CF273" i="1"/>
  <c r="CG273" i="1"/>
  <c r="CH273" i="1"/>
  <c r="CI273" i="1"/>
  <c r="CJ273" i="1"/>
  <c r="CK273" i="1"/>
  <c r="CL273" i="1"/>
  <c r="CM273" i="1"/>
  <c r="CN273" i="1"/>
  <c r="CO273" i="1"/>
  <c r="CP273" i="1"/>
  <c r="CQ273" i="1"/>
  <c r="CR273" i="1"/>
  <c r="CS273" i="1"/>
  <c r="CT273" i="1"/>
  <c r="CU273" i="1"/>
  <c r="CV273" i="1"/>
  <c r="CW273" i="1"/>
  <c r="CX273" i="1"/>
  <c r="CY273" i="1"/>
  <c r="CZ273" i="1"/>
  <c r="DA273" i="1"/>
  <c r="DB273" i="1"/>
  <c r="DC273" i="1"/>
  <c r="DD273" i="1"/>
  <c r="DE273" i="1"/>
  <c r="DF273" i="1"/>
  <c r="DG273" i="1"/>
  <c r="DH273" i="1"/>
  <c r="DI273" i="1"/>
  <c r="DJ273" i="1"/>
  <c r="DK273" i="1"/>
  <c r="DL273" i="1"/>
  <c r="DM273" i="1"/>
  <c r="DN273" i="1"/>
  <c r="DO273" i="1"/>
  <c r="DP273" i="1"/>
  <c r="DQ273" i="1"/>
  <c r="DR273" i="1"/>
  <c r="DS273" i="1"/>
  <c r="DT273" i="1"/>
  <c r="DU273" i="1"/>
  <c r="DV273" i="1"/>
  <c r="DW273" i="1"/>
  <c r="DX273" i="1"/>
  <c r="DY273" i="1"/>
  <c r="DZ273" i="1"/>
  <c r="EA273" i="1"/>
  <c r="EB273" i="1"/>
  <c r="EC273" i="1"/>
  <c r="ED273" i="1"/>
  <c r="EE273" i="1"/>
  <c r="EF273" i="1"/>
  <c r="EG273" i="1"/>
  <c r="EH273" i="1"/>
  <c r="EI273" i="1"/>
  <c r="EJ273" i="1"/>
  <c r="EK273" i="1"/>
  <c r="EL273" i="1"/>
  <c r="EM273" i="1"/>
  <c r="EN273" i="1"/>
  <c r="EO273" i="1"/>
  <c r="EP273" i="1"/>
  <c r="EQ273" i="1"/>
  <c r="ER273" i="1"/>
  <c r="ES273" i="1"/>
  <c r="ET273" i="1"/>
  <c r="EU273" i="1"/>
  <c r="EV273" i="1"/>
  <c r="EW273" i="1"/>
  <c r="EX273" i="1"/>
  <c r="EY273" i="1"/>
  <c r="EZ273" i="1"/>
  <c r="FA273" i="1"/>
  <c r="FB273" i="1"/>
  <c r="FC273" i="1"/>
  <c r="FD273" i="1"/>
  <c r="FE273" i="1"/>
  <c r="FF273" i="1"/>
  <c r="FG273" i="1"/>
  <c r="FH273" i="1"/>
  <c r="FI273" i="1"/>
  <c r="FJ273" i="1"/>
  <c r="FK273" i="1"/>
  <c r="FL273" i="1"/>
  <c r="FM273" i="1"/>
  <c r="FN273" i="1"/>
  <c r="FO273" i="1"/>
  <c r="FP273" i="1"/>
  <c r="FQ273" i="1"/>
  <c r="FR273" i="1"/>
  <c r="FS273" i="1"/>
  <c r="FT273" i="1"/>
  <c r="FU273" i="1"/>
  <c r="FV273" i="1"/>
  <c r="FW273" i="1"/>
  <c r="FX273" i="1"/>
  <c r="FY273" i="1"/>
  <c r="FZ273" i="1"/>
  <c r="GA273" i="1"/>
  <c r="GB273" i="1"/>
  <c r="GC273" i="1"/>
  <c r="GD273" i="1"/>
  <c r="GE273" i="1"/>
  <c r="GF273" i="1"/>
  <c r="GG273" i="1"/>
  <c r="GH273" i="1"/>
  <c r="GI273" i="1"/>
  <c r="GJ273" i="1"/>
  <c r="GK273" i="1"/>
  <c r="GL273" i="1"/>
  <c r="GM273" i="1"/>
  <c r="GN273" i="1"/>
  <c r="GO273" i="1"/>
  <c r="GP273" i="1"/>
  <c r="GQ273" i="1"/>
  <c r="GR273" i="1"/>
  <c r="GS273" i="1"/>
  <c r="GT273" i="1"/>
  <c r="GU273" i="1"/>
  <c r="GV273" i="1"/>
  <c r="GW273" i="1"/>
  <c r="GX273" i="1"/>
  <c r="GY273" i="1"/>
  <c r="GZ273" i="1"/>
  <c r="HA273" i="1"/>
  <c r="HB273" i="1"/>
  <c r="HC273" i="1"/>
  <c r="HD273" i="1"/>
  <c r="HE273" i="1"/>
  <c r="HF273" i="1"/>
  <c r="HG273" i="1"/>
  <c r="HH273" i="1"/>
  <c r="HI273" i="1"/>
  <c r="HJ273" i="1"/>
  <c r="HK273" i="1"/>
  <c r="HL273" i="1"/>
  <c r="HM273" i="1"/>
  <c r="HN273" i="1"/>
  <c r="HO273" i="1"/>
  <c r="HP273" i="1"/>
  <c r="HQ273" i="1"/>
  <c r="HR273" i="1"/>
  <c r="HS273" i="1"/>
  <c r="HT273" i="1"/>
  <c r="HU273" i="1"/>
  <c r="HV273" i="1"/>
  <c r="HW273" i="1"/>
  <c r="HX273" i="1"/>
  <c r="HY273" i="1"/>
  <c r="HZ273" i="1"/>
  <c r="IA273" i="1"/>
  <c r="IB273" i="1"/>
  <c r="IC273" i="1"/>
  <c r="ID273" i="1"/>
  <c r="IE273" i="1"/>
  <c r="IF273" i="1"/>
  <c r="IG273" i="1"/>
  <c r="IH273" i="1"/>
  <c r="II273" i="1"/>
  <c r="IJ273" i="1"/>
  <c r="IK273" i="1"/>
  <c r="IL273" i="1"/>
  <c r="IM273" i="1"/>
  <c r="IN273" i="1"/>
  <c r="IO273" i="1"/>
  <c r="IP273" i="1"/>
  <c r="IQ273" i="1"/>
  <c r="IR273" i="1"/>
  <c r="IS273" i="1"/>
  <c r="IT273" i="1"/>
  <c r="IU273" i="1"/>
  <c r="IV273" i="1"/>
  <c r="IW273" i="1"/>
  <c r="IX273" i="1"/>
  <c r="IY273" i="1"/>
  <c r="IZ273" i="1"/>
  <c r="JA273" i="1"/>
  <c r="JB273" i="1"/>
  <c r="JC273" i="1"/>
  <c r="JD273" i="1"/>
  <c r="JE273" i="1"/>
  <c r="JF273" i="1"/>
  <c r="JG273" i="1"/>
  <c r="JH273" i="1"/>
  <c r="JI273" i="1"/>
  <c r="JJ273" i="1"/>
  <c r="JK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B274" i="1"/>
  <c r="CC274" i="1"/>
  <c r="CD274" i="1"/>
  <c r="CE274" i="1"/>
  <c r="CF274" i="1"/>
  <c r="CG274" i="1"/>
  <c r="CH274" i="1"/>
  <c r="CI274" i="1"/>
  <c r="CJ274" i="1"/>
  <c r="CK274" i="1"/>
  <c r="CL274" i="1"/>
  <c r="CM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G274" i="1"/>
  <c r="DH274" i="1"/>
  <c r="DI274" i="1"/>
  <c r="DJ274" i="1"/>
  <c r="DK274" i="1"/>
  <c r="DL274" i="1"/>
  <c r="DM274" i="1"/>
  <c r="DN274" i="1"/>
  <c r="DO274" i="1"/>
  <c r="DP274" i="1"/>
  <c r="DQ274" i="1"/>
  <c r="DR274" i="1"/>
  <c r="DS274" i="1"/>
  <c r="DT274" i="1"/>
  <c r="DU274" i="1"/>
  <c r="DV274" i="1"/>
  <c r="DW274" i="1"/>
  <c r="DX274" i="1"/>
  <c r="DY274" i="1"/>
  <c r="DZ274" i="1"/>
  <c r="EA274" i="1"/>
  <c r="EB274" i="1"/>
  <c r="EC274" i="1"/>
  <c r="ED274" i="1"/>
  <c r="EE274" i="1"/>
  <c r="EF274" i="1"/>
  <c r="EG274" i="1"/>
  <c r="EH274" i="1"/>
  <c r="EI274" i="1"/>
  <c r="EJ274" i="1"/>
  <c r="EK274" i="1"/>
  <c r="EL274" i="1"/>
  <c r="EM274" i="1"/>
  <c r="EN274" i="1"/>
  <c r="EO274" i="1"/>
  <c r="EP274" i="1"/>
  <c r="EQ274" i="1"/>
  <c r="ER274" i="1"/>
  <c r="ES274" i="1"/>
  <c r="ET274" i="1"/>
  <c r="EU274" i="1"/>
  <c r="EV274" i="1"/>
  <c r="EW274" i="1"/>
  <c r="EX274" i="1"/>
  <c r="EY274" i="1"/>
  <c r="EZ274" i="1"/>
  <c r="FA274" i="1"/>
  <c r="FB274" i="1"/>
  <c r="FC274" i="1"/>
  <c r="FD274" i="1"/>
  <c r="FE274" i="1"/>
  <c r="FF274" i="1"/>
  <c r="FG274" i="1"/>
  <c r="FH274" i="1"/>
  <c r="FI274" i="1"/>
  <c r="FJ274" i="1"/>
  <c r="FK274" i="1"/>
  <c r="FL274" i="1"/>
  <c r="FM274" i="1"/>
  <c r="FN274" i="1"/>
  <c r="FO274" i="1"/>
  <c r="FP274" i="1"/>
  <c r="FQ274" i="1"/>
  <c r="FR274" i="1"/>
  <c r="FS274" i="1"/>
  <c r="FT274" i="1"/>
  <c r="FU274" i="1"/>
  <c r="FV274" i="1"/>
  <c r="FW274" i="1"/>
  <c r="FX274" i="1"/>
  <c r="FY274" i="1"/>
  <c r="FZ274" i="1"/>
  <c r="GA274" i="1"/>
  <c r="GB274" i="1"/>
  <c r="GC274" i="1"/>
  <c r="GD274" i="1"/>
  <c r="GE274" i="1"/>
  <c r="GF274" i="1"/>
  <c r="GG274" i="1"/>
  <c r="GH274" i="1"/>
  <c r="GI274" i="1"/>
  <c r="GJ274" i="1"/>
  <c r="GK274" i="1"/>
  <c r="GL274" i="1"/>
  <c r="GM274" i="1"/>
  <c r="GN274" i="1"/>
  <c r="GO274" i="1"/>
  <c r="GP274" i="1"/>
  <c r="GQ274" i="1"/>
  <c r="GR274" i="1"/>
  <c r="GS274" i="1"/>
  <c r="GT274" i="1"/>
  <c r="GU274" i="1"/>
  <c r="GV274" i="1"/>
  <c r="GW274" i="1"/>
  <c r="GX274" i="1"/>
  <c r="GY274" i="1"/>
  <c r="GZ274" i="1"/>
  <c r="HA274" i="1"/>
  <c r="HB274" i="1"/>
  <c r="HC274" i="1"/>
  <c r="HD274" i="1"/>
  <c r="HE274" i="1"/>
  <c r="HF274" i="1"/>
  <c r="HG274" i="1"/>
  <c r="HH274" i="1"/>
  <c r="HI274" i="1"/>
  <c r="HJ274" i="1"/>
  <c r="HK274" i="1"/>
  <c r="HL274" i="1"/>
  <c r="HM274" i="1"/>
  <c r="HN274" i="1"/>
  <c r="HO274" i="1"/>
  <c r="HP274" i="1"/>
  <c r="HQ274" i="1"/>
  <c r="HR274" i="1"/>
  <c r="HS274" i="1"/>
  <c r="HT274" i="1"/>
  <c r="HU274" i="1"/>
  <c r="HV274" i="1"/>
  <c r="HW274" i="1"/>
  <c r="HX274" i="1"/>
  <c r="HY274" i="1"/>
  <c r="HZ274" i="1"/>
  <c r="IA274" i="1"/>
  <c r="IB274" i="1"/>
  <c r="IC274" i="1"/>
  <c r="ID274" i="1"/>
  <c r="IE274" i="1"/>
  <c r="IF274" i="1"/>
  <c r="IG274" i="1"/>
  <c r="IH274" i="1"/>
  <c r="II274" i="1"/>
  <c r="IJ274" i="1"/>
  <c r="IK274" i="1"/>
  <c r="IL274" i="1"/>
  <c r="IM274" i="1"/>
  <c r="IN274" i="1"/>
  <c r="IO274" i="1"/>
  <c r="IP274" i="1"/>
  <c r="IQ274" i="1"/>
  <c r="IR274" i="1"/>
  <c r="IS274" i="1"/>
  <c r="IT274" i="1"/>
  <c r="IU274" i="1"/>
  <c r="IV274" i="1"/>
  <c r="IW274" i="1"/>
  <c r="IX274" i="1"/>
  <c r="IY274" i="1"/>
  <c r="IZ274" i="1"/>
  <c r="JA274" i="1"/>
  <c r="JB274" i="1"/>
  <c r="JC274" i="1"/>
  <c r="JD274" i="1"/>
  <c r="JE274" i="1"/>
  <c r="JF274" i="1"/>
  <c r="JG274" i="1"/>
  <c r="JH274" i="1"/>
  <c r="JI274" i="1"/>
  <c r="JJ274" i="1"/>
  <c r="JK274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CB276" i="1"/>
  <c r="CC276" i="1"/>
  <c r="CD276" i="1"/>
  <c r="CE276" i="1"/>
  <c r="CF276" i="1"/>
  <c r="CG276" i="1"/>
  <c r="CH276" i="1"/>
  <c r="CI276" i="1"/>
  <c r="CJ276" i="1"/>
  <c r="CK276" i="1"/>
  <c r="CL276" i="1"/>
  <c r="CM276" i="1"/>
  <c r="CN276" i="1"/>
  <c r="CO276" i="1"/>
  <c r="CP276" i="1"/>
  <c r="CQ276" i="1"/>
  <c r="CR276" i="1"/>
  <c r="CS276" i="1"/>
  <c r="CT276" i="1"/>
  <c r="CU276" i="1"/>
  <c r="CV276" i="1"/>
  <c r="CW276" i="1"/>
  <c r="CX276" i="1"/>
  <c r="CY276" i="1"/>
  <c r="CZ276" i="1"/>
  <c r="DA276" i="1"/>
  <c r="DB276" i="1"/>
  <c r="DC276" i="1"/>
  <c r="DD276" i="1"/>
  <c r="DE276" i="1"/>
  <c r="DF276" i="1"/>
  <c r="DG276" i="1"/>
  <c r="DH276" i="1"/>
  <c r="DI276" i="1"/>
  <c r="DJ276" i="1"/>
  <c r="DK276" i="1"/>
  <c r="DL276" i="1"/>
  <c r="DM276" i="1"/>
  <c r="DN276" i="1"/>
  <c r="DO276" i="1"/>
  <c r="DP276" i="1"/>
  <c r="DQ276" i="1"/>
  <c r="DR276" i="1"/>
  <c r="DS276" i="1"/>
  <c r="DT276" i="1"/>
  <c r="DU276" i="1"/>
  <c r="DV276" i="1"/>
  <c r="DW276" i="1"/>
  <c r="DX276" i="1"/>
  <c r="DY276" i="1"/>
  <c r="DZ276" i="1"/>
  <c r="EA276" i="1"/>
  <c r="EB276" i="1"/>
  <c r="EC276" i="1"/>
  <c r="ED276" i="1"/>
  <c r="EE276" i="1"/>
  <c r="EF276" i="1"/>
  <c r="EG276" i="1"/>
  <c r="EH276" i="1"/>
  <c r="EI276" i="1"/>
  <c r="EJ276" i="1"/>
  <c r="EK276" i="1"/>
  <c r="EL276" i="1"/>
  <c r="EM276" i="1"/>
  <c r="EN276" i="1"/>
  <c r="EO276" i="1"/>
  <c r="EP276" i="1"/>
  <c r="EQ276" i="1"/>
  <c r="ER276" i="1"/>
  <c r="ES276" i="1"/>
  <c r="ET276" i="1"/>
  <c r="EU276" i="1"/>
  <c r="EV276" i="1"/>
  <c r="EW276" i="1"/>
  <c r="EX276" i="1"/>
  <c r="EY276" i="1"/>
  <c r="EZ276" i="1"/>
  <c r="FA276" i="1"/>
  <c r="FB276" i="1"/>
  <c r="FC276" i="1"/>
  <c r="FD276" i="1"/>
  <c r="FE276" i="1"/>
  <c r="FF276" i="1"/>
  <c r="FG276" i="1"/>
  <c r="FH276" i="1"/>
  <c r="FI276" i="1"/>
  <c r="FJ276" i="1"/>
  <c r="FK276" i="1"/>
  <c r="FL276" i="1"/>
  <c r="FM276" i="1"/>
  <c r="FN276" i="1"/>
  <c r="FO276" i="1"/>
  <c r="FP276" i="1"/>
  <c r="FQ276" i="1"/>
  <c r="FR276" i="1"/>
  <c r="FS276" i="1"/>
  <c r="FT276" i="1"/>
  <c r="FU276" i="1"/>
  <c r="FV276" i="1"/>
  <c r="FW276" i="1"/>
  <c r="FX276" i="1"/>
  <c r="FY276" i="1"/>
  <c r="FZ276" i="1"/>
  <c r="GA276" i="1"/>
  <c r="GB276" i="1"/>
  <c r="GC276" i="1"/>
  <c r="GD276" i="1"/>
  <c r="GE276" i="1"/>
  <c r="GF276" i="1"/>
  <c r="GG276" i="1"/>
  <c r="GH276" i="1"/>
  <c r="GI276" i="1"/>
  <c r="GJ276" i="1"/>
  <c r="GK276" i="1"/>
  <c r="GL276" i="1"/>
  <c r="GM276" i="1"/>
  <c r="GN276" i="1"/>
  <c r="GO276" i="1"/>
  <c r="GP276" i="1"/>
  <c r="GQ276" i="1"/>
  <c r="GR276" i="1"/>
  <c r="GS276" i="1"/>
  <c r="GT276" i="1"/>
  <c r="GU276" i="1"/>
  <c r="GV276" i="1"/>
  <c r="GW276" i="1"/>
  <c r="GX276" i="1"/>
  <c r="GY276" i="1"/>
  <c r="GZ276" i="1"/>
  <c r="HA276" i="1"/>
  <c r="HB276" i="1"/>
  <c r="HC276" i="1"/>
  <c r="HD276" i="1"/>
  <c r="HE276" i="1"/>
  <c r="HF276" i="1"/>
  <c r="HG276" i="1"/>
  <c r="HH276" i="1"/>
  <c r="HI276" i="1"/>
  <c r="HJ276" i="1"/>
  <c r="HK276" i="1"/>
  <c r="HL276" i="1"/>
  <c r="HM276" i="1"/>
  <c r="HN276" i="1"/>
  <c r="HO276" i="1"/>
  <c r="HP276" i="1"/>
  <c r="HQ276" i="1"/>
  <c r="HR276" i="1"/>
  <c r="HS276" i="1"/>
  <c r="HT276" i="1"/>
  <c r="HU276" i="1"/>
  <c r="HV276" i="1"/>
  <c r="HW276" i="1"/>
  <c r="HX276" i="1"/>
  <c r="HY276" i="1"/>
  <c r="HZ276" i="1"/>
  <c r="IA276" i="1"/>
  <c r="IB276" i="1"/>
  <c r="IC276" i="1"/>
  <c r="ID276" i="1"/>
  <c r="IE276" i="1"/>
  <c r="IF276" i="1"/>
  <c r="IG276" i="1"/>
  <c r="IH276" i="1"/>
  <c r="II276" i="1"/>
  <c r="IJ276" i="1"/>
  <c r="IK276" i="1"/>
  <c r="IL276" i="1"/>
  <c r="IM276" i="1"/>
  <c r="IN276" i="1"/>
  <c r="IO276" i="1"/>
  <c r="IP276" i="1"/>
  <c r="IQ276" i="1"/>
  <c r="IR276" i="1"/>
  <c r="IS276" i="1"/>
  <c r="IT276" i="1"/>
  <c r="IU276" i="1"/>
  <c r="IV276" i="1"/>
  <c r="IW276" i="1"/>
  <c r="IX276" i="1"/>
  <c r="IY276" i="1"/>
  <c r="IZ276" i="1"/>
  <c r="JA276" i="1"/>
  <c r="JB276" i="1"/>
  <c r="JC276" i="1"/>
  <c r="JD276" i="1"/>
  <c r="JE276" i="1"/>
  <c r="JF276" i="1"/>
  <c r="JG276" i="1"/>
  <c r="JH276" i="1"/>
  <c r="JI276" i="1"/>
  <c r="JJ276" i="1"/>
  <c r="JK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CJ277" i="1"/>
  <c r="CK277" i="1"/>
  <c r="CL277" i="1"/>
  <c r="CM277" i="1"/>
  <c r="CN277" i="1"/>
  <c r="CO277" i="1"/>
  <c r="CP277" i="1"/>
  <c r="CQ277" i="1"/>
  <c r="CR277" i="1"/>
  <c r="CS277" i="1"/>
  <c r="CT277" i="1"/>
  <c r="CU277" i="1"/>
  <c r="CV277" i="1"/>
  <c r="CW277" i="1"/>
  <c r="CX277" i="1"/>
  <c r="CY277" i="1"/>
  <c r="CZ277" i="1"/>
  <c r="DA277" i="1"/>
  <c r="DB277" i="1"/>
  <c r="DC277" i="1"/>
  <c r="DD277" i="1"/>
  <c r="DE277" i="1"/>
  <c r="DF277" i="1"/>
  <c r="DG277" i="1"/>
  <c r="DH277" i="1"/>
  <c r="DI277" i="1"/>
  <c r="DJ277" i="1"/>
  <c r="DK277" i="1"/>
  <c r="DL277" i="1"/>
  <c r="DM277" i="1"/>
  <c r="DN277" i="1"/>
  <c r="DO277" i="1"/>
  <c r="DP277" i="1"/>
  <c r="DQ277" i="1"/>
  <c r="DR277" i="1"/>
  <c r="DS277" i="1"/>
  <c r="DT277" i="1"/>
  <c r="DU277" i="1"/>
  <c r="DV277" i="1"/>
  <c r="DW277" i="1"/>
  <c r="DX277" i="1"/>
  <c r="DY277" i="1"/>
  <c r="DZ277" i="1"/>
  <c r="EA277" i="1"/>
  <c r="EB277" i="1"/>
  <c r="EC277" i="1"/>
  <c r="ED277" i="1"/>
  <c r="EE277" i="1"/>
  <c r="EF277" i="1"/>
  <c r="EG277" i="1"/>
  <c r="EH277" i="1"/>
  <c r="EI277" i="1"/>
  <c r="EJ277" i="1"/>
  <c r="EK277" i="1"/>
  <c r="EL277" i="1"/>
  <c r="EM277" i="1"/>
  <c r="EN277" i="1"/>
  <c r="EO277" i="1"/>
  <c r="EP277" i="1"/>
  <c r="EQ277" i="1"/>
  <c r="ER277" i="1"/>
  <c r="ES277" i="1"/>
  <c r="ET277" i="1"/>
  <c r="EU277" i="1"/>
  <c r="EV277" i="1"/>
  <c r="EW277" i="1"/>
  <c r="EX277" i="1"/>
  <c r="EY277" i="1"/>
  <c r="EZ277" i="1"/>
  <c r="FA277" i="1"/>
  <c r="FB277" i="1"/>
  <c r="FC277" i="1"/>
  <c r="FD277" i="1"/>
  <c r="FE277" i="1"/>
  <c r="FF277" i="1"/>
  <c r="FG277" i="1"/>
  <c r="FH277" i="1"/>
  <c r="FI277" i="1"/>
  <c r="FJ277" i="1"/>
  <c r="FK277" i="1"/>
  <c r="FL277" i="1"/>
  <c r="FM277" i="1"/>
  <c r="FN277" i="1"/>
  <c r="FO277" i="1"/>
  <c r="FP277" i="1"/>
  <c r="FQ277" i="1"/>
  <c r="FR277" i="1"/>
  <c r="FS277" i="1"/>
  <c r="FT277" i="1"/>
  <c r="FU277" i="1"/>
  <c r="FV277" i="1"/>
  <c r="FW277" i="1"/>
  <c r="FX277" i="1"/>
  <c r="FY277" i="1"/>
  <c r="FZ277" i="1"/>
  <c r="GA277" i="1"/>
  <c r="GB277" i="1"/>
  <c r="GC277" i="1"/>
  <c r="GD277" i="1"/>
  <c r="GE277" i="1"/>
  <c r="GF277" i="1"/>
  <c r="GG277" i="1"/>
  <c r="GH277" i="1"/>
  <c r="GI277" i="1"/>
  <c r="GJ277" i="1"/>
  <c r="GK277" i="1"/>
  <c r="GL277" i="1"/>
  <c r="GM277" i="1"/>
  <c r="GN277" i="1"/>
  <c r="GO277" i="1"/>
  <c r="GP277" i="1"/>
  <c r="GQ277" i="1"/>
  <c r="GR277" i="1"/>
  <c r="GS277" i="1"/>
  <c r="GT277" i="1"/>
  <c r="GU277" i="1"/>
  <c r="GV277" i="1"/>
  <c r="GW277" i="1"/>
  <c r="GX277" i="1"/>
  <c r="GY277" i="1"/>
  <c r="GZ277" i="1"/>
  <c r="HA277" i="1"/>
  <c r="HB277" i="1"/>
  <c r="HC277" i="1"/>
  <c r="HD277" i="1"/>
  <c r="HE277" i="1"/>
  <c r="HF277" i="1"/>
  <c r="HG277" i="1"/>
  <c r="HH277" i="1"/>
  <c r="HI277" i="1"/>
  <c r="HJ277" i="1"/>
  <c r="HK277" i="1"/>
  <c r="HL277" i="1"/>
  <c r="HM277" i="1"/>
  <c r="HN277" i="1"/>
  <c r="HO277" i="1"/>
  <c r="HP277" i="1"/>
  <c r="HQ277" i="1"/>
  <c r="HR277" i="1"/>
  <c r="HS277" i="1"/>
  <c r="HT277" i="1"/>
  <c r="HU277" i="1"/>
  <c r="HV277" i="1"/>
  <c r="HW277" i="1"/>
  <c r="HX277" i="1"/>
  <c r="HY277" i="1"/>
  <c r="HZ277" i="1"/>
  <c r="IA277" i="1"/>
  <c r="IB277" i="1"/>
  <c r="IC277" i="1"/>
  <c r="ID277" i="1"/>
  <c r="IE277" i="1"/>
  <c r="IF277" i="1"/>
  <c r="IG277" i="1"/>
  <c r="IH277" i="1"/>
  <c r="II277" i="1"/>
  <c r="IJ277" i="1"/>
  <c r="IK277" i="1"/>
  <c r="IL277" i="1"/>
  <c r="IM277" i="1"/>
  <c r="IN277" i="1"/>
  <c r="IO277" i="1"/>
  <c r="IP277" i="1"/>
  <c r="IQ277" i="1"/>
  <c r="IR277" i="1"/>
  <c r="IS277" i="1"/>
  <c r="IT277" i="1"/>
  <c r="IU277" i="1"/>
  <c r="IV277" i="1"/>
  <c r="IW277" i="1"/>
  <c r="IX277" i="1"/>
  <c r="IY277" i="1"/>
  <c r="IZ277" i="1"/>
  <c r="JA277" i="1"/>
  <c r="JB277" i="1"/>
  <c r="JC277" i="1"/>
  <c r="JD277" i="1"/>
  <c r="JE277" i="1"/>
  <c r="JF277" i="1"/>
  <c r="JG277" i="1"/>
  <c r="JH277" i="1"/>
  <c r="JI277" i="1"/>
  <c r="JJ277" i="1"/>
  <c r="JK277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CJ279" i="1"/>
  <c r="CK279" i="1"/>
  <c r="CL279" i="1"/>
  <c r="CM279" i="1"/>
  <c r="CN279" i="1"/>
  <c r="CO279" i="1"/>
  <c r="CP279" i="1"/>
  <c r="CQ279" i="1"/>
  <c r="CR279" i="1"/>
  <c r="CS279" i="1"/>
  <c r="CT279" i="1"/>
  <c r="CU279" i="1"/>
  <c r="CV279" i="1"/>
  <c r="CW279" i="1"/>
  <c r="CX279" i="1"/>
  <c r="CY279" i="1"/>
  <c r="CZ279" i="1"/>
  <c r="DA279" i="1"/>
  <c r="DB279" i="1"/>
  <c r="DC279" i="1"/>
  <c r="DD279" i="1"/>
  <c r="DE279" i="1"/>
  <c r="DF279" i="1"/>
  <c r="DG279" i="1"/>
  <c r="DH279" i="1"/>
  <c r="DI279" i="1"/>
  <c r="DJ279" i="1"/>
  <c r="DK279" i="1"/>
  <c r="DL279" i="1"/>
  <c r="DM279" i="1"/>
  <c r="DN279" i="1"/>
  <c r="DO279" i="1"/>
  <c r="DP279" i="1"/>
  <c r="DQ279" i="1"/>
  <c r="DR279" i="1"/>
  <c r="DS279" i="1"/>
  <c r="DT279" i="1"/>
  <c r="DU279" i="1"/>
  <c r="DV279" i="1"/>
  <c r="DW279" i="1"/>
  <c r="DX279" i="1"/>
  <c r="DY279" i="1"/>
  <c r="DZ279" i="1"/>
  <c r="EA279" i="1"/>
  <c r="EB279" i="1"/>
  <c r="EC279" i="1"/>
  <c r="ED279" i="1"/>
  <c r="EE279" i="1"/>
  <c r="EF279" i="1"/>
  <c r="EG279" i="1"/>
  <c r="EH279" i="1"/>
  <c r="EI279" i="1"/>
  <c r="EJ279" i="1"/>
  <c r="EK279" i="1"/>
  <c r="EL279" i="1"/>
  <c r="EM279" i="1"/>
  <c r="EN279" i="1"/>
  <c r="EO279" i="1"/>
  <c r="EP279" i="1"/>
  <c r="EQ279" i="1"/>
  <c r="ER279" i="1"/>
  <c r="ES279" i="1"/>
  <c r="ET279" i="1"/>
  <c r="EU279" i="1"/>
  <c r="EV279" i="1"/>
  <c r="EW279" i="1"/>
  <c r="EX279" i="1"/>
  <c r="EY279" i="1"/>
  <c r="EZ279" i="1"/>
  <c r="FA279" i="1"/>
  <c r="FB279" i="1"/>
  <c r="FC279" i="1"/>
  <c r="FD279" i="1"/>
  <c r="FE279" i="1"/>
  <c r="FF279" i="1"/>
  <c r="FG279" i="1"/>
  <c r="FH279" i="1"/>
  <c r="FI279" i="1"/>
  <c r="FJ279" i="1"/>
  <c r="FK279" i="1"/>
  <c r="FL279" i="1"/>
  <c r="FM279" i="1"/>
  <c r="FN279" i="1"/>
  <c r="FO279" i="1"/>
  <c r="FP279" i="1"/>
  <c r="FQ279" i="1"/>
  <c r="FR279" i="1"/>
  <c r="FS279" i="1"/>
  <c r="FT279" i="1"/>
  <c r="FU279" i="1"/>
  <c r="FV279" i="1"/>
  <c r="FW279" i="1"/>
  <c r="FX279" i="1"/>
  <c r="FY279" i="1"/>
  <c r="FZ279" i="1"/>
  <c r="GA279" i="1"/>
  <c r="GB279" i="1"/>
  <c r="GC279" i="1"/>
  <c r="GD279" i="1"/>
  <c r="GE279" i="1"/>
  <c r="GF279" i="1"/>
  <c r="GG279" i="1"/>
  <c r="GH279" i="1"/>
  <c r="GI279" i="1"/>
  <c r="GJ279" i="1"/>
  <c r="GK279" i="1"/>
  <c r="GL279" i="1"/>
  <c r="GM279" i="1"/>
  <c r="GN279" i="1"/>
  <c r="GO279" i="1"/>
  <c r="GP279" i="1"/>
  <c r="GQ279" i="1"/>
  <c r="GR279" i="1"/>
  <c r="GS279" i="1"/>
  <c r="GT279" i="1"/>
  <c r="GU279" i="1"/>
  <c r="GV279" i="1"/>
  <c r="GW279" i="1"/>
  <c r="GX279" i="1"/>
  <c r="GY279" i="1"/>
  <c r="GZ279" i="1"/>
  <c r="HA279" i="1"/>
  <c r="HB279" i="1"/>
  <c r="HC279" i="1"/>
  <c r="HD279" i="1"/>
  <c r="HE279" i="1"/>
  <c r="HF279" i="1"/>
  <c r="HG279" i="1"/>
  <c r="HH279" i="1"/>
  <c r="HI279" i="1"/>
  <c r="HJ279" i="1"/>
  <c r="HK279" i="1"/>
  <c r="HL279" i="1"/>
  <c r="HM279" i="1"/>
  <c r="HN279" i="1"/>
  <c r="HO279" i="1"/>
  <c r="HP279" i="1"/>
  <c r="HQ279" i="1"/>
  <c r="HR279" i="1"/>
  <c r="HS279" i="1"/>
  <c r="HT279" i="1"/>
  <c r="HU279" i="1"/>
  <c r="HV279" i="1"/>
  <c r="HW279" i="1"/>
  <c r="HX279" i="1"/>
  <c r="HY279" i="1"/>
  <c r="HZ279" i="1"/>
  <c r="IA279" i="1"/>
  <c r="IB279" i="1"/>
  <c r="IC279" i="1"/>
  <c r="ID279" i="1"/>
  <c r="IE279" i="1"/>
  <c r="IF279" i="1"/>
  <c r="IG279" i="1"/>
  <c r="IH279" i="1"/>
  <c r="II279" i="1"/>
  <c r="IJ279" i="1"/>
  <c r="IK279" i="1"/>
  <c r="IL279" i="1"/>
  <c r="IM279" i="1"/>
  <c r="IN279" i="1"/>
  <c r="IO279" i="1"/>
  <c r="IP279" i="1"/>
  <c r="IQ279" i="1"/>
  <c r="IR279" i="1"/>
  <c r="IS279" i="1"/>
  <c r="IT279" i="1"/>
  <c r="IU279" i="1"/>
  <c r="IV279" i="1"/>
  <c r="IW279" i="1"/>
  <c r="IX279" i="1"/>
  <c r="IY279" i="1"/>
  <c r="IZ279" i="1"/>
  <c r="JA279" i="1"/>
  <c r="JB279" i="1"/>
  <c r="JC279" i="1"/>
  <c r="JD279" i="1"/>
  <c r="JE279" i="1"/>
  <c r="JF279" i="1"/>
  <c r="JG279" i="1"/>
  <c r="JH279" i="1"/>
  <c r="JI279" i="1"/>
  <c r="JJ279" i="1"/>
  <c r="JK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CJ280" i="1"/>
  <c r="CK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G280" i="1"/>
  <c r="DH280" i="1"/>
  <c r="DI280" i="1"/>
  <c r="DJ280" i="1"/>
  <c r="DK280" i="1"/>
  <c r="DL280" i="1"/>
  <c r="DM280" i="1"/>
  <c r="DN280" i="1"/>
  <c r="DO280" i="1"/>
  <c r="DP280" i="1"/>
  <c r="DQ280" i="1"/>
  <c r="DR280" i="1"/>
  <c r="DS280" i="1"/>
  <c r="DT280" i="1"/>
  <c r="DU280" i="1"/>
  <c r="DV280" i="1"/>
  <c r="DW280" i="1"/>
  <c r="DX280" i="1"/>
  <c r="DY280" i="1"/>
  <c r="DZ280" i="1"/>
  <c r="EA280" i="1"/>
  <c r="EB280" i="1"/>
  <c r="EC280" i="1"/>
  <c r="ED280" i="1"/>
  <c r="EE280" i="1"/>
  <c r="EF280" i="1"/>
  <c r="EG280" i="1"/>
  <c r="EH280" i="1"/>
  <c r="EI280" i="1"/>
  <c r="EJ280" i="1"/>
  <c r="EK280" i="1"/>
  <c r="EL280" i="1"/>
  <c r="EM280" i="1"/>
  <c r="EN280" i="1"/>
  <c r="EO280" i="1"/>
  <c r="EP280" i="1"/>
  <c r="EQ280" i="1"/>
  <c r="ER280" i="1"/>
  <c r="ES280" i="1"/>
  <c r="ET280" i="1"/>
  <c r="EU280" i="1"/>
  <c r="EV280" i="1"/>
  <c r="EW280" i="1"/>
  <c r="EX280" i="1"/>
  <c r="EY280" i="1"/>
  <c r="EZ280" i="1"/>
  <c r="FA280" i="1"/>
  <c r="FB280" i="1"/>
  <c r="FC280" i="1"/>
  <c r="FD280" i="1"/>
  <c r="FE280" i="1"/>
  <c r="FF280" i="1"/>
  <c r="FG280" i="1"/>
  <c r="FH280" i="1"/>
  <c r="FI280" i="1"/>
  <c r="FJ280" i="1"/>
  <c r="FK280" i="1"/>
  <c r="FL280" i="1"/>
  <c r="FM280" i="1"/>
  <c r="FN280" i="1"/>
  <c r="FO280" i="1"/>
  <c r="FP280" i="1"/>
  <c r="FQ280" i="1"/>
  <c r="FR280" i="1"/>
  <c r="FS280" i="1"/>
  <c r="FT280" i="1"/>
  <c r="FU280" i="1"/>
  <c r="FV280" i="1"/>
  <c r="FW280" i="1"/>
  <c r="FX280" i="1"/>
  <c r="FY280" i="1"/>
  <c r="FZ280" i="1"/>
  <c r="GA280" i="1"/>
  <c r="GB280" i="1"/>
  <c r="GC280" i="1"/>
  <c r="GD280" i="1"/>
  <c r="GE280" i="1"/>
  <c r="GF280" i="1"/>
  <c r="GG280" i="1"/>
  <c r="GH280" i="1"/>
  <c r="GI280" i="1"/>
  <c r="GJ280" i="1"/>
  <c r="GK280" i="1"/>
  <c r="GL280" i="1"/>
  <c r="GM280" i="1"/>
  <c r="GN280" i="1"/>
  <c r="GO280" i="1"/>
  <c r="GP280" i="1"/>
  <c r="GQ280" i="1"/>
  <c r="GR280" i="1"/>
  <c r="GS280" i="1"/>
  <c r="GT280" i="1"/>
  <c r="GU280" i="1"/>
  <c r="GV280" i="1"/>
  <c r="GW280" i="1"/>
  <c r="GX280" i="1"/>
  <c r="GY280" i="1"/>
  <c r="GZ280" i="1"/>
  <c r="HA280" i="1"/>
  <c r="HB280" i="1"/>
  <c r="HC280" i="1"/>
  <c r="HD280" i="1"/>
  <c r="HE280" i="1"/>
  <c r="HF280" i="1"/>
  <c r="HG280" i="1"/>
  <c r="HH280" i="1"/>
  <c r="HI280" i="1"/>
  <c r="HJ280" i="1"/>
  <c r="HK280" i="1"/>
  <c r="HL280" i="1"/>
  <c r="HM280" i="1"/>
  <c r="HN280" i="1"/>
  <c r="HO280" i="1"/>
  <c r="HP280" i="1"/>
  <c r="HQ280" i="1"/>
  <c r="HR280" i="1"/>
  <c r="HS280" i="1"/>
  <c r="HT280" i="1"/>
  <c r="HU280" i="1"/>
  <c r="HV280" i="1"/>
  <c r="HW280" i="1"/>
  <c r="HX280" i="1"/>
  <c r="HY280" i="1"/>
  <c r="HZ280" i="1"/>
  <c r="IA280" i="1"/>
  <c r="IB280" i="1"/>
  <c r="IC280" i="1"/>
  <c r="ID280" i="1"/>
  <c r="IE280" i="1"/>
  <c r="IF280" i="1"/>
  <c r="IG280" i="1"/>
  <c r="IH280" i="1"/>
  <c r="II280" i="1"/>
  <c r="IJ280" i="1"/>
  <c r="IK280" i="1"/>
  <c r="IL280" i="1"/>
  <c r="IM280" i="1"/>
  <c r="IN280" i="1"/>
  <c r="IO280" i="1"/>
  <c r="IP280" i="1"/>
  <c r="IQ280" i="1"/>
  <c r="IR280" i="1"/>
  <c r="IS280" i="1"/>
  <c r="IT280" i="1"/>
  <c r="IU280" i="1"/>
  <c r="IV280" i="1"/>
  <c r="IW280" i="1"/>
  <c r="IX280" i="1"/>
  <c r="IY280" i="1"/>
  <c r="IZ280" i="1"/>
  <c r="JA280" i="1"/>
  <c r="JB280" i="1"/>
  <c r="JC280" i="1"/>
  <c r="JD280" i="1"/>
  <c r="JE280" i="1"/>
  <c r="JF280" i="1"/>
  <c r="JG280" i="1"/>
  <c r="JH280" i="1"/>
  <c r="JI280" i="1"/>
  <c r="JJ280" i="1"/>
  <c r="JK280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H282" i="1"/>
  <c r="DI282" i="1"/>
  <c r="DJ282" i="1"/>
  <c r="DK282" i="1"/>
  <c r="DL282" i="1"/>
  <c r="DM282" i="1"/>
  <c r="DN282" i="1"/>
  <c r="DO282" i="1"/>
  <c r="DP282" i="1"/>
  <c r="DQ282" i="1"/>
  <c r="DR282" i="1"/>
  <c r="DS282" i="1"/>
  <c r="DT282" i="1"/>
  <c r="DU282" i="1"/>
  <c r="DV282" i="1"/>
  <c r="DW282" i="1"/>
  <c r="DX282" i="1"/>
  <c r="DY282" i="1"/>
  <c r="DZ282" i="1"/>
  <c r="EA282" i="1"/>
  <c r="EB282" i="1"/>
  <c r="EC282" i="1"/>
  <c r="ED282" i="1"/>
  <c r="EE282" i="1"/>
  <c r="EF282" i="1"/>
  <c r="EG282" i="1"/>
  <c r="EH282" i="1"/>
  <c r="EI282" i="1"/>
  <c r="EJ282" i="1"/>
  <c r="EK282" i="1"/>
  <c r="EL282" i="1"/>
  <c r="EM282" i="1"/>
  <c r="EN282" i="1"/>
  <c r="EO282" i="1"/>
  <c r="EP282" i="1"/>
  <c r="EQ282" i="1"/>
  <c r="ER282" i="1"/>
  <c r="ES282" i="1"/>
  <c r="ET282" i="1"/>
  <c r="EU282" i="1"/>
  <c r="EV282" i="1"/>
  <c r="EW282" i="1"/>
  <c r="EX282" i="1"/>
  <c r="EY282" i="1"/>
  <c r="EZ282" i="1"/>
  <c r="FA282" i="1"/>
  <c r="FB282" i="1"/>
  <c r="FC282" i="1"/>
  <c r="FD282" i="1"/>
  <c r="FE282" i="1"/>
  <c r="FF282" i="1"/>
  <c r="FG282" i="1"/>
  <c r="FH282" i="1"/>
  <c r="FI282" i="1"/>
  <c r="FJ282" i="1"/>
  <c r="FK282" i="1"/>
  <c r="FL282" i="1"/>
  <c r="FM282" i="1"/>
  <c r="FN282" i="1"/>
  <c r="FO282" i="1"/>
  <c r="FP282" i="1"/>
  <c r="FQ282" i="1"/>
  <c r="FR282" i="1"/>
  <c r="FS282" i="1"/>
  <c r="FT282" i="1"/>
  <c r="FU282" i="1"/>
  <c r="FV282" i="1"/>
  <c r="FW282" i="1"/>
  <c r="FX282" i="1"/>
  <c r="FY282" i="1"/>
  <c r="FZ282" i="1"/>
  <c r="GA282" i="1"/>
  <c r="GB282" i="1"/>
  <c r="GC282" i="1"/>
  <c r="GD282" i="1"/>
  <c r="GE282" i="1"/>
  <c r="GF282" i="1"/>
  <c r="GG282" i="1"/>
  <c r="GH282" i="1"/>
  <c r="GI282" i="1"/>
  <c r="GJ282" i="1"/>
  <c r="GK282" i="1"/>
  <c r="GL282" i="1"/>
  <c r="GM282" i="1"/>
  <c r="GN282" i="1"/>
  <c r="GO282" i="1"/>
  <c r="GP282" i="1"/>
  <c r="GQ282" i="1"/>
  <c r="GR282" i="1"/>
  <c r="GS282" i="1"/>
  <c r="GT282" i="1"/>
  <c r="GU282" i="1"/>
  <c r="GV282" i="1"/>
  <c r="GW282" i="1"/>
  <c r="GX282" i="1"/>
  <c r="GY282" i="1"/>
  <c r="GZ282" i="1"/>
  <c r="HA282" i="1"/>
  <c r="HB282" i="1"/>
  <c r="HC282" i="1"/>
  <c r="HD282" i="1"/>
  <c r="HE282" i="1"/>
  <c r="HF282" i="1"/>
  <c r="HG282" i="1"/>
  <c r="HH282" i="1"/>
  <c r="HI282" i="1"/>
  <c r="HJ282" i="1"/>
  <c r="HK282" i="1"/>
  <c r="HL282" i="1"/>
  <c r="HM282" i="1"/>
  <c r="HN282" i="1"/>
  <c r="HO282" i="1"/>
  <c r="HP282" i="1"/>
  <c r="HQ282" i="1"/>
  <c r="HR282" i="1"/>
  <c r="HS282" i="1"/>
  <c r="HT282" i="1"/>
  <c r="HU282" i="1"/>
  <c r="HV282" i="1"/>
  <c r="HW282" i="1"/>
  <c r="HX282" i="1"/>
  <c r="HY282" i="1"/>
  <c r="HZ282" i="1"/>
  <c r="IA282" i="1"/>
  <c r="IB282" i="1"/>
  <c r="IC282" i="1"/>
  <c r="ID282" i="1"/>
  <c r="IE282" i="1"/>
  <c r="IF282" i="1"/>
  <c r="IG282" i="1"/>
  <c r="IH282" i="1"/>
  <c r="II282" i="1"/>
  <c r="IJ282" i="1"/>
  <c r="IK282" i="1"/>
  <c r="IL282" i="1"/>
  <c r="IM282" i="1"/>
  <c r="IN282" i="1"/>
  <c r="IO282" i="1"/>
  <c r="IP282" i="1"/>
  <c r="IQ282" i="1"/>
  <c r="IR282" i="1"/>
  <c r="IS282" i="1"/>
  <c r="IT282" i="1"/>
  <c r="IU282" i="1"/>
  <c r="IV282" i="1"/>
  <c r="IW282" i="1"/>
  <c r="IX282" i="1"/>
  <c r="IY282" i="1"/>
  <c r="IZ282" i="1"/>
  <c r="JA282" i="1"/>
  <c r="JB282" i="1"/>
  <c r="JC282" i="1"/>
  <c r="JD282" i="1"/>
  <c r="JE282" i="1"/>
  <c r="JF282" i="1"/>
  <c r="JG282" i="1"/>
  <c r="JH282" i="1"/>
  <c r="JI282" i="1"/>
  <c r="JJ282" i="1"/>
  <c r="JK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CW283" i="1"/>
  <c r="CX283" i="1"/>
  <c r="CY283" i="1"/>
  <c r="CZ283" i="1"/>
  <c r="DA283" i="1"/>
  <c r="DB283" i="1"/>
  <c r="DC283" i="1"/>
  <c r="DD283" i="1"/>
  <c r="DE283" i="1"/>
  <c r="DF283" i="1"/>
  <c r="DG283" i="1"/>
  <c r="DH283" i="1"/>
  <c r="DI283" i="1"/>
  <c r="DJ283" i="1"/>
  <c r="DK283" i="1"/>
  <c r="DL283" i="1"/>
  <c r="DM283" i="1"/>
  <c r="DN283" i="1"/>
  <c r="DO283" i="1"/>
  <c r="DP283" i="1"/>
  <c r="DQ283" i="1"/>
  <c r="DR283" i="1"/>
  <c r="DS283" i="1"/>
  <c r="DT283" i="1"/>
  <c r="DU283" i="1"/>
  <c r="DV283" i="1"/>
  <c r="DW283" i="1"/>
  <c r="DX283" i="1"/>
  <c r="DY283" i="1"/>
  <c r="DZ283" i="1"/>
  <c r="EA283" i="1"/>
  <c r="EB283" i="1"/>
  <c r="EC283" i="1"/>
  <c r="ED283" i="1"/>
  <c r="EE283" i="1"/>
  <c r="EF283" i="1"/>
  <c r="EG283" i="1"/>
  <c r="EH283" i="1"/>
  <c r="EI283" i="1"/>
  <c r="EJ283" i="1"/>
  <c r="EK283" i="1"/>
  <c r="EL283" i="1"/>
  <c r="EM283" i="1"/>
  <c r="EN283" i="1"/>
  <c r="EO283" i="1"/>
  <c r="EP283" i="1"/>
  <c r="EQ283" i="1"/>
  <c r="ER283" i="1"/>
  <c r="ES283" i="1"/>
  <c r="ET283" i="1"/>
  <c r="EU283" i="1"/>
  <c r="EV283" i="1"/>
  <c r="EW283" i="1"/>
  <c r="EX283" i="1"/>
  <c r="EY283" i="1"/>
  <c r="EZ283" i="1"/>
  <c r="FA283" i="1"/>
  <c r="FB283" i="1"/>
  <c r="FC283" i="1"/>
  <c r="FD283" i="1"/>
  <c r="FE283" i="1"/>
  <c r="FF283" i="1"/>
  <c r="FG283" i="1"/>
  <c r="FH283" i="1"/>
  <c r="FI283" i="1"/>
  <c r="FJ283" i="1"/>
  <c r="FK283" i="1"/>
  <c r="FL283" i="1"/>
  <c r="FM283" i="1"/>
  <c r="FN283" i="1"/>
  <c r="FO283" i="1"/>
  <c r="FP283" i="1"/>
  <c r="FQ283" i="1"/>
  <c r="FR283" i="1"/>
  <c r="FS283" i="1"/>
  <c r="FT283" i="1"/>
  <c r="FU283" i="1"/>
  <c r="FV283" i="1"/>
  <c r="FW283" i="1"/>
  <c r="FX283" i="1"/>
  <c r="FY283" i="1"/>
  <c r="FZ283" i="1"/>
  <c r="GA283" i="1"/>
  <c r="GB283" i="1"/>
  <c r="GC283" i="1"/>
  <c r="GD283" i="1"/>
  <c r="GE283" i="1"/>
  <c r="GF283" i="1"/>
  <c r="GG283" i="1"/>
  <c r="GH283" i="1"/>
  <c r="GI283" i="1"/>
  <c r="GJ283" i="1"/>
  <c r="GK283" i="1"/>
  <c r="GL283" i="1"/>
  <c r="GM283" i="1"/>
  <c r="GN283" i="1"/>
  <c r="GO283" i="1"/>
  <c r="GP283" i="1"/>
  <c r="GQ283" i="1"/>
  <c r="GR283" i="1"/>
  <c r="GS283" i="1"/>
  <c r="GT283" i="1"/>
  <c r="GU283" i="1"/>
  <c r="GV283" i="1"/>
  <c r="GW283" i="1"/>
  <c r="GX283" i="1"/>
  <c r="GY283" i="1"/>
  <c r="GZ283" i="1"/>
  <c r="HA283" i="1"/>
  <c r="HB283" i="1"/>
  <c r="HC283" i="1"/>
  <c r="HD283" i="1"/>
  <c r="HE283" i="1"/>
  <c r="HF283" i="1"/>
  <c r="HG283" i="1"/>
  <c r="HH283" i="1"/>
  <c r="HI283" i="1"/>
  <c r="HJ283" i="1"/>
  <c r="HK283" i="1"/>
  <c r="HL283" i="1"/>
  <c r="HM283" i="1"/>
  <c r="HN283" i="1"/>
  <c r="HO283" i="1"/>
  <c r="HP283" i="1"/>
  <c r="HQ283" i="1"/>
  <c r="HR283" i="1"/>
  <c r="HS283" i="1"/>
  <c r="HT283" i="1"/>
  <c r="HU283" i="1"/>
  <c r="HV283" i="1"/>
  <c r="HW283" i="1"/>
  <c r="HX283" i="1"/>
  <c r="HY283" i="1"/>
  <c r="HZ283" i="1"/>
  <c r="IA283" i="1"/>
  <c r="IB283" i="1"/>
  <c r="IC283" i="1"/>
  <c r="ID283" i="1"/>
  <c r="IE283" i="1"/>
  <c r="IF283" i="1"/>
  <c r="IG283" i="1"/>
  <c r="IH283" i="1"/>
  <c r="II283" i="1"/>
  <c r="IJ283" i="1"/>
  <c r="IK283" i="1"/>
  <c r="IL283" i="1"/>
  <c r="IM283" i="1"/>
  <c r="IN283" i="1"/>
  <c r="IO283" i="1"/>
  <c r="IP283" i="1"/>
  <c r="IQ283" i="1"/>
  <c r="IR283" i="1"/>
  <c r="IS283" i="1"/>
  <c r="IT283" i="1"/>
  <c r="IU283" i="1"/>
  <c r="IV283" i="1"/>
  <c r="IW283" i="1"/>
  <c r="IX283" i="1"/>
  <c r="IY283" i="1"/>
  <c r="IZ283" i="1"/>
  <c r="JA283" i="1"/>
  <c r="JB283" i="1"/>
  <c r="JC283" i="1"/>
  <c r="JD283" i="1"/>
  <c r="JE283" i="1"/>
  <c r="JF283" i="1"/>
  <c r="JG283" i="1"/>
  <c r="JH283" i="1"/>
  <c r="JI283" i="1"/>
  <c r="JJ283" i="1"/>
  <c r="JK283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CJ285" i="1"/>
  <c r="CK285" i="1"/>
  <c r="CL285" i="1"/>
  <c r="CM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G285" i="1"/>
  <c r="DH285" i="1"/>
  <c r="DI285" i="1"/>
  <c r="DJ285" i="1"/>
  <c r="DK285" i="1"/>
  <c r="DL285" i="1"/>
  <c r="DM285" i="1"/>
  <c r="DN285" i="1"/>
  <c r="DO285" i="1"/>
  <c r="DP285" i="1"/>
  <c r="DQ285" i="1"/>
  <c r="DR285" i="1"/>
  <c r="DS285" i="1"/>
  <c r="DT285" i="1"/>
  <c r="DU285" i="1"/>
  <c r="DV285" i="1"/>
  <c r="DW285" i="1"/>
  <c r="DX285" i="1"/>
  <c r="DY285" i="1"/>
  <c r="DZ285" i="1"/>
  <c r="EA285" i="1"/>
  <c r="EB285" i="1"/>
  <c r="EC285" i="1"/>
  <c r="ED285" i="1"/>
  <c r="EE285" i="1"/>
  <c r="EF285" i="1"/>
  <c r="EG285" i="1"/>
  <c r="EH285" i="1"/>
  <c r="EI285" i="1"/>
  <c r="EJ285" i="1"/>
  <c r="EK285" i="1"/>
  <c r="EL285" i="1"/>
  <c r="EM285" i="1"/>
  <c r="EN285" i="1"/>
  <c r="EO285" i="1"/>
  <c r="EP285" i="1"/>
  <c r="EQ285" i="1"/>
  <c r="ER285" i="1"/>
  <c r="ES285" i="1"/>
  <c r="ET285" i="1"/>
  <c r="EU285" i="1"/>
  <c r="EV285" i="1"/>
  <c r="EW285" i="1"/>
  <c r="EX285" i="1"/>
  <c r="EY285" i="1"/>
  <c r="EZ285" i="1"/>
  <c r="FA285" i="1"/>
  <c r="FB285" i="1"/>
  <c r="FC285" i="1"/>
  <c r="FD285" i="1"/>
  <c r="FE285" i="1"/>
  <c r="FF285" i="1"/>
  <c r="FG285" i="1"/>
  <c r="FH285" i="1"/>
  <c r="FI285" i="1"/>
  <c r="FJ285" i="1"/>
  <c r="FK285" i="1"/>
  <c r="FL285" i="1"/>
  <c r="FM285" i="1"/>
  <c r="FN285" i="1"/>
  <c r="FO285" i="1"/>
  <c r="FP285" i="1"/>
  <c r="FQ285" i="1"/>
  <c r="FR285" i="1"/>
  <c r="FS285" i="1"/>
  <c r="FT285" i="1"/>
  <c r="FU285" i="1"/>
  <c r="FV285" i="1"/>
  <c r="FW285" i="1"/>
  <c r="FX285" i="1"/>
  <c r="FY285" i="1"/>
  <c r="FZ285" i="1"/>
  <c r="GA285" i="1"/>
  <c r="GB285" i="1"/>
  <c r="GC285" i="1"/>
  <c r="GD285" i="1"/>
  <c r="GE285" i="1"/>
  <c r="GF285" i="1"/>
  <c r="GG285" i="1"/>
  <c r="GH285" i="1"/>
  <c r="GI285" i="1"/>
  <c r="GJ285" i="1"/>
  <c r="GK285" i="1"/>
  <c r="GL285" i="1"/>
  <c r="GM285" i="1"/>
  <c r="GN285" i="1"/>
  <c r="GO285" i="1"/>
  <c r="GP285" i="1"/>
  <c r="GQ285" i="1"/>
  <c r="GR285" i="1"/>
  <c r="GS285" i="1"/>
  <c r="GT285" i="1"/>
  <c r="GU285" i="1"/>
  <c r="GV285" i="1"/>
  <c r="GW285" i="1"/>
  <c r="GX285" i="1"/>
  <c r="GY285" i="1"/>
  <c r="GZ285" i="1"/>
  <c r="HA285" i="1"/>
  <c r="HB285" i="1"/>
  <c r="HC285" i="1"/>
  <c r="HD285" i="1"/>
  <c r="HE285" i="1"/>
  <c r="HF285" i="1"/>
  <c r="HG285" i="1"/>
  <c r="HH285" i="1"/>
  <c r="HI285" i="1"/>
  <c r="HJ285" i="1"/>
  <c r="HK285" i="1"/>
  <c r="HL285" i="1"/>
  <c r="HM285" i="1"/>
  <c r="HN285" i="1"/>
  <c r="HO285" i="1"/>
  <c r="HP285" i="1"/>
  <c r="HQ285" i="1"/>
  <c r="HR285" i="1"/>
  <c r="HS285" i="1"/>
  <c r="HT285" i="1"/>
  <c r="HU285" i="1"/>
  <c r="HV285" i="1"/>
  <c r="HW285" i="1"/>
  <c r="HX285" i="1"/>
  <c r="HY285" i="1"/>
  <c r="HZ285" i="1"/>
  <c r="IA285" i="1"/>
  <c r="IB285" i="1"/>
  <c r="IC285" i="1"/>
  <c r="ID285" i="1"/>
  <c r="IE285" i="1"/>
  <c r="IF285" i="1"/>
  <c r="IG285" i="1"/>
  <c r="IH285" i="1"/>
  <c r="II285" i="1"/>
  <c r="IJ285" i="1"/>
  <c r="IK285" i="1"/>
  <c r="IL285" i="1"/>
  <c r="IM285" i="1"/>
  <c r="IN285" i="1"/>
  <c r="IO285" i="1"/>
  <c r="IP285" i="1"/>
  <c r="IQ285" i="1"/>
  <c r="IR285" i="1"/>
  <c r="IS285" i="1"/>
  <c r="IT285" i="1"/>
  <c r="IU285" i="1"/>
  <c r="IV285" i="1"/>
  <c r="IW285" i="1"/>
  <c r="IX285" i="1"/>
  <c r="IY285" i="1"/>
  <c r="IZ285" i="1"/>
  <c r="JA285" i="1"/>
  <c r="JB285" i="1"/>
  <c r="JC285" i="1"/>
  <c r="JD285" i="1"/>
  <c r="JE285" i="1"/>
  <c r="JF285" i="1"/>
  <c r="JG285" i="1"/>
  <c r="JH285" i="1"/>
  <c r="JI285" i="1"/>
  <c r="JJ285" i="1"/>
  <c r="JK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CJ286" i="1"/>
  <c r="CK286" i="1"/>
  <c r="CL286" i="1"/>
  <c r="CM286" i="1"/>
  <c r="CN286" i="1"/>
  <c r="CO286" i="1"/>
  <c r="CP286" i="1"/>
  <c r="CQ286" i="1"/>
  <c r="CR286" i="1"/>
  <c r="CS286" i="1"/>
  <c r="CT286" i="1"/>
  <c r="CU286" i="1"/>
  <c r="CV286" i="1"/>
  <c r="CW286" i="1"/>
  <c r="CX286" i="1"/>
  <c r="CY286" i="1"/>
  <c r="CZ286" i="1"/>
  <c r="DA286" i="1"/>
  <c r="DB286" i="1"/>
  <c r="DC286" i="1"/>
  <c r="DD286" i="1"/>
  <c r="DE286" i="1"/>
  <c r="DF286" i="1"/>
  <c r="DG286" i="1"/>
  <c r="DH286" i="1"/>
  <c r="DI286" i="1"/>
  <c r="DJ286" i="1"/>
  <c r="DK286" i="1"/>
  <c r="DL286" i="1"/>
  <c r="DM286" i="1"/>
  <c r="DN286" i="1"/>
  <c r="DO286" i="1"/>
  <c r="DP286" i="1"/>
  <c r="DQ286" i="1"/>
  <c r="DR286" i="1"/>
  <c r="DS286" i="1"/>
  <c r="DT286" i="1"/>
  <c r="DU286" i="1"/>
  <c r="DV286" i="1"/>
  <c r="DW286" i="1"/>
  <c r="DX286" i="1"/>
  <c r="DY286" i="1"/>
  <c r="DZ286" i="1"/>
  <c r="EA286" i="1"/>
  <c r="EB286" i="1"/>
  <c r="EC286" i="1"/>
  <c r="ED286" i="1"/>
  <c r="EE286" i="1"/>
  <c r="EF286" i="1"/>
  <c r="EG286" i="1"/>
  <c r="EH286" i="1"/>
  <c r="EI286" i="1"/>
  <c r="EJ286" i="1"/>
  <c r="EK286" i="1"/>
  <c r="EL286" i="1"/>
  <c r="EM286" i="1"/>
  <c r="EN286" i="1"/>
  <c r="EO286" i="1"/>
  <c r="EP286" i="1"/>
  <c r="EQ286" i="1"/>
  <c r="ER286" i="1"/>
  <c r="ES286" i="1"/>
  <c r="ET286" i="1"/>
  <c r="EU286" i="1"/>
  <c r="EV286" i="1"/>
  <c r="EW286" i="1"/>
  <c r="EX286" i="1"/>
  <c r="EY286" i="1"/>
  <c r="EZ286" i="1"/>
  <c r="FA286" i="1"/>
  <c r="FB286" i="1"/>
  <c r="FC286" i="1"/>
  <c r="FD286" i="1"/>
  <c r="FE286" i="1"/>
  <c r="FF286" i="1"/>
  <c r="FG286" i="1"/>
  <c r="FH286" i="1"/>
  <c r="FI286" i="1"/>
  <c r="FJ286" i="1"/>
  <c r="FK286" i="1"/>
  <c r="FL286" i="1"/>
  <c r="FM286" i="1"/>
  <c r="FN286" i="1"/>
  <c r="FO286" i="1"/>
  <c r="FP286" i="1"/>
  <c r="FQ286" i="1"/>
  <c r="FR286" i="1"/>
  <c r="FS286" i="1"/>
  <c r="FT286" i="1"/>
  <c r="FU286" i="1"/>
  <c r="FV286" i="1"/>
  <c r="FW286" i="1"/>
  <c r="FX286" i="1"/>
  <c r="FY286" i="1"/>
  <c r="FZ286" i="1"/>
  <c r="GA286" i="1"/>
  <c r="GB286" i="1"/>
  <c r="GC286" i="1"/>
  <c r="GD286" i="1"/>
  <c r="GE286" i="1"/>
  <c r="GF286" i="1"/>
  <c r="GG286" i="1"/>
  <c r="GH286" i="1"/>
  <c r="GI286" i="1"/>
  <c r="GJ286" i="1"/>
  <c r="GK286" i="1"/>
  <c r="GL286" i="1"/>
  <c r="GM286" i="1"/>
  <c r="GN286" i="1"/>
  <c r="GO286" i="1"/>
  <c r="GP286" i="1"/>
  <c r="GQ286" i="1"/>
  <c r="GR286" i="1"/>
  <c r="GS286" i="1"/>
  <c r="GT286" i="1"/>
  <c r="GU286" i="1"/>
  <c r="GV286" i="1"/>
  <c r="GW286" i="1"/>
  <c r="GX286" i="1"/>
  <c r="GY286" i="1"/>
  <c r="GZ286" i="1"/>
  <c r="HA286" i="1"/>
  <c r="HB286" i="1"/>
  <c r="HC286" i="1"/>
  <c r="HD286" i="1"/>
  <c r="HE286" i="1"/>
  <c r="HF286" i="1"/>
  <c r="HG286" i="1"/>
  <c r="HH286" i="1"/>
  <c r="HI286" i="1"/>
  <c r="HJ286" i="1"/>
  <c r="HK286" i="1"/>
  <c r="HL286" i="1"/>
  <c r="HM286" i="1"/>
  <c r="HN286" i="1"/>
  <c r="HO286" i="1"/>
  <c r="HP286" i="1"/>
  <c r="HQ286" i="1"/>
  <c r="HR286" i="1"/>
  <c r="HS286" i="1"/>
  <c r="HT286" i="1"/>
  <c r="HU286" i="1"/>
  <c r="HV286" i="1"/>
  <c r="HW286" i="1"/>
  <c r="HX286" i="1"/>
  <c r="HY286" i="1"/>
  <c r="HZ286" i="1"/>
  <c r="IA286" i="1"/>
  <c r="IB286" i="1"/>
  <c r="IC286" i="1"/>
  <c r="ID286" i="1"/>
  <c r="IE286" i="1"/>
  <c r="IF286" i="1"/>
  <c r="IG286" i="1"/>
  <c r="IH286" i="1"/>
  <c r="II286" i="1"/>
  <c r="IJ286" i="1"/>
  <c r="IK286" i="1"/>
  <c r="IL286" i="1"/>
  <c r="IM286" i="1"/>
  <c r="IN286" i="1"/>
  <c r="IO286" i="1"/>
  <c r="IP286" i="1"/>
  <c r="IQ286" i="1"/>
  <c r="IR286" i="1"/>
  <c r="IS286" i="1"/>
  <c r="IT286" i="1"/>
  <c r="IU286" i="1"/>
  <c r="IV286" i="1"/>
  <c r="IW286" i="1"/>
  <c r="IX286" i="1"/>
  <c r="IY286" i="1"/>
  <c r="IZ286" i="1"/>
  <c r="JA286" i="1"/>
  <c r="JB286" i="1"/>
  <c r="JC286" i="1"/>
  <c r="JD286" i="1"/>
  <c r="JE286" i="1"/>
  <c r="JF286" i="1"/>
  <c r="JG286" i="1"/>
  <c r="JH286" i="1"/>
  <c r="JI286" i="1"/>
  <c r="JJ286" i="1"/>
  <c r="JK286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CJ288" i="1"/>
  <c r="CK288" i="1"/>
  <c r="CL288" i="1"/>
  <c r="CM288" i="1"/>
  <c r="CN288" i="1"/>
  <c r="CO288" i="1"/>
  <c r="CP288" i="1"/>
  <c r="CQ288" i="1"/>
  <c r="CR288" i="1"/>
  <c r="CS288" i="1"/>
  <c r="CT288" i="1"/>
  <c r="CU288" i="1"/>
  <c r="CV288" i="1"/>
  <c r="CW288" i="1"/>
  <c r="CX288" i="1"/>
  <c r="CY288" i="1"/>
  <c r="CZ288" i="1"/>
  <c r="DA288" i="1"/>
  <c r="DB288" i="1"/>
  <c r="DC288" i="1"/>
  <c r="DD288" i="1"/>
  <c r="DE288" i="1"/>
  <c r="DF288" i="1"/>
  <c r="DG288" i="1"/>
  <c r="DH288" i="1"/>
  <c r="DI288" i="1"/>
  <c r="DJ288" i="1"/>
  <c r="DK288" i="1"/>
  <c r="DL288" i="1"/>
  <c r="DM288" i="1"/>
  <c r="DN288" i="1"/>
  <c r="DO288" i="1"/>
  <c r="DP288" i="1"/>
  <c r="DQ288" i="1"/>
  <c r="DR288" i="1"/>
  <c r="DS288" i="1"/>
  <c r="DT288" i="1"/>
  <c r="DU288" i="1"/>
  <c r="DV288" i="1"/>
  <c r="DW288" i="1"/>
  <c r="DX288" i="1"/>
  <c r="DY288" i="1"/>
  <c r="DZ288" i="1"/>
  <c r="EA288" i="1"/>
  <c r="EB288" i="1"/>
  <c r="EC288" i="1"/>
  <c r="ED288" i="1"/>
  <c r="EE288" i="1"/>
  <c r="EF288" i="1"/>
  <c r="EG288" i="1"/>
  <c r="EH288" i="1"/>
  <c r="EI288" i="1"/>
  <c r="EJ288" i="1"/>
  <c r="EK288" i="1"/>
  <c r="EL288" i="1"/>
  <c r="EM288" i="1"/>
  <c r="EN288" i="1"/>
  <c r="EO288" i="1"/>
  <c r="EP288" i="1"/>
  <c r="EQ288" i="1"/>
  <c r="ER288" i="1"/>
  <c r="ES288" i="1"/>
  <c r="ET288" i="1"/>
  <c r="EU288" i="1"/>
  <c r="EV288" i="1"/>
  <c r="EW288" i="1"/>
  <c r="EX288" i="1"/>
  <c r="EY288" i="1"/>
  <c r="EZ288" i="1"/>
  <c r="FA288" i="1"/>
  <c r="FB288" i="1"/>
  <c r="FC288" i="1"/>
  <c r="FD288" i="1"/>
  <c r="FE288" i="1"/>
  <c r="FF288" i="1"/>
  <c r="FG288" i="1"/>
  <c r="FH288" i="1"/>
  <c r="FI288" i="1"/>
  <c r="FJ288" i="1"/>
  <c r="FK288" i="1"/>
  <c r="FL288" i="1"/>
  <c r="FM288" i="1"/>
  <c r="FN288" i="1"/>
  <c r="FO288" i="1"/>
  <c r="FP288" i="1"/>
  <c r="FQ288" i="1"/>
  <c r="FR288" i="1"/>
  <c r="FS288" i="1"/>
  <c r="FT288" i="1"/>
  <c r="FU288" i="1"/>
  <c r="FV288" i="1"/>
  <c r="FW288" i="1"/>
  <c r="FX288" i="1"/>
  <c r="FY288" i="1"/>
  <c r="FZ288" i="1"/>
  <c r="GA288" i="1"/>
  <c r="GB288" i="1"/>
  <c r="GC288" i="1"/>
  <c r="GD288" i="1"/>
  <c r="GE288" i="1"/>
  <c r="GF288" i="1"/>
  <c r="GG288" i="1"/>
  <c r="GH288" i="1"/>
  <c r="GI288" i="1"/>
  <c r="GJ288" i="1"/>
  <c r="GK288" i="1"/>
  <c r="GL288" i="1"/>
  <c r="GM288" i="1"/>
  <c r="GN288" i="1"/>
  <c r="GO288" i="1"/>
  <c r="GP288" i="1"/>
  <c r="GQ288" i="1"/>
  <c r="GR288" i="1"/>
  <c r="GS288" i="1"/>
  <c r="GT288" i="1"/>
  <c r="GU288" i="1"/>
  <c r="GV288" i="1"/>
  <c r="GW288" i="1"/>
  <c r="GX288" i="1"/>
  <c r="GY288" i="1"/>
  <c r="GZ288" i="1"/>
  <c r="HA288" i="1"/>
  <c r="HB288" i="1"/>
  <c r="HC288" i="1"/>
  <c r="HD288" i="1"/>
  <c r="HE288" i="1"/>
  <c r="HF288" i="1"/>
  <c r="HG288" i="1"/>
  <c r="HH288" i="1"/>
  <c r="HI288" i="1"/>
  <c r="HJ288" i="1"/>
  <c r="HK288" i="1"/>
  <c r="HL288" i="1"/>
  <c r="HM288" i="1"/>
  <c r="HN288" i="1"/>
  <c r="HO288" i="1"/>
  <c r="HP288" i="1"/>
  <c r="HQ288" i="1"/>
  <c r="HR288" i="1"/>
  <c r="HS288" i="1"/>
  <c r="HT288" i="1"/>
  <c r="HU288" i="1"/>
  <c r="HV288" i="1"/>
  <c r="HW288" i="1"/>
  <c r="HX288" i="1"/>
  <c r="HY288" i="1"/>
  <c r="HZ288" i="1"/>
  <c r="IA288" i="1"/>
  <c r="IB288" i="1"/>
  <c r="IC288" i="1"/>
  <c r="ID288" i="1"/>
  <c r="IE288" i="1"/>
  <c r="IF288" i="1"/>
  <c r="IG288" i="1"/>
  <c r="IH288" i="1"/>
  <c r="II288" i="1"/>
  <c r="IJ288" i="1"/>
  <c r="IK288" i="1"/>
  <c r="IL288" i="1"/>
  <c r="IM288" i="1"/>
  <c r="IN288" i="1"/>
  <c r="IO288" i="1"/>
  <c r="IP288" i="1"/>
  <c r="IQ288" i="1"/>
  <c r="IR288" i="1"/>
  <c r="IS288" i="1"/>
  <c r="IT288" i="1"/>
  <c r="IU288" i="1"/>
  <c r="IV288" i="1"/>
  <c r="IW288" i="1"/>
  <c r="IX288" i="1"/>
  <c r="IY288" i="1"/>
  <c r="IZ288" i="1"/>
  <c r="JA288" i="1"/>
  <c r="JB288" i="1"/>
  <c r="JC288" i="1"/>
  <c r="JD288" i="1"/>
  <c r="JE288" i="1"/>
  <c r="JF288" i="1"/>
  <c r="JG288" i="1"/>
  <c r="JH288" i="1"/>
  <c r="JI288" i="1"/>
  <c r="JJ288" i="1"/>
  <c r="JK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CJ289" i="1"/>
  <c r="CK289" i="1"/>
  <c r="CL289" i="1"/>
  <c r="CM289" i="1"/>
  <c r="CN289" i="1"/>
  <c r="CO289" i="1"/>
  <c r="CP289" i="1"/>
  <c r="CQ289" i="1"/>
  <c r="CR289" i="1"/>
  <c r="CS289" i="1"/>
  <c r="CT289" i="1"/>
  <c r="CU289" i="1"/>
  <c r="CV289" i="1"/>
  <c r="CW289" i="1"/>
  <c r="CX289" i="1"/>
  <c r="CY289" i="1"/>
  <c r="CZ289" i="1"/>
  <c r="DA289" i="1"/>
  <c r="DB289" i="1"/>
  <c r="DC289" i="1"/>
  <c r="DD289" i="1"/>
  <c r="DE289" i="1"/>
  <c r="DF289" i="1"/>
  <c r="DG289" i="1"/>
  <c r="DH289" i="1"/>
  <c r="DI289" i="1"/>
  <c r="DJ289" i="1"/>
  <c r="DK289" i="1"/>
  <c r="DL289" i="1"/>
  <c r="DM289" i="1"/>
  <c r="DN289" i="1"/>
  <c r="DO289" i="1"/>
  <c r="DP289" i="1"/>
  <c r="DQ289" i="1"/>
  <c r="DR289" i="1"/>
  <c r="DS289" i="1"/>
  <c r="DT289" i="1"/>
  <c r="DU289" i="1"/>
  <c r="DV289" i="1"/>
  <c r="DW289" i="1"/>
  <c r="DX289" i="1"/>
  <c r="DY289" i="1"/>
  <c r="DZ289" i="1"/>
  <c r="EA289" i="1"/>
  <c r="EB289" i="1"/>
  <c r="EC289" i="1"/>
  <c r="ED289" i="1"/>
  <c r="EE289" i="1"/>
  <c r="EF289" i="1"/>
  <c r="EG289" i="1"/>
  <c r="EH289" i="1"/>
  <c r="EI289" i="1"/>
  <c r="EJ289" i="1"/>
  <c r="EK289" i="1"/>
  <c r="EL289" i="1"/>
  <c r="EM289" i="1"/>
  <c r="EN289" i="1"/>
  <c r="EO289" i="1"/>
  <c r="EP289" i="1"/>
  <c r="EQ289" i="1"/>
  <c r="ER289" i="1"/>
  <c r="ES289" i="1"/>
  <c r="ET289" i="1"/>
  <c r="EU289" i="1"/>
  <c r="EV289" i="1"/>
  <c r="EW289" i="1"/>
  <c r="EX289" i="1"/>
  <c r="EY289" i="1"/>
  <c r="EZ289" i="1"/>
  <c r="FA289" i="1"/>
  <c r="FB289" i="1"/>
  <c r="FC289" i="1"/>
  <c r="FD289" i="1"/>
  <c r="FE289" i="1"/>
  <c r="FF289" i="1"/>
  <c r="FG289" i="1"/>
  <c r="FH289" i="1"/>
  <c r="FI289" i="1"/>
  <c r="FJ289" i="1"/>
  <c r="FK289" i="1"/>
  <c r="FL289" i="1"/>
  <c r="FM289" i="1"/>
  <c r="FN289" i="1"/>
  <c r="FO289" i="1"/>
  <c r="FP289" i="1"/>
  <c r="FQ289" i="1"/>
  <c r="FR289" i="1"/>
  <c r="FS289" i="1"/>
  <c r="FT289" i="1"/>
  <c r="FU289" i="1"/>
  <c r="FV289" i="1"/>
  <c r="FW289" i="1"/>
  <c r="FX289" i="1"/>
  <c r="FY289" i="1"/>
  <c r="FZ289" i="1"/>
  <c r="GA289" i="1"/>
  <c r="GB289" i="1"/>
  <c r="GC289" i="1"/>
  <c r="GD289" i="1"/>
  <c r="GE289" i="1"/>
  <c r="GF289" i="1"/>
  <c r="GG289" i="1"/>
  <c r="GH289" i="1"/>
  <c r="GI289" i="1"/>
  <c r="GJ289" i="1"/>
  <c r="GK289" i="1"/>
  <c r="GL289" i="1"/>
  <c r="GM289" i="1"/>
  <c r="GN289" i="1"/>
  <c r="GO289" i="1"/>
  <c r="GP289" i="1"/>
  <c r="GQ289" i="1"/>
  <c r="GR289" i="1"/>
  <c r="GS289" i="1"/>
  <c r="GT289" i="1"/>
  <c r="GU289" i="1"/>
  <c r="GV289" i="1"/>
  <c r="GW289" i="1"/>
  <c r="GX289" i="1"/>
  <c r="GY289" i="1"/>
  <c r="GZ289" i="1"/>
  <c r="HA289" i="1"/>
  <c r="HB289" i="1"/>
  <c r="HC289" i="1"/>
  <c r="HD289" i="1"/>
  <c r="HE289" i="1"/>
  <c r="HF289" i="1"/>
  <c r="HG289" i="1"/>
  <c r="HH289" i="1"/>
  <c r="HI289" i="1"/>
  <c r="HJ289" i="1"/>
  <c r="HK289" i="1"/>
  <c r="HL289" i="1"/>
  <c r="HM289" i="1"/>
  <c r="HN289" i="1"/>
  <c r="HO289" i="1"/>
  <c r="HP289" i="1"/>
  <c r="HQ289" i="1"/>
  <c r="HR289" i="1"/>
  <c r="HS289" i="1"/>
  <c r="HT289" i="1"/>
  <c r="HU289" i="1"/>
  <c r="HV289" i="1"/>
  <c r="HW289" i="1"/>
  <c r="HX289" i="1"/>
  <c r="HY289" i="1"/>
  <c r="HZ289" i="1"/>
  <c r="IA289" i="1"/>
  <c r="IB289" i="1"/>
  <c r="IC289" i="1"/>
  <c r="ID289" i="1"/>
  <c r="IE289" i="1"/>
  <c r="IF289" i="1"/>
  <c r="IG289" i="1"/>
  <c r="IH289" i="1"/>
  <c r="II289" i="1"/>
  <c r="IJ289" i="1"/>
  <c r="IK289" i="1"/>
  <c r="IL289" i="1"/>
  <c r="IM289" i="1"/>
  <c r="IN289" i="1"/>
  <c r="IO289" i="1"/>
  <c r="IP289" i="1"/>
  <c r="IQ289" i="1"/>
  <c r="IR289" i="1"/>
  <c r="IS289" i="1"/>
  <c r="IT289" i="1"/>
  <c r="IU289" i="1"/>
  <c r="IV289" i="1"/>
  <c r="IW289" i="1"/>
  <c r="IX289" i="1"/>
  <c r="IY289" i="1"/>
  <c r="IZ289" i="1"/>
  <c r="JA289" i="1"/>
  <c r="JB289" i="1"/>
  <c r="JC289" i="1"/>
  <c r="JD289" i="1"/>
  <c r="JE289" i="1"/>
  <c r="JF289" i="1"/>
  <c r="JG289" i="1"/>
  <c r="JH289" i="1"/>
  <c r="JI289" i="1"/>
  <c r="JJ289" i="1"/>
  <c r="JK289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BX291" i="1"/>
  <c r="BY291" i="1"/>
  <c r="BZ291" i="1"/>
  <c r="CA291" i="1"/>
  <c r="CB291" i="1"/>
  <c r="CC291" i="1"/>
  <c r="CD291" i="1"/>
  <c r="CE291" i="1"/>
  <c r="CF291" i="1"/>
  <c r="CG291" i="1"/>
  <c r="CH291" i="1"/>
  <c r="CI291" i="1"/>
  <c r="CJ291" i="1"/>
  <c r="CK291" i="1"/>
  <c r="CL291" i="1"/>
  <c r="CM291" i="1"/>
  <c r="CN291" i="1"/>
  <c r="CO291" i="1"/>
  <c r="CP291" i="1"/>
  <c r="CQ291" i="1"/>
  <c r="CR291" i="1"/>
  <c r="CS291" i="1"/>
  <c r="CT291" i="1"/>
  <c r="CU291" i="1"/>
  <c r="CV291" i="1"/>
  <c r="CW291" i="1"/>
  <c r="CX291" i="1"/>
  <c r="CY291" i="1"/>
  <c r="CZ291" i="1"/>
  <c r="DA291" i="1"/>
  <c r="DB291" i="1"/>
  <c r="DC291" i="1"/>
  <c r="DD291" i="1"/>
  <c r="DE291" i="1"/>
  <c r="DF291" i="1"/>
  <c r="DG291" i="1"/>
  <c r="DH291" i="1"/>
  <c r="DI291" i="1"/>
  <c r="DJ291" i="1"/>
  <c r="DK291" i="1"/>
  <c r="DL291" i="1"/>
  <c r="DM291" i="1"/>
  <c r="DN291" i="1"/>
  <c r="DO291" i="1"/>
  <c r="DP291" i="1"/>
  <c r="DQ291" i="1"/>
  <c r="DR291" i="1"/>
  <c r="DS291" i="1"/>
  <c r="DT291" i="1"/>
  <c r="DU291" i="1"/>
  <c r="DV291" i="1"/>
  <c r="DW291" i="1"/>
  <c r="DX291" i="1"/>
  <c r="DY291" i="1"/>
  <c r="DZ291" i="1"/>
  <c r="EA291" i="1"/>
  <c r="EB291" i="1"/>
  <c r="EC291" i="1"/>
  <c r="ED291" i="1"/>
  <c r="EE291" i="1"/>
  <c r="EF291" i="1"/>
  <c r="EG291" i="1"/>
  <c r="EH291" i="1"/>
  <c r="EI291" i="1"/>
  <c r="EJ291" i="1"/>
  <c r="EK291" i="1"/>
  <c r="EL291" i="1"/>
  <c r="EM291" i="1"/>
  <c r="EN291" i="1"/>
  <c r="EO291" i="1"/>
  <c r="EP291" i="1"/>
  <c r="EQ291" i="1"/>
  <c r="ER291" i="1"/>
  <c r="ES291" i="1"/>
  <c r="ET291" i="1"/>
  <c r="EU291" i="1"/>
  <c r="EV291" i="1"/>
  <c r="EW291" i="1"/>
  <c r="EX291" i="1"/>
  <c r="EY291" i="1"/>
  <c r="EZ291" i="1"/>
  <c r="FA291" i="1"/>
  <c r="FB291" i="1"/>
  <c r="FC291" i="1"/>
  <c r="FD291" i="1"/>
  <c r="FE291" i="1"/>
  <c r="FF291" i="1"/>
  <c r="FG291" i="1"/>
  <c r="FH291" i="1"/>
  <c r="FI291" i="1"/>
  <c r="FJ291" i="1"/>
  <c r="FK291" i="1"/>
  <c r="FL291" i="1"/>
  <c r="FM291" i="1"/>
  <c r="FN291" i="1"/>
  <c r="FO291" i="1"/>
  <c r="FP291" i="1"/>
  <c r="FQ291" i="1"/>
  <c r="FR291" i="1"/>
  <c r="FS291" i="1"/>
  <c r="FT291" i="1"/>
  <c r="FU291" i="1"/>
  <c r="FV291" i="1"/>
  <c r="FW291" i="1"/>
  <c r="FX291" i="1"/>
  <c r="FY291" i="1"/>
  <c r="FZ291" i="1"/>
  <c r="GA291" i="1"/>
  <c r="GB291" i="1"/>
  <c r="GC291" i="1"/>
  <c r="GD291" i="1"/>
  <c r="GE291" i="1"/>
  <c r="GF291" i="1"/>
  <c r="GG291" i="1"/>
  <c r="GH291" i="1"/>
  <c r="GI291" i="1"/>
  <c r="GJ291" i="1"/>
  <c r="GK291" i="1"/>
  <c r="GL291" i="1"/>
  <c r="GM291" i="1"/>
  <c r="GN291" i="1"/>
  <c r="GO291" i="1"/>
  <c r="GP291" i="1"/>
  <c r="GQ291" i="1"/>
  <c r="GR291" i="1"/>
  <c r="GS291" i="1"/>
  <c r="GT291" i="1"/>
  <c r="GU291" i="1"/>
  <c r="GV291" i="1"/>
  <c r="GW291" i="1"/>
  <c r="GX291" i="1"/>
  <c r="GY291" i="1"/>
  <c r="GZ291" i="1"/>
  <c r="HA291" i="1"/>
  <c r="HB291" i="1"/>
  <c r="HC291" i="1"/>
  <c r="HD291" i="1"/>
  <c r="HE291" i="1"/>
  <c r="HF291" i="1"/>
  <c r="HG291" i="1"/>
  <c r="HH291" i="1"/>
  <c r="HI291" i="1"/>
  <c r="HJ291" i="1"/>
  <c r="HK291" i="1"/>
  <c r="HL291" i="1"/>
  <c r="HM291" i="1"/>
  <c r="HN291" i="1"/>
  <c r="HO291" i="1"/>
  <c r="HP291" i="1"/>
  <c r="HQ291" i="1"/>
  <c r="HR291" i="1"/>
  <c r="HS291" i="1"/>
  <c r="HT291" i="1"/>
  <c r="HU291" i="1"/>
  <c r="HV291" i="1"/>
  <c r="HW291" i="1"/>
  <c r="HX291" i="1"/>
  <c r="HY291" i="1"/>
  <c r="HZ291" i="1"/>
  <c r="IA291" i="1"/>
  <c r="IB291" i="1"/>
  <c r="IC291" i="1"/>
  <c r="ID291" i="1"/>
  <c r="IE291" i="1"/>
  <c r="IF291" i="1"/>
  <c r="IG291" i="1"/>
  <c r="IH291" i="1"/>
  <c r="II291" i="1"/>
  <c r="IJ291" i="1"/>
  <c r="IK291" i="1"/>
  <c r="IL291" i="1"/>
  <c r="IM291" i="1"/>
  <c r="IN291" i="1"/>
  <c r="IO291" i="1"/>
  <c r="IP291" i="1"/>
  <c r="IQ291" i="1"/>
  <c r="IR291" i="1"/>
  <c r="IS291" i="1"/>
  <c r="IT291" i="1"/>
  <c r="IU291" i="1"/>
  <c r="IV291" i="1"/>
  <c r="IW291" i="1"/>
  <c r="IX291" i="1"/>
  <c r="IY291" i="1"/>
  <c r="IZ291" i="1"/>
  <c r="JA291" i="1"/>
  <c r="JB291" i="1"/>
  <c r="JC291" i="1"/>
  <c r="JD291" i="1"/>
  <c r="JE291" i="1"/>
  <c r="JF291" i="1"/>
  <c r="JG291" i="1"/>
  <c r="JH291" i="1"/>
  <c r="JI291" i="1"/>
  <c r="JJ291" i="1"/>
  <c r="JK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U292" i="1"/>
  <c r="BV292" i="1"/>
  <c r="BW292" i="1"/>
  <c r="BX292" i="1"/>
  <c r="BY292" i="1"/>
  <c r="BZ292" i="1"/>
  <c r="CA292" i="1"/>
  <c r="CB292" i="1"/>
  <c r="CC292" i="1"/>
  <c r="CD292" i="1"/>
  <c r="CE292" i="1"/>
  <c r="CF292" i="1"/>
  <c r="CG292" i="1"/>
  <c r="CH292" i="1"/>
  <c r="CI292" i="1"/>
  <c r="CJ292" i="1"/>
  <c r="CK292" i="1"/>
  <c r="CL292" i="1"/>
  <c r="CM292" i="1"/>
  <c r="CN292" i="1"/>
  <c r="CO292" i="1"/>
  <c r="CP292" i="1"/>
  <c r="CQ292" i="1"/>
  <c r="CR292" i="1"/>
  <c r="CS292" i="1"/>
  <c r="CT292" i="1"/>
  <c r="CU292" i="1"/>
  <c r="CV292" i="1"/>
  <c r="CW292" i="1"/>
  <c r="CX292" i="1"/>
  <c r="CY292" i="1"/>
  <c r="CZ292" i="1"/>
  <c r="DA292" i="1"/>
  <c r="DB292" i="1"/>
  <c r="DC292" i="1"/>
  <c r="DD292" i="1"/>
  <c r="DE292" i="1"/>
  <c r="DF292" i="1"/>
  <c r="DG292" i="1"/>
  <c r="DH292" i="1"/>
  <c r="DI292" i="1"/>
  <c r="DJ292" i="1"/>
  <c r="DK292" i="1"/>
  <c r="DL292" i="1"/>
  <c r="DM292" i="1"/>
  <c r="DN292" i="1"/>
  <c r="DO292" i="1"/>
  <c r="DP292" i="1"/>
  <c r="DQ292" i="1"/>
  <c r="DR292" i="1"/>
  <c r="DS292" i="1"/>
  <c r="DT292" i="1"/>
  <c r="DU292" i="1"/>
  <c r="DV292" i="1"/>
  <c r="DW292" i="1"/>
  <c r="DX292" i="1"/>
  <c r="DY292" i="1"/>
  <c r="DZ292" i="1"/>
  <c r="EA292" i="1"/>
  <c r="EB292" i="1"/>
  <c r="EC292" i="1"/>
  <c r="ED292" i="1"/>
  <c r="EE292" i="1"/>
  <c r="EF292" i="1"/>
  <c r="EG292" i="1"/>
  <c r="EH292" i="1"/>
  <c r="EI292" i="1"/>
  <c r="EJ292" i="1"/>
  <c r="EK292" i="1"/>
  <c r="EL292" i="1"/>
  <c r="EM292" i="1"/>
  <c r="EN292" i="1"/>
  <c r="EO292" i="1"/>
  <c r="EP292" i="1"/>
  <c r="EQ292" i="1"/>
  <c r="ER292" i="1"/>
  <c r="ES292" i="1"/>
  <c r="ET292" i="1"/>
  <c r="EU292" i="1"/>
  <c r="EV292" i="1"/>
  <c r="EW292" i="1"/>
  <c r="EX292" i="1"/>
  <c r="EY292" i="1"/>
  <c r="EZ292" i="1"/>
  <c r="FA292" i="1"/>
  <c r="FB292" i="1"/>
  <c r="FC292" i="1"/>
  <c r="FD292" i="1"/>
  <c r="FE292" i="1"/>
  <c r="FF292" i="1"/>
  <c r="FG292" i="1"/>
  <c r="FH292" i="1"/>
  <c r="FI292" i="1"/>
  <c r="FJ292" i="1"/>
  <c r="FK292" i="1"/>
  <c r="FL292" i="1"/>
  <c r="FM292" i="1"/>
  <c r="FN292" i="1"/>
  <c r="FO292" i="1"/>
  <c r="FP292" i="1"/>
  <c r="FQ292" i="1"/>
  <c r="FR292" i="1"/>
  <c r="FS292" i="1"/>
  <c r="FT292" i="1"/>
  <c r="FU292" i="1"/>
  <c r="FV292" i="1"/>
  <c r="FW292" i="1"/>
  <c r="FX292" i="1"/>
  <c r="FY292" i="1"/>
  <c r="FZ292" i="1"/>
  <c r="GA292" i="1"/>
  <c r="GB292" i="1"/>
  <c r="GC292" i="1"/>
  <c r="GD292" i="1"/>
  <c r="GE292" i="1"/>
  <c r="GF292" i="1"/>
  <c r="GG292" i="1"/>
  <c r="GH292" i="1"/>
  <c r="GI292" i="1"/>
  <c r="GJ292" i="1"/>
  <c r="GK292" i="1"/>
  <c r="GL292" i="1"/>
  <c r="GM292" i="1"/>
  <c r="GN292" i="1"/>
  <c r="GO292" i="1"/>
  <c r="GP292" i="1"/>
  <c r="GQ292" i="1"/>
  <c r="GR292" i="1"/>
  <c r="GS292" i="1"/>
  <c r="GT292" i="1"/>
  <c r="GU292" i="1"/>
  <c r="GV292" i="1"/>
  <c r="GW292" i="1"/>
  <c r="GX292" i="1"/>
  <c r="GY292" i="1"/>
  <c r="GZ292" i="1"/>
  <c r="HA292" i="1"/>
  <c r="HB292" i="1"/>
  <c r="HC292" i="1"/>
  <c r="HD292" i="1"/>
  <c r="HE292" i="1"/>
  <c r="HF292" i="1"/>
  <c r="HG292" i="1"/>
  <c r="HH292" i="1"/>
  <c r="HI292" i="1"/>
  <c r="HJ292" i="1"/>
  <c r="HK292" i="1"/>
  <c r="HL292" i="1"/>
  <c r="HM292" i="1"/>
  <c r="HN292" i="1"/>
  <c r="HO292" i="1"/>
  <c r="HP292" i="1"/>
  <c r="HQ292" i="1"/>
  <c r="HR292" i="1"/>
  <c r="HS292" i="1"/>
  <c r="HT292" i="1"/>
  <c r="HU292" i="1"/>
  <c r="HV292" i="1"/>
  <c r="HW292" i="1"/>
  <c r="HX292" i="1"/>
  <c r="HY292" i="1"/>
  <c r="HZ292" i="1"/>
  <c r="IA292" i="1"/>
  <c r="IB292" i="1"/>
  <c r="IC292" i="1"/>
  <c r="ID292" i="1"/>
  <c r="IE292" i="1"/>
  <c r="IF292" i="1"/>
  <c r="IG292" i="1"/>
  <c r="IH292" i="1"/>
  <c r="II292" i="1"/>
  <c r="IJ292" i="1"/>
  <c r="IK292" i="1"/>
  <c r="IL292" i="1"/>
  <c r="IM292" i="1"/>
  <c r="IN292" i="1"/>
  <c r="IO292" i="1"/>
  <c r="IP292" i="1"/>
  <c r="IQ292" i="1"/>
  <c r="IR292" i="1"/>
  <c r="IS292" i="1"/>
  <c r="IT292" i="1"/>
  <c r="IU292" i="1"/>
  <c r="IV292" i="1"/>
  <c r="IW292" i="1"/>
  <c r="IX292" i="1"/>
  <c r="IY292" i="1"/>
  <c r="IZ292" i="1"/>
  <c r="JA292" i="1"/>
  <c r="JB292" i="1"/>
  <c r="JC292" i="1"/>
  <c r="JD292" i="1"/>
  <c r="JE292" i="1"/>
  <c r="JF292" i="1"/>
  <c r="JG292" i="1"/>
  <c r="JH292" i="1"/>
  <c r="JI292" i="1"/>
  <c r="JJ292" i="1"/>
  <c r="JK292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U294" i="1"/>
  <c r="BV294" i="1"/>
  <c r="BW294" i="1"/>
  <c r="BX294" i="1"/>
  <c r="BY294" i="1"/>
  <c r="BZ294" i="1"/>
  <c r="CA294" i="1"/>
  <c r="CB294" i="1"/>
  <c r="CC294" i="1"/>
  <c r="CD294" i="1"/>
  <c r="CE294" i="1"/>
  <c r="CF294" i="1"/>
  <c r="CG294" i="1"/>
  <c r="CH294" i="1"/>
  <c r="CI294" i="1"/>
  <c r="CJ294" i="1"/>
  <c r="CK294" i="1"/>
  <c r="CL294" i="1"/>
  <c r="CM294" i="1"/>
  <c r="CN294" i="1"/>
  <c r="CO294" i="1"/>
  <c r="CP294" i="1"/>
  <c r="CQ294" i="1"/>
  <c r="CR294" i="1"/>
  <c r="CS294" i="1"/>
  <c r="CT294" i="1"/>
  <c r="CU294" i="1"/>
  <c r="CV294" i="1"/>
  <c r="CW294" i="1"/>
  <c r="CX294" i="1"/>
  <c r="CY294" i="1"/>
  <c r="CZ294" i="1"/>
  <c r="DA294" i="1"/>
  <c r="DB294" i="1"/>
  <c r="DC294" i="1"/>
  <c r="DD294" i="1"/>
  <c r="DE294" i="1"/>
  <c r="DF294" i="1"/>
  <c r="DG294" i="1"/>
  <c r="DH294" i="1"/>
  <c r="DI294" i="1"/>
  <c r="DJ294" i="1"/>
  <c r="DK294" i="1"/>
  <c r="DL294" i="1"/>
  <c r="DM294" i="1"/>
  <c r="DN294" i="1"/>
  <c r="DO294" i="1"/>
  <c r="DP294" i="1"/>
  <c r="DQ294" i="1"/>
  <c r="DR294" i="1"/>
  <c r="DS294" i="1"/>
  <c r="DT294" i="1"/>
  <c r="DU294" i="1"/>
  <c r="DV294" i="1"/>
  <c r="DW294" i="1"/>
  <c r="DX294" i="1"/>
  <c r="DY294" i="1"/>
  <c r="DZ294" i="1"/>
  <c r="EA294" i="1"/>
  <c r="EB294" i="1"/>
  <c r="EC294" i="1"/>
  <c r="ED294" i="1"/>
  <c r="EE294" i="1"/>
  <c r="EF294" i="1"/>
  <c r="EG294" i="1"/>
  <c r="EH294" i="1"/>
  <c r="EI294" i="1"/>
  <c r="EJ294" i="1"/>
  <c r="EK294" i="1"/>
  <c r="EL294" i="1"/>
  <c r="EM294" i="1"/>
  <c r="EN294" i="1"/>
  <c r="EO294" i="1"/>
  <c r="EP294" i="1"/>
  <c r="EQ294" i="1"/>
  <c r="ER294" i="1"/>
  <c r="ES294" i="1"/>
  <c r="ET294" i="1"/>
  <c r="EU294" i="1"/>
  <c r="EV294" i="1"/>
  <c r="EW294" i="1"/>
  <c r="EX294" i="1"/>
  <c r="EY294" i="1"/>
  <c r="EZ294" i="1"/>
  <c r="FA294" i="1"/>
  <c r="FB294" i="1"/>
  <c r="FC294" i="1"/>
  <c r="FD294" i="1"/>
  <c r="FE294" i="1"/>
  <c r="FF294" i="1"/>
  <c r="FG294" i="1"/>
  <c r="FH294" i="1"/>
  <c r="FI294" i="1"/>
  <c r="FJ294" i="1"/>
  <c r="FK294" i="1"/>
  <c r="FL294" i="1"/>
  <c r="FM294" i="1"/>
  <c r="FN294" i="1"/>
  <c r="FO294" i="1"/>
  <c r="FP294" i="1"/>
  <c r="FQ294" i="1"/>
  <c r="FR294" i="1"/>
  <c r="FS294" i="1"/>
  <c r="FT294" i="1"/>
  <c r="FU294" i="1"/>
  <c r="FV294" i="1"/>
  <c r="FW294" i="1"/>
  <c r="FX294" i="1"/>
  <c r="FY294" i="1"/>
  <c r="FZ294" i="1"/>
  <c r="GA294" i="1"/>
  <c r="GB294" i="1"/>
  <c r="GC294" i="1"/>
  <c r="GD294" i="1"/>
  <c r="GE294" i="1"/>
  <c r="GF294" i="1"/>
  <c r="GG294" i="1"/>
  <c r="GH294" i="1"/>
  <c r="GI294" i="1"/>
  <c r="GJ294" i="1"/>
  <c r="GK294" i="1"/>
  <c r="GL294" i="1"/>
  <c r="GM294" i="1"/>
  <c r="GN294" i="1"/>
  <c r="GO294" i="1"/>
  <c r="GP294" i="1"/>
  <c r="GQ294" i="1"/>
  <c r="GR294" i="1"/>
  <c r="GS294" i="1"/>
  <c r="GT294" i="1"/>
  <c r="GU294" i="1"/>
  <c r="GV294" i="1"/>
  <c r="GW294" i="1"/>
  <c r="GX294" i="1"/>
  <c r="GY294" i="1"/>
  <c r="GZ294" i="1"/>
  <c r="HA294" i="1"/>
  <c r="HB294" i="1"/>
  <c r="HC294" i="1"/>
  <c r="HD294" i="1"/>
  <c r="HE294" i="1"/>
  <c r="HF294" i="1"/>
  <c r="HG294" i="1"/>
  <c r="HH294" i="1"/>
  <c r="HI294" i="1"/>
  <c r="HJ294" i="1"/>
  <c r="HK294" i="1"/>
  <c r="HL294" i="1"/>
  <c r="HM294" i="1"/>
  <c r="HN294" i="1"/>
  <c r="HO294" i="1"/>
  <c r="HP294" i="1"/>
  <c r="HQ294" i="1"/>
  <c r="HR294" i="1"/>
  <c r="HS294" i="1"/>
  <c r="HT294" i="1"/>
  <c r="HU294" i="1"/>
  <c r="HV294" i="1"/>
  <c r="HW294" i="1"/>
  <c r="HX294" i="1"/>
  <c r="HY294" i="1"/>
  <c r="HZ294" i="1"/>
  <c r="IA294" i="1"/>
  <c r="IB294" i="1"/>
  <c r="IC294" i="1"/>
  <c r="ID294" i="1"/>
  <c r="IE294" i="1"/>
  <c r="IF294" i="1"/>
  <c r="IG294" i="1"/>
  <c r="IH294" i="1"/>
  <c r="II294" i="1"/>
  <c r="IJ294" i="1"/>
  <c r="IK294" i="1"/>
  <c r="IL294" i="1"/>
  <c r="IM294" i="1"/>
  <c r="IN294" i="1"/>
  <c r="IO294" i="1"/>
  <c r="IP294" i="1"/>
  <c r="IQ294" i="1"/>
  <c r="IR294" i="1"/>
  <c r="IS294" i="1"/>
  <c r="IT294" i="1"/>
  <c r="IU294" i="1"/>
  <c r="IV294" i="1"/>
  <c r="IW294" i="1"/>
  <c r="IX294" i="1"/>
  <c r="IY294" i="1"/>
  <c r="IZ294" i="1"/>
  <c r="JA294" i="1"/>
  <c r="JB294" i="1"/>
  <c r="JC294" i="1"/>
  <c r="JD294" i="1"/>
  <c r="JE294" i="1"/>
  <c r="JF294" i="1"/>
  <c r="JG294" i="1"/>
  <c r="JH294" i="1"/>
  <c r="JI294" i="1"/>
  <c r="JJ294" i="1"/>
  <c r="JK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CJ295" i="1"/>
  <c r="CK295" i="1"/>
  <c r="CL295" i="1"/>
  <c r="CM295" i="1"/>
  <c r="CN295" i="1"/>
  <c r="CO295" i="1"/>
  <c r="CP295" i="1"/>
  <c r="CQ295" i="1"/>
  <c r="CR295" i="1"/>
  <c r="CS295" i="1"/>
  <c r="CT295" i="1"/>
  <c r="CU295" i="1"/>
  <c r="CV295" i="1"/>
  <c r="CW295" i="1"/>
  <c r="CX295" i="1"/>
  <c r="CY295" i="1"/>
  <c r="CZ295" i="1"/>
  <c r="DA295" i="1"/>
  <c r="DB295" i="1"/>
  <c r="DC295" i="1"/>
  <c r="DD295" i="1"/>
  <c r="DE295" i="1"/>
  <c r="DF295" i="1"/>
  <c r="DG295" i="1"/>
  <c r="DH295" i="1"/>
  <c r="DI295" i="1"/>
  <c r="DJ295" i="1"/>
  <c r="DK295" i="1"/>
  <c r="DL295" i="1"/>
  <c r="DM295" i="1"/>
  <c r="DN295" i="1"/>
  <c r="DO295" i="1"/>
  <c r="DP295" i="1"/>
  <c r="DQ295" i="1"/>
  <c r="DR295" i="1"/>
  <c r="DS295" i="1"/>
  <c r="DT295" i="1"/>
  <c r="DU295" i="1"/>
  <c r="DV295" i="1"/>
  <c r="DW295" i="1"/>
  <c r="DX295" i="1"/>
  <c r="DY295" i="1"/>
  <c r="DZ295" i="1"/>
  <c r="EA295" i="1"/>
  <c r="EB295" i="1"/>
  <c r="EC295" i="1"/>
  <c r="ED295" i="1"/>
  <c r="EE295" i="1"/>
  <c r="EF295" i="1"/>
  <c r="EG295" i="1"/>
  <c r="EH295" i="1"/>
  <c r="EI295" i="1"/>
  <c r="EJ295" i="1"/>
  <c r="EK295" i="1"/>
  <c r="EL295" i="1"/>
  <c r="EM295" i="1"/>
  <c r="EN295" i="1"/>
  <c r="EO295" i="1"/>
  <c r="EP295" i="1"/>
  <c r="EQ295" i="1"/>
  <c r="ER295" i="1"/>
  <c r="ES295" i="1"/>
  <c r="ET295" i="1"/>
  <c r="EU295" i="1"/>
  <c r="EV295" i="1"/>
  <c r="EW295" i="1"/>
  <c r="EX295" i="1"/>
  <c r="EY295" i="1"/>
  <c r="EZ295" i="1"/>
  <c r="FA295" i="1"/>
  <c r="FB295" i="1"/>
  <c r="FC295" i="1"/>
  <c r="FD295" i="1"/>
  <c r="FE295" i="1"/>
  <c r="FF295" i="1"/>
  <c r="FG295" i="1"/>
  <c r="FH295" i="1"/>
  <c r="FI295" i="1"/>
  <c r="FJ295" i="1"/>
  <c r="FK295" i="1"/>
  <c r="FL295" i="1"/>
  <c r="FM295" i="1"/>
  <c r="FN295" i="1"/>
  <c r="FO295" i="1"/>
  <c r="FP295" i="1"/>
  <c r="FQ295" i="1"/>
  <c r="FR295" i="1"/>
  <c r="FS295" i="1"/>
  <c r="FT295" i="1"/>
  <c r="FU295" i="1"/>
  <c r="FV295" i="1"/>
  <c r="FW295" i="1"/>
  <c r="FX295" i="1"/>
  <c r="FY295" i="1"/>
  <c r="FZ295" i="1"/>
  <c r="GA295" i="1"/>
  <c r="GB295" i="1"/>
  <c r="GC295" i="1"/>
  <c r="GD295" i="1"/>
  <c r="GE295" i="1"/>
  <c r="GF295" i="1"/>
  <c r="GG295" i="1"/>
  <c r="GH295" i="1"/>
  <c r="GI295" i="1"/>
  <c r="GJ295" i="1"/>
  <c r="GK295" i="1"/>
  <c r="GL295" i="1"/>
  <c r="GM295" i="1"/>
  <c r="GN295" i="1"/>
  <c r="GO295" i="1"/>
  <c r="GP295" i="1"/>
  <c r="GQ295" i="1"/>
  <c r="GR295" i="1"/>
  <c r="GS295" i="1"/>
  <c r="GT295" i="1"/>
  <c r="GU295" i="1"/>
  <c r="GV295" i="1"/>
  <c r="GW295" i="1"/>
  <c r="GX295" i="1"/>
  <c r="GY295" i="1"/>
  <c r="GZ295" i="1"/>
  <c r="HA295" i="1"/>
  <c r="HB295" i="1"/>
  <c r="HC295" i="1"/>
  <c r="HD295" i="1"/>
  <c r="HE295" i="1"/>
  <c r="HF295" i="1"/>
  <c r="HG295" i="1"/>
  <c r="HH295" i="1"/>
  <c r="HI295" i="1"/>
  <c r="HJ295" i="1"/>
  <c r="HK295" i="1"/>
  <c r="HL295" i="1"/>
  <c r="HM295" i="1"/>
  <c r="HN295" i="1"/>
  <c r="HO295" i="1"/>
  <c r="HP295" i="1"/>
  <c r="HQ295" i="1"/>
  <c r="HR295" i="1"/>
  <c r="HS295" i="1"/>
  <c r="HT295" i="1"/>
  <c r="HU295" i="1"/>
  <c r="HV295" i="1"/>
  <c r="HW295" i="1"/>
  <c r="HX295" i="1"/>
  <c r="HY295" i="1"/>
  <c r="HZ295" i="1"/>
  <c r="IA295" i="1"/>
  <c r="IB295" i="1"/>
  <c r="IC295" i="1"/>
  <c r="ID295" i="1"/>
  <c r="IE295" i="1"/>
  <c r="IF295" i="1"/>
  <c r="IG295" i="1"/>
  <c r="IH295" i="1"/>
  <c r="II295" i="1"/>
  <c r="IJ295" i="1"/>
  <c r="IK295" i="1"/>
  <c r="IL295" i="1"/>
  <c r="IM295" i="1"/>
  <c r="IN295" i="1"/>
  <c r="IO295" i="1"/>
  <c r="IP295" i="1"/>
  <c r="IQ295" i="1"/>
  <c r="IR295" i="1"/>
  <c r="IS295" i="1"/>
  <c r="IT295" i="1"/>
  <c r="IU295" i="1"/>
  <c r="IV295" i="1"/>
  <c r="IW295" i="1"/>
  <c r="IX295" i="1"/>
  <c r="IY295" i="1"/>
  <c r="IZ295" i="1"/>
  <c r="JA295" i="1"/>
  <c r="JB295" i="1"/>
  <c r="JC295" i="1"/>
  <c r="JD295" i="1"/>
  <c r="JE295" i="1"/>
  <c r="JF295" i="1"/>
  <c r="JG295" i="1"/>
  <c r="JH295" i="1"/>
  <c r="JI295" i="1"/>
  <c r="JJ295" i="1"/>
  <c r="JK295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BX297" i="1"/>
  <c r="BY297" i="1"/>
  <c r="BZ297" i="1"/>
  <c r="CA297" i="1"/>
  <c r="CB297" i="1"/>
  <c r="CC297" i="1"/>
  <c r="CD297" i="1"/>
  <c r="CE297" i="1"/>
  <c r="CF297" i="1"/>
  <c r="CG297" i="1"/>
  <c r="CH297" i="1"/>
  <c r="CI297" i="1"/>
  <c r="CJ297" i="1"/>
  <c r="CK297" i="1"/>
  <c r="CL297" i="1"/>
  <c r="CM297" i="1"/>
  <c r="CN297" i="1"/>
  <c r="CO297" i="1"/>
  <c r="CP297" i="1"/>
  <c r="CQ297" i="1"/>
  <c r="CR297" i="1"/>
  <c r="CS297" i="1"/>
  <c r="CT297" i="1"/>
  <c r="CU297" i="1"/>
  <c r="CV297" i="1"/>
  <c r="CW297" i="1"/>
  <c r="CX297" i="1"/>
  <c r="CY297" i="1"/>
  <c r="CZ297" i="1"/>
  <c r="DA297" i="1"/>
  <c r="DB297" i="1"/>
  <c r="DC297" i="1"/>
  <c r="DD297" i="1"/>
  <c r="DE297" i="1"/>
  <c r="DF297" i="1"/>
  <c r="DG297" i="1"/>
  <c r="DH297" i="1"/>
  <c r="DI297" i="1"/>
  <c r="DJ297" i="1"/>
  <c r="DK297" i="1"/>
  <c r="DL297" i="1"/>
  <c r="DM297" i="1"/>
  <c r="DN297" i="1"/>
  <c r="DO297" i="1"/>
  <c r="DP297" i="1"/>
  <c r="DQ297" i="1"/>
  <c r="DR297" i="1"/>
  <c r="DS297" i="1"/>
  <c r="DT297" i="1"/>
  <c r="DU297" i="1"/>
  <c r="DV297" i="1"/>
  <c r="DW297" i="1"/>
  <c r="DX297" i="1"/>
  <c r="DY297" i="1"/>
  <c r="DZ297" i="1"/>
  <c r="EA297" i="1"/>
  <c r="EB297" i="1"/>
  <c r="EC297" i="1"/>
  <c r="ED297" i="1"/>
  <c r="EE297" i="1"/>
  <c r="EF297" i="1"/>
  <c r="EG297" i="1"/>
  <c r="EH297" i="1"/>
  <c r="EI297" i="1"/>
  <c r="EJ297" i="1"/>
  <c r="EK297" i="1"/>
  <c r="EL297" i="1"/>
  <c r="EM297" i="1"/>
  <c r="EN297" i="1"/>
  <c r="EO297" i="1"/>
  <c r="EP297" i="1"/>
  <c r="EQ297" i="1"/>
  <c r="ER297" i="1"/>
  <c r="ES297" i="1"/>
  <c r="ET297" i="1"/>
  <c r="EU297" i="1"/>
  <c r="EV297" i="1"/>
  <c r="EW297" i="1"/>
  <c r="EX297" i="1"/>
  <c r="EY297" i="1"/>
  <c r="EZ297" i="1"/>
  <c r="FA297" i="1"/>
  <c r="FB297" i="1"/>
  <c r="FC297" i="1"/>
  <c r="FD297" i="1"/>
  <c r="FE297" i="1"/>
  <c r="FF297" i="1"/>
  <c r="FG297" i="1"/>
  <c r="FH297" i="1"/>
  <c r="FI297" i="1"/>
  <c r="FJ297" i="1"/>
  <c r="FK297" i="1"/>
  <c r="FL297" i="1"/>
  <c r="FM297" i="1"/>
  <c r="FN297" i="1"/>
  <c r="FO297" i="1"/>
  <c r="FP297" i="1"/>
  <c r="FQ297" i="1"/>
  <c r="FR297" i="1"/>
  <c r="FS297" i="1"/>
  <c r="FT297" i="1"/>
  <c r="FU297" i="1"/>
  <c r="FV297" i="1"/>
  <c r="FW297" i="1"/>
  <c r="FX297" i="1"/>
  <c r="FY297" i="1"/>
  <c r="FZ297" i="1"/>
  <c r="GA297" i="1"/>
  <c r="GB297" i="1"/>
  <c r="GC297" i="1"/>
  <c r="GD297" i="1"/>
  <c r="GE297" i="1"/>
  <c r="GF297" i="1"/>
  <c r="GG297" i="1"/>
  <c r="GH297" i="1"/>
  <c r="GI297" i="1"/>
  <c r="GJ297" i="1"/>
  <c r="GK297" i="1"/>
  <c r="GL297" i="1"/>
  <c r="GM297" i="1"/>
  <c r="GN297" i="1"/>
  <c r="GO297" i="1"/>
  <c r="GP297" i="1"/>
  <c r="GQ297" i="1"/>
  <c r="GR297" i="1"/>
  <c r="GS297" i="1"/>
  <c r="GT297" i="1"/>
  <c r="GU297" i="1"/>
  <c r="GV297" i="1"/>
  <c r="GW297" i="1"/>
  <c r="GX297" i="1"/>
  <c r="GY297" i="1"/>
  <c r="GZ297" i="1"/>
  <c r="HA297" i="1"/>
  <c r="HB297" i="1"/>
  <c r="HC297" i="1"/>
  <c r="HD297" i="1"/>
  <c r="HE297" i="1"/>
  <c r="HF297" i="1"/>
  <c r="HG297" i="1"/>
  <c r="HH297" i="1"/>
  <c r="HI297" i="1"/>
  <c r="HJ297" i="1"/>
  <c r="HK297" i="1"/>
  <c r="HL297" i="1"/>
  <c r="HM297" i="1"/>
  <c r="HN297" i="1"/>
  <c r="HO297" i="1"/>
  <c r="HP297" i="1"/>
  <c r="HQ297" i="1"/>
  <c r="HR297" i="1"/>
  <c r="HS297" i="1"/>
  <c r="HT297" i="1"/>
  <c r="HU297" i="1"/>
  <c r="HV297" i="1"/>
  <c r="HW297" i="1"/>
  <c r="HX297" i="1"/>
  <c r="HY297" i="1"/>
  <c r="HZ297" i="1"/>
  <c r="IA297" i="1"/>
  <c r="IB297" i="1"/>
  <c r="IC297" i="1"/>
  <c r="ID297" i="1"/>
  <c r="IE297" i="1"/>
  <c r="IF297" i="1"/>
  <c r="IG297" i="1"/>
  <c r="IH297" i="1"/>
  <c r="II297" i="1"/>
  <c r="IJ297" i="1"/>
  <c r="IK297" i="1"/>
  <c r="IL297" i="1"/>
  <c r="IM297" i="1"/>
  <c r="IN297" i="1"/>
  <c r="IO297" i="1"/>
  <c r="IP297" i="1"/>
  <c r="IQ297" i="1"/>
  <c r="IR297" i="1"/>
  <c r="IS297" i="1"/>
  <c r="IT297" i="1"/>
  <c r="IU297" i="1"/>
  <c r="IV297" i="1"/>
  <c r="IW297" i="1"/>
  <c r="IX297" i="1"/>
  <c r="IY297" i="1"/>
  <c r="IZ297" i="1"/>
  <c r="JA297" i="1"/>
  <c r="JB297" i="1"/>
  <c r="JC297" i="1"/>
  <c r="JD297" i="1"/>
  <c r="JE297" i="1"/>
  <c r="JF297" i="1"/>
  <c r="JG297" i="1"/>
  <c r="JH297" i="1"/>
  <c r="JI297" i="1"/>
  <c r="JJ297" i="1"/>
  <c r="JK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U298" i="1"/>
  <c r="BV298" i="1"/>
  <c r="BW298" i="1"/>
  <c r="BX298" i="1"/>
  <c r="BY298" i="1"/>
  <c r="BZ298" i="1"/>
  <c r="CA298" i="1"/>
  <c r="CB298" i="1"/>
  <c r="CC298" i="1"/>
  <c r="CD298" i="1"/>
  <c r="CE298" i="1"/>
  <c r="CF298" i="1"/>
  <c r="CG298" i="1"/>
  <c r="CH298" i="1"/>
  <c r="CI298" i="1"/>
  <c r="CJ298" i="1"/>
  <c r="CK298" i="1"/>
  <c r="CL298" i="1"/>
  <c r="CM298" i="1"/>
  <c r="CN298" i="1"/>
  <c r="CO298" i="1"/>
  <c r="CP298" i="1"/>
  <c r="CQ298" i="1"/>
  <c r="CR298" i="1"/>
  <c r="CS298" i="1"/>
  <c r="CT298" i="1"/>
  <c r="CU298" i="1"/>
  <c r="CV298" i="1"/>
  <c r="CW298" i="1"/>
  <c r="CX298" i="1"/>
  <c r="CY298" i="1"/>
  <c r="CZ298" i="1"/>
  <c r="DA298" i="1"/>
  <c r="DB298" i="1"/>
  <c r="DC298" i="1"/>
  <c r="DD298" i="1"/>
  <c r="DE298" i="1"/>
  <c r="DF298" i="1"/>
  <c r="DG298" i="1"/>
  <c r="DH298" i="1"/>
  <c r="DI298" i="1"/>
  <c r="DJ298" i="1"/>
  <c r="DK298" i="1"/>
  <c r="DL298" i="1"/>
  <c r="DM298" i="1"/>
  <c r="DN298" i="1"/>
  <c r="DO298" i="1"/>
  <c r="DP298" i="1"/>
  <c r="DQ298" i="1"/>
  <c r="DR298" i="1"/>
  <c r="DS298" i="1"/>
  <c r="DT298" i="1"/>
  <c r="DU298" i="1"/>
  <c r="DV298" i="1"/>
  <c r="DW298" i="1"/>
  <c r="DX298" i="1"/>
  <c r="DY298" i="1"/>
  <c r="DZ298" i="1"/>
  <c r="EA298" i="1"/>
  <c r="EB298" i="1"/>
  <c r="EC298" i="1"/>
  <c r="ED298" i="1"/>
  <c r="EE298" i="1"/>
  <c r="EF298" i="1"/>
  <c r="EG298" i="1"/>
  <c r="EH298" i="1"/>
  <c r="EI298" i="1"/>
  <c r="EJ298" i="1"/>
  <c r="EK298" i="1"/>
  <c r="EL298" i="1"/>
  <c r="EM298" i="1"/>
  <c r="EN298" i="1"/>
  <c r="EO298" i="1"/>
  <c r="EP298" i="1"/>
  <c r="EQ298" i="1"/>
  <c r="ER298" i="1"/>
  <c r="ES298" i="1"/>
  <c r="ET298" i="1"/>
  <c r="EU298" i="1"/>
  <c r="EV298" i="1"/>
  <c r="EW298" i="1"/>
  <c r="EX298" i="1"/>
  <c r="EY298" i="1"/>
  <c r="EZ298" i="1"/>
  <c r="FA298" i="1"/>
  <c r="FB298" i="1"/>
  <c r="FC298" i="1"/>
  <c r="FD298" i="1"/>
  <c r="FE298" i="1"/>
  <c r="FF298" i="1"/>
  <c r="FG298" i="1"/>
  <c r="FH298" i="1"/>
  <c r="FI298" i="1"/>
  <c r="FJ298" i="1"/>
  <c r="FK298" i="1"/>
  <c r="FL298" i="1"/>
  <c r="FM298" i="1"/>
  <c r="FN298" i="1"/>
  <c r="FO298" i="1"/>
  <c r="FP298" i="1"/>
  <c r="FQ298" i="1"/>
  <c r="FR298" i="1"/>
  <c r="FS298" i="1"/>
  <c r="FT298" i="1"/>
  <c r="FU298" i="1"/>
  <c r="FV298" i="1"/>
  <c r="FW298" i="1"/>
  <c r="FX298" i="1"/>
  <c r="FY298" i="1"/>
  <c r="FZ298" i="1"/>
  <c r="GA298" i="1"/>
  <c r="GB298" i="1"/>
  <c r="GC298" i="1"/>
  <c r="GD298" i="1"/>
  <c r="GE298" i="1"/>
  <c r="GF298" i="1"/>
  <c r="GG298" i="1"/>
  <c r="GH298" i="1"/>
  <c r="GI298" i="1"/>
  <c r="GJ298" i="1"/>
  <c r="GK298" i="1"/>
  <c r="GL298" i="1"/>
  <c r="GM298" i="1"/>
  <c r="GN298" i="1"/>
  <c r="GO298" i="1"/>
  <c r="GP298" i="1"/>
  <c r="GQ298" i="1"/>
  <c r="GR298" i="1"/>
  <c r="GS298" i="1"/>
  <c r="GT298" i="1"/>
  <c r="GU298" i="1"/>
  <c r="GV298" i="1"/>
  <c r="GW298" i="1"/>
  <c r="GX298" i="1"/>
  <c r="GY298" i="1"/>
  <c r="GZ298" i="1"/>
  <c r="HA298" i="1"/>
  <c r="HB298" i="1"/>
  <c r="HC298" i="1"/>
  <c r="HD298" i="1"/>
  <c r="HE298" i="1"/>
  <c r="HF298" i="1"/>
  <c r="HG298" i="1"/>
  <c r="HH298" i="1"/>
  <c r="HI298" i="1"/>
  <c r="HJ298" i="1"/>
  <c r="HK298" i="1"/>
  <c r="HL298" i="1"/>
  <c r="HM298" i="1"/>
  <c r="HN298" i="1"/>
  <c r="HO298" i="1"/>
  <c r="HP298" i="1"/>
  <c r="HQ298" i="1"/>
  <c r="HR298" i="1"/>
  <c r="HS298" i="1"/>
  <c r="HT298" i="1"/>
  <c r="HU298" i="1"/>
  <c r="HV298" i="1"/>
  <c r="HW298" i="1"/>
  <c r="HX298" i="1"/>
  <c r="HY298" i="1"/>
  <c r="HZ298" i="1"/>
  <c r="IA298" i="1"/>
  <c r="IB298" i="1"/>
  <c r="IC298" i="1"/>
  <c r="ID298" i="1"/>
  <c r="IE298" i="1"/>
  <c r="IF298" i="1"/>
  <c r="IG298" i="1"/>
  <c r="IH298" i="1"/>
  <c r="II298" i="1"/>
  <c r="IJ298" i="1"/>
  <c r="IK298" i="1"/>
  <c r="IL298" i="1"/>
  <c r="IM298" i="1"/>
  <c r="IN298" i="1"/>
  <c r="IO298" i="1"/>
  <c r="IP298" i="1"/>
  <c r="IQ298" i="1"/>
  <c r="IR298" i="1"/>
  <c r="IS298" i="1"/>
  <c r="IT298" i="1"/>
  <c r="IU298" i="1"/>
  <c r="IV298" i="1"/>
  <c r="IW298" i="1"/>
  <c r="IX298" i="1"/>
  <c r="IY298" i="1"/>
  <c r="IZ298" i="1"/>
  <c r="JA298" i="1"/>
  <c r="JB298" i="1"/>
  <c r="JC298" i="1"/>
  <c r="JD298" i="1"/>
  <c r="JE298" i="1"/>
  <c r="JF298" i="1"/>
  <c r="JG298" i="1"/>
  <c r="JH298" i="1"/>
  <c r="JI298" i="1"/>
  <c r="JJ298" i="1"/>
  <c r="JK298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CJ300" i="1"/>
  <c r="CK300" i="1"/>
  <c r="CL300" i="1"/>
  <c r="CM300" i="1"/>
  <c r="CN300" i="1"/>
  <c r="CO300" i="1"/>
  <c r="CP300" i="1"/>
  <c r="CQ300" i="1"/>
  <c r="CR300" i="1"/>
  <c r="CS300" i="1"/>
  <c r="CT300" i="1"/>
  <c r="CU300" i="1"/>
  <c r="CV300" i="1"/>
  <c r="CW300" i="1"/>
  <c r="CX300" i="1"/>
  <c r="CY300" i="1"/>
  <c r="CZ300" i="1"/>
  <c r="DA300" i="1"/>
  <c r="DB300" i="1"/>
  <c r="DC300" i="1"/>
  <c r="DD300" i="1"/>
  <c r="DE300" i="1"/>
  <c r="DF300" i="1"/>
  <c r="DG300" i="1"/>
  <c r="DH300" i="1"/>
  <c r="DI300" i="1"/>
  <c r="DJ300" i="1"/>
  <c r="DK300" i="1"/>
  <c r="DL300" i="1"/>
  <c r="DM300" i="1"/>
  <c r="DN300" i="1"/>
  <c r="DO300" i="1"/>
  <c r="DP300" i="1"/>
  <c r="DQ300" i="1"/>
  <c r="DR300" i="1"/>
  <c r="DS300" i="1"/>
  <c r="DT300" i="1"/>
  <c r="DU300" i="1"/>
  <c r="DV300" i="1"/>
  <c r="DW300" i="1"/>
  <c r="DX300" i="1"/>
  <c r="DY300" i="1"/>
  <c r="DZ300" i="1"/>
  <c r="EA300" i="1"/>
  <c r="EB300" i="1"/>
  <c r="EC300" i="1"/>
  <c r="ED300" i="1"/>
  <c r="EE300" i="1"/>
  <c r="EF300" i="1"/>
  <c r="EG300" i="1"/>
  <c r="EH300" i="1"/>
  <c r="EI300" i="1"/>
  <c r="EJ300" i="1"/>
  <c r="EK300" i="1"/>
  <c r="EL300" i="1"/>
  <c r="EM300" i="1"/>
  <c r="EN300" i="1"/>
  <c r="EO300" i="1"/>
  <c r="EP300" i="1"/>
  <c r="EQ300" i="1"/>
  <c r="ER300" i="1"/>
  <c r="ES300" i="1"/>
  <c r="ET300" i="1"/>
  <c r="EU300" i="1"/>
  <c r="EV300" i="1"/>
  <c r="EW300" i="1"/>
  <c r="EX300" i="1"/>
  <c r="EY300" i="1"/>
  <c r="EZ300" i="1"/>
  <c r="FA300" i="1"/>
  <c r="FB300" i="1"/>
  <c r="FC300" i="1"/>
  <c r="FD300" i="1"/>
  <c r="FE300" i="1"/>
  <c r="FF300" i="1"/>
  <c r="FG300" i="1"/>
  <c r="FH300" i="1"/>
  <c r="FI300" i="1"/>
  <c r="FJ300" i="1"/>
  <c r="FK300" i="1"/>
  <c r="FL300" i="1"/>
  <c r="FM300" i="1"/>
  <c r="FN300" i="1"/>
  <c r="FO300" i="1"/>
  <c r="FP300" i="1"/>
  <c r="FQ300" i="1"/>
  <c r="FR300" i="1"/>
  <c r="FS300" i="1"/>
  <c r="FT300" i="1"/>
  <c r="FU300" i="1"/>
  <c r="FV300" i="1"/>
  <c r="FW300" i="1"/>
  <c r="FX300" i="1"/>
  <c r="FY300" i="1"/>
  <c r="FZ300" i="1"/>
  <c r="GA300" i="1"/>
  <c r="GB300" i="1"/>
  <c r="GC300" i="1"/>
  <c r="GD300" i="1"/>
  <c r="GE300" i="1"/>
  <c r="GF300" i="1"/>
  <c r="GG300" i="1"/>
  <c r="GH300" i="1"/>
  <c r="GI300" i="1"/>
  <c r="GJ300" i="1"/>
  <c r="GK300" i="1"/>
  <c r="GL300" i="1"/>
  <c r="GM300" i="1"/>
  <c r="GN300" i="1"/>
  <c r="GO300" i="1"/>
  <c r="GP300" i="1"/>
  <c r="GQ300" i="1"/>
  <c r="GR300" i="1"/>
  <c r="GS300" i="1"/>
  <c r="GT300" i="1"/>
  <c r="GU300" i="1"/>
  <c r="GV300" i="1"/>
  <c r="GW300" i="1"/>
  <c r="GX300" i="1"/>
  <c r="GY300" i="1"/>
  <c r="GZ300" i="1"/>
  <c r="HA300" i="1"/>
  <c r="HB300" i="1"/>
  <c r="HC300" i="1"/>
  <c r="HD300" i="1"/>
  <c r="HE300" i="1"/>
  <c r="HF300" i="1"/>
  <c r="HG300" i="1"/>
  <c r="HH300" i="1"/>
  <c r="HI300" i="1"/>
  <c r="HJ300" i="1"/>
  <c r="HK300" i="1"/>
  <c r="HL300" i="1"/>
  <c r="HM300" i="1"/>
  <c r="HN300" i="1"/>
  <c r="HO300" i="1"/>
  <c r="HP300" i="1"/>
  <c r="HQ300" i="1"/>
  <c r="HR300" i="1"/>
  <c r="HS300" i="1"/>
  <c r="HT300" i="1"/>
  <c r="HU300" i="1"/>
  <c r="HV300" i="1"/>
  <c r="HW300" i="1"/>
  <c r="HX300" i="1"/>
  <c r="HY300" i="1"/>
  <c r="HZ300" i="1"/>
  <c r="IA300" i="1"/>
  <c r="IB300" i="1"/>
  <c r="IC300" i="1"/>
  <c r="ID300" i="1"/>
  <c r="IE300" i="1"/>
  <c r="IF300" i="1"/>
  <c r="IG300" i="1"/>
  <c r="IH300" i="1"/>
  <c r="II300" i="1"/>
  <c r="IJ300" i="1"/>
  <c r="IK300" i="1"/>
  <c r="IL300" i="1"/>
  <c r="IM300" i="1"/>
  <c r="IN300" i="1"/>
  <c r="IO300" i="1"/>
  <c r="IP300" i="1"/>
  <c r="IQ300" i="1"/>
  <c r="IR300" i="1"/>
  <c r="IS300" i="1"/>
  <c r="IT300" i="1"/>
  <c r="IU300" i="1"/>
  <c r="IV300" i="1"/>
  <c r="IW300" i="1"/>
  <c r="IX300" i="1"/>
  <c r="IY300" i="1"/>
  <c r="IZ300" i="1"/>
  <c r="JA300" i="1"/>
  <c r="JB300" i="1"/>
  <c r="JC300" i="1"/>
  <c r="JD300" i="1"/>
  <c r="JE300" i="1"/>
  <c r="JF300" i="1"/>
  <c r="JG300" i="1"/>
  <c r="JH300" i="1"/>
  <c r="JI300" i="1"/>
  <c r="JJ300" i="1"/>
  <c r="JK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CJ301" i="1"/>
  <c r="CK301" i="1"/>
  <c r="CL301" i="1"/>
  <c r="CM301" i="1"/>
  <c r="CN301" i="1"/>
  <c r="CO301" i="1"/>
  <c r="CP301" i="1"/>
  <c r="CQ301" i="1"/>
  <c r="CR301" i="1"/>
  <c r="CS301" i="1"/>
  <c r="CT301" i="1"/>
  <c r="CU301" i="1"/>
  <c r="CV301" i="1"/>
  <c r="CW301" i="1"/>
  <c r="CX301" i="1"/>
  <c r="CY301" i="1"/>
  <c r="CZ301" i="1"/>
  <c r="DA301" i="1"/>
  <c r="DB301" i="1"/>
  <c r="DC301" i="1"/>
  <c r="DD301" i="1"/>
  <c r="DE301" i="1"/>
  <c r="DF301" i="1"/>
  <c r="DG301" i="1"/>
  <c r="DH301" i="1"/>
  <c r="DI301" i="1"/>
  <c r="DJ301" i="1"/>
  <c r="DK301" i="1"/>
  <c r="DL301" i="1"/>
  <c r="DM301" i="1"/>
  <c r="DN301" i="1"/>
  <c r="DO301" i="1"/>
  <c r="DP301" i="1"/>
  <c r="DQ301" i="1"/>
  <c r="DR301" i="1"/>
  <c r="DS301" i="1"/>
  <c r="DT301" i="1"/>
  <c r="DU301" i="1"/>
  <c r="DV301" i="1"/>
  <c r="DW301" i="1"/>
  <c r="DX301" i="1"/>
  <c r="DY301" i="1"/>
  <c r="DZ301" i="1"/>
  <c r="EA301" i="1"/>
  <c r="EB301" i="1"/>
  <c r="EC301" i="1"/>
  <c r="ED301" i="1"/>
  <c r="EE301" i="1"/>
  <c r="EF301" i="1"/>
  <c r="EG301" i="1"/>
  <c r="EH301" i="1"/>
  <c r="EI301" i="1"/>
  <c r="EJ301" i="1"/>
  <c r="EK301" i="1"/>
  <c r="EL301" i="1"/>
  <c r="EM301" i="1"/>
  <c r="EN301" i="1"/>
  <c r="EO301" i="1"/>
  <c r="EP301" i="1"/>
  <c r="EQ301" i="1"/>
  <c r="ER301" i="1"/>
  <c r="ES301" i="1"/>
  <c r="ET301" i="1"/>
  <c r="EU301" i="1"/>
  <c r="EV301" i="1"/>
  <c r="EW301" i="1"/>
  <c r="EX301" i="1"/>
  <c r="EY301" i="1"/>
  <c r="EZ301" i="1"/>
  <c r="FA301" i="1"/>
  <c r="FB301" i="1"/>
  <c r="FC301" i="1"/>
  <c r="FD301" i="1"/>
  <c r="FE301" i="1"/>
  <c r="FF301" i="1"/>
  <c r="FG301" i="1"/>
  <c r="FH301" i="1"/>
  <c r="FI301" i="1"/>
  <c r="FJ301" i="1"/>
  <c r="FK301" i="1"/>
  <c r="FL301" i="1"/>
  <c r="FM301" i="1"/>
  <c r="FN301" i="1"/>
  <c r="FO301" i="1"/>
  <c r="FP301" i="1"/>
  <c r="FQ301" i="1"/>
  <c r="FR301" i="1"/>
  <c r="FS301" i="1"/>
  <c r="FT301" i="1"/>
  <c r="FU301" i="1"/>
  <c r="FV301" i="1"/>
  <c r="FW301" i="1"/>
  <c r="FX301" i="1"/>
  <c r="FY301" i="1"/>
  <c r="FZ301" i="1"/>
  <c r="GA301" i="1"/>
  <c r="GB301" i="1"/>
  <c r="GC301" i="1"/>
  <c r="GD301" i="1"/>
  <c r="GE301" i="1"/>
  <c r="GF301" i="1"/>
  <c r="GG301" i="1"/>
  <c r="GH301" i="1"/>
  <c r="GI301" i="1"/>
  <c r="GJ301" i="1"/>
  <c r="GK301" i="1"/>
  <c r="GL301" i="1"/>
  <c r="GM301" i="1"/>
  <c r="GN301" i="1"/>
  <c r="GO301" i="1"/>
  <c r="GP301" i="1"/>
  <c r="GQ301" i="1"/>
  <c r="GR301" i="1"/>
  <c r="GS301" i="1"/>
  <c r="GT301" i="1"/>
  <c r="GU301" i="1"/>
  <c r="GV301" i="1"/>
  <c r="GW301" i="1"/>
  <c r="GX301" i="1"/>
  <c r="GY301" i="1"/>
  <c r="GZ301" i="1"/>
  <c r="HA301" i="1"/>
  <c r="HB301" i="1"/>
  <c r="HC301" i="1"/>
  <c r="HD301" i="1"/>
  <c r="HE301" i="1"/>
  <c r="HF301" i="1"/>
  <c r="HG301" i="1"/>
  <c r="HH301" i="1"/>
  <c r="HI301" i="1"/>
  <c r="HJ301" i="1"/>
  <c r="HK301" i="1"/>
  <c r="HL301" i="1"/>
  <c r="HM301" i="1"/>
  <c r="HN301" i="1"/>
  <c r="HO301" i="1"/>
  <c r="HP301" i="1"/>
  <c r="HQ301" i="1"/>
  <c r="HR301" i="1"/>
  <c r="HS301" i="1"/>
  <c r="HT301" i="1"/>
  <c r="HU301" i="1"/>
  <c r="HV301" i="1"/>
  <c r="HW301" i="1"/>
  <c r="HX301" i="1"/>
  <c r="HY301" i="1"/>
  <c r="HZ301" i="1"/>
  <c r="IA301" i="1"/>
  <c r="IB301" i="1"/>
  <c r="IC301" i="1"/>
  <c r="ID301" i="1"/>
  <c r="IE301" i="1"/>
  <c r="IF301" i="1"/>
  <c r="IG301" i="1"/>
  <c r="IH301" i="1"/>
  <c r="II301" i="1"/>
  <c r="IJ301" i="1"/>
  <c r="IK301" i="1"/>
  <c r="IL301" i="1"/>
  <c r="IM301" i="1"/>
  <c r="IN301" i="1"/>
  <c r="IO301" i="1"/>
  <c r="IP301" i="1"/>
  <c r="IQ301" i="1"/>
  <c r="IR301" i="1"/>
  <c r="IS301" i="1"/>
  <c r="IT301" i="1"/>
  <c r="IU301" i="1"/>
  <c r="IV301" i="1"/>
  <c r="IW301" i="1"/>
  <c r="IX301" i="1"/>
  <c r="IY301" i="1"/>
  <c r="IZ301" i="1"/>
  <c r="JA301" i="1"/>
  <c r="JB301" i="1"/>
  <c r="JC301" i="1"/>
  <c r="JD301" i="1"/>
  <c r="JE301" i="1"/>
  <c r="JF301" i="1"/>
  <c r="JG301" i="1"/>
  <c r="JH301" i="1"/>
  <c r="JI301" i="1"/>
  <c r="JJ301" i="1"/>
  <c r="JK301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CJ303" i="1"/>
  <c r="CK303" i="1"/>
  <c r="CL303" i="1"/>
  <c r="CM303" i="1"/>
  <c r="CN303" i="1"/>
  <c r="CO303" i="1"/>
  <c r="CP303" i="1"/>
  <c r="CQ303" i="1"/>
  <c r="CR303" i="1"/>
  <c r="CS303" i="1"/>
  <c r="CT303" i="1"/>
  <c r="CU303" i="1"/>
  <c r="CV303" i="1"/>
  <c r="CW303" i="1"/>
  <c r="CX303" i="1"/>
  <c r="CY303" i="1"/>
  <c r="CZ303" i="1"/>
  <c r="DA303" i="1"/>
  <c r="DB303" i="1"/>
  <c r="DC303" i="1"/>
  <c r="DD303" i="1"/>
  <c r="DE303" i="1"/>
  <c r="DF303" i="1"/>
  <c r="DG303" i="1"/>
  <c r="DH303" i="1"/>
  <c r="DI303" i="1"/>
  <c r="DJ303" i="1"/>
  <c r="DK303" i="1"/>
  <c r="DL303" i="1"/>
  <c r="DM303" i="1"/>
  <c r="DN303" i="1"/>
  <c r="DO303" i="1"/>
  <c r="DP303" i="1"/>
  <c r="DQ303" i="1"/>
  <c r="DR303" i="1"/>
  <c r="DS303" i="1"/>
  <c r="DT303" i="1"/>
  <c r="DU303" i="1"/>
  <c r="DV303" i="1"/>
  <c r="DW303" i="1"/>
  <c r="DX303" i="1"/>
  <c r="DY303" i="1"/>
  <c r="DZ303" i="1"/>
  <c r="EA303" i="1"/>
  <c r="EB303" i="1"/>
  <c r="EC303" i="1"/>
  <c r="ED303" i="1"/>
  <c r="EE303" i="1"/>
  <c r="EF303" i="1"/>
  <c r="EG303" i="1"/>
  <c r="EH303" i="1"/>
  <c r="EI303" i="1"/>
  <c r="EJ303" i="1"/>
  <c r="EK303" i="1"/>
  <c r="EL303" i="1"/>
  <c r="EM303" i="1"/>
  <c r="EN303" i="1"/>
  <c r="EO303" i="1"/>
  <c r="EP303" i="1"/>
  <c r="EQ303" i="1"/>
  <c r="ER303" i="1"/>
  <c r="ES303" i="1"/>
  <c r="ET303" i="1"/>
  <c r="EU303" i="1"/>
  <c r="EV303" i="1"/>
  <c r="EW303" i="1"/>
  <c r="EX303" i="1"/>
  <c r="EY303" i="1"/>
  <c r="EZ303" i="1"/>
  <c r="FA303" i="1"/>
  <c r="FB303" i="1"/>
  <c r="FC303" i="1"/>
  <c r="FD303" i="1"/>
  <c r="FE303" i="1"/>
  <c r="FF303" i="1"/>
  <c r="FG303" i="1"/>
  <c r="FH303" i="1"/>
  <c r="FI303" i="1"/>
  <c r="FJ303" i="1"/>
  <c r="FK303" i="1"/>
  <c r="FL303" i="1"/>
  <c r="FM303" i="1"/>
  <c r="FN303" i="1"/>
  <c r="FO303" i="1"/>
  <c r="FP303" i="1"/>
  <c r="FQ303" i="1"/>
  <c r="FR303" i="1"/>
  <c r="FS303" i="1"/>
  <c r="FT303" i="1"/>
  <c r="FU303" i="1"/>
  <c r="FV303" i="1"/>
  <c r="FW303" i="1"/>
  <c r="FX303" i="1"/>
  <c r="FY303" i="1"/>
  <c r="FZ303" i="1"/>
  <c r="GA303" i="1"/>
  <c r="GB303" i="1"/>
  <c r="GC303" i="1"/>
  <c r="GD303" i="1"/>
  <c r="GE303" i="1"/>
  <c r="GF303" i="1"/>
  <c r="GG303" i="1"/>
  <c r="GH303" i="1"/>
  <c r="GI303" i="1"/>
  <c r="GJ303" i="1"/>
  <c r="GK303" i="1"/>
  <c r="GL303" i="1"/>
  <c r="GM303" i="1"/>
  <c r="GN303" i="1"/>
  <c r="GO303" i="1"/>
  <c r="GP303" i="1"/>
  <c r="GQ303" i="1"/>
  <c r="GR303" i="1"/>
  <c r="GS303" i="1"/>
  <c r="GT303" i="1"/>
  <c r="GU303" i="1"/>
  <c r="GV303" i="1"/>
  <c r="GW303" i="1"/>
  <c r="GX303" i="1"/>
  <c r="GY303" i="1"/>
  <c r="GZ303" i="1"/>
  <c r="HA303" i="1"/>
  <c r="HB303" i="1"/>
  <c r="HC303" i="1"/>
  <c r="HD303" i="1"/>
  <c r="HE303" i="1"/>
  <c r="HF303" i="1"/>
  <c r="HG303" i="1"/>
  <c r="HH303" i="1"/>
  <c r="HI303" i="1"/>
  <c r="HJ303" i="1"/>
  <c r="HK303" i="1"/>
  <c r="HL303" i="1"/>
  <c r="HM303" i="1"/>
  <c r="HN303" i="1"/>
  <c r="HO303" i="1"/>
  <c r="HP303" i="1"/>
  <c r="HQ303" i="1"/>
  <c r="HR303" i="1"/>
  <c r="HS303" i="1"/>
  <c r="HT303" i="1"/>
  <c r="HU303" i="1"/>
  <c r="HV303" i="1"/>
  <c r="HW303" i="1"/>
  <c r="HX303" i="1"/>
  <c r="HY303" i="1"/>
  <c r="HZ303" i="1"/>
  <c r="IA303" i="1"/>
  <c r="IB303" i="1"/>
  <c r="IC303" i="1"/>
  <c r="ID303" i="1"/>
  <c r="IE303" i="1"/>
  <c r="IF303" i="1"/>
  <c r="IG303" i="1"/>
  <c r="IH303" i="1"/>
  <c r="II303" i="1"/>
  <c r="IJ303" i="1"/>
  <c r="IK303" i="1"/>
  <c r="IL303" i="1"/>
  <c r="IM303" i="1"/>
  <c r="IN303" i="1"/>
  <c r="IO303" i="1"/>
  <c r="IP303" i="1"/>
  <c r="IQ303" i="1"/>
  <c r="IR303" i="1"/>
  <c r="IS303" i="1"/>
  <c r="IT303" i="1"/>
  <c r="IU303" i="1"/>
  <c r="IV303" i="1"/>
  <c r="IW303" i="1"/>
  <c r="IX303" i="1"/>
  <c r="IY303" i="1"/>
  <c r="IZ303" i="1"/>
  <c r="JA303" i="1"/>
  <c r="JB303" i="1"/>
  <c r="JC303" i="1"/>
  <c r="JD303" i="1"/>
  <c r="JE303" i="1"/>
  <c r="JF303" i="1"/>
  <c r="JG303" i="1"/>
  <c r="JH303" i="1"/>
  <c r="JI303" i="1"/>
  <c r="JJ303" i="1"/>
  <c r="JK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CJ304" i="1"/>
  <c r="CK304" i="1"/>
  <c r="CL304" i="1"/>
  <c r="CM304" i="1"/>
  <c r="CN304" i="1"/>
  <c r="CO304" i="1"/>
  <c r="CP304" i="1"/>
  <c r="CQ304" i="1"/>
  <c r="CR304" i="1"/>
  <c r="CS304" i="1"/>
  <c r="CT304" i="1"/>
  <c r="CU304" i="1"/>
  <c r="CV304" i="1"/>
  <c r="CW304" i="1"/>
  <c r="CX304" i="1"/>
  <c r="CY304" i="1"/>
  <c r="CZ304" i="1"/>
  <c r="DA304" i="1"/>
  <c r="DB304" i="1"/>
  <c r="DC304" i="1"/>
  <c r="DD304" i="1"/>
  <c r="DE304" i="1"/>
  <c r="DF304" i="1"/>
  <c r="DG304" i="1"/>
  <c r="DH304" i="1"/>
  <c r="DI304" i="1"/>
  <c r="DJ304" i="1"/>
  <c r="DK304" i="1"/>
  <c r="DL304" i="1"/>
  <c r="DM304" i="1"/>
  <c r="DN304" i="1"/>
  <c r="DO304" i="1"/>
  <c r="DP304" i="1"/>
  <c r="DQ304" i="1"/>
  <c r="DR304" i="1"/>
  <c r="DS304" i="1"/>
  <c r="DT304" i="1"/>
  <c r="DU304" i="1"/>
  <c r="DV304" i="1"/>
  <c r="DW304" i="1"/>
  <c r="DX304" i="1"/>
  <c r="DY304" i="1"/>
  <c r="DZ304" i="1"/>
  <c r="EA304" i="1"/>
  <c r="EB304" i="1"/>
  <c r="EC304" i="1"/>
  <c r="ED304" i="1"/>
  <c r="EE304" i="1"/>
  <c r="EF304" i="1"/>
  <c r="EG304" i="1"/>
  <c r="EH304" i="1"/>
  <c r="EI304" i="1"/>
  <c r="EJ304" i="1"/>
  <c r="EK304" i="1"/>
  <c r="EL304" i="1"/>
  <c r="EM304" i="1"/>
  <c r="EN304" i="1"/>
  <c r="EO304" i="1"/>
  <c r="EP304" i="1"/>
  <c r="EQ304" i="1"/>
  <c r="ER304" i="1"/>
  <c r="ES304" i="1"/>
  <c r="ET304" i="1"/>
  <c r="EU304" i="1"/>
  <c r="EV304" i="1"/>
  <c r="EW304" i="1"/>
  <c r="EX304" i="1"/>
  <c r="EY304" i="1"/>
  <c r="EZ304" i="1"/>
  <c r="FA304" i="1"/>
  <c r="FB304" i="1"/>
  <c r="FC304" i="1"/>
  <c r="FD304" i="1"/>
  <c r="FE304" i="1"/>
  <c r="FF304" i="1"/>
  <c r="FG304" i="1"/>
  <c r="FH304" i="1"/>
  <c r="FI304" i="1"/>
  <c r="FJ304" i="1"/>
  <c r="FK304" i="1"/>
  <c r="FL304" i="1"/>
  <c r="FM304" i="1"/>
  <c r="FN304" i="1"/>
  <c r="FO304" i="1"/>
  <c r="FP304" i="1"/>
  <c r="FQ304" i="1"/>
  <c r="FR304" i="1"/>
  <c r="FS304" i="1"/>
  <c r="FT304" i="1"/>
  <c r="FU304" i="1"/>
  <c r="FV304" i="1"/>
  <c r="FW304" i="1"/>
  <c r="FX304" i="1"/>
  <c r="FY304" i="1"/>
  <c r="FZ304" i="1"/>
  <c r="GA304" i="1"/>
  <c r="GB304" i="1"/>
  <c r="GC304" i="1"/>
  <c r="GD304" i="1"/>
  <c r="GE304" i="1"/>
  <c r="GF304" i="1"/>
  <c r="GG304" i="1"/>
  <c r="GH304" i="1"/>
  <c r="GI304" i="1"/>
  <c r="GJ304" i="1"/>
  <c r="GK304" i="1"/>
  <c r="GL304" i="1"/>
  <c r="GM304" i="1"/>
  <c r="GN304" i="1"/>
  <c r="GO304" i="1"/>
  <c r="GP304" i="1"/>
  <c r="GQ304" i="1"/>
  <c r="GR304" i="1"/>
  <c r="GS304" i="1"/>
  <c r="GT304" i="1"/>
  <c r="GU304" i="1"/>
  <c r="GV304" i="1"/>
  <c r="GW304" i="1"/>
  <c r="GX304" i="1"/>
  <c r="GY304" i="1"/>
  <c r="GZ304" i="1"/>
  <c r="HA304" i="1"/>
  <c r="HB304" i="1"/>
  <c r="HC304" i="1"/>
  <c r="HD304" i="1"/>
  <c r="HE304" i="1"/>
  <c r="HF304" i="1"/>
  <c r="HG304" i="1"/>
  <c r="HH304" i="1"/>
  <c r="HI304" i="1"/>
  <c r="HJ304" i="1"/>
  <c r="HK304" i="1"/>
  <c r="HL304" i="1"/>
  <c r="HM304" i="1"/>
  <c r="HN304" i="1"/>
  <c r="HO304" i="1"/>
  <c r="HP304" i="1"/>
  <c r="HQ304" i="1"/>
  <c r="HR304" i="1"/>
  <c r="HS304" i="1"/>
  <c r="HT304" i="1"/>
  <c r="HU304" i="1"/>
  <c r="HV304" i="1"/>
  <c r="HW304" i="1"/>
  <c r="HX304" i="1"/>
  <c r="HY304" i="1"/>
  <c r="HZ304" i="1"/>
  <c r="IA304" i="1"/>
  <c r="IB304" i="1"/>
  <c r="IC304" i="1"/>
  <c r="ID304" i="1"/>
  <c r="IE304" i="1"/>
  <c r="IF304" i="1"/>
  <c r="IG304" i="1"/>
  <c r="IH304" i="1"/>
  <c r="II304" i="1"/>
  <c r="IJ304" i="1"/>
  <c r="IK304" i="1"/>
  <c r="IL304" i="1"/>
  <c r="IM304" i="1"/>
  <c r="IN304" i="1"/>
  <c r="IO304" i="1"/>
  <c r="IP304" i="1"/>
  <c r="IQ304" i="1"/>
  <c r="IR304" i="1"/>
  <c r="IS304" i="1"/>
  <c r="IT304" i="1"/>
  <c r="IU304" i="1"/>
  <c r="IV304" i="1"/>
  <c r="IW304" i="1"/>
  <c r="IX304" i="1"/>
  <c r="IY304" i="1"/>
  <c r="IZ304" i="1"/>
  <c r="JA304" i="1"/>
  <c r="JB304" i="1"/>
  <c r="JC304" i="1"/>
  <c r="JD304" i="1"/>
  <c r="JE304" i="1"/>
  <c r="JF304" i="1"/>
  <c r="JG304" i="1"/>
  <c r="JH304" i="1"/>
  <c r="JI304" i="1"/>
  <c r="JJ304" i="1"/>
  <c r="JK304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U306" i="1"/>
  <c r="BV306" i="1"/>
  <c r="BW306" i="1"/>
  <c r="BX306" i="1"/>
  <c r="BY306" i="1"/>
  <c r="BZ306" i="1"/>
  <c r="CA306" i="1"/>
  <c r="CB306" i="1"/>
  <c r="CC306" i="1"/>
  <c r="CD306" i="1"/>
  <c r="CE306" i="1"/>
  <c r="CF306" i="1"/>
  <c r="CG306" i="1"/>
  <c r="CH306" i="1"/>
  <c r="CI306" i="1"/>
  <c r="CJ306" i="1"/>
  <c r="CK306" i="1"/>
  <c r="CL306" i="1"/>
  <c r="CM306" i="1"/>
  <c r="CN306" i="1"/>
  <c r="CO306" i="1"/>
  <c r="CP306" i="1"/>
  <c r="CQ306" i="1"/>
  <c r="CR306" i="1"/>
  <c r="CS306" i="1"/>
  <c r="CT306" i="1"/>
  <c r="CU306" i="1"/>
  <c r="CV306" i="1"/>
  <c r="CW306" i="1"/>
  <c r="CX306" i="1"/>
  <c r="CY306" i="1"/>
  <c r="CZ306" i="1"/>
  <c r="DA306" i="1"/>
  <c r="DB306" i="1"/>
  <c r="DC306" i="1"/>
  <c r="DD306" i="1"/>
  <c r="DE306" i="1"/>
  <c r="DF306" i="1"/>
  <c r="DG306" i="1"/>
  <c r="DH306" i="1"/>
  <c r="DI306" i="1"/>
  <c r="DJ306" i="1"/>
  <c r="DK306" i="1"/>
  <c r="DL306" i="1"/>
  <c r="DM306" i="1"/>
  <c r="DN306" i="1"/>
  <c r="DO306" i="1"/>
  <c r="DP306" i="1"/>
  <c r="DQ306" i="1"/>
  <c r="DR306" i="1"/>
  <c r="DS306" i="1"/>
  <c r="DT306" i="1"/>
  <c r="DU306" i="1"/>
  <c r="DV306" i="1"/>
  <c r="DW306" i="1"/>
  <c r="DX306" i="1"/>
  <c r="DY306" i="1"/>
  <c r="DZ306" i="1"/>
  <c r="EA306" i="1"/>
  <c r="EB306" i="1"/>
  <c r="EC306" i="1"/>
  <c r="ED306" i="1"/>
  <c r="EE306" i="1"/>
  <c r="EF306" i="1"/>
  <c r="EG306" i="1"/>
  <c r="EH306" i="1"/>
  <c r="EI306" i="1"/>
  <c r="EJ306" i="1"/>
  <c r="EK306" i="1"/>
  <c r="EL306" i="1"/>
  <c r="EM306" i="1"/>
  <c r="EN306" i="1"/>
  <c r="EO306" i="1"/>
  <c r="EP306" i="1"/>
  <c r="EQ306" i="1"/>
  <c r="ER306" i="1"/>
  <c r="ES306" i="1"/>
  <c r="ET306" i="1"/>
  <c r="EU306" i="1"/>
  <c r="EV306" i="1"/>
  <c r="EW306" i="1"/>
  <c r="EX306" i="1"/>
  <c r="EY306" i="1"/>
  <c r="EZ306" i="1"/>
  <c r="FA306" i="1"/>
  <c r="FB306" i="1"/>
  <c r="FC306" i="1"/>
  <c r="FD306" i="1"/>
  <c r="FE306" i="1"/>
  <c r="FF306" i="1"/>
  <c r="FG306" i="1"/>
  <c r="FH306" i="1"/>
  <c r="FI306" i="1"/>
  <c r="FJ306" i="1"/>
  <c r="FK306" i="1"/>
  <c r="FL306" i="1"/>
  <c r="FM306" i="1"/>
  <c r="FN306" i="1"/>
  <c r="FO306" i="1"/>
  <c r="FP306" i="1"/>
  <c r="FQ306" i="1"/>
  <c r="FR306" i="1"/>
  <c r="FS306" i="1"/>
  <c r="FT306" i="1"/>
  <c r="FU306" i="1"/>
  <c r="FV306" i="1"/>
  <c r="FW306" i="1"/>
  <c r="FX306" i="1"/>
  <c r="FY306" i="1"/>
  <c r="FZ306" i="1"/>
  <c r="GA306" i="1"/>
  <c r="GB306" i="1"/>
  <c r="GC306" i="1"/>
  <c r="GD306" i="1"/>
  <c r="GE306" i="1"/>
  <c r="GF306" i="1"/>
  <c r="GG306" i="1"/>
  <c r="GH306" i="1"/>
  <c r="GI306" i="1"/>
  <c r="GJ306" i="1"/>
  <c r="GK306" i="1"/>
  <c r="GL306" i="1"/>
  <c r="GM306" i="1"/>
  <c r="GN306" i="1"/>
  <c r="GO306" i="1"/>
  <c r="GP306" i="1"/>
  <c r="GQ306" i="1"/>
  <c r="GR306" i="1"/>
  <c r="GS306" i="1"/>
  <c r="GT306" i="1"/>
  <c r="GU306" i="1"/>
  <c r="GV306" i="1"/>
  <c r="GW306" i="1"/>
  <c r="GX306" i="1"/>
  <c r="GY306" i="1"/>
  <c r="GZ306" i="1"/>
  <c r="HA306" i="1"/>
  <c r="HB306" i="1"/>
  <c r="HC306" i="1"/>
  <c r="HD306" i="1"/>
  <c r="HE306" i="1"/>
  <c r="HF306" i="1"/>
  <c r="HG306" i="1"/>
  <c r="HH306" i="1"/>
  <c r="HI306" i="1"/>
  <c r="HJ306" i="1"/>
  <c r="HK306" i="1"/>
  <c r="HL306" i="1"/>
  <c r="HM306" i="1"/>
  <c r="HN306" i="1"/>
  <c r="HO306" i="1"/>
  <c r="HP306" i="1"/>
  <c r="HQ306" i="1"/>
  <c r="HR306" i="1"/>
  <c r="HS306" i="1"/>
  <c r="HT306" i="1"/>
  <c r="HU306" i="1"/>
  <c r="HV306" i="1"/>
  <c r="HW306" i="1"/>
  <c r="HX306" i="1"/>
  <c r="HY306" i="1"/>
  <c r="HZ306" i="1"/>
  <c r="IA306" i="1"/>
  <c r="IB306" i="1"/>
  <c r="IC306" i="1"/>
  <c r="ID306" i="1"/>
  <c r="IE306" i="1"/>
  <c r="IF306" i="1"/>
  <c r="IG306" i="1"/>
  <c r="IH306" i="1"/>
  <c r="II306" i="1"/>
  <c r="IJ306" i="1"/>
  <c r="IK306" i="1"/>
  <c r="IL306" i="1"/>
  <c r="IM306" i="1"/>
  <c r="IN306" i="1"/>
  <c r="IO306" i="1"/>
  <c r="IP306" i="1"/>
  <c r="IQ306" i="1"/>
  <c r="IR306" i="1"/>
  <c r="IS306" i="1"/>
  <c r="IT306" i="1"/>
  <c r="IU306" i="1"/>
  <c r="IV306" i="1"/>
  <c r="IW306" i="1"/>
  <c r="IX306" i="1"/>
  <c r="IY306" i="1"/>
  <c r="IZ306" i="1"/>
  <c r="JA306" i="1"/>
  <c r="JB306" i="1"/>
  <c r="JC306" i="1"/>
  <c r="JD306" i="1"/>
  <c r="JE306" i="1"/>
  <c r="JF306" i="1"/>
  <c r="JG306" i="1"/>
  <c r="JH306" i="1"/>
  <c r="JI306" i="1"/>
  <c r="JJ306" i="1"/>
  <c r="JK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U307" i="1"/>
  <c r="BV307" i="1"/>
  <c r="BW307" i="1"/>
  <c r="BX307" i="1"/>
  <c r="BY307" i="1"/>
  <c r="BZ307" i="1"/>
  <c r="CA307" i="1"/>
  <c r="CB307" i="1"/>
  <c r="CC307" i="1"/>
  <c r="CD307" i="1"/>
  <c r="CE307" i="1"/>
  <c r="CF307" i="1"/>
  <c r="CG307" i="1"/>
  <c r="CH307" i="1"/>
  <c r="CI307" i="1"/>
  <c r="CJ307" i="1"/>
  <c r="CK307" i="1"/>
  <c r="CL307" i="1"/>
  <c r="CM307" i="1"/>
  <c r="CN307" i="1"/>
  <c r="CO307" i="1"/>
  <c r="CP307" i="1"/>
  <c r="CQ307" i="1"/>
  <c r="CR307" i="1"/>
  <c r="CS307" i="1"/>
  <c r="CT307" i="1"/>
  <c r="CU307" i="1"/>
  <c r="CV307" i="1"/>
  <c r="CW307" i="1"/>
  <c r="CX307" i="1"/>
  <c r="CY307" i="1"/>
  <c r="CZ307" i="1"/>
  <c r="DA307" i="1"/>
  <c r="DB307" i="1"/>
  <c r="DC307" i="1"/>
  <c r="DD307" i="1"/>
  <c r="DE307" i="1"/>
  <c r="DF307" i="1"/>
  <c r="DG307" i="1"/>
  <c r="DH307" i="1"/>
  <c r="DI307" i="1"/>
  <c r="DJ307" i="1"/>
  <c r="DK307" i="1"/>
  <c r="DL307" i="1"/>
  <c r="DM307" i="1"/>
  <c r="DN307" i="1"/>
  <c r="DO307" i="1"/>
  <c r="DP307" i="1"/>
  <c r="DQ307" i="1"/>
  <c r="DR307" i="1"/>
  <c r="DS307" i="1"/>
  <c r="DT307" i="1"/>
  <c r="DU307" i="1"/>
  <c r="DV307" i="1"/>
  <c r="DW307" i="1"/>
  <c r="DX307" i="1"/>
  <c r="DY307" i="1"/>
  <c r="DZ307" i="1"/>
  <c r="EA307" i="1"/>
  <c r="EB307" i="1"/>
  <c r="EC307" i="1"/>
  <c r="ED307" i="1"/>
  <c r="EE307" i="1"/>
  <c r="EF307" i="1"/>
  <c r="EG307" i="1"/>
  <c r="EH307" i="1"/>
  <c r="EI307" i="1"/>
  <c r="EJ307" i="1"/>
  <c r="EK307" i="1"/>
  <c r="EL307" i="1"/>
  <c r="EM307" i="1"/>
  <c r="EN307" i="1"/>
  <c r="EO307" i="1"/>
  <c r="EP307" i="1"/>
  <c r="EQ307" i="1"/>
  <c r="ER307" i="1"/>
  <c r="ES307" i="1"/>
  <c r="ET307" i="1"/>
  <c r="EU307" i="1"/>
  <c r="EV307" i="1"/>
  <c r="EW307" i="1"/>
  <c r="EX307" i="1"/>
  <c r="EY307" i="1"/>
  <c r="EZ307" i="1"/>
  <c r="FA307" i="1"/>
  <c r="FB307" i="1"/>
  <c r="FC307" i="1"/>
  <c r="FD307" i="1"/>
  <c r="FE307" i="1"/>
  <c r="FF307" i="1"/>
  <c r="FG307" i="1"/>
  <c r="FH307" i="1"/>
  <c r="FI307" i="1"/>
  <c r="FJ307" i="1"/>
  <c r="FK307" i="1"/>
  <c r="FL307" i="1"/>
  <c r="FM307" i="1"/>
  <c r="FN307" i="1"/>
  <c r="FO307" i="1"/>
  <c r="FP307" i="1"/>
  <c r="FQ307" i="1"/>
  <c r="FR307" i="1"/>
  <c r="FS307" i="1"/>
  <c r="FT307" i="1"/>
  <c r="FU307" i="1"/>
  <c r="FV307" i="1"/>
  <c r="FW307" i="1"/>
  <c r="FX307" i="1"/>
  <c r="FY307" i="1"/>
  <c r="FZ307" i="1"/>
  <c r="GA307" i="1"/>
  <c r="GB307" i="1"/>
  <c r="GC307" i="1"/>
  <c r="GD307" i="1"/>
  <c r="GE307" i="1"/>
  <c r="GF307" i="1"/>
  <c r="GG307" i="1"/>
  <c r="GH307" i="1"/>
  <c r="GI307" i="1"/>
  <c r="GJ307" i="1"/>
  <c r="GK307" i="1"/>
  <c r="GL307" i="1"/>
  <c r="GM307" i="1"/>
  <c r="GN307" i="1"/>
  <c r="GO307" i="1"/>
  <c r="GP307" i="1"/>
  <c r="GQ307" i="1"/>
  <c r="GR307" i="1"/>
  <c r="GS307" i="1"/>
  <c r="GT307" i="1"/>
  <c r="GU307" i="1"/>
  <c r="GV307" i="1"/>
  <c r="GW307" i="1"/>
  <c r="GX307" i="1"/>
  <c r="GY307" i="1"/>
  <c r="GZ307" i="1"/>
  <c r="HA307" i="1"/>
  <c r="HB307" i="1"/>
  <c r="HC307" i="1"/>
  <c r="HD307" i="1"/>
  <c r="HE307" i="1"/>
  <c r="HF307" i="1"/>
  <c r="HG307" i="1"/>
  <c r="HH307" i="1"/>
  <c r="HI307" i="1"/>
  <c r="HJ307" i="1"/>
  <c r="HK307" i="1"/>
  <c r="HL307" i="1"/>
  <c r="HM307" i="1"/>
  <c r="HN307" i="1"/>
  <c r="HO307" i="1"/>
  <c r="HP307" i="1"/>
  <c r="HQ307" i="1"/>
  <c r="HR307" i="1"/>
  <c r="HS307" i="1"/>
  <c r="HT307" i="1"/>
  <c r="HU307" i="1"/>
  <c r="HV307" i="1"/>
  <c r="HW307" i="1"/>
  <c r="HX307" i="1"/>
  <c r="HY307" i="1"/>
  <c r="HZ307" i="1"/>
  <c r="IA307" i="1"/>
  <c r="IB307" i="1"/>
  <c r="IC307" i="1"/>
  <c r="ID307" i="1"/>
  <c r="IE307" i="1"/>
  <c r="IF307" i="1"/>
  <c r="IG307" i="1"/>
  <c r="IH307" i="1"/>
  <c r="II307" i="1"/>
  <c r="IJ307" i="1"/>
  <c r="IK307" i="1"/>
  <c r="IL307" i="1"/>
  <c r="IM307" i="1"/>
  <c r="IN307" i="1"/>
  <c r="IO307" i="1"/>
  <c r="IP307" i="1"/>
  <c r="IQ307" i="1"/>
  <c r="IR307" i="1"/>
  <c r="IS307" i="1"/>
  <c r="IT307" i="1"/>
  <c r="IU307" i="1"/>
  <c r="IV307" i="1"/>
  <c r="IW307" i="1"/>
  <c r="IX307" i="1"/>
  <c r="IY307" i="1"/>
  <c r="IZ307" i="1"/>
  <c r="JA307" i="1"/>
  <c r="JB307" i="1"/>
  <c r="JC307" i="1"/>
  <c r="JD307" i="1"/>
  <c r="JE307" i="1"/>
  <c r="JF307" i="1"/>
  <c r="JG307" i="1"/>
  <c r="JH307" i="1"/>
  <c r="JI307" i="1"/>
  <c r="JJ307" i="1"/>
  <c r="JK307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U309" i="1"/>
  <c r="BV309" i="1"/>
  <c r="BW309" i="1"/>
  <c r="BX309" i="1"/>
  <c r="BY309" i="1"/>
  <c r="BZ309" i="1"/>
  <c r="CA309" i="1"/>
  <c r="CB309" i="1"/>
  <c r="CC309" i="1"/>
  <c r="CD309" i="1"/>
  <c r="CE309" i="1"/>
  <c r="CF309" i="1"/>
  <c r="CG309" i="1"/>
  <c r="CH309" i="1"/>
  <c r="CI309" i="1"/>
  <c r="CJ309" i="1"/>
  <c r="CK309" i="1"/>
  <c r="CL309" i="1"/>
  <c r="CM309" i="1"/>
  <c r="CN309" i="1"/>
  <c r="CO309" i="1"/>
  <c r="CP309" i="1"/>
  <c r="CQ309" i="1"/>
  <c r="CR309" i="1"/>
  <c r="CS309" i="1"/>
  <c r="CT309" i="1"/>
  <c r="CU309" i="1"/>
  <c r="CV309" i="1"/>
  <c r="CW309" i="1"/>
  <c r="CX309" i="1"/>
  <c r="CY309" i="1"/>
  <c r="CZ309" i="1"/>
  <c r="DA309" i="1"/>
  <c r="DB309" i="1"/>
  <c r="DC309" i="1"/>
  <c r="DD309" i="1"/>
  <c r="DE309" i="1"/>
  <c r="DF309" i="1"/>
  <c r="DG309" i="1"/>
  <c r="DH309" i="1"/>
  <c r="DI309" i="1"/>
  <c r="DJ309" i="1"/>
  <c r="DK309" i="1"/>
  <c r="DL309" i="1"/>
  <c r="DM309" i="1"/>
  <c r="DN309" i="1"/>
  <c r="DO309" i="1"/>
  <c r="DP309" i="1"/>
  <c r="DQ309" i="1"/>
  <c r="DR309" i="1"/>
  <c r="DS309" i="1"/>
  <c r="DT309" i="1"/>
  <c r="DU309" i="1"/>
  <c r="DV309" i="1"/>
  <c r="DW309" i="1"/>
  <c r="DX309" i="1"/>
  <c r="DY309" i="1"/>
  <c r="DZ309" i="1"/>
  <c r="EA309" i="1"/>
  <c r="EB309" i="1"/>
  <c r="EC309" i="1"/>
  <c r="ED309" i="1"/>
  <c r="EE309" i="1"/>
  <c r="EF309" i="1"/>
  <c r="EG309" i="1"/>
  <c r="EH309" i="1"/>
  <c r="EI309" i="1"/>
  <c r="EJ309" i="1"/>
  <c r="EK309" i="1"/>
  <c r="EL309" i="1"/>
  <c r="EM309" i="1"/>
  <c r="EN309" i="1"/>
  <c r="EO309" i="1"/>
  <c r="EP309" i="1"/>
  <c r="EQ309" i="1"/>
  <c r="ER309" i="1"/>
  <c r="ES309" i="1"/>
  <c r="ET309" i="1"/>
  <c r="EU309" i="1"/>
  <c r="EV309" i="1"/>
  <c r="EW309" i="1"/>
  <c r="EX309" i="1"/>
  <c r="EY309" i="1"/>
  <c r="EZ309" i="1"/>
  <c r="FA309" i="1"/>
  <c r="FB309" i="1"/>
  <c r="FC309" i="1"/>
  <c r="FD309" i="1"/>
  <c r="FE309" i="1"/>
  <c r="FF309" i="1"/>
  <c r="FG309" i="1"/>
  <c r="FH309" i="1"/>
  <c r="FI309" i="1"/>
  <c r="FJ309" i="1"/>
  <c r="FK309" i="1"/>
  <c r="FL309" i="1"/>
  <c r="FM309" i="1"/>
  <c r="FN309" i="1"/>
  <c r="FO309" i="1"/>
  <c r="FP309" i="1"/>
  <c r="FQ309" i="1"/>
  <c r="FR309" i="1"/>
  <c r="FS309" i="1"/>
  <c r="FT309" i="1"/>
  <c r="FU309" i="1"/>
  <c r="FV309" i="1"/>
  <c r="FW309" i="1"/>
  <c r="FX309" i="1"/>
  <c r="FY309" i="1"/>
  <c r="FZ309" i="1"/>
  <c r="GA309" i="1"/>
  <c r="GB309" i="1"/>
  <c r="GC309" i="1"/>
  <c r="GD309" i="1"/>
  <c r="GE309" i="1"/>
  <c r="GF309" i="1"/>
  <c r="GG309" i="1"/>
  <c r="GH309" i="1"/>
  <c r="GI309" i="1"/>
  <c r="GJ309" i="1"/>
  <c r="GK309" i="1"/>
  <c r="GL309" i="1"/>
  <c r="GM309" i="1"/>
  <c r="GN309" i="1"/>
  <c r="GO309" i="1"/>
  <c r="GP309" i="1"/>
  <c r="GQ309" i="1"/>
  <c r="GR309" i="1"/>
  <c r="GS309" i="1"/>
  <c r="GT309" i="1"/>
  <c r="GU309" i="1"/>
  <c r="GV309" i="1"/>
  <c r="GW309" i="1"/>
  <c r="GX309" i="1"/>
  <c r="GY309" i="1"/>
  <c r="GZ309" i="1"/>
  <c r="HA309" i="1"/>
  <c r="HB309" i="1"/>
  <c r="HC309" i="1"/>
  <c r="HD309" i="1"/>
  <c r="HE309" i="1"/>
  <c r="HF309" i="1"/>
  <c r="HG309" i="1"/>
  <c r="HH309" i="1"/>
  <c r="HI309" i="1"/>
  <c r="HJ309" i="1"/>
  <c r="HK309" i="1"/>
  <c r="HL309" i="1"/>
  <c r="HM309" i="1"/>
  <c r="HN309" i="1"/>
  <c r="HO309" i="1"/>
  <c r="HP309" i="1"/>
  <c r="HQ309" i="1"/>
  <c r="HR309" i="1"/>
  <c r="HS309" i="1"/>
  <c r="HT309" i="1"/>
  <c r="HU309" i="1"/>
  <c r="HV309" i="1"/>
  <c r="HW309" i="1"/>
  <c r="HX309" i="1"/>
  <c r="HY309" i="1"/>
  <c r="HZ309" i="1"/>
  <c r="IA309" i="1"/>
  <c r="IB309" i="1"/>
  <c r="IC309" i="1"/>
  <c r="ID309" i="1"/>
  <c r="IE309" i="1"/>
  <c r="IF309" i="1"/>
  <c r="IG309" i="1"/>
  <c r="IH309" i="1"/>
  <c r="II309" i="1"/>
  <c r="IJ309" i="1"/>
  <c r="IK309" i="1"/>
  <c r="IL309" i="1"/>
  <c r="IM309" i="1"/>
  <c r="IN309" i="1"/>
  <c r="IO309" i="1"/>
  <c r="IP309" i="1"/>
  <c r="IQ309" i="1"/>
  <c r="IR309" i="1"/>
  <c r="IS309" i="1"/>
  <c r="IT309" i="1"/>
  <c r="IU309" i="1"/>
  <c r="IV309" i="1"/>
  <c r="IW309" i="1"/>
  <c r="IX309" i="1"/>
  <c r="IY309" i="1"/>
  <c r="IZ309" i="1"/>
  <c r="JA309" i="1"/>
  <c r="JB309" i="1"/>
  <c r="JC309" i="1"/>
  <c r="JD309" i="1"/>
  <c r="JE309" i="1"/>
  <c r="JF309" i="1"/>
  <c r="JG309" i="1"/>
  <c r="JH309" i="1"/>
  <c r="JI309" i="1"/>
  <c r="JJ309" i="1"/>
  <c r="JK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U310" i="1"/>
  <c r="BV310" i="1"/>
  <c r="BW310" i="1"/>
  <c r="BX310" i="1"/>
  <c r="BY310" i="1"/>
  <c r="BZ310" i="1"/>
  <c r="CA310" i="1"/>
  <c r="CB310" i="1"/>
  <c r="CC310" i="1"/>
  <c r="CD310" i="1"/>
  <c r="CE310" i="1"/>
  <c r="CF310" i="1"/>
  <c r="CG310" i="1"/>
  <c r="CH310" i="1"/>
  <c r="CI310" i="1"/>
  <c r="CJ310" i="1"/>
  <c r="CK310" i="1"/>
  <c r="CL310" i="1"/>
  <c r="CM310" i="1"/>
  <c r="CN310" i="1"/>
  <c r="CO310" i="1"/>
  <c r="CP310" i="1"/>
  <c r="CQ310" i="1"/>
  <c r="CR310" i="1"/>
  <c r="CS310" i="1"/>
  <c r="CT310" i="1"/>
  <c r="CU310" i="1"/>
  <c r="CV310" i="1"/>
  <c r="CW310" i="1"/>
  <c r="CX310" i="1"/>
  <c r="CY310" i="1"/>
  <c r="CZ310" i="1"/>
  <c r="DA310" i="1"/>
  <c r="DB310" i="1"/>
  <c r="DC310" i="1"/>
  <c r="DD310" i="1"/>
  <c r="DE310" i="1"/>
  <c r="DF310" i="1"/>
  <c r="DG310" i="1"/>
  <c r="DH310" i="1"/>
  <c r="DI310" i="1"/>
  <c r="DJ310" i="1"/>
  <c r="DK310" i="1"/>
  <c r="DL310" i="1"/>
  <c r="DM310" i="1"/>
  <c r="DN310" i="1"/>
  <c r="DO310" i="1"/>
  <c r="DP310" i="1"/>
  <c r="DQ310" i="1"/>
  <c r="DR310" i="1"/>
  <c r="DS310" i="1"/>
  <c r="DT310" i="1"/>
  <c r="DU310" i="1"/>
  <c r="DV310" i="1"/>
  <c r="DW310" i="1"/>
  <c r="DX310" i="1"/>
  <c r="DY310" i="1"/>
  <c r="DZ310" i="1"/>
  <c r="EA310" i="1"/>
  <c r="EB310" i="1"/>
  <c r="EC310" i="1"/>
  <c r="ED310" i="1"/>
  <c r="EE310" i="1"/>
  <c r="EF310" i="1"/>
  <c r="EG310" i="1"/>
  <c r="EH310" i="1"/>
  <c r="EI310" i="1"/>
  <c r="EJ310" i="1"/>
  <c r="EK310" i="1"/>
  <c r="EL310" i="1"/>
  <c r="EM310" i="1"/>
  <c r="EN310" i="1"/>
  <c r="EO310" i="1"/>
  <c r="EP310" i="1"/>
  <c r="EQ310" i="1"/>
  <c r="ER310" i="1"/>
  <c r="ES310" i="1"/>
  <c r="ET310" i="1"/>
  <c r="EU310" i="1"/>
  <c r="EV310" i="1"/>
  <c r="EW310" i="1"/>
  <c r="EX310" i="1"/>
  <c r="EY310" i="1"/>
  <c r="EZ310" i="1"/>
  <c r="FA310" i="1"/>
  <c r="FB310" i="1"/>
  <c r="FC310" i="1"/>
  <c r="FD310" i="1"/>
  <c r="FE310" i="1"/>
  <c r="FF310" i="1"/>
  <c r="FG310" i="1"/>
  <c r="FH310" i="1"/>
  <c r="FI310" i="1"/>
  <c r="FJ310" i="1"/>
  <c r="FK310" i="1"/>
  <c r="FL310" i="1"/>
  <c r="FM310" i="1"/>
  <c r="FN310" i="1"/>
  <c r="FO310" i="1"/>
  <c r="FP310" i="1"/>
  <c r="FQ310" i="1"/>
  <c r="FR310" i="1"/>
  <c r="FS310" i="1"/>
  <c r="FT310" i="1"/>
  <c r="FU310" i="1"/>
  <c r="FV310" i="1"/>
  <c r="FW310" i="1"/>
  <c r="FX310" i="1"/>
  <c r="FY310" i="1"/>
  <c r="FZ310" i="1"/>
  <c r="GA310" i="1"/>
  <c r="GB310" i="1"/>
  <c r="GC310" i="1"/>
  <c r="GD310" i="1"/>
  <c r="GE310" i="1"/>
  <c r="GF310" i="1"/>
  <c r="GG310" i="1"/>
  <c r="GH310" i="1"/>
  <c r="GI310" i="1"/>
  <c r="GJ310" i="1"/>
  <c r="GK310" i="1"/>
  <c r="GL310" i="1"/>
  <c r="GM310" i="1"/>
  <c r="GN310" i="1"/>
  <c r="GO310" i="1"/>
  <c r="GP310" i="1"/>
  <c r="GQ310" i="1"/>
  <c r="GR310" i="1"/>
  <c r="GS310" i="1"/>
  <c r="GT310" i="1"/>
  <c r="GU310" i="1"/>
  <c r="GV310" i="1"/>
  <c r="GW310" i="1"/>
  <c r="GX310" i="1"/>
  <c r="GY310" i="1"/>
  <c r="GZ310" i="1"/>
  <c r="HA310" i="1"/>
  <c r="HB310" i="1"/>
  <c r="HC310" i="1"/>
  <c r="HD310" i="1"/>
  <c r="HE310" i="1"/>
  <c r="HF310" i="1"/>
  <c r="HG310" i="1"/>
  <c r="HH310" i="1"/>
  <c r="HI310" i="1"/>
  <c r="HJ310" i="1"/>
  <c r="HK310" i="1"/>
  <c r="HL310" i="1"/>
  <c r="HM310" i="1"/>
  <c r="HN310" i="1"/>
  <c r="HO310" i="1"/>
  <c r="HP310" i="1"/>
  <c r="HQ310" i="1"/>
  <c r="HR310" i="1"/>
  <c r="HS310" i="1"/>
  <c r="HT310" i="1"/>
  <c r="HU310" i="1"/>
  <c r="HV310" i="1"/>
  <c r="HW310" i="1"/>
  <c r="HX310" i="1"/>
  <c r="HY310" i="1"/>
  <c r="HZ310" i="1"/>
  <c r="IA310" i="1"/>
  <c r="IB310" i="1"/>
  <c r="IC310" i="1"/>
  <c r="ID310" i="1"/>
  <c r="IE310" i="1"/>
  <c r="IF310" i="1"/>
  <c r="IG310" i="1"/>
  <c r="IH310" i="1"/>
  <c r="II310" i="1"/>
  <c r="IJ310" i="1"/>
  <c r="IK310" i="1"/>
  <c r="IL310" i="1"/>
  <c r="IM310" i="1"/>
  <c r="IN310" i="1"/>
  <c r="IO310" i="1"/>
  <c r="IP310" i="1"/>
  <c r="IQ310" i="1"/>
  <c r="IR310" i="1"/>
  <c r="IS310" i="1"/>
  <c r="IT310" i="1"/>
  <c r="IU310" i="1"/>
  <c r="IV310" i="1"/>
  <c r="IW310" i="1"/>
  <c r="IX310" i="1"/>
  <c r="IY310" i="1"/>
  <c r="IZ310" i="1"/>
  <c r="JA310" i="1"/>
  <c r="JB310" i="1"/>
  <c r="JC310" i="1"/>
  <c r="JD310" i="1"/>
  <c r="JE310" i="1"/>
  <c r="JF310" i="1"/>
  <c r="JG310" i="1"/>
  <c r="JH310" i="1"/>
  <c r="JI310" i="1"/>
  <c r="JJ310" i="1"/>
  <c r="JK310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U312" i="1"/>
  <c r="BV312" i="1"/>
  <c r="BW312" i="1"/>
  <c r="BX312" i="1"/>
  <c r="BY312" i="1"/>
  <c r="BZ312" i="1"/>
  <c r="CA312" i="1"/>
  <c r="CB312" i="1"/>
  <c r="CC312" i="1"/>
  <c r="CD312" i="1"/>
  <c r="CE312" i="1"/>
  <c r="CF312" i="1"/>
  <c r="CG312" i="1"/>
  <c r="CH312" i="1"/>
  <c r="CI312" i="1"/>
  <c r="CJ312" i="1"/>
  <c r="CK312" i="1"/>
  <c r="CL312" i="1"/>
  <c r="CM312" i="1"/>
  <c r="CN312" i="1"/>
  <c r="CO312" i="1"/>
  <c r="CP312" i="1"/>
  <c r="CQ312" i="1"/>
  <c r="CR312" i="1"/>
  <c r="CS312" i="1"/>
  <c r="CT312" i="1"/>
  <c r="CU312" i="1"/>
  <c r="CV312" i="1"/>
  <c r="CW312" i="1"/>
  <c r="CX312" i="1"/>
  <c r="CY312" i="1"/>
  <c r="CZ312" i="1"/>
  <c r="DA312" i="1"/>
  <c r="DB312" i="1"/>
  <c r="DC312" i="1"/>
  <c r="DD312" i="1"/>
  <c r="DE312" i="1"/>
  <c r="DF312" i="1"/>
  <c r="DG312" i="1"/>
  <c r="DH312" i="1"/>
  <c r="DI312" i="1"/>
  <c r="DJ312" i="1"/>
  <c r="DK312" i="1"/>
  <c r="DL312" i="1"/>
  <c r="DM312" i="1"/>
  <c r="DN312" i="1"/>
  <c r="DO312" i="1"/>
  <c r="DP312" i="1"/>
  <c r="DQ312" i="1"/>
  <c r="DR312" i="1"/>
  <c r="DS312" i="1"/>
  <c r="DT312" i="1"/>
  <c r="DU312" i="1"/>
  <c r="DV312" i="1"/>
  <c r="DW312" i="1"/>
  <c r="DX312" i="1"/>
  <c r="DY312" i="1"/>
  <c r="DZ312" i="1"/>
  <c r="EA312" i="1"/>
  <c r="EB312" i="1"/>
  <c r="EC312" i="1"/>
  <c r="ED312" i="1"/>
  <c r="EE312" i="1"/>
  <c r="EF312" i="1"/>
  <c r="EG312" i="1"/>
  <c r="EH312" i="1"/>
  <c r="EI312" i="1"/>
  <c r="EJ312" i="1"/>
  <c r="EK312" i="1"/>
  <c r="EL312" i="1"/>
  <c r="EM312" i="1"/>
  <c r="EN312" i="1"/>
  <c r="EO312" i="1"/>
  <c r="EP312" i="1"/>
  <c r="EQ312" i="1"/>
  <c r="ER312" i="1"/>
  <c r="ES312" i="1"/>
  <c r="ET312" i="1"/>
  <c r="EU312" i="1"/>
  <c r="EV312" i="1"/>
  <c r="EW312" i="1"/>
  <c r="EX312" i="1"/>
  <c r="EY312" i="1"/>
  <c r="EZ312" i="1"/>
  <c r="FA312" i="1"/>
  <c r="FB312" i="1"/>
  <c r="FC312" i="1"/>
  <c r="FD312" i="1"/>
  <c r="FE312" i="1"/>
  <c r="FF312" i="1"/>
  <c r="FG312" i="1"/>
  <c r="FH312" i="1"/>
  <c r="FI312" i="1"/>
  <c r="FJ312" i="1"/>
  <c r="FK312" i="1"/>
  <c r="FL312" i="1"/>
  <c r="FM312" i="1"/>
  <c r="FN312" i="1"/>
  <c r="FO312" i="1"/>
  <c r="FP312" i="1"/>
  <c r="FQ312" i="1"/>
  <c r="FR312" i="1"/>
  <c r="FS312" i="1"/>
  <c r="FT312" i="1"/>
  <c r="FU312" i="1"/>
  <c r="FV312" i="1"/>
  <c r="FW312" i="1"/>
  <c r="FX312" i="1"/>
  <c r="FY312" i="1"/>
  <c r="FZ312" i="1"/>
  <c r="GA312" i="1"/>
  <c r="GB312" i="1"/>
  <c r="GC312" i="1"/>
  <c r="GD312" i="1"/>
  <c r="GE312" i="1"/>
  <c r="GF312" i="1"/>
  <c r="GG312" i="1"/>
  <c r="GH312" i="1"/>
  <c r="GI312" i="1"/>
  <c r="GJ312" i="1"/>
  <c r="GK312" i="1"/>
  <c r="GL312" i="1"/>
  <c r="GM312" i="1"/>
  <c r="GN312" i="1"/>
  <c r="GO312" i="1"/>
  <c r="GP312" i="1"/>
  <c r="GQ312" i="1"/>
  <c r="GR312" i="1"/>
  <c r="GS312" i="1"/>
  <c r="GT312" i="1"/>
  <c r="GU312" i="1"/>
  <c r="GV312" i="1"/>
  <c r="GW312" i="1"/>
  <c r="GX312" i="1"/>
  <c r="GY312" i="1"/>
  <c r="GZ312" i="1"/>
  <c r="HA312" i="1"/>
  <c r="HB312" i="1"/>
  <c r="HC312" i="1"/>
  <c r="HD312" i="1"/>
  <c r="HE312" i="1"/>
  <c r="HF312" i="1"/>
  <c r="HG312" i="1"/>
  <c r="HH312" i="1"/>
  <c r="HI312" i="1"/>
  <c r="HJ312" i="1"/>
  <c r="HK312" i="1"/>
  <c r="HL312" i="1"/>
  <c r="HM312" i="1"/>
  <c r="HN312" i="1"/>
  <c r="HO312" i="1"/>
  <c r="HP312" i="1"/>
  <c r="HQ312" i="1"/>
  <c r="HR312" i="1"/>
  <c r="HS312" i="1"/>
  <c r="HT312" i="1"/>
  <c r="HU312" i="1"/>
  <c r="HV312" i="1"/>
  <c r="HW312" i="1"/>
  <c r="HX312" i="1"/>
  <c r="HY312" i="1"/>
  <c r="HZ312" i="1"/>
  <c r="IA312" i="1"/>
  <c r="IB312" i="1"/>
  <c r="IC312" i="1"/>
  <c r="ID312" i="1"/>
  <c r="IE312" i="1"/>
  <c r="IF312" i="1"/>
  <c r="IG312" i="1"/>
  <c r="IH312" i="1"/>
  <c r="II312" i="1"/>
  <c r="IJ312" i="1"/>
  <c r="IK312" i="1"/>
  <c r="IL312" i="1"/>
  <c r="IM312" i="1"/>
  <c r="IN312" i="1"/>
  <c r="IO312" i="1"/>
  <c r="IP312" i="1"/>
  <c r="IQ312" i="1"/>
  <c r="IR312" i="1"/>
  <c r="IS312" i="1"/>
  <c r="IT312" i="1"/>
  <c r="IU312" i="1"/>
  <c r="IV312" i="1"/>
  <c r="IW312" i="1"/>
  <c r="IX312" i="1"/>
  <c r="IY312" i="1"/>
  <c r="IZ312" i="1"/>
  <c r="JA312" i="1"/>
  <c r="JB312" i="1"/>
  <c r="JC312" i="1"/>
  <c r="JD312" i="1"/>
  <c r="JE312" i="1"/>
  <c r="JF312" i="1"/>
  <c r="JG312" i="1"/>
  <c r="JH312" i="1"/>
  <c r="JI312" i="1"/>
  <c r="JJ312" i="1"/>
  <c r="JK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U313" i="1"/>
  <c r="BV313" i="1"/>
  <c r="BW313" i="1"/>
  <c r="BX313" i="1"/>
  <c r="BY313" i="1"/>
  <c r="BZ313" i="1"/>
  <c r="CA313" i="1"/>
  <c r="CB313" i="1"/>
  <c r="CC313" i="1"/>
  <c r="CD313" i="1"/>
  <c r="CE313" i="1"/>
  <c r="CF313" i="1"/>
  <c r="CG313" i="1"/>
  <c r="CH313" i="1"/>
  <c r="CI313" i="1"/>
  <c r="CJ313" i="1"/>
  <c r="CK313" i="1"/>
  <c r="CL313" i="1"/>
  <c r="CM313" i="1"/>
  <c r="CN313" i="1"/>
  <c r="CO313" i="1"/>
  <c r="CP313" i="1"/>
  <c r="CQ313" i="1"/>
  <c r="CR313" i="1"/>
  <c r="CS313" i="1"/>
  <c r="CT313" i="1"/>
  <c r="CU313" i="1"/>
  <c r="CV313" i="1"/>
  <c r="CW313" i="1"/>
  <c r="CX313" i="1"/>
  <c r="CY313" i="1"/>
  <c r="CZ313" i="1"/>
  <c r="DA313" i="1"/>
  <c r="DB313" i="1"/>
  <c r="DC313" i="1"/>
  <c r="DD313" i="1"/>
  <c r="DE313" i="1"/>
  <c r="DF313" i="1"/>
  <c r="DG313" i="1"/>
  <c r="DH313" i="1"/>
  <c r="DI313" i="1"/>
  <c r="DJ313" i="1"/>
  <c r="DK313" i="1"/>
  <c r="DL313" i="1"/>
  <c r="DM313" i="1"/>
  <c r="DN313" i="1"/>
  <c r="DO313" i="1"/>
  <c r="DP313" i="1"/>
  <c r="DQ313" i="1"/>
  <c r="DR313" i="1"/>
  <c r="DS313" i="1"/>
  <c r="DT313" i="1"/>
  <c r="DU313" i="1"/>
  <c r="DV313" i="1"/>
  <c r="DW313" i="1"/>
  <c r="DX313" i="1"/>
  <c r="DY313" i="1"/>
  <c r="DZ313" i="1"/>
  <c r="EA313" i="1"/>
  <c r="EB313" i="1"/>
  <c r="EC313" i="1"/>
  <c r="ED313" i="1"/>
  <c r="EE313" i="1"/>
  <c r="EF313" i="1"/>
  <c r="EG313" i="1"/>
  <c r="EH313" i="1"/>
  <c r="EI313" i="1"/>
  <c r="EJ313" i="1"/>
  <c r="EK313" i="1"/>
  <c r="EL313" i="1"/>
  <c r="EM313" i="1"/>
  <c r="EN313" i="1"/>
  <c r="EO313" i="1"/>
  <c r="EP313" i="1"/>
  <c r="EQ313" i="1"/>
  <c r="ER313" i="1"/>
  <c r="ES313" i="1"/>
  <c r="ET313" i="1"/>
  <c r="EU313" i="1"/>
  <c r="EV313" i="1"/>
  <c r="EW313" i="1"/>
  <c r="EX313" i="1"/>
  <c r="EY313" i="1"/>
  <c r="EZ313" i="1"/>
  <c r="FA313" i="1"/>
  <c r="FB313" i="1"/>
  <c r="FC313" i="1"/>
  <c r="FD313" i="1"/>
  <c r="FE313" i="1"/>
  <c r="FF313" i="1"/>
  <c r="FG313" i="1"/>
  <c r="FH313" i="1"/>
  <c r="FI313" i="1"/>
  <c r="FJ313" i="1"/>
  <c r="FK313" i="1"/>
  <c r="FL313" i="1"/>
  <c r="FM313" i="1"/>
  <c r="FN313" i="1"/>
  <c r="FO313" i="1"/>
  <c r="FP313" i="1"/>
  <c r="FQ313" i="1"/>
  <c r="FR313" i="1"/>
  <c r="FS313" i="1"/>
  <c r="FT313" i="1"/>
  <c r="FU313" i="1"/>
  <c r="FV313" i="1"/>
  <c r="FW313" i="1"/>
  <c r="FX313" i="1"/>
  <c r="FY313" i="1"/>
  <c r="FZ313" i="1"/>
  <c r="GA313" i="1"/>
  <c r="GB313" i="1"/>
  <c r="GC313" i="1"/>
  <c r="GD313" i="1"/>
  <c r="GE313" i="1"/>
  <c r="GF313" i="1"/>
  <c r="GG313" i="1"/>
  <c r="GH313" i="1"/>
  <c r="GI313" i="1"/>
  <c r="GJ313" i="1"/>
  <c r="GK313" i="1"/>
  <c r="GL313" i="1"/>
  <c r="GM313" i="1"/>
  <c r="GN313" i="1"/>
  <c r="GO313" i="1"/>
  <c r="GP313" i="1"/>
  <c r="GQ313" i="1"/>
  <c r="GR313" i="1"/>
  <c r="GS313" i="1"/>
  <c r="GT313" i="1"/>
  <c r="GU313" i="1"/>
  <c r="GV313" i="1"/>
  <c r="GW313" i="1"/>
  <c r="GX313" i="1"/>
  <c r="GY313" i="1"/>
  <c r="GZ313" i="1"/>
  <c r="HA313" i="1"/>
  <c r="HB313" i="1"/>
  <c r="HC313" i="1"/>
  <c r="HD313" i="1"/>
  <c r="HE313" i="1"/>
  <c r="HF313" i="1"/>
  <c r="HG313" i="1"/>
  <c r="HH313" i="1"/>
  <c r="HI313" i="1"/>
  <c r="HJ313" i="1"/>
  <c r="HK313" i="1"/>
  <c r="HL313" i="1"/>
  <c r="HM313" i="1"/>
  <c r="HN313" i="1"/>
  <c r="HO313" i="1"/>
  <c r="HP313" i="1"/>
  <c r="HQ313" i="1"/>
  <c r="HR313" i="1"/>
  <c r="HS313" i="1"/>
  <c r="HT313" i="1"/>
  <c r="HU313" i="1"/>
  <c r="HV313" i="1"/>
  <c r="HW313" i="1"/>
  <c r="HX313" i="1"/>
  <c r="HY313" i="1"/>
  <c r="HZ313" i="1"/>
  <c r="IA313" i="1"/>
  <c r="IB313" i="1"/>
  <c r="IC313" i="1"/>
  <c r="ID313" i="1"/>
  <c r="IE313" i="1"/>
  <c r="IF313" i="1"/>
  <c r="IG313" i="1"/>
  <c r="IH313" i="1"/>
  <c r="II313" i="1"/>
  <c r="IJ313" i="1"/>
  <c r="IK313" i="1"/>
  <c r="IL313" i="1"/>
  <c r="IM313" i="1"/>
  <c r="IN313" i="1"/>
  <c r="IO313" i="1"/>
  <c r="IP313" i="1"/>
  <c r="IQ313" i="1"/>
  <c r="IR313" i="1"/>
  <c r="IS313" i="1"/>
  <c r="IT313" i="1"/>
  <c r="IU313" i="1"/>
  <c r="IV313" i="1"/>
  <c r="IW313" i="1"/>
  <c r="IX313" i="1"/>
  <c r="IY313" i="1"/>
  <c r="IZ313" i="1"/>
  <c r="JA313" i="1"/>
  <c r="JB313" i="1"/>
  <c r="JC313" i="1"/>
  <c r="JD313" i="1"/>
  <c r="JE313" i="1"/>
  <c r="JF313" i="1"/>
  <c r="JG313" i="1"/>
  <c r="JH313" i="1"/>
  <c r="JI313" i="1"/>
  <c r="JJ313" i="1"/>
  <c r="JK313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CJ315" i="1"/>
  <c r="CK315" i="1"/>
  <c r="CL315" i="1"/>
  <c r="CM315" i="1"/>
  <c r="CN315" i="1"/>
  <c r="CO315" i="1"/>
  <c r="CP315" i="1"/>
  <c r="CQ315" i="1"/>
  <c r="CR315" i="1"/>
  <c r="CS315" i="1"/>
  <c r="CT315" i="1"/>
  <c r="CU315" i="1"/>
  <c r="CV315" i="1"/>
  <c r="CW315" i="1"/>
  <c r="CX315" i="1"/>
  <c r="CY315" i="1"/>
  <c r="CZ315" i="1"/>
  <c r="DA315" i="1"/>
  <c r="DB315" i="1"/>
  <c r="DC315" i="1"/>
  <c r="DD315" i="1"/>
  <c r="DE315" i="1"/>
  <c r="DF315" i="1"/>
  <c r="DG315" i="1"/>
  <c r="DH315" i="1"/>
  <c r="DI315" i="1"/>
  <c r="DJ315" i="1"/>
  <c r="DK315" i="1"/>
  <c r="DL315" i="1"/>
  <c r="DM315" i="1"/>
  <c r="DN315" i="1"/>
  <c r="DO315" i="1"/>
  <c r="DP315" i="1"/>
  <c r="DQ315" i="1"/>
  <c r="DR315" i="1"/>
  <c r="DS315" i="1"/>
  <c r="DT315" i="1"/>
  <c r="DU315" i="1"/>
  <c r="DV315" i="1"/>
  <c r="DW315" i="1"/>
  <c r="DX315" i="1"/>
  <c r="DY315" i="1"/>
  <c r="DZ315" i="1"/>
  <c r="EA315" i="1"/>
  <c r="EB315" i="1"/>
  <c r="EC315" i="1"/>
  <c r="ED315" i="1"/>
  <c r="EE315" i="1"/>
  <c r="EF315" i="1"/>
  <c r="EG315" i="1"/>
  <c r="EH315" i="1"/>
  <c r="EI315" i="1"/>
  <c r="EJ315" i="1"/>
  <c r="EK315" i="1"/>
  <c r="EL315" i="1"/>
  <c r="EM315" i="1"/>
  <c r="EN315" i="1"/>
  <c r="EO315" i="1"/>
  <c r="EP315" i="1"/>
  <c r="EQ315" i="1"/>
  <c r="ER315" i="1"/>
  <c r="ES315" i="1"/>
  <c r="ET315" i="1"/>
  <c r="EU315" i="1"/>
  <c r="EV315" i="1"/>
  <c r="EW315" i="1"/>
  <c r="EX315" i="1"/>
  <c r="EY315" i="1"/>
  <c r="EZ315" i="1"/>
  <c r="FA315" i="1"/>
  <c r="FB315" i="1"/>
  <c r="FC315" i="1"/>
  <c r="FD315" i="1"/>
  <c r="FE315" i="1"/>
  <c r="FF315" i="1"/>
  <c r="FG315" i="1"/>
  <c r="FH315" i="1"/>
  <c r="FI315" i="1"/>
  <c r="FJ315" i="1"/>
  <c r="FK315" i="1"/>
  <c r="FL315" i="1"/>
  <c r="FM315" i="1"/>
  <c r="FN315" i="1"/>
  <c r="FO315" i="1"/>
  <c r="FP315" i="1"/>
  <c r="FQ315" i="1"/>
  <c r="FR315" i="1"/>
  <c r="FS315" i="1"/>
  <c r="FT315" i="1"/>
  <c r="FU315" i="1"/>
  <c r="FV315" i="1"/>
  <c r="FW315" i="1"/>
  <c r="FX315" i="1"/>
  <c r="FY315" i="1"/>
  <c r="FZ315" i="1"/>
  <c r="GA315" i="1"/>
  <c r="GB315" i="1"/>
  <c r="GC315" i="1"/>
  <c r="GD315" i="1"/>
  <c r="GE315" i="1"/>
  <c r="GF315" i="1"/>
  <c r="GG315" i="1"/>
  <c r="GH315" i="1"/>
  <c r="GI315" i="1"/>
  <c r="GJ315" i="1"/>
  <c r="GK315" i="1"/>
  <c r="GL315" i="1"/>
  <c r="GM315" i="1"/>
  <c r="GN315" i="1"/>
  <c r="GO315" i="1"/>
  <c r="GP315" i="1"/>
  <c r="GQ315" i="1"/>
  <c r="GR315" i="1"/>
  <c r="GS315" i="1"/>
  <c r="GT315" i="1"/>
  <c r="GU315" i="1"/>
  <c r="GV315" i="1"/>
  <c r="GW315" i="1"/>
  <c r="GX315" i="1"/>
  <c r="GY315" i="1"/>
  <c r="GZ315" i="1"/>
  <c r="HA315" i="1"/>
  <c r="HB315" i="1"/>
  <c r="HC315" i="1"/>
  <c r="HD315" i="1"/>
  <c r="HE315" i="1"/>
  <c r="HF315" i="1"/>
  <c r="HG315" i="1"/>
  <c r="HH315" i="1"/>
  <c r="HI315" i="1"/>
  <c r="HJ315" i="1"/>
  <c r="HK315" i="1"/>
  <c r="HL315" i="1"/>
  <c r="HM315" i="1"/>
  <c r="HN315" i="1"/>
  <c r="HO315" i="1"/>
  <c r="HP315" i="1"/>
  <c r="HQ315" i="1"/>
  <c r="HR315" i="1"/>
  <c r="HS315" i="1"/>
  <c r="HT315" i="1"/>
  <c r="HU315" i="1"/>
  <c r="HV315" i="1"/>
  <c r="HW315" i="1"/>
  <c r="HX315" i="1"/>
  <c r="HY315" i="1"/>
  <c r="HZ315" i="1"/>
  <c r="IA315" i="1"/>
  <c r="IB315" i="1"/>
  <c r="IC315" i="1"/>
  <c r="ID315" i="1"/>
  <c r="IE315" i="1"/>
  <c r="IF315" i="1"/>
  <c r="IG315" i="1"/>
  <c r="IH315" i="1"/>
  <c r="II315" i="1"/>
  <c r="IJ315" i="1"/>
  <c r="IK315" i="1"/>
  <c r="IL315" i="1"/>
  <c r="IM315" i="1"/>
  <c r="IN315" i="1"/>
  <c r="IO315" i="1"/>
  <c r="IP315" i="1"/>
  <c r="IQ315" i="1"/>
  <c r="IR315" i="1"/>
  <c r="IS315" i="1"/>
  <c r="IT315" i="1"/>
  <c r="IU315" i="1"/>
  <c r="IV315" i="1"/>
  <c r="IW315" i="1"/>
  <c r="IX315" i="1"/>
  <c r="IY315" i="1"/>
  <c r="IZ315" i="1"/>
  <c r="JA315" i="1"/>
  <c r="JB315" i="1"/>
  <c r="JC315" i="1"/>
  <c r="JD315" i="1"/>
  <c r="JE315" i="1"/>
  <c r="JF315" i="1"/>
  <c r="JG315" i="1"/>
  <c r="JH315" i="1"/>
  <c r="JI315" i="1"/>
  <c r="JJ315" i="1"/>
  <c r="JK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Q316" i="1"/>
  <c r="BR316" i="1"/>
  <c r="BS316" i="1"/>
  <c r="BT316" i="1"/>
  <c r="BU316" i="1"/>
  <c r="BV316" i="1"/>
  <c r="BW316" i="1"/>
  <c r="BX316" i="1"/>
  <c r="BY316" i="1"/>
  <c r="BZ316" i="1"/>
  <c r="CA316" i="1"/>
  <c r="CB316" i="1"/>
  <c r="CC316" i="1"/>
  <c r="CD316" i="1"/>
  <c r="CE316" i="1"/>
  <c r="CF316" i="1"/>
  <c r="CG316" i="1"/>
  <c r="CH316" i="1"/>
  <c r="CI316" i="1"/>
  <c r="CJ316" i="1"/>
  <c r="CK316" i="1"/>
  <c r="CL316" i="1"/>
  <c r="CM316" i="1"/>
  <c r="CN316" i="1"/>
  <c r="CO316" i="1"/>
  <c r="CP316" i="1"/>
  <c r="CQ316" i="1"/>
  <c r="CR316" i="1"/>
  <c r="CS316" i="1"/>
  <c r="CT316" i="1"/>
  <c r="CU316" i="1"/>
  <c r="CV316" i="1"/>
  <c r="CW316" i="1"/>
  <c r="CX316" i="1"/>
  <c r="CY316" i="1"/>
  <c r="CZ316" i="1"/>
  <c r="DA316" i="1"/>
  <c r="DB316" i="1"/>
  <c r="DC316" i="1"/>
  <c r="DD316" i="1"/>
  <c r="DE316" i="1"/>
  <c r="DF316" i="1"/>
  <c r="DG316" i="1"/>
  <c r="DH316" i="1"/>
  <c r="DI316" i="1"/>
  <c r="DJ316" i="1"/>
  <c r="DK316" i="1"/>
  <c r="DL316" i="1"/>
  <c r="DM316" i="1"/>
  <c r="DN316" i="1"/>
  <c r="DO316" i="1"/>
  <c r="DP316" i="1"/>
  <c r="DQ316" i="1"/>
  <c r="DR316" i="1"/>
  <c r="DS316" i="1"/>
  <c r="DT316" i="1"/>
  <c r="DU316" i="1"/>
  <c r="DV316" i="1"/>
  <c r="DW316" i="1"/>
  <c r="DX316" i="1"/>
  <c r="DY316" i="1"/>
  <c r="DZ316" i="1"/>
  <c r="EA316" i="1"/>
  <c r="EB316" i="1"/>
  <c r="EC316" i="1"/>
  <c r="ED316" i="1"/>
  <c r="EE316" i="1"/>
  <c r="EF316" i="1"/>
  <c r="EG316" i="1"/>
  <c r="EH316" i="1"/>
  <c r="EI316" i="1"/>
  <c r="EJ316" i="1"/>
  <c r="EK316" i="1"/>
  <c r="EL316" i="1"/>
  <c r="EM316" i="1"/>
  <c r="EN316" i="1"/>
  <c r="EO316" i="1"/>
  <c r="EP316" i="1"/>
  <c r="EQ316" i="1"/>
  <c r="ER316" i="1"/>
  <c r="ES316" i="1"/>
  <c r="ET316" i="1"/>
  <c r="EU316" i="1"/>
  <c r="EV316" i="1"/>
  <c r="EW316" i="1"/>
  <c r="EX316" i="1"/>
  <c r="EY316" i="1"/>
  <c r="EZ316" i="1"/>
  <c r="FA316" i="1"/>
  <c r="FB316" i="1"/>
  <c r="FC316" i="1"/>
  <c r="FD316" i="1"/>
  <c r="FE316" i="1"/>
  <c r="FF316" i="1"/>
  <c r="FG316" i="1"/>
  <c r="FH316" i="1"/>
  <c r="FI316" i="1"/>
  <c r="FJ316" i="1"/>
  <c r="FK316" i="1"/>
  <c r="FL316" i="1"/>
  <c r="FM316" i="1"/>
  <c r="FN316" i="1"/>
  <c r="FO316" i="1"/>
  <c r="FP316" i="1"/>
  <c r="FQ316" i="1"/>
  <c r="FR316" i="1"/>
  <c r="FS316" i="1"/>
  <c r="FT316" i="1"/>
  <c r="FU316" i="1"/>
  <c r="FV316" i="1"/>
  <c r="FW316" i="1"/>
  <c r="FX316" i="1"/>
  <c r="FY316" i="1"/>
  <c r="FZ316" i="1"/>
  <c r="GA316" i="1"/>
  <c r="GB316" i="1"/>
  <c r="GC316" i="1"/>
  <c r="GD316" i="1"/>
  <c r="GE316" i="1"/>
  <c r="GF316" i="1"/>
  <c r="GG316" i="1"/>
  <c r="GH316" i="1"/>
  <c r="GI316" i="1"/>
  <c r="GJ316" i="1"/>
  <c r="GK316" i="1"/>
  <c r="GL316" i="1"/>
  <c r="GM316" i="1"/>
  <c r="GN316" i="1"/>
  <c r="GO316" i="1"/>
  <c r="GP316" i="1"/>
  <c r="GQ316" i="1"/>
  <c r="GR316" i="1"/>
  <c r="GS316" i="1"/>
  <c r="GT316" i="1"/>
  <c r="GU316" i="1"/>
  <c r="GV316" i="1"/>
  <c r="GW316" i="1"/>
  <c r="GX316" i="1"/>
  <c r="GY316" i="1"/>
  <c r="GZ316" i="1"/>
  <c r="HA316" i="1"/>
  <c r="HB316" i="1"/>
  <c r="HC316" i="1"/>
  <c r="HD316" i="1"/>
  <c r="HE316" i="1"/>
  <c r="HF316" i="1"/>
  <c r="HG316" i="1"/>
  <c r="HH316" i="1"/>
  <c r="HI316" i="1"/>
  <c r="HJ316" i="1"/>
  <c r="HK316" i="1"/>
  <c r="HL316" i="1"/>
  <c r="HM316" i="1"/>
  <c r="HN316" i="1"/>
  <c r="HO316" i="1"/>
  <c r="HP316" i="1"/>
  <c r="HQ316" i="1"/>
  <c r="HR316" i="1"/>
  <c r="HS316" i="1"/>
  <c r="HT316" i="1"/>
  <c r="HU316" i="1"/>
  <c r="HV316" i="1"/>
  <c r="HW316" i="1"/>
  <c r="HX316" i="1"/>
  <c r="HY316" i="1"/>
  <c r="HZ316" i="1"/>
  <c r="IA316" i="1"/>
  <c r="IB316" i="1"/>
  <c r="IC316" i="1"/>
  <c r="ID316" i="1"/>
  <c r="IE316" i="1"/>
  <c r="IF316" i="1"/>
  <c r="IG316" i="1"/>
  <c r="IH316" i="1"/>
  <c r="II316" i="1"/>
  <c r="IJ316" i="1"/>
  <c r="IK316" i="1"/>
  <c r="IL316" i="1"/>
  <c r="IM316" i="1"/>
  <c r="IN316" i="1"/>
  <c r="IO316" i="1"/>
  <c r="IP316" i="1"/>
  <c r="IQ316" i="1"/>
  <c r="IR316" i="1"/>
  <c r="IS316" i="1"/>
  <c r="IT316" i="1"/>
  <c r="IU316" i="1"/>
  <c r="IV316" i="1"/>
  <c r="IW316" i="1"/>
  <c r="IX316" i="1"/>
  <c r="IY316" i="1"/>
  <c r="IZ316" i="1"/>
  <c r="JA316" i="1"/>
  <c r="JB316" i="1"/>
  <c r="JC316" i="1"/>
  <c r="JD316" i="1"/>
  <c r="JE316" i="1"/>
  <c r="JF316" i="1"/>
  <c r="JG316" i="1"/>
  <c r="JH316" i="1"/>
  <c r="JI316" i="1"/>
  <c r="JJ316" i="1"/>
  <c r="JK316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P318" i="1"/>
  <c r="BQ318" i="1"/>
  <c r="BR318" i="1"/>
  <c r="BS318" i="1"/>
  <c r="BT318" i="1"/>
  <c r="BU318" i="1"/>
  <c r="BV318" i="1"/>
  <c r="BW318" i="1"/>
  <c r="BX318" i="1"/>
  <c r="BY318" i="1"/>
  <c r="BZ318" i="1"/>
  <c r="CA318" i="1"/>
  <c r="CB318" i="1"/>
  <c r="CC318" i="1"/>
  <c r="CD318" i="1"/>
  <c r="CE318" i="1"/>
  <c r="CF318" i="1"/>
  <c r="CG318" i="1"/>
  <c r="CH318" i="1"/>
  <c r="CI318" i="1"/>
  <c r="CJ318" i="1"/>
  <c r="CK318" i="1"/>
  <c r="CL318" i="1"/>
  <c r="CM318" i="1"/>
  <c r="CN318" i="1"/>
  <c r="CO318" i="1"/>
  <c r="CP318" i="1"/>
  <c r="CQ318" i="1"/>
  <c r="CR318" i="1"/>
  <c r="CS318" i="1"/>
  <c r="CT318" i="1"/>
  <c r="CU318" i="1"/>
  <c r="CV318" i="1"/>
  <c r="CW318" i="1"/>
  <c r="CX318" i="1"/>
  <c r="CY318" i="1"/>
  <c r="CZ318" i="1"/>
  <c r="DA318" i="1"/>
  <c r="DB318" i="1"/>
  <c r="DC318" i="1"/>
  <c r="DD318" i="1"/>
  <c r="DE318" i="1"/>
  <c r="DF318" i="1"/>
  <c r="DG318" i="1"/>
  <c r="DH318" i="1"/>
  <c r="DI318" i="1"/>
  <c r="DJ318" i="1"/>
  <c r="DK318" i="1"/>
  <c r="DL318" i="1"/>
  <c r="DM318" i="1"/>
  <c r="DN318" i="1"/>
  <c r="DO318" i="1"/>
  <c r="DP318" i="1"/>
  <c r="DQ318" i="1"/>
  <c r="DR318" i="1"/>
  <c r="DS318" i="1"/>
  <c r="DT318" i="1"/>
  <c r="DU318" i="1"/>
  <c r="DV318" i="1"/>
  <c r="DW318" i="1"/>
  <c r="DX318" i="1"/>
  <c r="DY318" i="1"/>
  <c r="DZ318" i="1"/>
  <c r="EA318" i="1"/>
  <c r="EB318" i="1"/>
  <c r="EC318" i="1"/>
  <c r="ED318" i="1"/>
  <c r="EE318" i="1"/>
  <c r="EF318" i="1"/>
  <c r="EG318" i="1"/>
  <c r="EH318" i="1"/>
  <c r="EI318" i="1"/>
  <c r="EJ318" i="1"/>
  <c r="EK318" i="1"/>
  <c r="EL318" i="1"/>
  <c r="EM318" i="1"/>
  <c r="EN318" i="1"/>
  <c r="EO318" i="1"/>
  <c r="EP318" i="1"/>
  <c r="EQ318" i="1"/>
  <c r="ER318" i="1"/>
  <c r="ES318" i="1"/>
  <c r="ET318" i="1"/>
  <c r="EU318" i="1"/>
  <c r="EV318" i="1"/>
  <c r="EW318" i="1"/>
  <c r="EX318" i="1"/>
  <c r="EY318" i="1"/>
  <c r="EZ318" i="1"/>
  <c r="FA318" i="1"/>
  <c r="FB318" i="1"/>
  <c r="FC318" i="1"/>
  <c r="FD318" i="1"/>
  <c r="FE318" i="1"/>
  <c r="FF318" i="1"/>
  <c r="FG318" i="1"/>
  <c r="FH318" i="1"/>
  <c r="FI318" i="1"/>
  <c r="FJ318" i="1"/>
  <c r="FK318" i="1"/>
  <c r="FL318" i="1"/>
  <c r="FM318" i="1"/>
  <c r="FN318" i="1"/>
  <c r="FO318" i="1"/>
  <c r="FP318" i="1"/>
  <c r="FQ318" i="1"/>
  <c r="FR318" i="1"/>
  <c r="FS318" i="1"/>
  <c r="FT318" i="1"/>
  <c r="FU318" i="1"/>
  <c r="FV318" i="1"/>
  <c r="FW318" i="1"/>
  <c r="FX318" i="1"/>
  <c r="FY318" i="1"/>
  <c r="FZ318" i="1"/>
  <c r="GA318" i="1"/>
  <c r="GB318" i="1"/>
  <c r="GC318" i="1"/>
  <c r="GD318" i="1"/>
  <c r="GE318" i="1"/>
  <c r="GF318" i="1"/>
  <c r="GG318" i="1"/>
  <c r="GH318" i="1"/>
  <c r="GI318" i="1"/>
  <c r="GJ318" i="1"/>
  <c r="GK318" i="1"/>
  <c r="GL318" i="1"/>
  <c r="GM318" i="1"/>
  <c r="GN318" i="1"/>
  <c r="GO318" i="1"/>
  <c r="GP318" i="1"/>
  <c r="GQ318" i="1"/>
  <c r="GR318" i="1"/>
  <c r="GS318" i="1"/>
  <c r="GT318" i="1"/>
  <c r="GU318" i="1"/>
  <c r="GV318" i="1"/>
  <c r="GW318" i="1"/>
  <c r="GX318" i="1"/>
  <c r="GY318" i="1"/>
  <c r="GZ318" i="1"/>
  <c r="HA318" i="1"/>
  <c r="HB318" i="1"/>
  <c r="HC318" i="1"/>
  <c r="HD318" i="1"/>
  <c r="HE318" i="1"/>
  <c r="HF318" i="1"/>
  <c r="HG318" i="1"/>
  <c r="HH318" i="1"/>
  <c r="HI318" i="1"/>
  <c r="HJ318" i="1"/>
  <c r="HK318" i="1"/>
  <c r="HL318" i="1"/>
  <c r="HM318" i="1"/>
  <c r="HN318" i="1"/>
  <c r="HO318" i="1"/>
  <c r="HP318" i="1"/>
  <c r="HQ318" i="1"/>
  <c r="HR318" i="1"/>
  <c r="HS318" i="1"/>
  <c r="HT318" i="1"/>
  <c r="HU318" i="1"/>
  <c r="HV318" i="1"/>
  <c r="HW318" i="1"/>
  <c r="HX318" i="1"/>
  <c r="HY318" i="1"/>
  <c r="HZ318" i="1"/>
  <c r="IA318" i="1"/>
  <c r="IB318" i="1"/>
  <c r="IC318" i="1"/>
  <c r="ID318" i="1"/>
  <c r="IE318" i="1"/>
  <c r="IF318" i="1"/>
  <c r="IG318" i="1"/>
  <c r="IH318" i="1"/>
  <c r="II318" i="1"/>
  <c r="IJ318" i="1"/>
  <c r="IK318" i="1"/>
  <c r="IL318" i="1"/>
  <c r="IM318" i="1"/>
  <c r="IN318" i="1"/>
  <c r="IO318" i="1"/>
  <c r="IP318" i="1"/>
  <c r="IQ318" i="1"/>
  <c r="IR318" i="1"/>
  <c r="IS318" i="1"/>
  <c r="IT318" i="1"/>
  <c r="IU318" i="1"/>
  <c r="IV318" i="1"/>
  <c r="IW318" i="1"/>
  <c r="IX318" i="1"/>
  <c r="IY318" i="1"/>
  <c r="IZ318" i="1"/>
  <c r="JA318" i="1"/>
  <c r="JB318" i="1"/>
  <c r="JC318" i="1"/>
  <c r="JD318" i="1"/>
  <c r="JE318" i="1"/>
  <c r="JF318" i="1"/>
  <c r="JG318" i="1"/>
  <c r="JH318" i="1"/>
  <c r="JI318" i="1"/>
  <c r="JJ318" i="1"/>
  <c r="JK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BT319" i="1"/>
  <c r="BU319" i="1"/>
  <c r="BV319" i="1"/>
  <c r="BW319" i="1"/>
  <c r="BX319" i="1"/>
  <c r="BY319" i="1"/>
  <c r="BZ319" i="1"/>
  <c r="CA319" i="1"/>
  <c r="CB319" i="1"/>
  <c r="CC319" i="1"/>
  <c r="CD319" i="1"/>
  <c r="CE319" i="1"/>
  <c r="CF319" i="1"/>
  <c r="CG319" i="1"/>
  <c r="CH319" i="1"/>
  <c r="CI319" i="1"/>
  <c r="CJ319" i="1"/>
  <c r="CK319" i="1"/>
  <c r="CL319" i="1"/>
  <c r="CM319" i="1"/>
  <c r="CN319" i="1"/>
  <c r="CO319" i="1"/>
  <c r="CP319" i="1"/>
  <c r="CQ319" i="1"/>
  <c r="CR319" i="1"/>
  <c r="CS319" i="1"/>
  <c r="CT319" i="1"/>
  <c r="CU319" i="1"/>
  <c r="CV319" i="1"/>
  <c r="CW319" i="1"/>
  <c r="CX319" i="1"/>
  <c r="CY319" i="1"/>
  <c r="CZ319" i="1"/>
  <c r="DA319" i="1"/>
  <c r="DB319" i="1"/>
  <c r="DC319" i="1"/>
  <c r="DD319" i="1"/>
  <c r="DE319" i="1"/>
  <c r="DF319" i="1"/>
  <c r="DG319" i="1"/>
  <c r="DH319" i="1"/>
  <c r="DI319" i="1"/>
  <c r="DJ319" i="1"/>
  <c r="DK319" i="1"/>
  <c r="DL319" i="1"/>
  <c r="DM319" i="1"/>
  <c r="DN319" i="1"/>
  <c r="DO319" i="1"/>
  <c r="DP319" i="1"/>
  <c r="DQ319" i="1"/>
  <c r="DR319" i="1"/>
  <c r="DS319" i="1"/>
  <c r="DT319" i="1"/>
  <c r="DU319" i="1"/>
  <c r="DV319" i="1"/>
  <c r="DW319" i="1"/>
  <c r="DX319" i="1"/>
  <c r="DY319" i="1"/>
  <c r="DZ319" i="1"/>
  <c r="EA319" i="1"/>
  <c r="EB319" i="1"/>
  <c r="EC319" i="1"/>
  <c r="ED319" i="1"/>
  <c r="EE319" i="1"/>
  <c r="EF319" i="1"/>
  <c r="EG319" i="1"/>
  <c r="EH319" i="1"/>
  <c r="EI319" i="1"/>
  <c r="EJ319" i="1"/>
  <c r="EK319" i="1"/>
  <c r="EL319" i="1"/>
  <c r="EM319" i="1"/>
  <c r="EN319" i="1"/>
  <c r="EO319" i="1"/>
  <c r="EP319" i="1"/>
  <c r="EQ319" i="1"/>
  <c r="ER319" i="1"/>
  <c r="ES319" i="1"/>
  <c r="ET319" i="1"/>
  <c r="EU319" i="1"/>
  <c r="EV319" i="1"/>
  <c r="EW319" i="1"/>
  <c r="EX319" i="1"/>
  <c r="EY319" i="1"/>
  <c r="EZ319" i="1"/>
  <c r="FA319" i="1"/>
  <c r="FB319" i="1"/>
  <c r="FC319" i="1"/>
  <c r="FD319" i="1"/>
  <c r="FE319" i="1"/>
  <c r="FF319" i="1"/>
  <c r="FG319" i="1"/>
  <c r="FH319" i="1"/>
  <c r="FI319" i="1"/>
  <c r="FJ319" i="1"/>
  <c r="FK319" i="1"/>
  <c r="FL319" i="1"/>
  <c r="FM319" i="1"/>
  <c r="FN319" i="1"/>
  <c r="FO319" i="1"/>
  <c r="FP319" i="1"/>
  <c r="FQ319" i="1"/>
  <c r="FR319" i="1"/>
  <c r="FS319" i="1"/>
  <c r="FT319" i="1"/>
  <c r="FU319" i="1"/>
  <c r="FV319" i="1"/>
  <c r="FW319" i="1"/>
  <c r="FX319" i="1"/>
  <c r="FY319" i="1"/>
  <c r="FZ319" i="1"/>
  <c r="GA319" i="1"/>
  <c r="GB319" i="1"/>
  <c r="GC319" i="1"/>
  <c r="GD319" i="1"/>
  <c r="GE319" i="1"/>
  <c r="GF319" i="1"/>
  <c r="GG319" i="1"/>
  <c r="GH319" i="1"/>
  <c r="GI319" i="1"/>
  <c r="GJ319" i="1"/>
  <c r="GK319" i="1"/>
  <c r="GL319" i="1"/>
  <c r="GM319" i="1"/>
  <c r="GN319" i="1"/>
  <c r="GO319" i="1"/>
  <c r="GP319" i="1"/>
  <c r="GQ319" i="1"/>
  <c r="GR319" i="1"/>
  <c r="GS319" i="1"/>
  <c r="GT319" i="1"/>
  <c r="GU319" i="1"/>
  <c r="GV319" i="1"/>
  <c r="GW319" i="1"/>
  <c r="GX319" i="1"/>
  <c r="GY319" i="1"/>
  <c r="GZ319" i="1"/>
  <c r="HA319" i="1"/>
  <c r="HB319" i="1"/>
  <c r="HC319" i="1"/>
  <c r="HD319" i="1"/>
  <c r="HE319" i="1"/>
  <c r="HF319" i="1"/>
  <c r="HG319" i="1"/>
  <c r="HH319" i="1"/>
  <c r="HI319" i="1"/>
  <c r="HJ319" i="1"/>
  <c r="HK319" i="1"/>
  <c r="HL319" i="1"/>
  <c r="HM319" i="1"/>
  <c r="HN319" i="1"/>
  <c r="HO319" i="1"/>
  <c r="HP319" i="1"/>
  <c r="HQ319" i="1"/>
  <c r="HR319" i="1"/>
  <c r="HS319" i="1"/>
  <c r="HT319" i="1"/>
  <c r="HU319" i="1"/>
  <c r="HV319" i="1"/>
  <c r="HW319" i="1"/>
  <c r="HX319" i="1"/>
  <c r="HY319" i="1"/>
  <c r="HZ319" i="1"/>
  <c r="IA319" i="1"/>
  <c r="IB319" i="1"/>
  <c r="IC319" i="1"/>
  <c r="ID319" i="1"/>
  <c r="IE319" i="1"/>
  <c r="IF319" i="1"/>
  <c r="IG319" i="1"/>
  <c r="IH319" i="1"/>
  <c r="II319" i="1"/>
  <c r="IJ319" i="1"/>
  <c r="IK319" i="1"/>
  <c r="IL319" i="1"/>
  <c r="IM319" i="1"/>
  <c r="IN319" i="1"/>
  <c r="IO319" i="1"/>
  <c r="IP319" i="1"/>
  <c r="IQ319" i="1"/>
  <c r="IR319" i="1"/>
  <c r="IS319" i="1"/>
  <c r="IT319" i="1"/>
  <c r="IU319" i="1"/>
  <c r="IV319" i="1"/>
  <c r="IW319" i="1"/>
  <c r="IX319" i="1"/>
  <c r="IY319" i="1"/>
  <c r="IZ319" i="1"/>
  <c r="JA319" i="1"/>
  <c r="JB319" i="1"/>
  <c r="JC319" i="1"/>
  <c r="JD319" i="1"/>
  <c r="JE319" i="1"/>
  <c r="JF319" i="1"/>
  <c r="JG319" i="1"/>
  <c r="JH319" i="1"/>
  <c r="JI319" i="1"/>
  <c r="JJ319" i="1"/>
  <c r="JK319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CH321" i="1"/>
  <c r="CI321" i="1"/>
  <c r="CJ321" i="1"/>
  <c r="CK321" i="1"/>
  <c r="CL321" i="1"/>
  <c r="CM321" i="1"/>
  <c r="CN321" i="1"/>
  <c r="CO321" i="1"/>
  <c r="CP321" i="1"/>
  <c r="CQ321" i="1"/>
  <c r="CR321" i="1"/>
  <c r="CS321" i="1"/>
  <c r="CT321" i="1"/>
  <c r="CU321" i="1"/>
  <c r="CV321" i="1"/>
  <c r="CW321" i="1"/>
  <c r="CX321" i="1"/>
  <c r="CY321" i="1"/>
  <c r="CZ321" i="1"/>
  <c r="DA321" i="1"/>
  <c r="DB321" i="1"/>
  <c r="DC321" i="1"/>
  <c r="DD321" i="1"/>
  <c r="DE321" i="1"/>
  <c r="DF321" i="1"/>
  <c r="DG321" i="1"/>
  <c r="DH321" i="1"/>
  <c r="DI321" i="1"/>
  <c r="DJ321" i="1"/>
  <c r="DK321" i="1"/>
  <c r="DL321" i="1"/>
  <c r="DM321" i="1"/>
  <c r="DN321" i="1"/>
  <c r="DO321" i="1"/>
  <c r="DP321" i="1"/>
  <c r="DQ321" i="1"/>
  <c r="DR321" i="1"/>
  <c r="DS321" i="1"/>
  <c r="DT321" i="1"/>
  <c r="DU321" i="1"/>
  <c r="DV321" i="1"/>
  <c r="DW321" i="1"/>
  <c r="DX321" i="1"/>
  <c r="DY321" i="1"/>
  <c r="DZ321" i="1"/>
  <c r="EA321" i="1"/>
  <c r="EB321" i="1"/>
  <c r="EC321" i="1"/>
  <c r="ED321" i="1"/>
  <c r="EE321" i="1"/>
  <c r="EF321" i="1"/>
  <c r="EG321" i="1"/>
  <c r="EH321" i="1"/>
  <c r="EI321" i="1"/>
  <c r="EJ321" i="1"/>
  <c r="EK321" i="1"/>
  <c r="EL321" i="1"/>
  <c r="EM321" i="1"/>
  <c r="EN321" i="1"/>
  <c r="EO321" i="1"/>
  <c r="EP321" i="1"/>
  <c r="EQ321" i="1"/>
  <c r="ER321" i="1"/>
  <c r="ES321" i="1"/>
  <c r="ET321" i="1"/>
  <c r="EU321" i="1"/>
  <c r="EV321" i="1"/>
  <c r="EW321" i="1"/>
  <c r="EX321" i="1"/>
  <c r="EY321" i="1"/>
  <c r="EZ321" i="1"/>
  <c r="FA321" i="1"/>
  <c r="FB321" i="1"/>
  <c r="FC321" i="1"/>
  <c r="FD321" i="1"/>
  <c r="FE321" i="1"/>
  <c r="FF321" i="1"/>
  <c r="FG321" i="1"/>
  <c r="FH321" i="1"/>
  <c r="FI321" i="1"/>
  <c r="FJ321" i="1"/>
  <c r="FK321" i="1"/>
  <c r="FL321" i="1"/>
  <c r="FM321" i="1"/>
  <c r="FN321" i="1"/>
  <c r="FO321" i="1"/>
  <c r="FP321" i="1"/>
  <c r="FQ321" i="1"/>
  <c r="FR321" i="1"/>
  <c r="FS321" i="1"/>
  <c r="FT321" i="1"/>
  <c r="FU321" i="1"/>
  <c r="FV321" i="1"/>
  <c r="FW321" i="1"/>
  <c r="FX321" i="1"/>
  <c r="FY321" i="1"/>
  <c r="FZ321" i="1"/>
  <c r="GA321" i="1"/>
  <c r="GB321" i="1"/>
  <c r="GC321" i="1"/>
  <c r="GD321" i="1"/>
  <c r="GE321" i="1"/>
  <c r="GF321" i="1"/>
  <c r="GG321" i="1"/>
  <c r="GH321" i="1"/>
  <c r="GI321" i="1"/>
  <c r="GJ321" i="1"/>
  <c r="GK321" i="1"/>
  <c r="GL321" i="1"/>
  <c r="GM321" i="1"/>
  <c r="GN321" i="1"/>
  <c r="GO321" i="1"/>
  <c r="GP321" i="1"/>
  <c r="GQ321" i="1"/>
  <c r="GR321" i="1"/>
  <c r="GS321" i="1"/>
  <c r="GT321" i="1"/>
  <c r="GU321" i="1"/>
  <c r="GV321" i="1"/>
  <c r="GW321" i="1"/>
  <c r="GX321" i="1"/>
  <c r="GY321" i="1"/>
  <c r="GZ321" i="1"/>
  <c r="HA321" i="1"/>
  <c r="HB321" i="1"/>
  <c r="HC321" i="1"/>
  <c r="HD321" i="1"/>
  <c r="HE321" i="1"/>
  <c r="HF321" i="1"/>
  <c r="HG321" i="1"/>
  <c r="HH321" i="1"/>
  <c r="HI321" i="1"/>
  <c r="HJ321" i="1"/>
  <c r="HK321" i="1"/>
  <c r="HL321" i="1"/>
  <c r="HM321" i="1"/>
  <c r="HN321" i="1"/>
  <c r="HO321" i="1"/>
  <c r="HP321" i="1"/>
  <c r="HQ321" i="1"/>
  <c r="HR321" i="1"/>
  <c r="HS321" i="1"/>
  <c r="HT321" i="1"/>
  <c r="HU321" i="1"/>
  <c r="HV321" i="1"/>
  <c r="HW321" i="1"/>
  <c r="HX321" i="1"/>
  <c r="HY321" i="1"/>
  <c r="HZ321" i="1"/>
  <c r="IA321" i="1"/>
  <c r="IB321" i="1"/>
  <c r="IC321" i="1"/>
  <c r="ID321" i="1"/>
  <c r="IE321" i="1"/>
  <c r="IF321" i="1"/>
  <c r="IG321" i="1"/>
  <c r="IH321" i="1"/>
  <c r="II321" i="1"/>
  <c r="IJ321" i="1"/>
  <c r="IK321" i="1"/>
  <c r="IL321" i="1"/>
  <c r="IM321" i="1"/>
  <c r="IN321" i="1"/>
  <c r="IO321" i="1"/>
  <c r="IP321" i="1"/>
  <c r="IQ321" i="1"/>
  <c r="IR321" i="1"/>
  <c r="IS321" i="1"/>
  <c r="IT321" i="1"/>
  <c r="IU321" i="1"/>
  <c r="IV321" i="1"/>
  <c r="IW321" i="1"/>
  <c r="IX321" i="1"/>
  <c r="IY321" i="1"/>
  <c r="IZ321" i="1"/>
  <c r="JA321" i="1"/>
  <c r="JB321" i="1"/>
  <c r="JC321" i="1"/>
  <c r="JD321" i="1"/>
  <c r="JE321" i="1"/>
  <c r="JF321" i="1"/>
  <c r="JG321" i="1"/>
  <c r="JH321" i="1"/>
  <c r="JI321" i="1"/>
  <c r="JJ321" i="1"/>
  <c r="JK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CF322" i="1"/>
  <c r="CG322" i="1"/>
  <c r="CH322" i="1"/>
  <c r="CI322" i="1"/>
  <c r="CJ322" i="1"/>
  <c r="CK322" i="1"/>
  <c r="CL322" i="1"/>
  <c r="CM322" i="1"/>
  <c r="CN322" i="1"/>
  <c r="CO322" i="1"/>
  <c r="CP322" i="1"/>
  <c r="CQ322" i="1"/>
  <c r="CR322" i="1"/>
  <c r="CS322" i="1"/>
  <c r="CT322" i="1"/>
  <c r="CU322" i="1"/>
  <c r="CV322" i="1"/>
  <c r="CW322" i="1"/>
  <c r="CX322" i="1"/>
  <c r="CY322" i="1"/>
  <c r="CZ322" i="1"/>
  <c r="DA322" i="1"/>
  <c r="DB322" i="1"/>
  <c r="DC322" i="1"/>
  <c r="DD322" i="1"/>
  <c r="DE322" i="1"/>
  <c r="DF322" i="1"/>
  <c r="DG322" i="1"/>
  <c r="DH322" i="1"/>
  <c r="DI322" i="1"/>
  <c r="DJ322" i="1"/>
  <c r="DK322" i="1"/>
  <c r="DL322" i="1"/>
  <c r="DM322" i="1"/>
  <c r="DN322" i="1"/>
  <c r="DO322" i="1"/>
  <c r="DP322" i="1"/>
  <c r="DQ322" i="1"/>
  <c r="DR322" i="1"/>
  <c r="DS322" i="1"/>
  <c r="DT322" i="1"/>
  <c r="DU322" i="1"/>
  <c r="DV322" i="1"/>
  <c r="DW322" i="1"/>
  <c r="DX322" i="1"/>
  <c r="DY322" i="1"/>
  <c r="DZ322" i="1"/>
  <c r="EA322" i="1"/>
  <c r="EB322" i="1"/>
  <c r="EC322" i="1"/>
  <c r="ED322" i="1"/>
  <c r="EE322" i="1"/>
  <c r="EF322" i="1"/>
  <c r="EG322" i="1"/>
  <c r="EH322" i="1"/>
  <c r="EI322" i="1"/>
  <c r="EJ322" i="1"/>
  <c r="EK322" i="1"/>
  <c r="EL322" i="1"/>
  <c r="EM322" i="1"/>
  <c r="EN322" i="1"/>
  <c r="EO322" i="1"/>
  <c r="EP322" i="1"/>
  <c r="EQ322" i="1"/>
  <c r="ER322" i="1"/>
  <c r="ES322" i="1"/>
  <c r="ET322" i="1"/>
  <c r="EU322" i="1"/>
  <c r="EV322" i="1"/>
  <c r="EW322" i="1"/>
  <c r="EX322" i="1"/>
  <c r="EY322" i="1"/>
  <c r="EZ322" i="1"/>
  <c r="FA322" i="1"/>
  <c r="FB322" i="1"/>
  <c r="FC322" i="1"/>
  <c r="FD322" i="1"/>
  <c r="FE322" i="1"/>
  <c r="FF322" i="1"/>
  <c r="FG322" i="1"/>
  <c r="FH322" i="1"/>
  <c r="FI322" i="1"/>
  <c r="FJ322" i="1"/>
  <c r="FK322" i="1"/>
  <c r="FL322" i="1"/>
  <c r="FM322" i="1"/>
  <c r="FN322" i="1"/>
  <c r="FO322" i="1"/>
  <c r="FP322" i="1"/>
  <c r="FQ322" i="1"/>
  <c r="FR322" i="1"/>
  <c r="FS322" i="1"/>
  <c r="FT322" i="1"/>
  <c r="FU322" i="1"/>
  <c r="FV322" i="1"/>
  <c r="FW322" i="1"/>
  <c r="FX322" i="1"/>
  <c r="FY322" i="1"/>
  <c r="FZ322" i="1"/>
  <c r="GA322" i="1"/>
  <c r="GB322" i="1"/>
  <c r="GC322" i="1"/>
  <c r="GD322" i="1"/>
  <c r="GE322" i="1"/>
  <c r="GF322" i="1"/>
  <c r="GG322" i="1"/>
  <c r="GH322" i="1"/>
  <c r="GI322" i="1"/>
  <c r="GJ322" i="1"/>
  <c r="GK322" i="1"/>
  <c r="GL322" i="1"/>
  <c r="GM322" i="1"/>
  <c r="GN322" i="1"/>
  <c r="GO322" i="1"/>
  <c r="GP322" i="1"/>
  <c r="GQ322" i="1"/>
  <c r="GR322" i="1"/>
  <c r="GS322" i="1"/>
  <c r="GT322" i="1"/>
  <c r="GU322" i="1"/>
  <c r="GV322" i="1"/>
  <c r="GW322" i="1"/>
  <c r="GX322" i="1"/>
  <c r="GY322" i="1"/>
  <c r="GZ322" i="1"/>
  <c r="HA322" i="1"/>
  <c r="HB322" i="1"/>
  <c r="HC322" i="1"/>
  <c r="HD322" i="1"/>
  <c r="HE322" i="1"/>
  <c r="HF322" i="1"/>
  <c r="HG322" i="1"/>
  <c r="HH322" i="1"/>
  <c r="HI322" i="1"/>
  <c r="HJ322" i="1"/>
  <c r="HK322" i="1"/>
  <c r="HL322" i="1"/>
  <c r="HM322" i="1"/>
  <c r="HN322" i="1"/>
  <c r="HO322" i="1"/>
  <c r="HP322" i="1"/>
  <c r="HQ322" i="1"/>
  <c r="HR322" i="1"/>
  <c r="HS322" i="1"/>
  <c r="HT322" i="1"/>
  <c r="HU322" i="1"/>
  <c r="HV322" i="1"/>
  <c r="HW322" i="1"/>
  <c r="HX322" i="1"/>
  <c r="HY322" i="1"/>
  <c r="HZ322" i="1"/>
  <c r="IA322" i="1"/>
  <c r="IB322" i="1"/>
  <c r="IC322" i="1"/>
  <c r="ID322" i="1"/>
  <c r="IE322" i="1"/>
  <c r="IF322" i="1"/>
  <c r="IG322" i="1"/>
  <c r="IH322" i="1"/>
  <c r="II322" i="1"/>
  <c r="IJ322" i="1"/>
  <c r="IK322" i="1"/>
  <c r="IL322" i="1"/>
  <c r="IM322" i="1"/>
  <c r="IN322" i="1"/>
  <c r="IO322" i="1"/>
  <c r="IP322" i="1"/>
  <c r="IQ322" i="1"/>
  <c r="IR322" i="1"/>
  <c r="IS322" i="1"/>
  <c r="IT322" i="1"/>
  <c r="IU322" i="1"/>
  <c r="IV322" i="1"/>
  <c r="IW322" i="1"/>
  <c r="IX322" i="1"/>
  <c r="IY322" i="1"/>
  <c r="IZ322" i="1"/>
  <c r="JA322" i="1"/>
  <c r="JB322" i="1"/>
  <c r="JC322" i="1"/>
  <c r="JD322" i="1"/>
  <c r="JE322" i="1"/>
  <c r="JF322" i="1"/>
  <c r="JG322" i="1"/>
  <c r="JH322" i="1"/>
  <c r="JI322" i="1"/>
  <c r="JJ322" i="1"/>
  <c r="JK322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U324" i="1"/>
  <c r="BV324" i="1"/>
  <c r="BW324" i="1"/>
  <c r="BX324" i="1"/>
  <c r="BY324" i="1"/>
  <c r="BZ324" i="1"/>
  <c r="CA324" i="1"/>
  <c r="CB324" i="1"/>
  <c r="CC324" i="1"/>
  <c r="CD324" i="1"/>
  <c r="CE324" i="1"/>
  <c r="CF324" i="1"/>
  <c r="CG324" i="1"/>
  <c r="CH324" i="1"/>
  <c r="CI324" i="1"/>
  <c r="CJ324" i="1"/>
  <c r="CK324" i="1"/>
  <c r="CL324" i="1"/>
  <c r="CM324" i="1"/>
  <c r="CN324" i="1"/>
  <c r="CO324" i="1"/>
  <c r="CP324" i="1"/>
  <c r="CQ324" i="1"/>
  <c r="CR324" i="1"/>
  <c r="CS324" i="1"/>
  <c r="CT324" i="1"/>
  <c r="CU324" i="1"/>
  <c r="CV324" i="1"/>
  <c r="CW324" i="1"/>
  <c r="CX324" i="1"/>
  <c r="CY324" i="1"/>
  <c r="CZ324" i="1"/>
  <c r="DA324" i="1"/>
  <c r="DB324" i="1"/>
  <c r="DC324" i="1"/>
  <c r="DD324" i="1"/>
  <c r="DE324" i="1"/>
  <c r="DF324" i="1"/>
  <c r="DG324" i="1"/>
  <c r="DH324" i="1"/>
  <c r="DI324" i="1"/>
  <c r="DJ324" i="1"/>
  <c r="DK324" i="1"/>
  <c r="DL324" i="1"/>
  <c r="DM324" i="1"/>
  <c r="DN324" i="1"/>
  <c r="DO324" i="1"/>
  <c r="DP324" i="1"/>
  <c r="DQ324" i="1"/>
  <c r="DR324" i="1"/>
  <c r="DS324" i="1"/>
  <c r="DT324" i="1"/>
  <c r="DU324" i="1"/>
  <c r="DV324" i="1"/>
  <c r="DW324" i="1"/>
  <c r="DX324" i="1"/>
  <c r="DY324" i="1"/>
  <c r="DZ324" i="1"/>
  <c r="EA324" i="1"/>
  <c r="EB324" i="1"/>
  <c r="EC324" i="1"/>
  <c r="ED324" i="1"/>
  <c r="EE324" i="1"/>
  <c r="EF324" i="1"/>
  <c r="EG324" i="1"/>
  <c r="EH324" i="1"/>
  <c r="EI324" i="1"/>
  <c r="EJ324" i="1"/>
  <c r="EK324" i="1"/>
  <c r="EL324" i="1"/>
  <c r="EM324" i="1"/>
  <c r="EN324" i="1"/>
  <c r="EO324" i="1"/>
  <c r="EP324" i="1"/>
  <c r="EQ324" i="1"/>
  <c r="ER324" i="1"/>
  <c r="ES324" i="1"/>
  <c r="ET324" i="1"/>
  <c r="EU324" i="1"/>
  <c r="EV324" i="1"/>
  <c r="EW324" i="1"/>
  <c r="EX324" i="1"/>
  <c r="EY324" i="1"/>
  <c r="EZ324" i="1"/>
  <c r="FA324" i="1"/>
  <c r="FB324" i="1"/>
  <c r="FC324" i="1"/>
  <c r="FD324" i="1"/>
  <c r="FE324" i="1"/>
  <c r="FF324" i="1"/>
  <c r="FG324" i="1"/>
  <c r="FH324" i="1"/>
  <c r="FI324" i="1"/>
  <c r="FJ324" i="1"/>
  <c r="FK324" i="1"/>
  <c r="FL324" i="1"/>
  <c r="FM324" i="1"/>
  <c r="FN324" i="1"/>
  <c r="FO324" i="1"/>
  <c r="FP324" i="1"/>
  <c r="FQ324" i="1"/>
  <c r="FR324" i="1"/>
  <c r="FS324" i="1"/>
  <c r="FT324" i="1"/>
  <c r="FU324" i="1"/>
  <c r="FV324" i="1"/>
  <c r="FW324" i="1"/>
  <c r="FX324" i="1"/>
  <c r="FY324" i="1"/>
  <c r="FZ324" i="1"/>
  <c r="GA324" i="1"/>
  <c r="GB324" i="1"/>
  <c r="GC324" i="1"/>
  <c r="GD324" i="1"/>
  <c r="GE324" i="1"/>
  <c r="GF324" i="1"/>
  <c r="GG324" i="1"/>
  <c r="GH324" i="1"/>
  <c r="GI324" i="1"/>
  <c r="GJ324" i="1"/>
  <c r="GK324" i="1"/>
  <c r="GL324" i="1"/>
  <c r="GM324" i="1"/>
  <c r="GN324" i="1"/>
  <c r="GO324" i="1"/>
  <c r="GP324" i="1"/>
  <c r="GQ324" i="1"/>
  <c r="GR324" i="1"/>
  <c r="GS324" i="1"/>
  <c r="GT324" i="1"/>
  <c r="GU324" i="1"/>
  <c r="GV324" i="1"/>
  <c r="GW324" i="1"/>
  <c r="GX324" i="1"/>
  <c r="GY324" i="1"/>
  <c r="GZ324" i="1"/>
  <c r="HA324" i="1"/>
  <c r="HB324" i="1"/>
  <c r="HC324" i="1"/>
  <c r="HD324" i="1"/>
  <c r="HE324" i="1"/>
  <c r="HF324" i="1"/>
  <c r="HG324" i="1"/>
  <c r="HH324" i="1"/>
  <c r="HI324" i="1"/>
  <c r="HJ324" i="1"/>
  <c r="HK324" i="1"/>
  <c r="HL324" i="1"/>
  <c r="HM324" i="1"/>
  <c r="HN324" i="1"/>
  <c r="HO324" i="1"/>
  <c r="HP324" i="1"/>
  <c r="HQ324" i="1"/>
  <c r="HR324" i="1"/>
  <c r="HS324" i="1"/>
  <c r="HT324" i="1"/>
  <c r="HU324" i="1"/>
  <c r="HV324" i="1"/>
  <c r="HW324" i="1"/>
  <c r="HX324" i="1"/>
  <c r="HY324" i="1"/>
  <c r="HZ324" i="1"/>
  <c r="IA324" i="1"/>
  <c r="IB324" i="1"/>
  <c r="IC324" i="1"/>
  <c r="ID324" i="1"/>
  <c r="IE324" i="1"/>
  <c r="IF324" i="1"/>
  <c r="IG324" i="1"/>
  <c r="IH324" i="1"/>
  <c r="II324" i="1"/>
  <c r="IJ324" i="1"/>
  <c r="IK324" i="1"/>
  <c r="IL324" i="1"/>
  <c r="IM324" i="1"/>
  <c r="IN324" i="1"/>
  <c r="IO324" i="1"/>
  <c r="IP324" i="1"/>
  <c r="IQ324" i="1"/>
  <c r="IR324" i="1"/>
  <c r="IS324" i="1"/>
  <c r="IT324" i="1"/>
  <c r="IU324" i="1"/>
  <c r="IV324" i="1"/>
  <c r="IW324" i="1"/>
  <c r="IX324" i="1"/>
  <c r="IY324" i="1"/>
  <c r="IZ324" i="1"/>
  <c r="JA324" i="1"/>
  <c r="JB324" i="1"/>
  <c r="JC324" i="1"/>
  <c r="JD324" i="1"/>
  <c r="JE324" i="1"/>
  <c r="JF324" i="1"/>
  <c r="JG324" i="1"/>
  <c r="JH324" i="1"/>
  <c r="JI324" i="1"/>
  <c r="JJ324" i="1"/>
  <c r="JK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Q325" i="1"/>
  <c r="BR325" i="1"/>
  <c r="BS325" i="1"/>
  <c r="BT325" i="1"/>
  <c r="BU325" i="1"/>
  <c r="BV325" i="1"/>
  <c r="BW325" i="1"/>
  <c r="BX325" i="1"/>
  <c r="BY325" i="1"/>
  <c r="BZ325" i="1"/>
  <c r="CA325" i="1"/>
  <c r="CB325" i="1"/>
  <c r="CC325" i="1"/>
  <c r="CD325" i="1"/>
  <c r="CE325" i="1"/>
  <c r="CF325" i="1"/>
  <c r="CG325" i="1"/>
  <c r="CH325" i="1"/>
  <c r="CI325" i="1"/>
  <c r="CJ325" i="1"/>
  <c r="CK325" i="1"/>
  <c r="CL325" i="1"/>
  <c r="CM325" i="1"/>
  <c r="CN325" i="1"/>
  <c r="CO325" i="1"/>
  <c r="CP325" i="1"/>
  <c r="CQ325" i="1"/>
  <c r="CR325" i="1"/>
  <c r="CS325" i="1"/>
  <c r="CT325" i="1"/>
  <c r="CU325" i="1"/>
  <c r="CV325" i="1"/>
  <c r="CW325" i="1"/>
  <c r="CX325" i="1"/>
  <c r="CY325" i="1"/>
  <c r="CZ325" i="1"/>
  <c r="DA325" i="1"/>
  <c r="DB325" i="1"/>
  <c r="DC325" i="1"/>
  <c r="DD325" i="1"/>
  <c r="DE325" i="1"/>
  <c r="DF325" i="1"/>
  <c r="DG325" i="1"/>
  <c r="DH325" i="1"/>
  <c r="DI325" i="1"/>
  <c r="DJ325" i="1"/>
  <c r="DK325" i="1"/>
  <c r="DL325" i="1"/>
  <c r="DM325" i="1"/>
  <c r="DN325" i="1"/>
  <c r="DO325" i="1"/>
  <c r="DP325" i="1"/>
  <c r="DQ325" i="1"/>
  <c r="DR325" i="1"/>
  <c r="DS325" i="1"/>
  <c r="DT325" i="1"/>
  <c r="DU325" i="1"/>
  <c r="DV325" i="1"/>
  <c r="DW325" i="1"/>
  <c r="DX325" i="1"/>
  <c r="DY325" i="1"/>
  <c r="DZ325" i="1"/>
  <c r="EA325" i="1"/>
  <c r="EB325" i="1"/>
  <c r="EC325" i="1"/>
  <c r="ED325" i="1"/>
  <c r="EE325" i="1"/>
  <c r="EF325" i="1"/>
  <c r="EG325" i="1"/>
  <c r="EH325" i="1"/>
  <c r="EI325" i="1"/>
  <c r="EJ325" i="1"/>
  <c r="EK325" i="1"/>
  <c r="EL325" i="1"/>
  <c r="EM325" i="1"/>
  <c r="EN325" i="1"/>
  <c r="EO325" i="1"/>
  <c r="EP325" i="1"/>
  <c r="EQ325" i="1"/>
  <c r="ER325" i="1"/>
  <c r="ES325" i="1"/>
  <c r="ET325" i="1"/>
  <c r="EU325" i="1"/>
  <c r="EV325" i="1"/>
  <c r="EW325" i="1"/>
  <c r="EX325" i="1"/>
  <c r="EY325" i="1"/>
  <c r="EZ325" i="1"/>
  <c r="FA325" i="1"/>
  <c r="FB325" i="1"/>
  <c r="FC325" i="1"/>
  <c r="FD325" i="1"/>
  <c r="FE325" i="1"/>
  <c r="FF325" i="1"/>
  <c r="FG325" i="1"/>
  <c r="FH325" i="1"/>
  <c r="FI325" i="1"/>
  <c r="FJ325" i="1"/>
  <c r="FK325" i="1"/>
  <c r="FL325" i="1"/>
  <c r="FM325" i="1"/>
  <c r="FN325" i="1"/>
  <c r="FO325" i="1"/>
  <c r="FP325" i="1"/>
  <c r="FQ325" i="1"/>
  <c r="FR325" i="1"/>
  <c r="FS325" i="1"/>
  <c r="FT325" i="1"/>
  <c r="FU325" i="1"/>
  <c r="FV325" i="1"/>
  <c r="FW325" i="1"/>
  <c r="FX325" i="1"/>
  <c r="FY325" i="1"/>
  <c r="FZ325" i="1"/>
  <c r="GA325" i="1"/>
  <c r="GB325" i="1"/>
  <c r="GC325" i="1"/>
  <c r="GD325" i="1"/>
  <c r="GE325" i="1"/>
  <c r="GF325" i="1"/>
  <c r="GG325" i="1"/>
  <c r="GH325" i="1"/>
  <c r="GI325" i="1"/>
  <c r="GJ325" i="1"/>
  <c r="GK325" i="1"/>
  <c r="GL325" i="1"/>
  <c r="GM325" i="1"/>
  <c r="GN325" i="1"/>
  <c r="GO325" i="1"/>
  <c r="GP325" i="1"/>
  <c r="GQ325" i="1"/>
  <c r="GR325" i="1"/>
  <c r="GS325" i="1"/>
  <c r="GT325" i="1"/>
  <c r="GU325" i="1"/>
  <c r="GV325" i="1"/>
  <c r="GW325" i="1"/>
  <c r="GX325" i="1"/>
  <c r="GY325" i="1"/>
  <c r="GZ325" i="1"/>
  <c r="HA325" i="1"/>
  <c r="HB325" i="1"/>
  <c r="HC325" i="1"/>
  <c r="HD325" i="1"/>
  <c r="HE325" i="1"/>
  <c r="HF325" i="1"/>
  <c r="HG325" i="1"/>
  <c r="HH325" i="1"/>
  <c r="HI325" i="1"/>
  <c r="HJ325" i="1"/>
  <c r="HK325" i="1"/>
  <c r="HL325" i="1"/>
  <c r="HM325" i="1"/>
  <c r="HN325" i="1"/>
  <c r="HO325" i="1"/>
  <c r="HP325" i="1"/>
  <c r="HQ325" i="1"/>
  <c r="HR325" i="1"/>
  <c r="HS325" i="1"/>
  <c r="HT325" i="1"/>
  <c r="HU325" i="1"/>
  <c r="HV325" i="1"/>
  <c r="HW325" i="1"/>
  <c r="HX325" i="1"/>
  <c r="HY325" i="1"/>
  <c r="HZ325" i="1"/>
  <c r="IA325" i="1"/>
  <c r="IB325" i="1"/>
  <c r="IC325" i="1"/>
  <c r="ID325" i="1"/>
  <c r="IE325" i="1"/>
  <c r="IF325" i="1"/>
  <c r="IG325" i="1"/>
  <c r="IH325" i="1"/>
  <c r="II325" i="1"/>
  <c r="IJ325" i="1"/>
  <c r="IK325" i="1"/>
  <c r="IL325" i="1"/>
  <c r="IM325" i="1"/>
  <c r="IN325" i="1"/>
  <c r="IO325" i="1"/>
  <c r="IP325" i="1"/>
  <c r="IQ325" i="1"/>
  <c r="IR325" i="1"/>
  <c r="IS325" i="1"/>
  <c r="IT325" i="1"/>
  <c r="IU325" i="1"/>
  <c r="IV325" i="1"/>
  <c r="IW325" i="1"/>
  <c r="IX325" i="1"/>
  <c r="IY325" i="1"/>
  <c r="IZ325" i="1"/>
  <c r="JA325" i="1"/>
  <c r="JB325" i="1"/>
  <c r="JC325" i="1"/>
  <c r="JD325" i="1"/>
  <c r="JE325" i="1"/>
  <c r="JF325" i="1"/>
  <c r="JG325" i="1"/>
  <c r="JH325" i="1"/>
  <c r="JI325" i="1"/>
  <c r="JJ325" i="1"/>
  <c r="JK325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BT327" i="1"/>
  <c r="BU327" i="1"/>
  <c r="BV327" i="1"/>
  <c r="BW327" i="1"/>
  <c r="BX327" i="1"/>
  <c r="BY327" i="1"/>
  <c r="BZ327" i="1"/>
  <c r="CA327" i="1"/>
  <c r="CB327" i="1"/>
  <c r="CC327" i="1"/>
  <c r="CD327" i="1"/>
  <c r="CE327" i="1"/>
  <c r="CF327" i="1"/>
  <c r="CG327" i="1"/>
  <c r="CH327" i="1"/>
  <c r="CI327" i="1"/>
  <c r="CJ327" i="1"/>
  <c r="CK327" i="1"/>
  <c r="CL327" i="1"/>
  <c r="CM327" i="1"/>
  <c r="CN327" i="1"/>
  <c r="CO327" i="1"/>
  <c r="CP327" i="1"/>
  <c r="CQ327" i="1"/>
  <c r="CR327" i="1"/>
  <c r="CS327" i="1"/>
  <c r="CT327" i="1"/>
  <c r="CU327" i="1"/>
  <c r="CV327" i="1"/>
  <c r="CW327" i="1"/>
  <c r="CX327" i="1"/>
  <c r="CY327" i="1"/>
  <c r="CZ327" i="1"/>
  <c r="DA327" i="1"/>
  <c r="DB327" i="1"/>
  <c r="DC327" i="1"/>
  <c r="DD327" i="1"/>
  <c r="DE327" i="1"/>
  <c r="DF327" i="1"/>
  <c r="DG327" i="1"/>
  <c r="DH327" i="1"/>
  <c r="DI327" i="1"/>
  <c r="DJ327" i="1"/>
  <c r="DK327" i="1"/>
  <c r="DL327" i="1"/>
  <c r="DM327" i="1"/>
  <c r="DN327" i="1"/>
  <c r="DO327" i="1"/>
  <c r="DP327" i="1"/>
  <c r="DQ327" i="1"/>
  <c r="DR327" i="1"/>
  <c r="DS327" i="1"/>
  <c r="DT327" i="1"/>
  <c r="DU327" i="1"/>
  <c r="DV327" i="1"/>
  <c r="DW327" i="1"/>
  <c r="DX327" i="1"/>
  <c r="DY327" i="1"/>
  <c r="DZ327" i="1"/>
  <c r="EA327" i="1"/>
  <c r="EB327" i="1"/>
  <c r="EC327" i="1"/>
  <c r="ED327" i="1"/>
  <c r="EE327" i="1"/>
  <c r="EF327" i="1"/>
  <c r="EG327" i="1"/>
  <c r="EH327" i="1"/>
  <c r="EI327" i="1"/>
  <c r="EJ327" i="1"/>
  <c r="EK327" i="1"/>
  <c r="EL327" i="1"/>
  <c r="EM327" i="1"/>
  <c r="EN327" i="1"/>
  <c r="EO327" i="1"/>
  <c r="EP327" i="1"/>
  <c r="EQ327" i="1"/>
  <c r="ER327" i="1"/>
  <c r="ES327" i="1"/>
  <c r="ET327" i="1"/>
  <c r="EU327" i="1"/>
  <c r="EV327" i="1"/>
  <c r="EW327" i="1"/>
  <c r="EX327" i="1"/>
  <c r="EY327" i="1"/>
  <c r="EZ327" i="1"/>
  <c r="FA327" i="1"/>
  <c r="FB327" i="1"/>
  <c r="FC327" i="1"/>
  <c r="FD327" i="1"/>
  <c r="FE327" i="1"/>
  <c r="FF327" i="1"/>
  <c r="FG327" i="1"/>
  <c r="FH327" i="1"/>
  <c r="FI327" i="1"/>
  <c r="FJ327" i="1"/>
  <c r="FK327" i="1"/>
  <c r="FL327" i="1"/>
  <c r="FM327" i="1"/>
  <c r="FN327" i="1"/>
  <c r="FO327" i="1"/>
  <c r="FP327" i="1"/>
  <c r="FQ327" i="1"/>
  <c r="FR327" i="1"/>
  <c r="FS327" i="1"/>
  <c r="FT327" i="1"/>
  <c r="FU327" i="1"/>
  <c r="FV327" i="1"/>
  <c r="FW327" i="1"/>
  <c r="FX327" i="1"/>
  <c r="FY327" i="1"/>
  <c r="FZ327" i="1"/>
  <c r="GA327" i="1"/>
  <c r="GB327" i="1"/>
  <c r="GC327" i="1"/>
  <c r="GD327" i="1"/>
  <c r="GE327" i="1"/>
  <c r="GF327" i="1"/>
  <c r="GG327" i="1"/>
  <c r="GH327" i="1"/>
  <c r="GI327" i="1"/>
  <c r="GJ327" i="1"/>
  <c r="GK327" i="1"/>
  <c r="GL327" i="1"/>
  <c r="GM327" i="1"/>
  <c r="GN327" i="1"/>
  <c r="GO327" i="1"/>
  <c r="GP327" i="1"/>
  <c r="GQ327" i="1"/>
  <c r="GR327" i="1"/>
  <c r="GS327" i="1"/>
  <c r="GT327" i="1"/>
  <c r="GU327" i="1"/>
  <c r="GV327" i="1"/>
  <c r="GW327" i="1"/>
  <c r="GX327" i="1"/>
  <c r="GY327" i="1"/>
  <c r="GZ327" i="1"/>
  <c r="HA327" i="1"/>
  <c r="HB327" i="1"/>
  <c r="HC327" i="1"/>
  <c r="HD327" i="1"/>
  <c r="HE327" i="1"/>
  <c r="HF327" i="1"/>
  <c r="HG327" i="1"/>
  <c r="HH327" i="1"/>
  <c r="HI327" i="1"/>
  <c r="HJ327" i="1"/>
  <c r="HK327" i="1"/>
  <c r="HL327" i="1"/>
  <c r="HM327" i="1"/>
  <c r="HN327" i="1"/>
  <c r="HO327" i="1"/>
  <c r="HP327" i="1"/>
  <c r="HQ327" i="1"/>
  <c r="HR327" i="1"/>
  <c r="HS327" i="1"/>
  <c r="HT327" i="1"/>
  <c r="HU327" i="1"/>
  <c r="HV327" i="1"/>
  <c r="HW327" i="1"/>
  <c r="HX327" i="1"/>
  <c r="HY327" i="1"/>
  <c r="HZ327" i="1"/>
  <c r="IA327" i="1"/>
  <c r="IB327" i="1"/>
  <c r="IC327" i="1"/>
  <c r="ID327" i="1"/>
  <c r="IE327" i="1"/>
  <c r="IF327" i="1"/>
  <c r="IG327" i="1"/>
  <c r="IH327" i="1"/>
  <c r="II327" i="1"/>
  <c r="IJ327" i="1"/>
  <c r="IK327" i="1"/>
  <c r="IL327" i="1"/>
  <c r="IM327" i="1"/>
  <c r="IN327" i="1"/>
  <c r="IO327" i="1"/>
  <c r="IP327" i="1"/>
  <c r="IQ327" i="1"/>
  <c r="IR327" i="1"/>
  <c r="IS327" i="1"/>
  <c r="IT327" i="1"/>
  <c r="IU327" i="1"/>
  <c r="IV327" i="1"/>
  <c r="IW327" i="1"/>
  <c r="IX327" i="1"/>
  <c r="IY327" i="1"/>
  <c r="IZ327" i="1"/>
  <c r="JA327" i="1"/>
  <c r="JB327" i="1"/>
  <c r="JC327" i="1"/>
  <c r="JD327" i="1"/>
  <c r="JE327" i="1"/>
  <c r="JF327" i="1"/>
  <c r="JG327" i="1"/>
  <c r="JH327" i="1"/>
  <c r="JI327" i="1"/>
  <c r="JJ327" i="1"/>
  <c r="JK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BT328" i="1"/>
  <c r="BU328" i="1"/>
  <c r="BV328" i="1"/>
  <c r="BW328" i="1"/>
  <c r="BX328" i="1"/>
  <c r="BY328" i="1"/>
  <c r="BZ328" i="1"/>
  <c r="CA328" i="1"/>
  <c r="CB328" i="1"/>
  <c r="CC328" i="1"/>
  <c r="CD328" i="1"/>
  <c r="CE328" i="1"/>
  <c r="CF328" i="1"/>
  <c r="CG328" i="1"/>
  <c r="CH328" i="1"/>
  <c r="CI328" i="1"/>
  <c r="CJ328" i="1"/>
  <c r="CK328" i="1"/>
  <c r="CL328" i="1"/>
  <c r="CM328" i="1"/>
  <c r="CN328" i="1"/>
  <c r="CO328" i="1"/>
  <c r="CP328" i="1"/>
  <c r="CQ328" i="1"/>
  <c r="CR328" i="1"/>
  <c r="CS328" i="1"/>
  <c r="CT328" i="1"/>
  <c r="CU328" i="1"/>
  <c r="CV328" i="1"/>
  <c r="CW328" i="1"/>
  <c r="CX328" i="1"/>
  <c r="CY328" i="1"/>
  <c r="CZ328" i="1"/>
  <c r="DA328" i="1"/>
  <c r="DB328" i="1"/>
  <c r="DC328" i="1"/>
  <c r="DD328" i="1"/>
  <c r="DE328" i="1"/>
  <c r="DF328" i="1"/>
  <c r="DG328" i="1"/>
  <c r="DH328" i="1"/>
  <c r="DI328" i="1"/>
  <c r="DJ328" i="1"/>
  <c r="DK328" i="1"/>
  <c r="DL328" i="1"/>
  <c r="DM328" i="1"/>
  <c r="DN328" i="1"/>
  <c r="DO328" i="1"/>
  <c r="DP328" i="1"/>
  <c r="DQ328" i="1"/>
  <c r="DR328" i="1"/>
  <c r="DS328" i="1"/>
  <c r="DT328" i="1"/>
  <c r="DU328" i="1"/>
  <c r="DV328" i="1"/>
  <c r="DW328" i="1"/>
  <c r="DX328" i="1"/>
  <c r="DY328" i="1"/>
  <c r="DZ328" i="1"/>
  <c r="EA328" i="1"/>
  <c r="EB328" i="1"/>
  <c r="EC328" i="1"/>
  <c r="ED328" i="1"/>
  <c r="EE328" i="1"/>
  <c r="EF328" i="1"/>
  <c r="EG328" i="1"/>
  <c r="EH328" i="1"/>
  <c r="EI328" i="1"/>
  <c r="EJ328" i="1"/>
  <c r="EK328" i="1"/>
  <c r="EL328" i="1"/>
  <c r="EM328" i="1"/>
  <c r="EN328" i="1"/>
  <c r="EO328" i="1"/>
  <c r="EP328" i="1"/>
  <c r="EQ328" i="1"/>
  <c r="ER328" i="1"/>
  <c r="ES328" i="1"/>
  <c r="ET328" i="1"/>
  <c r="EU328" i="1"/>
  <c r="EV328" i="1"/>
  <c r="EW328" i="1"/>
  <c r="EX328" i="1"/>
  <c r="EY328" i="1"/>
  <c r="EZ328" i="1"/>
  <c r="FA328" i="1"/>
  <c r="FB328" i="1"/>
  <c r="FC328" i="1"/>
  <c r="FD328" i="1"/>
  <c r="FE328" i="1"/>
  <c r="FF328" i="1"/>
  <c r="FG328" i="1"/>
  <c r="FH328" i="1"/>
  <c r="FI328" i="1"/>
  <c r="FJ328" i="1"/>
  <c r="FK328" i="1"/>
  <c r="FL328" i="1"/>
  <c r="FM328" i="1"/>
  <c r="FN328" i="1"/>
  <c r="FO328" i="1"/>
  <c r="FP328" i="1"/>
  <c r="FQ328" i="1"/>
  <c r="FR328" i="1"/>
  <c r="FS328" i="1"/>
  <c r="FT328" i="1"/>
  <c r="FU328" i="1"/>
  <c r="FV328" i="1"/>
  <c r="FW328" i="1"/>
  <c r="FX328" i="1"/>
  <c r="FY328" i="1"/>
  <c r="FZ328" i="1"/>
  <c r="GA328" i="1"/>
  <c r="GB328" i="1"/>
  <c r="GC328" i="1"/>
  <c r="GD328" i="1"/>
  <c r="GE328" i="1"/>
  <c r="GF328" i="1"/>
  <c r="GG328" i="1"/>
  <c r="GH328" i="1"/>
  <c r="GI328" i="1"/>
  <c r="GJ328" i="1"/>
  <c r="GK328" i="1"/>
  <c r="GL328" i="1"/>
  <c r="GM328" i="1"/>
  <c r="GN328" i="1"/>
  <c r="GO328" i="1"/>
  <c r="GP328" i="1"/>
  <c r="GQ328" i="1"/>
  <c r="GR328" i="1"/>
  <c r="GS328" i="1"/>
  <c r="GT328" i="1"/>
  <c r="GU328" i="1"/>
  <c r="GV328" i="1"/>
  <c r="GW328" i="1"/>
  <c r="GX328" i="1"/>
  <c r="GY328" i="1"/>
  <c r="GZ328" i="1"/>
  <c r="HA328" i="1"/>
  <c r="HB328" i="1"/>
  <c r="HC328" i="1"/>
  <c r="HD328" i="1"/>
  <c r="HE328" i="1"/>
  <c r="HF328" i="1"/>
  <c r="HG328" i="1"/>
  <c r="HH328" i="1"/>
  <c r="HI328" i="1"/>
  <c r="HJ328" i="1"/>
  <c r="HK328" i="1"/>
  <c r="HL328" i="1"/>
  <c r="HM328" i="1"/>
  <c r="HN328" i="1"/>
  <c r="HO328" i="1"/>
  <c r="HP328" i="1"/>
  <c r="HQ328" i="1"/>
  <c r="HR328" i="1"/>
  <c r="HS328" i="1"/>
  <c r="HT328" i="1"/>
  <c r="HU328" i="1"/>
  <c r="HV328" i="1"/>
  <c r="HW328" i="1"/>
  <c r="HX328" i="1"/>
  <c r="HY328" i="1"/>
  <c r="HZ328" i="1"/>
  <c r="IA328" i="1"/>
  <c r="IB328" i="1"/>
  <c r="IC328" i="1"/>
  <c r="ID328" i="1"/>
  <c r="IE328" i="1"/>
  <c r="IF328" i="1"/>
  <c r="IG328" i="1"/>
  <c r="IH328" i="1"/>
  <c r="II328" i="1"/>
  <c r="IJ328" i="1"/>
  <c r="IK328" i="1"/>
  <c r="IL328" i="1"/>
  <c r="IM328" i="1"/>
  <c r="IN328" i="1"/>
  <c r="IO328" i="1"/>
  <c r="IP328" i="1"/>
  <c r="IQ328" i="1"/>
  <c r="IR328" i="1"/>
  <c r="IS328" i="1"/>
  <c r="IT328" i="1"/>
  <c r="IU328" i="1"/>
  <c r="IV328" i="1"/>
  <c r="IW328" i="1"/>
  <c r="IX328" i="1"/>
  <c r="IY328" i="1"/>
  <c r="IZ328" i="1"/>
  <c r="JA328" i="1"/>
  <c r="JB328" i="1"/>
  <c r="JC328" i="1"/>
  <c r="JD328" i="1"/>
  <c r="JE328" i="1"/>
  <c r="JF328" i="1"/>
  <c r="JG328" i="1"/>
  <c r="JH328" i="1"/>
  <c r="JI328" i="1"/>
  <c r="JJ328" i="1"/>
  <c r="JK328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CJ330" i="1"/>
  <c r="CK330" i="1"/>
  <c r="CL330" i="1"/>
  <c r="CM330" i="1"/>
  <c r="CN330" i="1"/>
  <c r="CO330" i="1"/>
  <c r="CP330" i="1"/>
  <c r="CQ330" i="1"/>
  <c r="CR330" i="1"/>
  <c r="CS330" i="1"/>
  <c r="CT330" i="1"/>
  <c r="CU330" i="1"/>
  <c r="CV330" i="1"/>
  <c r="CW330" i="1"/>
  <c r="CX330" i="1"/>
  <c r="CY330" i="1"/>
  <c r="CZ330" i="1"/>
  <c r="DA330" i="1"/>
  <c r="DB330" i="1"/>
  <c r="DC330" i="1"/>
  <c r="DD330" i="1"/>
  <c r="DE330" i="1"/>
  <c r="DF330" i="1"/>
  <c r="DG330" i="1"/>
  <c r="DH330" i="1"/>
  <c r="DI330" i="1"/>
  <c r="DJ330" i="1"/>
  <c r="DK330" i="1"/>
  <c r="DL330" i="1"/>
  <c r="DM330" i="1"/>
  <c r="DN330" i="1"/>
  <c r="DO330" i="1"/>
  <c r="DP330" i="1"/>
  <c r="DQ330" i="1"/>
  <c r="DR330" i="1"/>
  <c r="DS330" i="1"/>
  <c r="DT330" i="1"/>
  <c r="DU330" i="1"/>
  <c r="DV330" i="1"/>
  <c r="DW330" i="1"/>
  <c r="DX330" i="1"/>
  <c r="DY330" i="1"/>
  <c r="DZ330" i="1"/>
  <c r="EA330" i="1"/>
  <c r="EB330" i="1"/>
  <c r="EC330" i="1"/>
  <c r="ED330" i="1"/>
  <c r="EE330" i="1"/>
  <c r="EF330" i="1"/>
  <c r="EG330" i="1"/>
  <c r="EH330" i="1"/>
  <c r="EI330" i="1"/>
  <c r="EJ330" i="1"/>
  <c r="EK330" i="1"/>
  <c r="EL330" i="1"/>
  <c r="EM330" i="1"/>
  <c r="EN330" i="1"/>
  <c r="EO330" i="1"/>
  <c r="EP330" i="1"/>
  <c r="EQ330" i="1"/>
  <c r="ER330" i="1"/>
  <c r="ES330" i="1"/>
  <c r="ET330" i="1"/>
  <c r="EU330" i="1"/>
  <c r="EV330" i="1"/>
  <c r="EW330" i="1"/>
  <c r="EX330" i="1"/>
  <c r="EY330" i="1"/>
  <c r="EZ330" i="1"/>
  <c r="FA330" i="1"/>
  <c r="FB330" i="1"/>
  <c r="FC330" i="1"/>
  <c r="FD330" i="1"/>
  <c r="FE330" i="1"/>
  <c r="FF330" i="1"/>
  <c r="FG330" i="1"/>
  <c r="FH330" i="1"/>
  <c r="FI330" i="1"/>
  <c r="FJ330" i="1"/>
  <c r="FK330" i="1"/>
  <c r="FL330" i="1"/>
  <c r="FM330" i="1"/>
  <c r="FN330" i="1"/>
  <c r="FO330" i="1"/>
  <c r="FP330" i="1"/>
  <c r="FQ330" i="1"/>
  <c r="FR330" i="1"/>
  <c r="FS330" i="1"/>
  <c r="FT330" i="1"/>
  <c r="FU330" i="1"/>
  <c r="FV330" i="1"/>
  <c r="FW330" i="1"/>
  <c r="FX330" i="1"/>
  <c r="FY330" i="1"/>
  <c r="FZ330" i="1"/>
  <c r="GA330" i="1"/>
  <c r="GB330" i="1"/>
  <c r="GC330" i="1"/>
  <c r="GD330" i="1"/>
  <c r="GE330" i="1"/>
  <c r="GF330" i="1"/>
  <c r="GG330" i="1"/>
  <c r="GH330" i="1"/>
  <c r="GI330" i="1"/>
  <c r="GJ330" i="1"/>
  <c r="GK330" i="1"/>
  <c r="GL330" i="1"/>
  <c r="GM330" i="1"/>
  <c r="GN330" i="1"/>
  <c r="GO330" i="1"/>
  <c r="GP330" i="1"/>
  <c r="GQ330" i="1"/>
  <c r="GR330" i="1"/>
  <c r="GS330" i="1"/>
  <c r="GT330" i="1"/>
  <c r="GU330" i="1"/>
  <c r="GV330" i="1"/>
  <c r="GW330" i="1"/>
  <c r="GX330" i="1"/>
  <c r="GY330" i="1"/>
  <c r="GZ330" i="1"/>
  <c r="HA330" i="1"/>
  <c r="HB330" i="1"/>
  <c r="HC330" i="1"/>
  <c r="HD330" i="1"/>
  <c r="HE330" i="1"/>
  <c r="HF330" i="1"/>
  <c r="HG330" i="1"/>
  <c r="HH330" i="1"/>
  <c r="HI330" i="1"/>
  <c r="HJ330" i="1"/>
  <c r="HK330" i="1"/>
  <c r="HL330" i="1"/>
  <c r="HM330" i="1"/>
  <c r="HN330" i="1"/>
  <c r="HO330" i="1"/>
  <c r="HP330" i="1"/>
  <c r="HQ330" i="1"/>
  <c r="HR330" i="1"/>
  <c r="HS330" i="1"/>
  <c r="HT330" i="1"/>
  <c r="HU330" i="1"/>
  <c r="HV330" i="1"/>
  <c r="HW330" i="1"/>
  <c r="HX330" i="1"/>
  <c r="HY330" i="1"/>
  <c r="HZ330" i="1"/>
  <c r="IA330" i="1"/>
  <c r="IB330" i="1"/>
  <c r="IC330" i="1"/>
  <c r="ID330" i="1"/>
  <c r="IE330" i="1"/>
  <c r="IF330" i="1"/>
  <c r="IG330" i="1"/>
  <c r="IH330" i="1"/>
  <c r="II330" i="1"/>
  <c r="IJ330" i="1"/>
  <c r="IK330" i="1"/>
  <c r="IL330" i="1"/>
  <c r="IM330" i="1"/>
  <c r="IN330" i="1"/>
  <c r="IO330" i="1"/>
  <c r="IP330" i="1"/>
  <c r="IQ330" i="1"/>
  <c r="IR330" i="1"/>
  <c r="IS330" i="1"/>
  <c r="IT330" i="1"/>
  <c r="IU330" i="1"/>
  <c r="IV330" i="1"/>
  <c r="IW330" i="1"/>
  <c r="IX330" i="1"/>
  <c r="IY330" i="1"/>
  <c r="IZ330" i="1"/>
  <c r="JA330" i="1"/>
  <c r="JB330" i="1"/>
  <c r="JC330" i="1"/>
  <c r="JD330" i="1"/>
  <c r="JE330" i="1"/>
  <c r="JF330" i="1"/>
  <c r="JG330" i="1"/>
  <c r="JH330" i="1"/>
  <c r="JI330" i="1"/>
  <c r="JJ330" i="1"/>
  <c r="JK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CJ331" i="1"/>
  <c r="CK331" i="1"/>
  <c r="CL331" i="1"/>
  <c r="CM331" i="1"/>
  <c r="CN331" i="1"/>
  <c r="CO331" i="1"/>
  <c r="CP331" i="1"/>
  <c r="CQ331" i="1"/>
  <c r="CR331" i="1"/>
  <c r="CS331" i="1"/>
  <c r="CT331" i="1"/>
  <c r="CU331" i="1"/>
  <c r="CV331" i="1"/>
  <c r="CW331" i="1"/>
  <c r="CX331" i="1"/>
  <c r="CY331" i="1"/>
  <c r="CZ331" i="1"/>
  <c r="DA331" i="1"/>
  <c r="DB331" i="1"/>
  <c r="DC331" i="1"/>
  <c r="DD331" i="1"/>
  <c r="DE331" i="1"/>
  <c r="DF331" i="1"/>
  <c r="DG331" i="1"/>
  <c r="DH331" i="1"/>
  <c r="DI331" i="1"/>
  <c r="DJ331" i="1"/>
  <c r="DK331" i="1"/>
  <c r="DL331" i="1"/>
  <c r="DM331" i="1"/>
  <c r="DN331" i="1"/>
  <c r="DO331" i="1"/>
  <c r="DP331" i="1"/>
  <c r="DQ331" i="1"/>
  <c r="DR331" i="1"/>
  <c r="DS331" i="1"/>
  <c r="DT331" i="1"/>
  <c r="DU331" i="1"/>
  <c r="DV331" i="1"/>
  <c r="DW331" i="1"/>
  <c r="DX331" i="1"/>
  <c r="DY331" i="1"/>
  <c r="DZ331" i="1"/>
  <c r="EA331" i="1"/>
  <c r="EB331" i="1"/>
  <c r="EC331" i="1"/>
  <c r="ED331" i="1"/>
  <c r="EE331" i="1"/>
  <c r="EF331" i="1"/>
  <c r="EG331" i="1"/>
  <c r="EH331" i="1"/>
  <c r="EI331" i="1"/>
  <c r="EJ331" i="1"/>
  <c r="EK331" i="1"/>
  <c r="EL331" i="1"/>
  <c r="EM331" i="1"/>
  <c r="EN331" i="1"/>
  <c r="EO331" i="1"/>
  <c r="EP331" i="1"/>
  <c r="EQ331" i="1"/>
  <c r="ER331" i="1"/>
  <c r="ES331" i="1"/>
  <c r="ET331" i="1"/>
  <c r="EU331" i="1"/>
  <c r="EV331" i="1"/>
  <c r="EW331" i="1"/>
  <c r="EX331" i="1"/>
  <c r="EY331" i="1"/>
  <c r="EZ331" i="1"/>
  <c r="FA331" i="1"/>
  <c r="FB331" i="1"/>
  <c r="FC331" i="1"/>
  <c r="FD331" i="1"/>
  <c r="FE331" i="1"/>
  <c r="FF331" i="1"/>
  <c r="FG331" i="1"/>
  <c r="FH331" i="1"/>
  <c r="FI331" i="1"/>
  <c r="FJ331" i="1"/>
  <c r="FK331" i="1"/>
  <c r="FL331" i="1"/>
  <c r="FM331" i="1"/>
  <c r="FN331" i="1"/>
  <c r="FO331" i="1"/>
  <c r="FP331" i="1"/>
  <c r="FQ331" i="1"/>
  <c r="FR331" i="1"/>
  <c r="FS331" i="1"/>
  <c r="FT331" i="1"/>
  <c r="FU331" i="1"/>
  <c r="FV331" i="1"/>
  <c r="FW331" i="1"/>
  <c r="FX331" i="1"/>
  <c r="FY331" i="1"/>
  <c r="FZ331" i="1"/>
  <c r="GA331" i="1"/>
  <c r="GB331" i="1"/>
  <c r="GC331" i="1"/>
  <c r="GD331" i="1"/>
  <c r="GE331" i="1"/>
  <c r="GF331" i="1"/>
  <c r="GG331" i="1"/>
  <c r="GH331" i="1"/>
  <c r="GI331" i="1"/>
  <c r="GJ331" i="1"/>
  <c r="GK331" i="1"/>
  <c r="GL331" i="1"/>
  <c r="GM331" i="1"/>
  <c r="GN331" i="1"/>
  <c r="GO331" i="1"/>
  <c r="GP331" i="1"/>
  <c r="GQ331" i="1"/>
  <c r="GR331" i="1"/>
  <c r="GS331" i="1"/>
  <c r="GT331" i="1"/>
  <c r="GU331" i="1"/>
  <c r="GV331" i="1"/>
  <c r="GW331" i="1"/>
  <c r="GX331" i="1"/>
  <c r="GY331" i="1"/>
  <c r="GZ331" i="1"/>
  <c r="HA331" i="1"/>
  <c r="HB331" i="1"/>
  <c r="HC331" i="1"/>
  <c r="HD331" i="1"/>
  <c r="HE331" i="1"/>
  <c r="HF331" i="1"/>
  <c r="HG331" i="1"/>
  <c r="HH331" i="1"/>
  <c r="HI331" i="1"/>
  <c r="HJ331" i="1"/>
  <c r="HK331" i="1"/>
  <c r="HL331" i="1"/>
  <c r="HM331" i="1"/>
  <c r="HN331" i="1"/>
  <c r="HO331" i="1"/>
  <c r="HP331" i="1"/>
  <c r="HQ331" i="1"/>
  <c r="HR331" i="1"/>
  <c r="HS331" i="1"/>
  <c r="HT331" i="1"/>
  <c r="HU331" i="1"/>
  <c r="HV331" i="1"/>
  <c r="HW331" i="1"/>
  <c r="HX331" i="1"/>
  <c r="HY331" i="1"/>
  <c r="HZ331" i="1"/>
  <c r="IA331" i="1"/>
  <c r="IB331" i="1"/>
  <c r="IC331" i="1"/>
  <c r="ID331" i="1"/>
  <c r="IE331" i="1"/>
  <c r="IF331" i="1"/>
  <c r="IG331" i="1"/>
  <c r="IH331" i="1"/>
  <c r="II331" i="1"/>
  <c r="IJ331" i="1"/>
  <c r="IK331" i="1"/>
  <c r="IL331" i="1"/>
  <c r="IM331" i="1"/>
  <c r="IN331" i="1"/>
  <c r="IO331" i="1"/>
  <c r="IP331" i="1"/>
  <c r="IQ331" i="1"/>
  <c r="IR331" i="1"/>
  <c r="IS331" i="1"/>
  <c r="IT331" i="1"/>
  <c r="IU331" i="1"/>
  <c r="IV331" i="1"/>
  <c r="IW331" i="1"/>
  <c r="IX331" i="1"/>
  <c r="IY331" i="1"/>
  <c r="IZ331" i="1"/>
  <c r="JA331" i="1"/>
  <c r="JB331" i="1"/>
  <c r="JC331" i="1"/>
  <c r="JD331" i="1"/>
  <c r="JE331" i="1"/>
  <c r="JF331" i="1"/>
  <c r="JG331" i="1"/>
  <c r="JH331" i="1"/>
  <c r="JI331" i="1"/>
  <c r="JJ331" i="1"/>
  <c r="JK331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BT333" i="1"/>
  <c r="BU333" i="1"/>
  <c r="BV333" i="1"/>
  <c r="BW333" i="1"/>
  <c r="BX333" i="1"/>
  <c r="BY333" i="1"/>
  <c r="BZ333" i="1"/>
  <c r="CA333" i="1"/>
  <c r="CB333" i="1"/>
  <c r="CC333" i="1"/>
  <c r="CD333" i="1"/>
  <c r="CE333" i="1"/>
  <c r="CF333" i="1"/>
  <c r="CG333" i="1"/>
  <c r="CH333" i="1"/>
  <c r="CI333" i="1"/>
  <c r="CJ333" i="1"/>
  <c r="CK333" i="1"/>
  <c r="CL333" i="1"/>
  <c r="CM333" i="1"/>
  <c r="CN333" i="1"/>
  <c r="CO333" i="1"/>
  <c r="CP333" i="1"/>
  <c r="CQ333" i="1"/>
  <c r="CR333" i="1"/>
  <c r="CS333" i="1"/>
  <c r="CT333" i="1"/>
  <c r="CU333" i="1"/>
  <c r="CV333" i="1"/>
  <c r="CW333" i="1"/>
  <c r="CX333" i="1"/>
  <c r="CY333" i="1"/>
  <c r="CZ333" i="1"/>
  <c r="DA333" i="1"/>
  <c r="DB333" i="1"/>
  <c r="DC333" i="1"/>
  <c r="DD333" i="1"/>
  <c r="DE333" i="1"/>
  <c r="DF333" i="1"/>
  <c r="DG333" i="1"/>
  <c r="DH333" i="1"/>
  <c r="DI333" i="1"/>
  <c r="DJ333" i="1"/>
  <c r="DK333" i="1"/>
  <c r="DL333" i="1"/>
  <c r="DM333" i="1"/>
  <c r="DN333" i="1"/>
  <c r="DO333" i="1"/>
  <c r="DP333" i="1"/>
  <c r="DQ333" i="1"/>
  <c r="DR333" i="1"/>
  <c r="DS333" i="1"/>
  <c r="DT333" i="1"/>
  <c r="DU333" i="1"/>
  <c r="DV333" i="1"/>
  <c r="DW333" i="1"/>
  <c r="DX333" i="1"/>
  <c r="DY333" i="1"/>
  <c r="DZ333" i="1"/>
  <c r="EA333" i="1"/>
  <c r="EB333" i="1"/>
  <c r="EC333" i="1"/>
  <c r="ED333" i="1"/>
  <c r="EE333" i="1"/>
  <c r="EF333" i="1"/>
  <c r="EG333" i="1"/>
  <c r="EH333" i="1"/>
  <c r="EI333" i="1"/>
  <c r="EJ333" i="1"/>
  <c r="EK333" i="1"/>
  <c r="EL333" i="1"/>
  <c r="EM333" i="1"/>
  <c r="EN333" i="1"/>
  <c r="EO333" i="1"/>
  <c r="EP333" i="1"/>
  <c r="EQ333" i="1"/>
  <c r="ER333" i="1"/>
  <c r="ES333" i="1"/>
  <c r="ET333" i="1"/>
  <c r="EU333" i="1"/>
  <c r="EV333" i="1"/>
  <c r="EW333" i="1"/>
  <c r="EX333" i="1"/>
  <c r="EY333" i="1"/>
  <c r="EZ333" i="1"/>
  <c r="FA333" i="1"/>
  <c r="FB333" i="1"/>
  <c r="FC333" i="1"/>
  <c r="FD333" i="1"/>
  <c r="FE333" i="1"/>
  <c r="FF333" i="1"/>
  <c r="FG333" i="1"/>
  <c r="FH333" i="1"/>
  <c r="FI333" i="1"/>
  <c r="FJ333" i="1"/>
  <c r="FK333" i="1"/>
  <c r="FL333" i="1"/>
  <c r="FM333" i="1"/>
  <c r="FN333" i="1"/>
  <c r="FO333" i="1"/>
  <c r="FP333" i="1"/>
  <c r="FQ333" i="1"/>
  <c r="FR333" i="1"/>
  <c r="FS333" i="1"/>
  <c r="FT333" i="1"/>
  <c r="FU333" i="1"/>
  <c r="FV333" i="1"/>
  <c r="FW333" i="1"/>
  <c r="FX333" i="1"/>
  <c r="FY333" i="1"/>
  <c r="FZ333" i="1"/>
  <c r="GA333" i="1"/>
  <c r="GB333" i="1"/>
  <c r="GC333" i="1"/>
  <c r="GD333" i="1"/>
  <c r="GE333" i="1"/>
  <c r="GF333" i="1"/>
  <c r="GG333" i="1"/>
  <c r="GH333" i="1"/>
  <c r="GI333" i="1"/>
  <c r="GJ333" i="1"/>
  <c r="GK333" i="1"/>
  <c r="GL333" i="1"/>
  <c r="GM333" i="1"/>
  <c r="GN333" i="1"/>
  <c r="GO333" i="1"/>
  <c r="GP333" i="1"/>
  <c r="GQ333" i="1"/>
  <c r="GR333" i="1"/>
  <c r="GS333" i="1"/>
  <c r="GT333" i="1"/>
  <c r="GU333" i="1"/>
  <c r="GV333" i="1"/>
  <c r="GW333" i="1"/>
  <c r="GX333" i="1"/>
  <c r="GY333" i="1"/>
  <c r="GZ333" i="1"/>
  <c r="HA333" i="1"/>
  <c r="HB333" i="1"/>
  <c r="HC333" i="1"/>
  <c r="HD333" i="1"/>
  <c r="HE333" i="1"/>
  <c r="HF333" i="1"/>
  <c r="HG333" i="1"/>
  <c r="HH333" i="1"/>
  <c r="HI333" i="1"/>
  <c r="HJ333" i="1"/>
  <c r="HK333" i="1"/>
  <c r="HL333" i="1"/>
  <c r="HM333" i="1"/>
  <c r="HN333" i="1"/>
  <c r="HO333" i="1"/>
  <c r="HP333" i="1"/>
  <c r="HQ333" i="1"/>
  <c r="HR333" i="1"/>
  <c r="HS333" i="1"/>
  <c r="HT333" i="1"/>
  <c r="HU333" i="1"/>
  <c r="HV333" i="1"/>
  <c r="HW333" i="1"/>
  <c r="HX333" i="1"/>
  <c r="HY333" i="1"/>
  <c r="HZ333" i="1"/>
  <c r="IA333" i="1"/>
  <c r="IB333" i="1"/>
  <c r="IC333" i="1"/>
  <c r="ID333" i="1"/>
  <c r="IE333" i="1"/>
  <c r="IF333" i="1"/>
  <c r="IG333" i="1"/>
  <c r="IH333" i="1"/>
  <c r="II333" i="1"/>
  <c r="IJ333" i="1"/>
  <c r="IK333" i="1"/>
  <c r="IL333" i="1"/>
  <c r="IM333" i="1"/>
  <c r="IN333" i="1"/>
  <c r="IO333" i="1"/>
  <c r="IP333" i="1"/>
  <c r="IQ333" i="1"/>
  <c r="IR333" i="1"/>
  <c r="IS333" i="1"/>
  <c r="IT333" i="1"/>
  <c r="IU333" i="1"/>
  <c r="IV333" i="1"/>
  <c r="IW333" i="1"/>
  <c r="IX333" i="1"/>
  <c r="IY333" i="1"/>
  <c r="IZ333" i="1"/>
  <c r="JA333" i="1"/>
  <c r="JB333" i="1"/>
  <c r="JC333" i="1"/>
  <c r="JD333" i="1"/>
  <c r="JE333" i="1"/>
  <c r="JF333" i="1"/>
  <c r="JG333" i="1"/>
  <c r="JH333" i="1"/>
  <c r="JI333" i="1"/>
  <c r="JJ333" i="1"/>
  <c r="JK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CJ334" i="1"/>
  <c r="CK334" i="1"/>
  <c r="CL334" i="1"/>
  <c r="CM334" i="1"/>
  <c r="CN334" i="1"/>
  <c r="CO334" i="1"/>
  <c r="CP334" i="1"/>
  <c r="CQ334" i="1"/>
  <c r="CR334" i="1"/>
  <c r="CS334" i="1"/>
  <c r="CT334" i="1"/>
  <c r="CU334" i="1"/>
  <c r="CV334" i="1"/>
  <c r="CW334" i="1"/>
  <c r="CX334" i="1"/>
  <c r="CY334" i="1"/>
  <c r="CZ334" i="1"/>
  <c r="DA334" i="1"/>
  <c r="DB334" i="1"/>
  <c r="DC334" i="1"/>
  <c r="DD334" i="1"/>
  <c r="DE334" i="1"/>
  <c r="DF334" i="1"/>
  <c r="DG334" i="1"/>
  <c r="DH334" i="1"/>
  <c r="DI334" i="1"/>
  <c r="DJ334" i="1"/>
  <c r="DK334" i="1"/>
  <c r="DL334" i="1"/>
  <c r="DM334" i="1"/>
  <c r="DN334" i="1"/>
  <c r="DO334" i="1"/>
  <c r="DP334" i="1"/>
  <c r="DQ334" i="1"/>
  <c r="DR334" i="1"/>
  <c r="DS334" i="1"/>
  <c r="DT334" i="1"/>
  <c r="DU334" i="1"/>
  <c r="DV334" i="1"/>
  <c r="DW334" i="1"/>
  <c r="DX334" i="1"/>
  <c r="DY334" i="1"/>
  <c r="DZ334" i="1"/>
  <c r="EA334" i="1"/>
  <c r="EB334" i="1"/>
  <c r="EC334" i="1"/>
  <c r="ED334" i="1"/>
  <c r="EE334" i="1"/>
  <c r="EF334" i="1"/>
  <c r="EG334" i="1"/>
  <c r="EH334" i="1"/>
  <c r="EI334" i="1"/>
  <c r="EJ334" i="1"/>
  <c r="EK334" i="1"/>
  <c r="EL334" i="1"/>
  <c r="EM334" i="1"/>
  <c r="EN334" i="1"/>
  <c r="EO334" i="1"/>
  <c r="EP334" i="1"/>
  <c r="EQ334" i="1"/>
  <c r="ER334" i="1"/>
  <c r="ES334" i="1"/>
  <c r="ET334" i="1"/>
  <c r="EU334" i="1"/>
  <c r="EV334" i="1"/>
  <c r="EW334" i="1"/>
  <c r="EX334" i="1"/>
  <c r="EY334" i="1"/>
  <c r="EZ334" i="1"/>
  <c r="FA334" i="1"/>
  <c r="FB334" i="1"/>
  <c r="FC334" i="1"/>
  <c r="FD334" i="1"/>
  <c r="FE334" i="1"/>
  <c r="FF334" i="1"/>
  <c r="FG334" i="1"/>
  <c r="FH334" i="1"/>
  <c r="FI334" i="1"/>
  <c r="FJ334" i="1"/>
  <c r="FK334" i="1"/>
  <c r="FL334" i="1"/>
  <c r="FM334" i="1"/>
  <c r="FN334" i="1"/>
  <c r="FO334" i="1"/>
  <c r="FP334" i="1"/>
  <c r="FQ334" i="1"/>
  <c r="FR334" i="1"/>
  <c r="FS334" i="1"/>
  <c r="FT334" i="1"/>
  <c r="FU334" i="1"/>
  <c r="FV334" i="1"/>
  <c r="FW334" i="1"/>
  <c r="FX334" i="1"/>
  <c r="FY334" i="1"/>
  <c r="FZ334" i="1"/>
  <c r="GA334" i="1"/>
  <c r="GB334" i="1"/>
  <c r="GC334" i="1"/>
  <c r="GD334" i="1"/>
  <c r="GE334" i="1"/>
  <c r="GF334" i="1"/>
  <c r="GG334" i="1"/>
  <c r="GH334" i="1"/>
  <c r="GI334" i="1"/>
  <c r="GJ334" i="1"/>
  <c r="GK334" i="1"/>
  <c r="GL334" i="1"/>
  <c r="GM334" i="1"/>
  <c r="GN334" i="1"/>
  <c r="GO334" i="1"/>
  <c r="GP334" i="1"/>
  <c r="GQ334" i="1"/>
  <c r="GR334" i="1"/>
  <c r="GS334" i="1"/>
  <c r="GT334" i="1"/>
  <c r="GU334" i="1"/>
  <c r="GV334" i="1"/>
  <c r="GW334" i="1"/>
  <c r="GX334" i="1"/>
  <c r="GY334" i="1"/>
  <c r="GZ334" i="1"/>
  <c r="HA334" i="1"/>
  <c r="HB334" i="1"/>
  <c r="HC334" i="1"/>
  <c r="HD334" i="1"/>
  <c r="HE334" i="1"/>
  <c r="HF334" i="1"/>
  <c r="HG334" i="1"/>
  <c r="HH334" i="1"/>
  <c r="HI334" i="1"/>
  <c r="HJ334" i="1"/>
  <c r="HK334" i="1"/>
  <c r="HL334" i="1"/>
  <c r="HM334" i="1"/>
  <c r="HN334" i="1"/>
  <c r="HO334" i="1"/>
  <c r="HP334" i="1"/>
  <c r="HQ334" i="1"/>
  <c r="HR334" i="1"/>
  <c r="HS334" i="1"/>
  <c r="HT334" i="1"/>
  <c r="HU334" i="1"/>
  <c r="HV334" i="1"/>
  <c r="HW334" i="1"/>
  <c r="HX334" i="1"/>
  <c r="HY334" i="1"/>
  <c r="HZ334" i="1"/>
  <c r="IA334" i="1"/>
  <c r="IB334" i="1"/>
  <c r="IC334" i="1"/>
  <c r="ID334" i="1"/>
  <c r="IE334" i="1"/>
  <c r="IF334" i="1"/>
  <c r="IG334" i="1"/>
  <c r="IH334" i="1"/>
  <c r="II334" i="1"/>
  <c r="IJ334" i="1"/>
  <c r="IK334" i="1"/>
  <c r="IL334" i="1"/>
  <c r="IM334" i="1"/>
  <c r="IN334" i="1"/>
  <c r="IO334" i="1"/>
  <c r="IP334" i="1"/>
  <c r="IQ334" i="1"/>
  <c r="IR334" i="1"/>
  <c r="IS334" i="1"/>
  <c r="IT334" i="1"/>
  <c r="IU334" i="1"/>
  <c r="IV334" i="1"/>
  <c r="IW334" i="1"/>
  <c r="IX334" i="1"/>
  <c r="IY334" i="1"/>
  <c r="IZ334" i="1"/>
  <c r="JA334" i="1"/>
  <c r="JB334" i="1"/>
  <c r="JC334" i="1"/>
  <c r="JD334" i="1"/>
  <c r="JE334" i="1"/>
  <c r="JF334" i="1"/>
  <c r="JG334" i="1"/>
  <c r="JH334" i="1"/>
  <c r="JI334" i="1"/>
  <c r="JJ334" i="1"/>
  <c r="JK334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BT336" i="1"/>
  <c r="BU336" i="1"/>
  <c r="BV336" i="1"/>
  <c r="BW336" i="1"/>
  <c r="BX336" i="1"/>
  <c r="BY336" i="1"/>
  <c r="BZ336" i="1"/>
  <c r="CA336" i="1"/>
  <c r="CB336" i="1"/>
  <c r="CC336" i="1"/>
  <c r="CD336" i="1"/>
  <c r="CE336" i="1"/>
  <c r="CF336" i="1"/>
  <c r="CG336" i="1"/>
  <c r="CH336" i="1"/>
  <c r="CI336" i="1"/>
  <c r="CJ336" i="1"/>
  <c r="CK336" i="1"/>
  <c r="CL336" i="1"/>
  <c r="CM336" i="1"/>
  <c r="CN336" i="1"/>
  <c r="CO336" i="1"/>
  <c r="CP336" i="1"/>
  <c r="CQ336" i="1"/>
  <c r="CR336" i="1"/>
  <c r="CS336" i="1"/>
  <c r="CT336" i="1"/>
  <c r="CU336" i="1"/>
  <c r="CV336" i="1"/>
  <c r="CW336" i="1"/>
  <c r="CX336" i="1"/>
  <c r="CY336" i="1"/>
  <c r="CZ336" i="1"/>
  <c r="DA336" i="1"/>
  <c r="DB336" i="1"/>
  <c r="DC336" i="1"/>
  <c r="DD336" i="1"/>
  <c r="DE336" i="1"/>
  <c r="DF336" i="1"/>
  <c r="DG336" i="1"/>
  <c r="DH336" i="1"/>
  <c r="DI336" i="1"/>
  <c r="DJ336" i="1"/>
  <c r="DK336" i="1"/>
  <c r="DL336" i="1"/>
  <c r="DM336" i="1"/>
  <c r="DN336" i="1"/>
  <c r="DO336" i="1"/>
  <c r="DP336" i="1"/>
  <c r="DQ336" i="1"/>
  <c r="DR336" i="1"/>
  <c r="DS336" i="1"/>
  <c r="DT336" i="1"/>
  <c r="DU336" i="1"/>
  <c r="DV336" i="1"/>
  <c r="DW336" i="1"/>
  <c r="DX336" i="1"/>
  <c r="DY336" i="1"/>
  <c r="DZ336" i="1"/>
  <c r="EA336" i="1"/>
  <c r="EB336" i="1"/>
  <c r="EC336" i="1"/>
  <c r="ED336" i="1"/>
  <c r="EE336" i="1"/>
  <c r="EF336" i="1"/>
  <c r="EG336" i="1"/>
  <c r="EH336" i="1"/>
  <c r="EI336" i="1"/>
  <c r="EJ336" i="1"/>
  <c r="EK336" i="1"/>
  <c r="EL336" i="1"/>
  <c r="EM336" i="1"/>
  <c r="EN336" i="1"/>
  <c r="EO336" i="1"/>
  <c r="EP336" i="1"/>
  <c r="EQ336" i="1"/>
  <c r="ER336" i="1"/>
  <c r="ES336" i="1"/>
  <c r="ET336" i="1"/>
  <c r="EU336" i="1"/>
  <c r="EV336" i="1"/>
  <c r="EW336" i="1"/>
  <c r="EX336" i="1"/>
  <c r="EY336" i="1"/>
  <c r="EZ336" i="1"/>
  <c r="FA336" i="1"/>
  <c r="FB336" i="1"/>
  <c r="FC336" i="1"/>
  <c r="FD336" i="1"/>
  <c r="FE336" i="1"/>
  <c r="FF336" i="1"/>
  <c r="FG336" i="1"/>
  <c r="FH336" i="1"/>
  <c r="FI336" i="1"/>
  <c r="FJ336" i="1"/>
  <c r="FK336" i="1"/>
  <c r="FL336" i="1"/>
  <c r="FM336" i="1"/>
  <c r="FN336" i="1"/>
  <c r="FO336" i="1"/>
  <c r="FP336" i="1"/>
  <c r="FQ336" i="1"/>
  <c r="FR336" i="1"/>
  <c r="FS336" i="1"/>
  <c r="FT336" i="1"/>
  <c r="FU336" i="1"/>
  <c r="FV336" i="1"/>
  <c r="FW336" i="1"/>
  <c r="FX336" i="1"/>
  <c r="FY336" i="1"/>
  <c r="FZ336" i="1"/>
  <c r="GA336" i="1"/>
  <c r="GB336" i="1"/>
  <c r="GC336" i="1"/>
  <c r="GD336" i="1"/>
  <c r="GE336" i="1"/>
  <c r="GF336" i="1"/>
  <c r="GG336" i="1"/>
  <c r="GH336" i="1"/>
  <c r="GI336" i="1"/>
  <c r="GJ336" i="1"/>
  <c r="GK336" i="1"/>
  <c r="GL336" i="1"/>
  <c r="GM336" i="1"/>
  <c r="GN336" i="1"/>
  <c r="GO336" i="1"/>
  <c r="GP336" i="1"/>
  <c r="GQ336" i="1"/>
  <c r="GR336" i="1"/>
  <c r="GS336" i="1"/>
  <c r="GT336" i="1"/>
  <c r="GU336" i="1"/>
  <c r="GV336" i="1"/>
  <c r="GW336" i="1"/>
  <c r="GX336" i="1"/>
  <c r="GY336" i="1"/>
  <c r="GZ336" i="1"/>
  <c r="HA336" i="1"/>
  <c r="HB336" i="1"/>
  <c r="HC336" i="1"/>
  <c r="HD336" i="1"/>
  <c r="HE336" i="1"/>
  <c r="HF336" i="1"/>
  <c r="HG336" i="1"/>
  <c r="HH336" i="1"/>
  <c r="HI336" i="1"/>
  <c r="HJ336" i="1"/>
  <c r="HK336" i="1"/>
  <c r="HL336" i="1"/>
  <c r="HM336" i="1"/>
  <c r="HN336" i="1"/>
  <c r="HO336" i="1"/>
  <c r="HP336" i="1"/>
  <c r="HQ336" i="1"/>
  <c r="HR336" i="1"/>
  <c r="HS336" i="1"/>
  <c r="HT336" i="1"/>
  <c r="HU336" i="1"/>
  <c r="HV336" i="1"/>
  <c r="HW336" i="1"/>
  <c r="HX336" i="1"/>
  <c r="HY336" i="1"/>
  <c r="HZ336" i="1"/>
  <c r="IA336" i="1"/>
  <c r="IB336" i="1"/>
  <c r="IC336" i="1"/>
  <c r="ID336" i="1"/>
  <c r="IE336" i="1"/>
  <c r="IF336" i="1"/>
  <c r="IG336" i="1"/>
  <c r="IH336" i="1"/>
  <c r="II336" i="1"/>
  <c r="IJ336" i="1"/>
  <c r="IK336" i="1"/>
  <c r="IL336" i="1"/>
  <c r="IM336" i="1"/>
  <c r="IN336" i="1"/>
  <c r="IO336" i="1"/>
  <c r="IP336" i="1"/>
  <c r="IQ336" i="1"/>
  <c r="IR336" i="1"/>
  <c r="IS336" i="1"/>
  <c r="IT336" i="1"/>
  <c r="IU336" i="1"/>
  <c r="IV336" i="1"/>
  <c r="IW336" i="1"/>
  <c r="IX336" i="1"/>
  <c r="IY336" i="1"/>
  <c r="IZ336" i="1"/>
  <c r="JA336" i="1"/>
  <c r="JB336" i="1"/>
  <c r="JC336" i="1"/>
  <c r="JD336" i="1"/>
  <c r="JE336" i="1"/>
  <c r="JF336" i="1"/>
  <c r="JG336" i="1"/>
  <c r="JH336" i="1"/>
  <c r="JI336" i="1"/>
  <c r="JJ336" i="1"/>
  <c r="JK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CJ337" i="1"/>
  <c r="CK337" i="1"/>
  <c r="CL337" i="1"/>
  <c r="CM337" i="1"/>
  <c r="CN337" i="1"/>
  <c r="CO337" i="1"/>
  <c r="CP337" i="1"/>
  <c r="CQ337" i="1"/>
  <c r="CR337" i="1"/>
  <c r="CS337" i="1"/>
  <c r="CT337" i="1"/>
  <c r="CU337" i="1"/>
  <c r="CV337" i="1"/>
  <c r="CW337" i="1"/>
  <c r="CX337" i="1"/>
  <c r="CY337" i="1"/>
  <c r="CZ337" i="1"/>
  <c r="DA337" i="1"/>
  <c r="DB337" i="1"/>
  <c r="DC337" i="1"/>
  <c r="DD337" i="1"/>
  <c r="DE337" i="1"/>
  <c r="DF337" i="1"/>
  <c r="DG337" i="1"/>
  <c r="DH337" i="1"/>
  <c r="DI337" i="1"/>
  <c r="DJ337" i="1"/>
  <c r="DK337" i="1"/>
  <c r="DL337" i="1"/>
  <c r="DM337" i="1"/>
  <c r="DN337" i="1"/>
  <c r="DO337" i="1"/>
  <c r="DP337" i="1"/>
  <c r="DQ337" i="1"/>
  <c r="DR337" i="1"/>
  <c r="DS337" i="1"/>
  <c r="DT337" i="1"/>
  <c r="DU337" i="1"/>
  <c r="DV337" i="1"/>
  <c r="DW337" i="1"/>
  <c r="DX337" i="1"/>
  <c r="DY337" i="1"/>
  <c r="DZ337" i="1"/>
  <c r="EA337" i="1"/>
  <c r="EB337" i="1"/>
  <c r="EC337" i="1"/>
  <c r="ED337" i="1"/>
  <c r="EE337" i="1"/>
  <c r="EF337" i="1"/>
  <c r="EG337" i="1"/>
  <c r="EH337" i="1"/>
  <c r="EI337" i="1"/>
  <c r="EJ337" i="1"/>
  <c r="EK337" i="1"/>
  <c r="EL337" i="1"/>
  <c r="EM337" i="1"/>
  <c r="EN337" i="1"/>
  <c r="EO337" i="1"/>
  <c r="EP337" i="1"/>
  <c r="EQ337" i="1"/>
  <c r="ER337" i="1"/>
  <c r="ES337" i="1"/>
  <c r="ET337" i="1"/>
  <c r="EU337" i="1"/>
  <c r="EV337" i="1"/>
  <c r="EW337" i="1"/>
  <c r="EX337" i="1"/>
  <c r="EY337" i="1"/>
  <c r="EZ337" i="1"/>
  <c r="FA337" i="1"/>
  <c r="FB337" i="1"/>
  <c r="FC337" i="1"/>
  <c r="FD337" i="1"/>
  <c r="FE337" i="1"/>
  <c r="FF337" i="1"/>
  <c r="FG337" i="1"/>
  <c r="FH337" i="1"/>
  <c r="FI337" i="1"/>
  <c r="FJ337" i="1"/>
  <c r="FK337" i="1"/>
  <c r="FL337" i="1"/>
  <c r="FM337" i="1"/>
  <c r="FN337" i="1"/>
  <c r="FO337" i="1"/>
  <c r="FP337" i="1"/>
  <c r="FQ337" i="1"/>
  <c r="FR337" i="1"/>
  <c r="FS337" i="1"/>
  <c r="FT337" i="1"/>
  <c r="FU337" i="1"/>
  <c r="FV337" i="1"/>
  <c r="FW337" i="1"/>
  <c r="FX337" i="1"/>
  <c r="FY337" i="1"/>
  <c r="FZ337" i="1"/>
  <c r="GA337" i="1"/>
  <c r="GB337" i="1"/>
  <c r="GC337" i="1"/>
  <c r="GD337" i="1"/>
  <c r="GE337" i="1"/>
  <c r="GF337" i="1"/>
  <c r="GG337" i="1"/>
  <c r="GH337" i="1"/>
  <c r="GI337" i="1"/>
  <c r="GJ337" i="1"/>
  <c r="GK337" i="1"/>
  <c r="GL337" i="1"/>
  <c r="GM337" i="1"/>
  <c r="GN337" i="1"/>
  <c r="GO337" i="1"/>
  <c r="GP337" i="1"/>
  <c r="GQ337" i="1"/>
  <c r="GR337" i="1"/>
  <c r="GS337" i="1"/>
  <c r="GT337" i="1"/>
  <c r="GU337" i="1"/>
  <c r="GV337" i="1"/>
  <c r="GW337" i="1"/>
  <c r="GX337" i="1"/>
  <c r="GY337" i="1"/>
  <c r="GZ337" i="1"/>
  <c r="HA337" i="1"/>
  <c r="HB337" i="1"/>
  <c r="HC337" i="1"/>
  <c r="HD337" i="1"/>
  <c r="HE337" i="1"/>
  <c r="HF337" i="1"/>
  <c r="HG337" i="1"/>
  <c r="HH337" i="1"/>
  <c r="HI337" i="1"/>
  <c r="HJ337" i="1"/>
  <c r="HK337" i="1"/>
  <c r="HL337" i="1"/>
  <c r="HM337" i="1"/>
  <c r="HN337" i="1"/>
  <c r="HO337" i="1"/>
  <c r="HP337" i="1"/>
  <c r="HQ337" i="1"/>
  <c r="HR337" i="1"/>
  <c r="HS337" i="1"/>
  <c r="HT337" i="1"/>
  <c r="HU337" i="1"/>
  <c r="HV337" i="1"/>
  <c r="HW337" i="1"/>
  <c r="HX337" i="1"/>
  <c r="HY337" i="1"/>
  <c r="HZ337" i="1"/>
  <c r="IA337" i="1"/>
  <c r="IB337" i="1"/>
  <c r="IC337" i="1"/>
  <c r="ID337" i="1"/>
  <c r="IE337" i="1"/>
  <c r="IF337" i="1"/>
  <c r="IG337" i="1"/>
  <c r="IH337" i="1"/>
  <c r="II337" i="1"/>
  <c r="IJ337" i="1"/>
  <c r="IK337" i="1"/>
  <c r="IL337" i="1"/>
  <c r="IM337" i="1"/>
  <c r="IN337" i="1"/>
  <c r="IO337" i="1"/>
  <c r="IP337" i="1"/>
  <c r="IQ337" i="1"/>
  <c r="IR337" i="1"/>
  <c r="IS337" i="1"/>
  <c r="IT337" i="1"/>
  <c r="IU337" i="1"/>
  <c r="IV337" i="1"/>
  <c r="IW337" i="1"/>
  <c r="IX337" i="1"/>
  <c r="IY337" i="1"/>
  <c r="IZ337" i="1"/>
  <c r="JA337" i="1"/>
  <c r="JB337" i="1"/>
  <c r="JC337" i="1"/>
  <c r="JD337" i="1"/>
  <c r="JE337" i="1"/>
  <c r="JF337" i="1"/>
  <c r="JG337" i="1"/>
  <c r="JH337" i="1"/>
  <c r="JI337" i="1"/>
  <c r="JJ337" i="1"/>
  <c r="JK337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U339" i="1"/>
  <c r="BV339" i="1"/>
  <c r="BW339" i="1"/>
  <c r="BX339" i="1"/>
  <c r="BY339" i="1"/>
  <c r="BZ339" i="1"/>
  <c r="CA339" i="1"/>
  <c r="CB339" i="1"/>
  <c r="CC339" i="1"/>
  <c r="CD339" i="1"/>
  <c r="CE339" i="1"/>
  <c r="CF339" i="1"/>
  <c r="CG339" i="1"/>
  <c r="CH339" i="1"/>
  <c r="CI339" i="1"/>
  <c r="CJ339" i="1"/>
  <c r="CK339" i="1"/>
  <c r="CL339" i="1"/>
  <c r="CM339" i="1"/>
  <c r="CN339" i="1"/>
  <c r="CO339" i="1"/>
  <c r="CP339" i="1"/>
  <c r="CQ339" i="1"/>
  <c r="CR339" i="1"/>
  <c r="CS339" i="1"/>
  <c r="CT339" i="1"/>
  <c r="CU339" i="1"/>
  <c r="CV339" i="1"/>
  <c r="CW339" i="1"/>
  <c r="CX339" i="1"/>
  <c r="CY339" i="1"/>
  <c r="CZ339" i="1"/>
  <c r="DA339" i="1"/>
  <c r="DB339" i="1"/>
  <c r="DC339" i="1"/>
  <c r="DD339" i="1"/>
  <c r="DE339" i="1"/>
  <c r="DF339" i="1"/>
  <c r="DG339" i="1"/>
  <c r="DH339" i="1"/>
  <c r="DI339" i="1"/>
  <c r="DJ339" i="1"/>
  <c r="DK339" i="1"/>
  <c r="DL339" i="1"/>
  <c r="DM339" i="1"/>
  <c r="DN339" i="1"/>
  <c r="DO339" i="1"/>
  <c r="DP339" i="1"/>
  <c r="DQ339" i="1"/>
  <c r="DR339" i="1"/>
  <c r="DS339" i="1"/>
  <c r="DT339" i="1"/>
  <c r="DU339" i="1"/>
  <c r="DV339" i="1"/>
  <c r="DW339" i="1"/>
  <c r="DX339" i="1"/>
  <c r="DY339" i="1"/>
  <c r="DZ339" i="1"/>
  <c r="EA339" i="1"/>
  <c r="EB339" i="1"/>
  <c r="EC339" i="1"/>
  <c r="ED339" i="1"/>
  <c r="EE339" i="1"/>
  <c r="EF339" i="1"/>
  <c r="EG339" i="1"/>
  <c r="EH339" i="1"/>
  <c r="EI339" i="1"/>
  <c r="EJ339" i="1"/>
  <c r="EK339" i="1"/>
  <c r="EL339" i="1"/>
  <c r="EM339" i="1"/>
  <c r="EN339" i="1"/>
  <c r="EO339" i="1"/>
  <c r="EP339" i="1"/>
  <c r="EQ339" i="1"/>
  <c r="ER339" i="1"/>
  <c r="ES339" i="1"/>
  <c r="ET339" i="1"/>
  <c r="EU339" i="1"/>
  <c r="EV339" i="1"/>
  <c r="EW339" i="1"/>
  <c r="EX339" i="1"/>
  <c r="EY339" i="1"/>
  <c r="EZ339" i="1"/>
  <c r="FA339" i="1"/>
  <c r="FB339" i="1"/>
  <c r="FC339" i="1"/>
  <c r="FD339" i="1"/>
  <c r="FE339" i="1"/>
  <c r="FF339" i="1"/>
  <c r="FG339" i="1"/>
  <c r="FH339" i="1"/>
  <c r="FI339" i="1"/>
  <c r="FJ339" i="1"/>
  <c r="FK339" i="1"/>
  <c r="FL339" i="1"/>
  <c r="FM339" i="1"/>
  <c r="FN339" i="1"/>
  <c r="FO339" i="1"/>
  <c r="FP339" i="1"/>
  <c r="FQ339" i="1"/>
  <c r="FR339" i="1"/>
  <c r="FS339" i="1"/>
  <c r="FT339" i="1"/>
  <c r="FU339" i="1"/>
  <c r="FV339" i="1"/>
  <c r="FW339" i="1"/>
  <c r="FX339" i="1"/>
  <c r="FY339" i="1"/>
  <c r="FZ339" i="1"/>
  <c r="GA339" i="1"/>
  <c r="GB339" i="1"/>
  <c r="GC339" i="1"/>
  <c r="GD339" i="1"/>
  <c r="GE339" i="1"/>
  <c r="GF339" i="1"/>
  <c r="GG339" i="1"/>
  <c r="GH339" i="1"/>
  <c r="GI339" i="1"/>
  <c r="GJ339" i="1"/>
  <c r="GK339" i="1"/>
  <c r="GL339" i="1"/>
  <c r="GM339" i="1"/>
  <c r="GN339" i="1"/>
  <c r="GO339" i="1"/>
  <c r="GP339" i="1"/>
  <c r="GQ339" i="1"/>
  <c r="GR339" i="1"/>
  <c r="GS339" i="1"/>
  <c r="GT339" i="1"/>
  <c r="GU339" i="1"/>
  <c r="GV339" i="1"/>
  <c r="GW339" i="1"/>
  <c r="GX339" i="1"/>
  <c r="GY339" i="1"/>
  <c r="GZ339" i="1"/>
  <c r="HA339" i="1"/>
  <c r="HB339" i="1"/>
  <c r="HC339" i="1"/>
  <c r="HD339" i="1"/>
  <c r="HE339" i="1"/>
  <c r="HF339" i="1"/>
  <c r="HG339" i="1"/>
  <c r="HH339" i="1"/>
  <c r="HI339" i="1"/>
  <c r="HJ339" i="1"/>
  <c r="HK339" i="1"/>
  <c r="HL339" i="1"/>
  <c r="HM339" i="1"/>
  <c r="HN339" i="1"/>
  <c r="HO339" i="1"/>
  <c r="HP339" i="1"/>
  <c r="HQ339" i="1"/>
  <c r="HR339" i="1"/>
  <c r="HS339" i="1"/>
  <c r="HT339" i="1"/>
  <c r="HU339" i="1"/>
  <c r="HV339" i="1"/>
  <c r="HW339" i="1"/>
  <c r="HX339" i="1"/>
  <c r="HY339" i="1"/>
  <c r="HZ339" i="1"/>
  <c r="IA339" i="1"/>
  <c r="IB339" i="1"/>
  <c r="IC339" i="1"/>
  <c r="ID339" i="1"/>
  <c r="IE339" i="1"/>
  <c r="IF339" i="1"/>
  <c r="IG339" i="1"/>
  <c r="IH339" i="1"/>
  <c r="II339" i="1"/>
  <c r="IJ339" i="1"/>
  <c r="IK339" i="1"/>
  <c r="IL339" i="1"/>
  <c r="IM339" i="1"/>
  <c r="IN339" i="1"/>
  <c r="IO339" i="1"/>
  <c r="IP339" i="1"/>
  <c r="IQ339" i="1"/>
  <c r="IR339" i="1"/>
  <c r="IS339" i="1"/>
  <c r="IT339" i="1"/>
  <c r="IU339" i="1"/>
  <c r="IV339" i="1"/>
  <c r="IW339" i="1"/>
  <c r="IX339" i="1"/>
  <c r="IY339" i="1"/>
  <c r="IZ339" i="1"/>
  <c r="JA339" i="1"/>
  <c r="JB339" i="1"/>
  <c r="JC339" i="1"/>
  <c r="JD339" i="1"/>
  <c r="JE339" i="1"/>
  <c r="JF339" i="1"/>
  <c r="JG339" i="1"/>
  <c r="JH339" i="1"/>
  <c r="JI339" i="1"/>
  <c r="JJ339" i="1"/>
  <c r="JK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U340" i="1"/>
  <c r="BV340" i="1"/>
  <c r="BW340" i="1"/>
  <c r="BX340" i="1"/>
  <c r="BY340" i="1"/>
  <c r="BZ340" i="1"/>
  <c r="CA340" i="1"/>
  <c r="CB340" i="1"/>
  <c r="CC340" i="1"/>
  <c r="CD340" i="1"/>
  <c r="CE340" i="1"/>
  <c r="CF340" i="1"/>
  <c r="CG340" i="1"/>
  <c r="CH340" i="1"/>
  <c r="CI340" i="1"/>
  <c r="CJ340" i="1"/>
  <c r="CK340" i="1"/>
  <c r="CL340" i="1"/>
  <c r="CM340" i="1"/>
  <c r="CN340" i="1"/>
  <c r="CO340" i="1"/>
  <c r="CP340" i="1"/>
  <c r="CQ340" i="1"/>
  <c r="CR340" i="1"/>
  <c r="CS340" i="1"/>
  <c r="CT340" i="1"/>
  <c r="CU340" i="1"/>
  <c r="CV340" i="1"/>
  <c r="CW340" i="1"/>
  <c r="CX340" i="1"/>
  <c r="CY340" i="1"/>
  <c r="CZ340" i="1"/>
  <c r="DA340" i="1"/>
  <c r="DB340" i="1"/>
  <c r="DC340" i="1"/>
  <c r="DD340" i="1"/>
  <c r="DE340" i="1"/>
  <c r="DF340" i="1"/>
  <c r="DG340" i="1"/>
  <c r="DH340" i="1"/>
  <c r="DI340" i="1"/>
  <c r="DJ340" i="1"/>
  <c r="DK340" i="1"/>
  <c r="DL340" i="1"/>
  <c r="DM340" i="1"/>
  <c r="DN340" i="1"/>
  <c r="DO340" i="1"/>
  <c r="DP340" i="1"/>
  <c r="DQ340" i="1"/>
  <c r="DR340" i="1"/>
  <c r="DS340" i="1"/>
  <c r="DT340" i="1"/>
  <c r="DU340" i="1"/>
  <c r="DV340" i="1"/>
  <c r="DW340" i="1"/>
  <c r="DX340" i="1"/>
  <c r="DY340" i="1"/>
  <c r="DZ340" i="1"/>
  <c r="EA340" i="1"/>
  <c r="EB340" i="1"/>
  <c r="EC340" i="1"/>
  <c r="ED340" i="1"/>
  <c r="EE340" i="1"/>
  <c r="EF340" i="1"/>
  <c r="EG340" i="1"/>
  <c r="EH340" i="1"/>
  <c r="EI340" i="1"/>
  <c r="EJ340" i="1"/>
  <c r="EK340" i="1"/>
  <c r="EL340" i="1"/>
  <c r="EM340" i="1"/>
  <c r="EN340" i="1"/>
  <c r="EO340" i="1"/>
  <c r="EP340" i="1"/>
  <c r="EQ340" i="1"/>
  <c r="ER340" i="1"/>
  <c r="ES340" i="1"/>
  <c r="ET340" i="1"/>
  <c r="EU340" i="1"/>
  <c r="EV340" i="1"/>
  <c r="EW340" i="1"/>
  <c r="EX340" i="1"/>
  <c r="EY340" i="1"/>
  <c r="EZ340" i="1"/>
  <c r="FA340" i="1"/>
  <c r="FB340" i="1"/>
  <c r="FC340" i="1"/>
  <c r="FD340" i="1"/>
  <c r="FE340" i="1"/>
  <c r="FF340" i="1"/>
  <c r="FG340" i="1"/>
  <c r="FH340" i="1"/>
  <c r="FI340" i="1"/>
  <c r="FJ340" i="1"/>
  <c r="FK340" i="1"/>
  <c r="FL340" i="1"/>
  <c r="FM340" i="1"/>
  <c r="FN340" i="1"/>
  <c r="FO340" i="1"/>
  <c r="FP340" i="1"/>
  <c r="FQ340" i="1"/>
  <c r="FR340" i="1"/>
  <c r="FS340" i="1"/>
  <c r="FT340" i="1"/>
  <c r="FU340" i="1"/>
  <c r="FV340" i="1"/>
  <c r="FW340" i="1"/>
  <c r="FX340" i="1"/>
  <c r="FY340" i="1"/>
  <c r="FZ340" i="1"/>
  <c r="GA340" i="1"/>
  <c r="GB340" i="1"/>
  <c r="GC340" i="1"/>
  <c r="GD340" i="1"/>
  <c r="GE340" i="1"/>
  <c r="GF340" i="1"/>
  <c r="GG340" i="1"/>
  <c r="GH340" i="1"/>
  <c r="GI340" i="1"/>
  <c r="GJ340" i="1"/>
  <c r="GK340" i="1"/>
  <c r="GL340" i="1"/>
  <c r="GM340" i="1"/>
  <c r="GN340" i="1"/>
  <c r="GO340" i="1"/>
  <c r="GP340" i="1"/>
  <c r="GQ340" i="1"/>
  <c r="GR340" i="1"/>
  <c r="GS340" i="1"/>
  <c r="GT340" i="1"/>
  <c r="GU340" i="1"/>
  <c r="GV340" i="1"/>
  <c r="GW340" i="1"/>
  <c r="GX340" i="1"/>
  <c r="GY340" i="1"/>
  <c r="GZ340" i="1"/>
  <c r="HA340" i="1"/>
  <c r="HB340" i="1"/>
  <c r="HC340" i="1"/>
  <c r="HD340" i="1"/>
  <c r="HE340" i="1"/>
  <c r="HF340" i="1"/>
  <c r="HG340" i="1"/>
  <c r="HH340" i="1"/>
  <c r="HI340" i="1"/>
  <c r="HJ340" i="1"/>
  <c r="HK340" i="1"/>
  <c r="HL340" i="1"/>
  <c r="HM340" i="1"/>
  <c r="HN340" i="1"/>
  <c r="HO340" i="1"/>
  <c r="HP340" i="1"/>
  <c r="HQ340" i="1"/>
  <c r="HR340" i="1"/>
  <c r="HS340" i="1"/>
  <c r="HT340" i="1"/>
  <c r="HU340" i="1"/>
  <c r="HV340" i="1"/>
  <c r="HW340" i="1"/>
  <c r="HX340" i="1"/>
  <c r="HY340" i="1"/>
  <c r="HZ340" i="1"/>
  <c r="IA340" i="1"/>
  <c r="IB340" i="1"/>
  <c r="IC340" i="1"/>
  <c r="ID340" i="1"/>
  <c r="IE340" i="1"/>
  <c r="IF340" i="1"/>
  <c r="IG340" i="1"/>
  <c r="IH340" i="1"/>
  <c r="II340" i="1"/>
  <c r="IJ340" i="1"/>
  <c r="IK340" i="1"/>
  <c r="IL340" i="1"/>
  <c r="IM340" i="1"/>
  <c r="IN340" i="1"/>
  <c r="IO340" i="1"/>
  <c r="IP340" i="1"/>
  <c r="IQ340" i="1"/>
  <c r="IR340" i="1"/>
  <c r="IS340" i="1"/>
  <c r="IT340" i="1"/>
  <c r="IU340" i="1"/>
  <c r="IV340" i="1"/>
  <c r="IW340" i="1"/>
  <c r="IX340" i="1"/>
  <c r="IY340" i="1"/>
  <c r="IZ340" i="1"/>
  <c r="JA340" i="1"/>
  <c r="JB340" i="1"/>
  <c r="JC340" i="1"/>
  <c r="JD340" i="1"/>
  <c r="JE340" i="1"/>
  <c r="JF340" i="1"/>
  <c r="JG340" i="1"/>
  <c r="JH340" i="1"/>
  <c r="JI340" i="1"/>
  <c r="JJ340" i="1"/>
  <c r="JK340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U342" i="1"/>
  <c r="BV342" i="1"/>
  <c r="BW342" i="1"/>
  <c r="BX342" i="1"/>
  <c r="BY342" i="1"/>
  <c r="BZ342" i="1"/>
  <c r="CA342" i="1"/>
  <c r="CB342" i="1"/>
  <c r="CC342" i="1"/>
  <c r="CD342" i="1"/>
  <c r="CE342" i="1"/>
  <c r="CF342" i="1"/>
  <c r="CG342" i="1"/>
  <c r="CH342" i="1"/>
  <c r="CI342" i="1"/>
  <c r="CJ342" i="1"/>
  <c r="CK342" i="1"/>
  <c r="CL342" i="1"/>
  <c r="CM342" i="1"/>
  <c r="CN342" i="1"/>
  <c r="CO342" i="1"/>
  <c r="CP342" i="1"/>
  <c r="CQ342" i="1"/>
  <c r="CR342" i="1"/>
  <c r="CS342" i="1"/>
  <c r="CT342" i="1"/>
  <c r="CU342" i="1"/>
  <c r="CV342" i="1"/>
  <c r="CW342" i="1"/>
  <c r="CX342" i="1"/>
  <c r="CY342" i="1"/>
  <c r="CZ342" i="1"/>
  <c r="DA342" i="1"/>
  <c r="DB342" i="1"/>
  <c r="DC342" i="1"/>
  <c r="DD342" i="1"/>
  <c r="DE342" i="1"/>
  <c r="DF342" i="1"/>
  <c r="DG342" i="1"/>
  <c r="DH342" i="1"/>
  <c r="DI342" i="1"/>
  <c r="DJ342" i="1"/>
  <c r="DK342" i="1"/>
  <c r="DL342" i="1"/>
  <c r="DM342" i="1"/>
  <c r="DN342" i="1"/>
  <c r="DO342" i="1"/>
  <c r="DP342" i="1"/>
  <c r="DQ342" i="1"/>
  <c r="DR342" i="1"/>
  <c r="DS342" i="1"/>
  <c r="DT342" i="1"/>
  <c r="DU342" i="1"/>
  <c r="DV342" i="1"/>
  <c r="DW342" i="1"/>
  <c r="DX342" i="1"/>
  <c r="DY342" i="1"/>
  <c r="DZ342" i="1"/>
  <c r="EA342" i="1"/>
  <c r="EB342" i="1"/>
  <c r="EC342" i="1"/>
  <c r="ED342" i="1"/>
  <c r="EE342" i="1"/>
  <c r="EF342" i="1"/>
  <c r="EG342" i="1"/>
  <c r="EH342" i="1"/>
  <c r="EI342" i="1"/>
  <c r="EJ342" i="1"/>
  <c r="EK342" i="1"/>
  <c r="EL342" i="1"/>
  <c r="EM342" i="1"/>
  <c r="EN342" i="1"/>
  <c r="EO342" i="1"/>
  <c r="EP342" i="1"/>
  <c r="EQ342" i="1"/>
  <c r="ER342" i="1"/>
  <c r="ES342" i="1"/>
  <c r="ET342" i="1"/>
  <c r="EU342" i="1"/>
  <c r="EV342" i="1"/>
  <c r="EW342" i="1"/>
  <c r="EX342" i="1"/>
  <c r="EY342" i="1"/>
  <c r="EZ342" i="1"/>
  <c r="FA342" i="1"/>
  <c r="FB342" i="1"/>
  <c r="FC342" i="1"/>
  <c r="FD342" i="1"/>
  <c r="FE342" i="1"/>
  <c r="FF342" i="1"/>
  <c r="FG342" i="1"/>
  <c r="FH342" i="1"/>
  <c r="FI342" i="1"/>
  <c r="FJ342" i="1"/>
  <c r="FK342" i="1"/>
  <c r="FL342" i="1"/>
  <c r="FM342" i="1"/>
  <c r="FN342" i="1"/>
  <c r="FO342" i="1"/>
  <c r="FP342" i="1"/>
  <c r="FQ342" i="1"/>
  <c r="FR342" i="1"/>
  <c r="FS342" i="1"/>
  <c r="FT342" i="1"/>
  <c r="FU342" i="1"/>
  <c r="FV342" i="1"/>
  <c r="FW342" i="1"/>
  <c r="FX342" i="1"/>
  <c r="FY342" i="1"/>
  <c r="FZ342" i="1"/>
  <c r="GA342" i="1"/>
  <c r="GB342" i="1"/>
  <c r="GC342" i="1"/>
  <c r="GD342" i="1"/>
  <c r="GE342" i="1"/>
  <c r="GF342" i="1"/>
  <c r="GG342" i="1"/>
  <c r="GH342" i="1"/>
  <c r="GI342" i="1"/>
  <c r="GJ342" i="1"/>
  <c r="GK342" i="1"/>
  <c r="GL342" i="1"/>
  <c r="GM342" i="1"/>
  <c r="GN342" i="1"/>
  <c r="GO342" i="1"/>
  <c r="GP342" i="1"/>
  <c r="GQ342" i="1"/>
  <c r="GR342" i="1"/>
  <c r="GS342" i="1"/>
  <c r="GT342" i="1"/>
  <c r="GU342" i="1"/>
  <c r="GV342" i="1"/>
  <c r="GW342" i="1"/>
  <c r="GX342" i="1"/>
  <c r="GY342" i="1"/>
  <c r="GZ342" i="1"/>
  <c r="HA342" i="1"/>
  <c r="HB342" i="1"/>
  <c r="HC342" i="1"/>
  <c r="HD342" i="1"/>
  <c r="HE342" i="1"/>
  <c r="HF342" i="1"/>
  <c r="HG342" i="1"/>
  <c r="HH342" i="1"/>
  <c r="HI342" i="1"/>
  <c r="HJ342" i="1"/>
  <c r="HK342" i="1"/>
  <c r="HL342" i="1"/>
  <c r="HM342" i="1"/>
  <c r="HN342" i="1"/>
  <c r="HO342" i="1"/>
  <c r="HP342" i="1"/>
  <c r="HQ342" i="1"/>
  <c r="HR342" i="1"/>
  <c r="HS342" i="1"/>
  <c r="HT342" i="1"/>
  <c r="HU342" i="1"/>
  <c r="HV342" i="1"/>
  <c r="HW342" i="1"/>
  <c r="HX342" i="1"/>
  <c r="HY342" i="1"/>
  <c r="HZ342" i="1"/>
  <c r="IA342" i="1"/>
  <c r="IB342" i="1"/>
  <c r="IC342" i="1"/>
  <c r="ID342" i="1"/>
  <c r="IE342" i="1"/>
  <c r="IF342" i="1"/>
  <c r="IG342" i="1"/>
  <c r="IH342" i="1"/>
  <c r="II342" i="1"/>
  <c r="IJ342" i="1"/>
  <c r="IK342" i="1"/>
  <c r="IL342" i="1"/>
  <c r="IM342" i="1"/>
  <c r="IN342" i="1"/>
  <c r="IO342" i="1"/>
  <c r="IP342" i="1"/>
  <c r="IQ342" i="1"/>
  <c r="IR342" i="1"/>
  <c r="IS342" i="1"/>
  <c r="IT342" i="1"/>
  <c r="IU342" i="1"/>
  <c r="IV342" i="1"/>
  <c r="IW342" i="1"/>
  <c r="IX342" i="1"/>
  <c r="IY342" i="1"/>
  <c r="IZ342" i="1"/>
  <c r="JA342" i="1"/>
  <c r="JB342" i="1"/>
  <c r="JC342" i="1"/>
  <c r="JD342" i="1"/>
  <c r="JE342" i="1"/>
  <c r="JF342" i="1"/>
  <c r="JG342" i="1"/>
  <c r="JH342" i="1"/>
  <c r="JI342" i="1"/>
  <c r="JJ342" i="1"/>
  <c r="JK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CJ343" i="1"/>
  <c r="CK343" i="1"/>
  <c r="CL343" i="1"/>
  <c r="CM343" i="1"/>
  <c r="CN343" i="1"/>
  <c r="CO343" i="1"/>
  <c r="CP343" i="1"/>
  <c r="CQ343" i="1"/>
  <c r="CR343" i="1"/>
  <c r="CS343" i="1"/>
  <c r="CT343" i="1"/>
  <c r="CU343" i="1"/>
  <c r="CV343" i="1"/>
  <c r="CW343" i="1"/>
  <c r="CX343" i="1"/>
  <c r="CY343" i="1"/>
  <c r="CZ343" i="1"/>
  <c r="DA343" i="1"/>
  <c r="DB343" i="1"/>
  <c r="DC343" i="1"/>
  <c r="DD343" i="1"/>
  <c r="DE343" i="1"/>
  <c r="DF343" i="1"/>
  <c r="DG343" i="1"/>
  <c r="DH343" i="1"/>
  <c r="DI343" i="1"/>
  <c r="DJ343" i="1"/>
  <c r="DK343" i="1"/>
  <c r="DL343" i="1"/>
  <c r="DM343" i="1"/>
  <c r="DN343" i="1"/>
  <c r="DO343" i="1"/>
  <c r="DP343" i="1"/>
  <c r="DQ343" i="1"/>
  <c r="DR343" i="1"/>
  <c r="DS343" i="1"/>
  <c r="DT343" i="1"/>
  <c r="DU343" i="1"/>
  <c r="DV343" i="1"/>
  <c r="DW343" i="1"/>
  <c r="DX343" i="1"/>
  <c r="DY343" i="1"/>
  <c r="DZ343" i="1"/>
  <c r="EA343" i="1"/>
  <c r="EB343" i="1"/>
  <c r="EC343" i="1"/>
  <c r="ED343" i="1"/>
  <c r="EE343" i="1"/>
  <c r="EF343" i="1"/>
  <c r="EG343" i="1"/>
  <c r="EH343" i="1"/>
  <c r="EI343" i="1"/>
  <c r="EJ343" i="1"/>
  <c r="EK343" i="1"/>
  <c r="EL343" i="1"/>
  <c r="EM343" i="1"/>
  <c r="EN343" i="1"/>
  <c r="EO343" i="1"/>
  <c r="EP343" i="1"/>
  <c r="EQ343" i="1"/>
  <c r="ER343" i="1"/>
  <c r="ES343" i="1"/>
  <c r="ET343" i="1"/>
  <c r="EU343" i="1"/>
  <c r="EV343" i="1"/>
  <c r="EW343" i="1"/>
  <c r="EX343" i="1"/>
  <c r="EY343" i="1"/>
  <c r="EZ343" i="1"/>
  <c r="FA343" i="1"/>
  <c r="FB343" i="1"/>
  <c r="FC343" i="1"/>
  <c r="FD343" i="1"/>
  <c r="FE343" i="1"/>
  <c r="FF343" i="1"/>
  <c r="FG343" i="1"/>
  <c r="FH343" i="1"/>
  <c r="FI343" i="1"/>
  <c r="FJ343" i="1"/>
  <c r="FK343" i="1"/>
  <c r="FL343" i="1"/>
  <c r="FM343" i="1"/>
  <c r="FN343" i="1"/>
  <c r="FO343" i="1"/>
  <c r="FP343" i="1"/>
  <c r="FQ343" i="1"/>
  <c r="FR343" i="1"/>
  <c r="FS343" i="1"/>
  <c r="FT343" i="1"/>
  <c r="FU343" i="1"/>
  <c r="FV343" i="1"/>
  <c r="FW343" i="1"/>
  <c r="FX343" i="1"/>
  <c r="FY343" i="1"/>
  <c r="FZ343" i="1"/>
  <c r="GA343" i="1"/>
  <c r="GB343" i="1"/>
  <c r="GC343" i="1"/>
  <c r="GD343" i="1"/>
  <c r="GE343" i="1"/>
  <c r="GF343" i="1"/>
  <c r="GG343" i="1"/>
  <c r="GH343" i="1"/>
  <c r="GI343" i="1"/>
  <c r="GJ343" i="1"/>
  <c r="GK343" i="1"/>
  <c r="GL343" i="1"/>
  <c r="GM343" i="1"/>
  <c r="GN343" i="1"/>
  <c r="GO343" i="1"/>
  <c r="GP343" i="1"/>
  <c r="GQ343" i="1"/>
  <c r="GR343" i="1"/>
  <c r="GS343" i="1"/>
  <c r="GT343" i="1"/>
  <c r="GU343" i="1"/>
  <c r="GV343" i="1"/>
  <c r="GW343" i="1"/>
  <c r="GX343" i="1"/>
  <c r="GY343" i="1"/>
  <c r="GZ343" i="1"/>
  <c r="HA343" i="1"/>
  <c r="HB343" i="1"/>
  <c r="HC343" i="1"/>
  <c r="HD343" i="1"/>
  <c r="HE343" i="1"/>
  <c r="HF343" i="1"/>
  <c r="HG343" i="1"/>
  <c r="HH343" i="1"/>
  <c r="HI343" i="1"/>
  <c r="HJ343" i="1"/>
  <c r="HK343" i="1"/>
  <c r="HL343" i="1"/>
  <c r="HM343" i="1"/>
  <c r="HN343" i="1"/>
  <c r="HO343" i="1"/>
  <c r="HP343" i="1"/>
  <c r="HQ343" i="1"/>
  <c r="HR343" i="1"/>
  <c r="HS343" i="1"/>
  <c r="HT343" i="1"/>
  <c r="HU343" i="1"/>
  <c r="HV343" i="1"/>
  <c r="HW343" i="1"/>
  <c r="HX343" i="1"/>
  <c r="HY343" i="1"/>
  <c r="HZ343" i="1"/>
  <c r="IA343" i="1"/>
  <c r="IB343" i="1"/>
  <c r="IC343" i="1"/>
  <c r="ID343" i="1"/>
  <c r="IE343" i="1"/>
  <c r="IF343" i="1"/>
  <c r="IG343" i="1"/>
  <c r="IH343" i="1"/>
  <c r="II343" i="1"/>
  <c r="IJ343" i="1"/>
  <c r="IK343" i="1"/>
  <c r="IL343" i="1"/>
  <c r="IM343" i="1"/>
  <c r="IN343" i="1"/>
  <c r="IO343" i="1"/>
  <c r="IP343" i="1"/>
  <c r="IQ343" i="1"/>
  <c r="IR343" i="1"/>
  <c r="IS343" i="1"/>
  <c r="IT343" i="1"/>
  <c r="IU343" i="1"/>
  <c r="IV343" i="1"/>
  <c r="IW343" i="1"/>
  <c r="IX343" i="1"/>
  <c r="IY343" i="1"/>
  <c r="IZ343" i="1"/>
  <c r="JA343" i="1"/>
  <c r="JB343" i="1"/>
  <c r="JC343" i="1"/>
  <c r="JD343" i="1"/>
  <c r="JE343" i="1"/>
  <c r="JF343" i="1"/>
  <c r="JG343" i="1"/>
  <c r="JH343" i="1"/>
  <c r="JI343" i="1"/>
  <c r="JJ343" i="1"/>
  <c r="JK343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U345" i="1"/>
  <c r="BV345" i="1"/>
  <c r="BW345" i="1"/>
  <c r="BX345" i="1"/>
  <c r="BY345" i="1"/>
  <c r="BZ345" i="1"/>
  <c r="CA345" i="1"/>
  <c r="CB345" i="1"/>
  <c r="CC345" i="1"/>
  <c r="CD345" i="1"/>
  <c r="CE345" i="1"/>
  <c r="CF345" i="1"/>
  <c r="CG345" i="1"/>
  <c r="CH345" i="1"/>
  <c r="CI345" i="1"/>
  <c r="CJ345" i="1"/>
  <c r="CK345" i="1"/>
  <c r="CL345" i="1"/>
  <c r="CM345" i="1"/>
  <c r="CN345" i="1"/>
  <c r="CO345" i="1"/>
  <c r="CP345" i="1"/>
  <c r="CQ345" i="1"/>
  <c r="CR345" i="1"/>
  <c r="CS345" i="1"/>
  <c r="CT345" i="1"/>
  <c r="CU345" i="1"/>
  <c r="CV345" i="1"/>
  <c r="CW345" i="1"/>
  <c r="CX345" i="1"/>
  <c r="CY345" i="1"/>
  <c r="CZ345" i="1"/>
  <c r="DA345" i="1"/>
  <c r="DB345" i="1"/>
  <c r="DC345" i="1"/>
  <c r="DD345" i="1"/>
  <c r="DE345" i="1"/>
  <c r="DF345" i="1"/>
  <c r="DG345" i="1"/>
  <c r="DH345" i="1"/>
  <c r="DI345" i="1"/>
  <c r="DJ345" i="1"/>
  <c r="DK345" i="1"/>
  <c r="DL345" i="1"/>
  <c r="DM345" i="1"/>
  <c r="DN345" i="1"/>
  <c r="DO345" i="1"/>
  <c r="DP345" i="1"/>
  <c r="DQ345" i="1"/>
  <c r="DR345" i="1"/>
  <c r="DS345" i="1"/>
  <c r="DT345" i="1"/>
  <c r="DU345" i="1"/>
  <c r="DV345" i="1"/>
  <c r="DW345" i="1"/>
  <c r="DX345" i="1"/>
  <c r="DY345" i="1"/>
  <c r="DZ345" i="1"/>
  <c r="EA345" i="1"/>
  <c r="EB345" i="1"/>
  <c r="EC345" i="1"/>
  <c r="ED345" i="1"/>
  <c r="EE345" i="1"/>
  <c r="EF345" i="1"/>
  <c r="EG345" i="1"/>
  <c r="EH345" i="1"/>
  <c r="EI345" i="1"/>
  <c r="EJ345" i="1"/>
  <c r="EK345" i="1"/>
  <c r="EL345" i="1"/>
  <c r="EM345" i="1"/>
  <c r="EN345" i="1"/>
  <c r="EO345" i="1"/>
  <c r="EP345" i="1"/>
  <c r="EQ345" i="1"/>
  <c r="ER345" i="1"/>
  <c r="ES345" i="1"/>
  <c r="ET345" i="1"/>
  <c r="EU345" i="1"/>
  <c r="EV345" i="1"/>
  <c r="EW345" i="1"/>
  <c r="EX345" i="1"/>
  <c r="EY345" i="1"/>
  <c r="EZ345" i="1"/>
  <c r="FA345" i="1"/>
  <c r="FB345" i="1"/>
  <c r="FC345" i="1"/>
  <c r="FD345" i="1"/>
  <c r="FE345" i="1"/>
  <c r="FF345" i="1"/>
  <c r="FG345" i="1"/>
  <c r="FH345" i="1"/>
  <c r="FI345" i="1"/>
  <c r="FJ345" i="1"/>
  <c r="FK345" i="1"/>
  <c r="FL345" i="1"/>
  <c r="FM345" i="1"/>
  <c r="FN345" i="1"/>
  <c r="FO345" i="1"/>
  <c r="FP345" i="1"/>
  <c r="FQ345" i="1"/>
  <c r="FR345" i="1"/>
  <c r="FS345" i="1"/>
  <c r="FT345" i="1"/>
  <c r="FU345" i="1"/>
  <c r="FV345" i="1"/>
  <c r="FW345" i="1"/>
  <c r="FX345" i="1"/>
  <c r="FY345" i="1"/>
  <c r="FZ345" i="1"/>
  <c r="GA345" i="1"/>
  <c r="GB345" i="1"/>
  <c r="GC345" i="1"/>
  <c r="GD345" i="1"/>
  <c r="GE345" i="1"/>
  <c r="GF345" i="1"/>
  <c r="GG345" i="1"/>
  <c r="GH345" i="1"/>
  <c r="GI345" i="1"/>
  <c r="GJ345" i="1"/>
  <c r="GK345" i="1"/>
  <c r="GL345" i="1"/>
  <c r="GM345" i="1"/>
  <c r="GN345" i="1"/>
  <c r="GO345" i="1"/>
  <c r="GP345" i="1"/>
  <c r="GQ345" i="1"/>
  <c r="GR345" i="1"/>
  <c r="GS345" i="1"/>
  <c r="GT345" i="1"/>
  <c r="GU345" i="1"/>
  <c r="GV345" i="1"/>
  <c r="GW345" i="1"/>
  <c r="GX345" i="1"/>
  <c r="GY345" i="1"/>
  <c r="GZ345" i="1"/>
  <c r="HA345" i="1"/>
  <c r="HB345" i="1"/>
  <c r="HC345" i="1"/>
  <c r="HD345" i="1"/>
  <c r="HE345" i="1"/>
  <c r="HF345" i="1"/>
  <c r="HG345" i="1"/>
  <c r="HH345" i="1"/>
  <c r="HI345" i="1"/>
  <c r="HJ345" i="1"/>
  <c r="HK345" i="1"/>
  <c r="HL345" i="1"/>
  <c r="HM345" i="1"/>
  <c r="HN345" i="1"/>
  <c r="HO345" i="1"/>
  <c r="HP345" i="1"/>
  <c r="HQ345" i="1"/>
  <c r="HR345" i="1"/>
  <c r="HS345" i="1"/>
  <c r="HT345" i="1"/>
  <c r="HU345" i="1"/>
  <c r="HV345" i="1"/>
  <c r="HW345" i="1"/>
  <c r="HX345" i="1"/>
  <c r="HY345" i="1"/>
  <c r="HZ345" i="1"/>
  <c r="IA345" i="1"/>
  <c r="IB345" i="1"/>
  <c r="IC345" i="1"/>
  <c r="ID345" i="1"/>
  <c r="IE345" i="1"/>
  <c r="IF345" i="1"/>
  <c r="IG345" i="1"/>
  <c r="IH345" i="1"/>
  <c r="II345" i="1"/>
  <c r="IJ345" i="1"/>
  <c r="IK345" i="1"/>
  <c r="IL345" i="1"/>
  <c r="IM345" i="1"/>
  <c r="IN345" i="1"/>
  <c r="IO345" i="1"/>
  <c r="IP345" i="1"/>
  <c r="IQ345" i="1"/>
  <c r="IR345" i="1"/>
  <c r="IS345" i="1"/>
  <c r="IT345" i="1"/>
  <c r="IU345" i="1"/>
  <c r="IV345" i="1"/>
  <c r="IW345" i="1"/>
  <c r="IX345" i="1"/>
  <c r="IY345" i="1"/>
  <c r="IZ345" i="1"/>
  <c r="JA345" i="1"/>
  <c r="JB345" i="1"/>
  <c r="JC345" i="1"/>
  <c r="JD345" i="1"/>
  <c r="JE345" i="1"/>
  <c r="JF345" i="1"/>
  <c r="JG345" i="1"/>
  <c r="JH345" i="1"/>
  <c r="JI345" i="1"/>
  <c r="JJ345" i="1"/>
  <c r="JK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U346" i="1"/>
  <c r="BV346" i="1"/>
  <c r="BW346" i="1"/>
  <c r="BX346" i="1"/>
  <c r="BY346" i="1"/>
  <c r="BZ346" i="1"/>
  <c r="CA346" i="1"/>
  <c r="CB346" i="1"/>
  <c r="CC346" i="1"/>
  <c r="CD346" i="1"/>
  <c r="CE346" i="1"/>
  <c r="CF346" i="1"/>
  <c r="CG346" i="1"/>
  <c r="CH346" i="1"/>
  <c r="CI346" i="1"/>
  <c r="CJ346" i="1"/>
  <c r="CK346" i="1"/>
  <c r="CL346" i="1"/>
  <c r="CM346" i="1"/>
  <c r="CN346" i="1"/>
  <c r="CO346" i="1"/>
  <c r="CP346" i="1"/>
  <c r="CQ346" i="1"/>
  <c r="CR346" i="1"/>
  <c r="CS346" i="1"/>
  <c r="CT346" i="1"/>
  <c r="CU346" i="1"/>
  <c r="CV346" i="1"/>
  <c r="CW346" i="1"/>
  <c r="CX346" i="1"/>
  <c r="CY346" i="1"/>
  <c r="CZ346" i="1"/>
  <c r="DA346" i="1"/>
  <c r="DB346" i="1"/>
  <c r="DC346" i="1"/>
  <c r="DD346" i="1"/>
  <c r="DE346" i="1"/>
  <c r="DF346" i="1"/>
  <c r="DG346" i="1"/>
  <c r="DH346" i="1"/>
  <c r="DI346" i="1"/>
  <c r="DJ346" i="1"/>
  <c r="DK346" i="1"/>
  <c r="DL346" i="1"/>
  <c r="DM346" i="1"/>
  <c r="DN346" i="1"/>
  <c r="DO346" i="1"/>
  <c r="DP346" i="1"/>
  <c r="DQ346" i="1"/>
  <c r="DR346" i="1"/>
  <c r="DS346" i="1"/>
  <c r="DT346" i="1"/>
  <c r="DU346" i="1"/>
  <c r="DV346" i="1"/>
  <c r="DW346" i="1"/>
  <c r="DX346" i="1"/>
  <c r="DY346" i="1"/>
  <c r="DZ346" i="1"/>
  <c r="EA346" i="1"/>
  <c r="EB346" i="1"/>
  <c r="EC346" i="1"/>
  <c r="ED346" i="1"/>
  <c r="EE346" i="1"/>
  <c r="EF346" i="1"/>
  <c r="EG346" i="1"/>
  <c r="EH346" i="1"/>
  <c r="EI346" i="1"/>
  <c r="EJ346" i="1"/>
  <c r="EK346" i="1"/>
  <c r="EL346" i="1"/>
  <c r="EM346" i="1"/>
  <c r="EN346" i="1"/>
  <c r="EO346" i="1"/>
  <c r="EP346" i="1"/>
  <c r="EQ346" i="1"/>
  <c r="ER346" i="1"/>
  <c r="ES346" i="1"/>
  <c r="ET346" i="1"/>
  <c r="EU346" i="1"/>
  <c r="EV346" i="1"/>
  <c r="EW346" i="1"/>
  <c r="EX346" i="1"/>
  <c r="EY346" i="1"/>
  <c r="EZ346" i="1"/>
  <c r="FA346" i="1"/>
  <c r="FB346" i="1"/>
  <c r="FC346" i="1"/>
  <c r="FD346" i="1"/>
  <c r="FE346" i="1"/>
  <c r="FF346" i="1"/>
  <c r="FG346" i="1"/>
  <c r="FH346" i="1"/>
  <c r="FI346" i="1"/>
  <c r="FJ346" i="1"/>
  <c r="FK346" i="1"/>
  <c r="FL346" i="1"/>
  <c r="FM346" i="1"/>
  <c r="FN346" i="1"/>
  <c r="FO346" i="1"/>
  <c r="FP346" i="1"/>
  <c r="FQ346" i="1"/>
  <c r="FR346" i="1"/>
  <c r="FS346" i="1"/>
  <c r="FT346" i="1"/>
  <c r="FU346" i="1"/>
  <c r="FV346" i="1"/>
  <c r="FW346" i="1"/>
  <c r="FX346" i="1"/>
  <c r="FY346" i="1"/>
  <c r="FZ346" i="1"/>
  <c r="GA346" i="1"/>
  <c r="GB346" i="1"/>
  <c r="GC346" i="1"/>
  <c r="GD346" i="1"/>
  <c r="GE346" i="1"/>
  <c r="GF346" i="1"/>
  <c r="GG346" i="1"/>
  <c r="GH346" i="1"/>
  <c r="GI346" i="1"/>
  <c r="GJ346" i="1"/>
  <c r="GK346" i="1"/>
  <c r="GL346" i="1"/>
  <c r="GM346" i="1"/>
  <c r="GN346" i="1"/>
  <c r="GO346" i="1"/>
  <c r="GP346" i="1"/>
  <c r="GQ346" i="1"/>
  <c r="GR346" i="1"/>
  <c r="GS346" i="1"/>
  <c r="GT346" i="1"/>
  <c r="GU346" i="1"/>
  <c r="GV346" i="1"/>
  <c r="GW346" i="1"/>
  <c r="GX346" i="1"/>
  <c r="GY346" i="1"/>
  <c r="GZ346" i="1"/>
  <c r="HA346" i="1"/>
  <c r="HB346" i="1"/>
  <c r="HC346" i="1"/>
  <c r="HD346" i="1"/>
  <c r="HE346" i="1"/>
  <c r="HF346" i="1"/>
  <c r="HG346" i="1"/>
  <c r="HH346" i="1"/>
  <c r="HI346" i="1"/>
  <c r="HJ346" i="1"/>
  <c r="HK346" i="1"/>
  <c r="HL346" i="1"/>
  <c r="HM346" i="1"/>
  <c r="HN346" i="1"/>
  <c r="HO346" i="1"/>
  <c r="HP346" i="1"/>
  <c r="HQ346" i="1"/>
  <c r="HR346" i="1"/>
  <c r="HS346" i="1"/>
  <c r="HT346" i="1"/>
  <c r="HU346" i="1"/>
  <c r="HV346" i="1"/>
  <c r="HW346" i="1"/>
  <c r="HX346" i="1"/>
  <c r="HY346" i="1"/>
  <c r="HZ346" i="1"/>
  <c r="IA346" i="1"/>
  <c r="IB346" i="1"/>
  <c r="IC346" i="1"/>
  <c r="ID346" i="1"/>
  <c r="IE346" i="1"/>
  <c r="IF346" i="1"/>
  <c r="IG346" i="1"/>
  <c r="IH346" i="1"/>
  <c r="II346" i="1"/>
  <c r="IJ346" i="1"/>
  <c r="IK346" i="1"/>
  <c r="IL346" i="1"/>
  <c r="IM346" i="1"/>
  <c r="IN346" i="1"/>
  <c r="IO346" i="1"/>
  <c r="IP346" i="1"/>
  <c r="IQ346" i="1"/>
  <c r="IR346" i="1"/>
  <c r="IS346" i="1"/>
  <c r="IT346" i="1"/>
  <c r="IU346" i="1"/>
  <c r="IV346" i="1"/>
  <c r="IW346" i="1"/>
  <c r="IX346" i="1"/>
  <c r="IY346" i="1"/>
  <c r="IZ346" i="1"/>
  <c r="JA346" i="1"/>
  <c r="JB346" i="1"/>
  <c r="JC346" i="1"/>
  <c r="JD346" i="1"/>
  <c r="JE346" i="1"/>
  <c r="JF346" i="1"/>
  <c r="JG346" i="1"/>
  <c r="JH346" i="1"/>
  <c r="JI346" i="1"/>
  <c r="JJ346" i="1"/>
  <c r="JK346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CJ348" i="1"/>
  <c r="CK348" i="1"/>
  <c r="CL348" i="1"/>
  <c r="CM348" i="1"/>
  <c r="CN348" i="1"/>
  <c r="CO348" i="1"/>
  <c r="CP348" i="1"/>
  <c r="CQ348" i="1"/>
  <c r="CR348" i="1"/>
  <c r="CS348" i="1"/>
  <c r="CT348" i="1"/>
  <c r="CU348" i="1"/>
  <c r="CV348" i="1"/>
  <c r="CW348" i="1"/>
  <c r="CX348" i="1"/>
  <c r="CY348" i="1"/>
  <c r="CZ348" i="1"/>
  <c r="DA348" i="1"/>
  <c r="DB348" i="1"/>
  <c r="DC348" i="1"/>
  <c r="DD348" i="1"/>
  <c r="DE348" i="1"/>
  <c r="DF348" i="1"/>
  <c r="DG348" i="1"/>
  <c r="DH348" i="1"/>
  <c r="DI348" i="1"/>
  <c r="DJ348" i="1"/>
  <c r="DK348" i="1"/>
  <c r="DL348" i="1"/>
  <c r="DM348" i="1"/>
  <c r="DN348" i="1"/>
  <c r="DO348" i="1"/>
  <c r="DP348" i="1"/>
  <c r="DQ348" i="1"/>
  <c r="DR348" i="1"/>
  <c r="DS348" i="1"/>
  <c r="DT348" i="1"/>
  <c r="DU348" i="1"/>
  <c r="DV348" i="1"/>
  <c r="DW348" i="1"/>
  <c r="DX348" i="1"/>
  <c r="DY348" i="1"/>
  <c r="DZ348" i="1"/>
  <c r="EA348" i="1"/>
  <c r="EB348" i="1"/>
  <c r="EC348" i="1"/>
  <c r="ED348" i="1"/>
  <c r="EE348" i="1"/>
  <c r="EF348" i="1"/>
  <c r="EG348" i="1"/>
  <c r="EH348" i="1"/>
  <c r="EI348" i="1"/>
  <c r="EJ348" i="1"/>
  <c r="EK348" i="1"/>
  <c r="EL348" i="1"/>
  <c r="EM348" i="1"/>
  <c r="EN348" i="1"/>
  <c r="EO348" i="1"/>
  <c r="EP348" i="1"/>
  <c r="EQ348" i="1"/>
  <c r="ER348" i="1"/>
  <c r="ES348" i="1"/>
  <c r="ET348" i="1"/>
  <c r="EU348" i="1"/>
  <c r="EV348" i="1"/>
  <c r="EW348" i="1"/>
  <c r="EX348" i="1"/>
  <c r="EY348" i="1"/>
  <c r="EZ348" i="1"/>
  <c r="FA348" i="1"/>
  <c r="FB348" i="1"/>
  <c r="FC348" i="1"/>
  <c r="FD348" i="1"/>
  <c r="FE348" i="1"/>
  <c r="FF348" i="1"/>
  <c r="FG348" i="1"/>
  <c r="FH348" i="1"/>
  <c r="FI348" i="1"/>
  <c r="FJ348" i="1"/>
  <c r="FK348" i="1"/>
  <c r="FL348" i="1"/>
  <c r="FM348" i="1"/>
  <c r="FN348" i="1"/>
  <c r="FO348" i="1"/>
  <c r="FP348" i="1"/>
  <c r="FQ348" i="1"/>
  <c r="FR348" i="1"/>
  <c r="FS348" i="1"/>
  <c r="FT348" i="1"/>
  <c r="FU348" i="1"/>
  <c r="FV348" i="1"/>
  <c r="FW348" i="1"/>
  <c r="FX348" i="1"/>
  <c r="FY348" i="1"/>
  <c r="FZ348" i="1"/>
  <c r="GA348" i="1"/>
  <c r="GB348" i="1"/>
  <c r="GC348" i="1"/>
  <c r="GD348" i="1"/>
  <c r="GE348" i="1"/>
  <c r="GF348" i="1"/>
  <c r="GG348" i="1"/>
  <c r="GH348" i="1"/>
  <c r="GI348" i="1"/>
  <c r="GJ348" i="1"/>
  <c r="GK348" i="1"/>
  <c r="GL348" i="1"/>
  <c r="GM348" i="1"/>
  <c r="GN348" i="1"/>
  <c r="GO348" i="1"/>
  <c r="GP348" i="1"/>
  <c r="GQ348" i="1"/>
  <c r="GR348" i="1"/>
  <c r="GS348" i="1"/>
  <c r="GT348" i="1"/>
  <c r="GU348" i="1"/>
  <c r="GV348" i="1"/>
  <c r="GW348" i="1"/>
  <c r="GX348" i="1"/>
  <c r="GY348" i="1"/>
  <c r="GZ348" i="1"/>
  <c r="HA348" i="1"/>
  <c r="HB348" i="1"/>
  <c r="HC348" i="1"/>
  <c r="HD348" i="1"/>
  <c r="HE348" i="1"/>
  <c r="HF348" i="1"/>
  <c r="HG348" i="1"/>
  <c r="HH348" i="1"/>
  <c r="HI348" i="1"/>
  <c r="HJ348" i="1"/>
  <c r="HK348" i="1"/>
  <c r="HL348" i="1"/>
  <c r="HM348" i="1"/>
  <c r="HN348" i="1"/>
  <c r="HO348" i="1"/>
  <c r="HP348" i="1"/>
  <c r="HQ348" i="1"/>
  <c r="HR348" i="1"/>
  <c r="HS348" i="1"/>
  <c r="HT348" i="1"/>
  <c r="HU348" i="1"/>
  <c r="HV348" i="1"/>
  <c r="HW348" i="1"/>
  <c r="HX348" i="1"/>
  <c r="HY348" i="1"/>
  <c r="HZ348" i="1"/>
  <c r="IA348" i="1"/>
  <c r="IB348" i="1"/>
  <c r="IC348" i="1"/>
  <c r="ID348" i="1"/>
  <c r="IE348" i="1"/>
  <c r="IF348" i="1"/>
  <c r="IG348" i="1"/>
  <c r="IH348" i="1"/>
  <c r="II348" i="1"/>
  <c r="IJ348" i="1"/>
  <c r="IK348" i="1"/>
  <c r="IL348" i="1"/>
  <c r="IM348" i="1"/>
  <c r="IN348" i="1"/>
  <c r="IO348" i="1"/>
  <c r="IP348" i="1"/>
  <c r="IQ348" i="1"/>
  <c r="IR348" i="1"/>
  <c r="IS348" i="1"/>
  <c r="IT348" i="1"/>
  <c r="IU348" i="1"/>
  <c r="IV348" i="1"/>
  <c r="IW348" i="1"/>
  <c r="IX348" i="1"/>
  <c r="IY348" i="1"/>
  <c r="IZ348" i="1"/>
  <c r="JA348" i="1"/>
  <c r="JB348" i="1"/>
  <c r="JC348" i="1"/>
  <c r="JD348" i="1"/>
  <c r="JE348" i="1"/>
  <c r="JF348" i="1"/>
  <c r="JG348" i="1"/>
  <c r="JH348" i="1"/>
  <c r="JI348" i="1"/>
  <c r="JJ348" i="1"/>
  <c r="JK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  <c r="CJ349" i="1"/>
  <c r="CK349" i="1"/>
  <c r="CL349" i="1"/>
  <c r="CM349" i="1"/>
  <c r="CN349" i="1"/>
  <c r="CO349" i="1"/>
  <c r="CP349" i="1"/>
  <c r="CQ349" i="1"/>
  <c r="CR349" i="1"/>
  <c r="CS349" i="1"/>
  <c r="CT349" i="1"/>
  <c r="CU349" i="1"/>
  <c r="CV349" i="1"/>
  <c r="CW349" i="1"/>
  <c r="CX349" i="1"/>
  <c r="CY349" i="1"/>
  <c r="CZ349" i="1"/>
  <c r="DA349" i="1"/>
  <c r="DB349" i="1"/>
  <c r="DC349" i="1"/>
  <c r="DD349" i="1"/>
  <c r="DE349" i="1"/>
  <c r="DF349" i="1"/>
  <c r="DG349" i="1"/>
  <c r="DH349" i="1"/>
  <c r="DI349" i="1"/>
  <c r="DJ349" i="1"/>
  <c r="DK349" i="1"/>
  <c r="DL349" i="1"/>
  <c r="DM349" i="1"/>
  <c r="DN349" i="1"/>
  <c r="DO349" i="1"/>
  <c r="DP349" i="1"/>
  <c r="DQ349" i="1"/>
  <c r="DR349" i="1"/>
  <c r="DS349" i="1"/>
  <c r="DT349" i="1"/>
  <c r="DU349" i="1"/>
  <c r="DV349" i="1"/>
  <c r="DW349" i="1"/>
  <c r="DX349" i="1"/>
  <c r="DY349" i="1"/>
  <c r="DZ349" i="1"/>
  <c r="EA349" i="1"/>
  <c r="EB349" i="1"/>
  <c r="EC349" i="1"/>
  <c r="ED349" i="1"/>
  <c r="EE349" i="1"/>
  <c r="EF349" i="1"/>
  <c r="EG349" i="1"/>
  <c r="EH349" i="1"/>
  <c r="EI349" i="1"/>
  <c r="EJ349" i="1"/>
  <c r="EK349" i="1"/>
  <c r="EL349" i="1"/>
  <c r="EM349" i="1"/>
  <c r="EN349" i="1"/>
  <c r="EO349" i="1"/>
  <c r="EP349" i="1"/>
  <c r="EQ349" i="1"/>
  <c r="ER349" i="1"/>
  <c r="ES349" i="1"/>
  <c r="ET349" i="1"/>
  <c r="EU349" i="1"/>
  <c r="EV349" i="1"/>
  <c r="EW349" i="1"/>
  <c r="EX349" i="1"/>
  <c r="EY349" i="1"/>
  <c r="EZ349" i="1"/>
  <c r="FA349" i="1"/>
  <c r="FB349" i="1"/>
  <c r="FC349" i="1"/>
  <c r="FD349" i="1"/>
  <c r="FE349" i="1"/>
  <c r="FF349" i="1"/>
  <c r="FG349" i="1"/>
  <c r="FH349" i="1"/>
  <c r="FI349" i="1"/>
  <c r="FJ349" i="1"/>
  <c r="FK349" i="1"/>
  <c r="FL349" i="1"/>
  <c r="FM349" i="1"/>
  <c r="FN349" i="1"/>
  <c r="FO349" i="1"/>
  <c r="FP349" i="1"/>
  <c r="FQ349" i="1"/>
  <c r="FR349" i="1"/>
  <c r="FS349" i="1"/>
  <c r="FT349" i="1"/>
  <c r="FU349" i="1"/>
  <c r="FV349" i="1"/>
  <c r="FW349" i="1"/>
  <c r="FX349" i="1"/>
  <c r="FY349" i="1"/>
  <c r="FZ349" i="1"/>
  <c r="GA349" i="1"/>
  <c r="GB349" i="1"/>
  <c r="GC349" i="1"/>
  <c r="GD349" i="1"/>
  <c r="GE349" i="1"/>
  <c r="GF349" i="1"/>
  <c r="GG349" i="1"/>
  <c r="GH349" i="1"/>
  <c r="GI349" i="1"/>
  <c r="GJ349" i="1"/>
  <c r="GK349" i="1"/>
  <c r="GL349" i="1"/>
  <c r="GM349" i="1"/>
  <c r="GN349" i="1"/>
  <c r="GO349" i="1"/>
  <c r="GP349" i="1"/>
  <c r="GQ349" i="1"/>
  <c r="GR349" i="1"/>
  <c r="GS349" i="1"/>
  <c r="GT349" i="1"/>
  <c r="GU349" i="1"/>
  <c r="GV349" i="1"/>
  <c r="GW349" i="1"/>
  <c r="GX349" i="1"/>
  <c r="GY349" i="1"/>
  <c r="GZ349" i="1"/>
  <c r="HA349" i="1"/>
  <c r="HB349" i="1"/>
  <c r="HC349" i="1"/>
  <c r="HD349" i="1"/>
  <c r="HE349" i="1"/>
  <c r="HF349" i="1"/>
  <c r="HG349" i="1"/>
  <c r="HH349" i="1"/>
  <c r="HI349" i="1"/>
  <c r="HJ349" i="1"/>
  <c r="HK349" i="1"/>
  <c r="HL349" i="1"/>
  <c r="HM349" i="1"/>
  <c r="HN349" i="1"/>
  <c r="HO349" i="1"/>
  <c r="HP349" i="1"/>
  <c r="HQ349" i="1"/>
  <c r="HR349" i="1"/>
  <c r="HS349" i="1"/>
  <c r="HT349" i="1"/>
  <c r="HU349" i="1"/>
  <c r="HV349" i="1"/>
  <c r="HW349" i="1"/>
  <c r="HX349" i="1"/>
  <c r="HY349" i="1"/>
  <c r="HZ349" i="1"/>
  <c r="IA349" i="1"/>
  <c r="IB349" i="1"/>
  <c r="IC349" i="1"/>
  <c r="ID349" i="1"/>
  <c r="IE349" i="1"/>
  <c r="IF349" i="1"/>
  <c r="IG349" i="1"/>
  <c r="IH349" i="1"/>
  <c r="II349" i="1"/>
  <c r="IJ349" i="1"/>
  <c r="IK349" i="1"/>
  <c r="IL349" i="1"/>
  <c r="IM349" i="1"/>
  <c r="IN349" i="1"/>
  <c r="IO349" i="1"/>
  <c r="IP349" i="1"/>
  <c r="IQ349" i="1"/>
  <c r="IR349" i="1"/>
  <c r="IS349" i="1"/>
  <c r="IT349" i="1"/>
  <c r="IU349" i="1"/>
  <c r="IV349" i="1"/>
  <c r="IW349" i="1"/>
  <c r="IX349" i="1"/>
  <c r="IY349" i="1"/>
  <c r="IZ349" i="1"/>
  <c r="JA349" i="1"/>
  <c r="JB349" i="1"/>
  <c r="JC349" i="1"/>
  <c r="JD349" i="1"/>
  <c r="JE349" i="1"/>
  <c r="JF349" i="1"/>
  <c r="JG349" i="1"/>
  <c r="JH349" i="1"/>
  <c r="JI349" i="1"/>
  <c r="JJ349" i="1"/>
  <c r="JK349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U351" i="1"/>
  <c r="BV351" i="1"/>
  <c r="BW351" i="1"/>
  <c r="BX351" i="1"/>
  <c r="BY351" i="1"/>
  <c r="BZ351" i="1"/>
  <c r="CA351" i="1"/>
  <c r="CB351" i="1"/>
  <c r="CC351" i="1"/>
  <c r="CD351" i="1"/>
  <c r="CE351" i="1"/>
  <c r="CF351" i="1"/>
  <c r="CG351" i="1"/>
  <c r="CH351" i="1"/>
  <c r="CI351" i="1"/>
  <c r="CJ351" i="1"/>
  <c r="CK351" i="1"/>
  <c r="CL351" i="1"/>
  <c r="CM351" i="1"/>
  <c r="CN351" i="1"/>
  <c r="CO351" i="1"/>
  <c r="CP351" i="1"/>
  <c r="CQ351" i="1"/>
  <c r="CR351" i="1"/>
  <c r="CS351" i="1"/>
  <c r="CT351" i="1"/>
  <c r="CU351" i="1"/>
  <c r="CV351" i="1"/>
  <c r="CW351" i="1"/>
  <c r="CX351" i="1"/>
  <c r="CY351" i="1"/>
  <c r="CZ351" i="1"/>
  <c r="DA351" i="1"/>
  <c r="DB351" i="1"/>
  <c r="DC351" i="1"/>
  <c r="DD351" i="1"/>
  <c r="DE351" i="1"/>
  <c r="DF351" i="1"/>
  <c r="DG351" i="1"/>
  <c r="DH351" i="1"/>
  <c r="DI351" i="1"/>
  <c r="DJ351" i="1"/>
  <c r="DK351" i="1"/>
  <c r="DL351" i="1"/>
  <c r="DM351" i="1"/>
  <c r="DN351" i="1"/>
  <c r="DO351" i="1"/>
  <c r="DP351" i="1"/>
  <c r="DQ351" i="1"/>
  <c r="DR351" i="1"/>
  <c r="DS351" i="1"/>
  <c r="DT351" i="1"/>
  <c r="DU351" i="1"/>
  <c r="DV351" i="1"/>
  <c r="DW351" i="1"/>
  <c r="DX351" i="1"/>
  <c r="DY351" i="1"/>
  <c r="DZ351" i="1"/>
  <c r="EA351" i="1"/>
  <c r="EB351" i="1"/>
  <c r="EC351" i="1"/>
  <c r="ED351" i="1"/>
  <c r="EE351" i="1"/>
  <c r="EF351" i="1"/>
  <c r="EG351" i="1"/>
  <c r="EH351" i="1"/>
  <c r="EI351" i="1"/>
  <c r="EJ351" i="1"/>
  <c r="EK351" i="1"/>
  <c r="EL351" i="1"/>
  <c r="EM351" i="1"/>
  <c r="EN351" i="1"/>
  <c r="EO351" i="1"/>
  <c r="EP351" i="1"/>
  <c r="EQ351" i="1"/>
  <c r="ER351" i="1"/>
  <c r="ES351" i="1"/>
  <c r="ET351" i="1"/>
  <c r="EU351" i="1"/>
  <c r="EV351" i="1"/>
  <c r="EW351" i="1"/>
  <c r="EX351" i="1"/>
  <c r="EY351" i="1"/>
  <c r="EZ351" i="1"/>
  <c r="FA351" i="1"/>
  <c r="FB351" i="1"/>
  <c r="FC351" i="1"/>
  <c r="FD351" i="1"/>
  <c r="FE351" i="1"/>
  <c r="FF351" i="1"/>
  <c r="FG351" i="1"/>
  <c r="FH351" i="1"/>
  <c r="FI351" i="1"/>
  <c r="FJ351" i="1"/>
  <c r="FK351" i="1"/>
  <c r="FL351" i="1"/>
  <c r="FM351" i="1"/>
  <c r="FN351" i="1"/>
  <c r="FO351" i="1"/>
  <c r="FP351" i="1"/>
  <c r="FQ351" i="1"/>
  <c r="FR351" i="1"/>
  <c r="FS351" i="1"/>
  <c r="FT351" i="1"/>
  <c r="FU351" i="1"/>
  <c r="FV351" i="1"/>
  <c r="FW351" i="1"/>
  <c r="FX351" i="1"/>
  <c r="FY351" i="1"/>
  <c r="FZ351" i="1"/>
  <c r="GA351" i="1"/>
  <c r="GB351" i="1"/>
  <c r="GC351" i="1"/>
  <c r="GD351" i="1"/>
  <c r="GE351" i="1"/>
  <c r="GF351" i="1"/>
  <c r="GG351" i="1"/>
  <c r="GH351" i="1"/>
  <c r="GI351" i="1"/>
  <c r="GJ351" i="1"/>
  <c r="GK351" i="1"/>
  <c r="GL351" i="1"/>
  <c r="GM351" i="1"/>
  <c r="GN351" i="1"/>
  <c r="GO351" i="1"/>
  <c r="GP351" i="1"/>
  <c r="GQ351" i="1"/>
  <c r="GR351" i="1"/>
  <c r="GS351" i="1"/>
  <c r="GT351" i="1"/>
  <c r="GU351" i="1"/>
  <c r="GV351" i="1"/>
  <c r="GW351" i="1"/>
  <c r="GX351" i="1"/>
  <c r="GY351" i="1"/>
  <c r="GZ351" i="1"/>
  <c r="HA351" i="1"/>
  <c r="HB351" i="1"/>
  <c r="HC351" i="1"/>
  <c r="HD351" i="1"/>
  <c r="HE351" i="1"/>
  <c r="HF351" i="1"/>
  <c r="HG351" i="1"/>
  <c r="HH351" i="1"/>
  <c r="HI351" i="1"/>
  <c r="HJ351" i="1"/>
  <c r="HK351" i="1"/>
  <c r="HL351" i="1"/>
  <c r="HM351" i="1"/>
  <c r="HN351" i="1"/>
  <c r="HO351" i="1"/>
  <c r="HP351" i="1"/>
  <c r="HQ351" i="1"/>
  <c r="HR351" i="1"/>
  <c r="HS351" i="1"/>
  <c r="HT351" i="1"/>
  <c r="HU351" i="1"/>
  <c r="HV351" i="1"/>
  <c r="HW351" i="1"/>
  <c r="HX351" i="1"/>
  <c r="HY351" i="1"/>
  <c r="HZ351" i="1"/>
  <c r="IA351" i="1"/>
  <c r="IB351" i="1"/>
  <c r="IC351" i="1"/>
  <c r="ID351" i="1"/>
  <c r="IE351" i="1"/>
  <c r="IF351" i="1"/>
  <c r="IG351" i="1"/>
  <c r="IH351" i="1"/>
  <c r="II351" i="1"/>
  <c r="IJ351" i="1"/>
  <c r="IK351" i="1"/>
  <c r="IL351" i="1"/>
  <c r="IM351" i="1"/>
  <c r="IN351" i="1"/>
  <c r="IO351" i="1"/>
  <c r="IP351" i="1"/>
  <c r="IQ351" i="1"/>
  <c r="IR351" i="1"/>
  <c r="IS351" i="1"/>
  <c r="IT351" i="1"/>
  <c r="IU351" i="1"/>
  <c r="IV351" i="1"/>
  <c r="IW351" i="1"/>
  <c r="IX351" i="1"/>
  <c r="IY351" i="1"/>
  <c r="IZ351" i="1"/>
  <c r="JA351" i="1"/>
  <c r="JB351" i="1"/>
  <c r="JC351" i="1"/>
  <c r="JD351" i="1"/>
  <c r="JE351" i="1"/>
  <c r="JF351" i="1"/>
  <c r="JG351" i="1"/>
  <c r="JH351" i="1"/>
  <c r="JI351" i="1"/>
  <c r="JJ351" i="1"/>
  <c r="JK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BI352" i="1"/>
  <c r="BJ352" i="1"/>
  <c r="BK352" i="1"/>
  <c r="BL352" i="1"/>
  <c r="BM352" i="1"/>
  <c r="BN352" i="1"/>
  <c r="BO352" i="1"/>
  <c r="BP352" i="1"/>
  <c r="BQ352" i="1"/>
  <c r="BR352" i="1"/>
  <c r="BS352" i="1"/>
  <c r="BT352" i="1"/>
  <c r="BU352" i="1"/>
  <c r="BV352" i="1"/>
  <c r="BW352" i="1"/>
  <c r="BX352" i="1"/>
  <c r="BY352" i="1"/>
  <c r="BZ352" i="1"/>
  <c r="CA352" i="1"/>
  <c r="CB352" i="1"/>
  <c r="CC352" i="1"/>
  <c r="CD352" i="1"/>
  <c r="CE352" i="1"/>
  <c r="CF352" i="1"/>
  <c r="CG352" i="1"/>
  <c r="CH352" i="1"/>
  <c r="CI352" i="1"/>
  <c r="CJ352" i="1"/>
  <c r="CK352" i="1"/>
  <c r="CL352" i="1"/>
  <c r="CM352" i="1"/>
  <c r="CN352" i="1"/>
  <c r="CO352" i="1"/>
  <c r="CP352" i="1"/>
  <c r="CQ352" i="1"/>
  <c r="CR352" i="1"/>
  <c r="CS352" i="1"/>
  <c r="CT352" i="1"/>
  <c r="CU352" i="1"/>
  <c r="CV352" i="1"/>
  <c r="CW352" i="1"/>
  <c r="CX352" i="1"/>
  <c r="CY352" i="1"/>
  <c r="CZ352" i="1"/>
  <c r="DA352" i="1"/>
  <c r="DB352" i="1"/>
  <c r="DC352" i="1"/>
  <c r="DD352" i="1"/>
  <c r="DE352" i="1"/>
  <c r="DF352" i="1"/>
  <c r="DG352" i="1"/>
  <c r="DH352" i="1"/>
  <c r="DI352" i="1"/>
  <c r="DJ352" i="1"/>
  <c r="DK352" i="1"/>
  <c r="DL352" i="1"/>
  <c r="DM352" i="1"/>
  <c r="DN352" i="1"/>
  <c r="DO352" i="1"/>
  <c r="DP352" i="1"/>
  <c r="DQ352" i="1"/>
  <c r="DR352" i="1"/>
  <c r="DS352" i="1"/>
  <c r="DT352" i="1"/>
  <c r="DU352" i="1"/>
  <c r="DV352" i="1"/>
  <c r="DW352" i="1"/>
  <c r="DX352" i="1"/>
  <c r="DY352" i="1"/>
  <c r="DZ352" i="1"/>
  <c r="EA352" i="1"/>
  <c r="EB352" i="1"/>
  <c r="EC352" i="1"/>
  <c r="ED352" i="1"/>
  <c r="EE352" i="1"/>
  <c r="EF352" i="1"/>
  <c r="EG352" i="1"/>
  <c r="EH352" i="1"/>
  <c r="EI352" i="1"/>
  <c r="EJ352" i="1"/>
  <c r="EK352" i="1"/>
  <c r="EL352" i="1"/>
  <c r="EM352" i="1"/>
  <c r="EN352" i="1"/>
  <c r="EO352" i="1"/>
  <c r="EP352" i="1"/>
  <c r="EQ352" i="1"/>
  <c r="ER352" i="1"/>
  <c r="ES352" i="1"/>
  <c r="ET352" i="1"/>
  <c r="EU352" i="1"/>
  <c r="EV352" i="1"/>
  <c r="EW352" i="1"/>
  <c r="EX352" i="1"/>
  <c r="EY352" i="1"/>
  <c r="EZ352" i="1"/>
  <c r="FA352" i="1"/>
  <c r="FB352" i="1"/>
  <c r="FC352" i="1"/>
  <c r="FD352" i="1"/>
  <c r="FE352" i="1"/>
  <c r="FF352" i="1"/>
  <c r="FG352" i="1"/>
  <c r="FH352" i="1"/>
  <c r="FI352" i="1"/>
  <c r="FJ352" i="1"/>
  <c r="FK352" i="1"/>
  <c r="FL352" i="1"/>
  <c r="FM352" i="1"/>
  <c r="FN352" i="1"/>
  <c r="FO352" i="1"/>
  <c r="FP352" i="1"/>
  <c r="FQ352" i="1"/>
  <c r="FR352" i="1"/>
  <c r="FS352" i="1"/>
  <c r="FT352" i="1"/>
  <c r="FU352" i="1"/>
  <c r="FV352" i="1"/>
  <c r="FW352" i="1"/>
  <c r="FX352" i="1"/>
  <c r="FY352" i="1"/>
  <c r="FZ352" i="1"/>
  <c r="GA352" i="1"/>
  <c r="GB352" i="1"/>
  <c r="GC352" i="1"/>
  <c r="GD352" i="1"/>
  <c r="GE352" i="1"/>
  <c r="GF352" i="1"/>
  <c r="GG352" i="1"/>
  <c r="GH352" i="1"/>
  <c r="GI352" i="1"/>
  <c r="GJ352" i="1"/>
  <c r="GK352" i="1"/>
  <c r="GL352" i="1"/>
  <c r="GM352" i="1"/>
  <c r="GN352" i="1"/>
  <c r="GO352" i="1"/>
  <c r="GP352" i="1"/>
  <c r="GQ352" i="1"/>
  <c r="GR352" i="1"/>
  <c r="GS352" i="1"/>
  <c r="GT352" i="1"/>
  <c r="GU352" i="1"/>
  <c r="GV352" i="1"/>
  <c r="GW352" i="1"/>
  <c r="GX352" i="1"/>
  <c r="GY352" i="1"/>
  <c r="GZ352" i="1"/>
  <c r="HA352" i="1"/>
  <c r="HB352" i="1"/>
  <c r="HC352" i="1"/>
  <c r="HD352" i="1"/>
  <c r="HE352" i="1"/>
  <c r="HF352" i="1"/>
  <c r="HG352" i="1"/>
  <c r="HH352" i="1"/>
  <c r="HI352" i="1"/>
  <c r="HJ352" i="1"/>
  <c r="HK352" i="1"/>
  <c r="HL352" i="1"/>
  <c r="HM352" i="1"/>
  <c r="HN352" i="1"/>
  <c r="HO352" i="1"/>
  <c r="HP352" i="1"/>
  <c r="HQ352" i="1"/>
  <c r="HR352" i="1"/>
  <c r="HS352" i="1"/>
  <c r="HT352" i="1"/>
  <c r="HU352" i="1"/>
  <c r="HV352" i="1"/>
  <c r="HW352" i="1"/>
  <c r="HX352" i="1"/>
  <c r="HY352" i="1"/>
  <c r="HZ352" i="1"/>
  <c r="IA352" i="1"/>
  <c r="IB352" i="1"/>
  <c r="IC352" i="1"/>
  <c r="ID352" i="1"/>
  <c r="IE352" i="1"/>
  <c r="IF352" i="1"/>
  <c r="IG352" i="1"/>
  <c r="IH352" i="1"/>
  <c r="II352" i="1"/>
  <c r="IJ352" i="1"/>
  <c r="IK352" i="1"/>
  <c r="IL352" i="1"/>
  <c r="IM352" i="1"/>
  <c r="IN352" i="1"/>
  <c r="IO352" i="1"/>
  <c r="IP352" i="1"/>
  <c r="IQ352" i="1"/>
  <c r="IR352" i="1"/>
  <c r="IS352" i="1"/>
  <c r="IT352" i="1"/>
  <c r="IU352" i="1"/>
  <c r="IV352" i="1"/>
  <c r="IW352" i="1"/>
  <c r="IX352" i="1"/>
  <c r="IY352" i="1"/>
  <c r="IZ352" i="1"/>
  <c r="JA352" i="1"/>
  <c r="JB352" i="1"/>
  <c r="JC352" i="1"/>
  <c r="JD352" i="1"/>
  <c r="JE352" i="1"/>
  <c r="JF352" i="1"/>
  <c r="JG352" i="1"/>
  <c r="JH352" i="1"/>
  <c r="JI352" i="1"/>
  <c r="JJ352" i="1"/>
  <c r="JK352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BI354" i="1"/>
  <c r="BJ354" i="1"/>
  <c r="BK354" i="1"/>
  <c r="BL354" i="1"/>
  <c r="BM354" i="1"/>
  <c r="BN354" i="1"/>
  <c r="BO354" i="1"/>
  <c r="BP354" i="1"/>
  <c r="BQ354" i="1"/>
  <c r="BR354" i="1"/>
  <c r="BS354" i="1"/>
  <c r="BT354" i="1"/>
  <c r="BU354" i="1"/>
  <c r="BV354" i="1"/>
  <c r="BW354" i="1"/>
  <c r="BX354" i="1"/>
  <c r="BY354" i="1"/>
  <c r="BZ354" i="1"/>
  <c r="CA354" i="1"/>
  <c r="CB354" i="1"/>
  <c r="CC354" i="1"/>
  <c r="CD354" i="1"/>
  <c r="CE354" i="1"/>
  <c r="CF354" i="1"/>
  <c r="CG354" i="1"/>
  <c r="CH354" i="1"/>
  <c r="CI354" i="1"/>
  <c r="CJ354" i="1"/>
  <c r="CK354" i="1"/>
  <c r="CL354" i="1"/>
  <c r="CM354" i="1"/>
  <c r="CN354" i="1"/>
  <c r="CO354" i="1"/>
  <c r="CP354" i="1"/>
  <c r="CQ354" i="1"/>
  <c r="CR354" i="1"/>
  <c r="CS354" i="1"/>
  <c r="CT354" i="1"/>
  <c r="CU354" i="1"/>
  <c r="CV354" i="1"/>
  <c r="CW354" i="1"/>
  <c r="CX354" i="1"/>
  <c r="CY354" i="1"/>
  <c r="CZ354" i="1"/>
  <c r="DA354" i="1"/>
  <c r="DB354" i="1"/>
  <c r="DC354" i="1"/>
  <c r="DD354" i="1"/>
  <c r="DE354" i="1"/>
  <c r="DF354" i="1"/>
  <c r="DG354" i="1"/>
  <c r="DH354" i="1"/>
  <c r="DI354" i="1"/>
  <c r="DJ354" i="1"/>
  <c r="DK354" i="1"/>
  <c r="DL354" i="1"/>
  <c r="DM354" i="1"/>
  <c r="DN354" i="1"/>
  <c r="DO354" i="1"/>
  <c r="DP354" i="1"/>
  <c r="DQ354" i="1"/>
  <c r="DR354" i="1"/>
  <c r="DS354" i="1"/>
  <c r="DT354" i="1"/>
  <c r="DU354" i="1"/>
  <c r="DV354" i="1"/>
  <c r="DW354" i="1"/>
  <c r="DX354" i="1"/>
  <c r="DY354" i="1"/>
  <c r="DZ354" i="1"/>
  <c r="EA354" i="1"/>
  <c r="EB354" i="1"/>
  <c r="EC354" i="1"/>
  <c r="ED354" i="1"/>
  <c r="EE354" i="1"/>
  <c r="EF354" i="1"/>
  <c r="EG354" i="1"/>
  <c r="EH354" i="1"/>
  <c r="EI354" i="1"/>
  <c r="EJ354" i="1"/>
  <c r="EK354" i="1"/>
  <c r="EL354" i="1"/>
  <c r="EM354" i="1"/>
  <c r="EN354" i="1"/>
  <c r="EO354" i="1"/>
  <c r="EP354" i="1"/>
  <c r="EQ354" i="1"/>
  <c r="ER354" i="1"/>
  <c r="ES354" i="1"/>
  <c r="ET354" i="1"/>
  <c r="EU354" i="1"/>
  <c r="EV354" i="1"/>
  <c r="EW354" i="1"/>
  <c r="EX354" i="1"/>
  <c r="EY354" i="1"/>
  <c r="EZ354" i="1"/>
  <c r="FA354" i="1"/>
  <c r="FB354" i="1"/>
  <c r="FC354" i="1"/>
  <c r="FD354" i="1"/>
  <c r="FE354" i="1"/>
  <c r="FF354" i="1"/>
  <c r="FG354" i="1"/>
  <c r="FH354" i="1"/>
  <c r="FI354" i="1"/>
  <c r="FJ354" i="1"/>
  <c r="FK354" i="1"/>
  <c r="FL354" i="1"/>
  <c r="FM354" i="1"/>
  <c r="FN354" i="1"/>
  <c r="FO354" i="1"/>
  <c r="FP354" i="1"/>
  <c r="FQ354" i="1"/>
  <c r="FR354" i="1"/>
  <c r="FS354" i="1"/>
  <c r="FT354" i="1"/>
  <c r="FU354" i="1"/>
  <c r="FV354" i="1"/>
  <c r="FW354" i="1"/>
  <c r="FX354" i="1"/>
  <c r="FY354" i="1"/>
  <c r="FZ354" i="1"/>
  <c r="GA354" i="1"/>
  <c r="GB354" i="1"/>
  <c r="GC354" i="1"/>
  <c r="GD354" i="1"/>
  <c r="GE354" i="1"/>
  <c r="GF354" i="1"/>
  <c r="GG354" i="1"/>
  <c r="GH354" i="1"/>
  <c r="GI354" i="1"/>
  <c r="GJ354" i="1"/>
  <c r="GK354" i="1"/>
  <c r="GL354" i="1"/>
  <c r="GM354" i="1"/>
  <c r="GN354" i="1"/>
  <c r="GO354" i="1"/>
  <c r="GP354" i="1"/>
  <c r="GQ354" i="1"/>
  <c r="GR354" i="1"/>
  <c r="GS354" i="1"/>
  <c r="GT354" i="1"/>
  <c r="GU354" i="1"/>
  <c r="GV354" i="1"/>
  <c r="GW354" i="1"/>
  <c r="GX354" i="1"/>
  <c r="GY354" i="1"/>
  <c r="GZ354" i="1"/>
  <c r="HA354" i="1"/>
  <c r="HB354" i="1"/>
  <c r="HC354" i="1"/>
  <c r="HD354" i="1"/>
  <c r="HE354" i="1"/>
  <c r="HF354" i="1"/>
  <c r="HG354" i="1"/>
  <c r="HH354" i="1"/>
  <c r="HI354" i="1"/>
  <c r="HJ354" i="1"/>
  <c r="HK354" i="1"/>
  <c r="HL354" i="1"/>
  <c r="HM354" i="1"/>
  <c r="HN354" i="1"/>
  <c r="HO354" i="1"/>
  <c r="HP354" i="1"/>
  <c r="HQ354" i="1"/>
  <c r="HR354" i="1"/>
  <c r="HS354" i="1"/>
  <c r="HT354" i="1"/>
  <c r="HU354" i="1"/>
  <c r="HV354" i="1"/>
  <c r="HW354" i="1"/>
  <c r="HX354" i="1"/>
  <c r="HY354" i="1"/>
  <c r="HZ354" i="1"/>
  <c r="IA354" i="1"/>
  <c r="IB354" i="1"/>
  <c r="IC354" i="1"/>
  <c r="ID354" i="1"/>
  <c r="IE354" i="1"/>
  <c r="IF354" i="1"/>
  <c r="IG354" i="1"/>
  <c r="IH354" i="1"/>
  <c r="II354" i="1"/>
  <c r="IJ354" i="1"/>
  <c r="IK354" i="1"/>
  <c r="IL354" i="1"/>
  <c r="IM354" i="1"/>
  <c r="IN354" i="1"/>
  <c r="IO354" i="1"/>
  <c r="IP354" i="1"/>
  <c r="IQ354" i="1"/>
  <c r="IR354" i="1"/>
  <c r="IS354" i="1"/>
  <c r="IT354" i="1"/>
  <c r="IU354" i="1"/>
  <c r="IV354" i="1"/>
  <c r="IW354" i="1"/>
  <c r="IX354" i="1"/>
  <c r="IY354" i="1"/>
  <c r="IZ354" i="1"/>
  <c r="JA354" i="1"/>
  <c r="JB354" i="1"/>
  <c r="JC354" i="1"/>
  <c r="JD354" i="1"/>
  <c r="JE354" i="1"/>
  <c r="JF354" i="1"/>
  <c r="JG354" i="1"/>
  <c r="JH354" i="1"/>
  <c r="JI354" i="1"/>
  <c r="JJ354" i="1"/>
  <c r="JK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BI355" i="1"/>
  <c r="BJ355" i="1"/>
  <c r="BK355" i="1"/>
  <c r="BL355" i="1"/>
  <c r="BM355" i="1"/>
  <c r="BN355" i="1"/>
  <c r="BO355" i="1"/>
  <c r="BP355" i="1"/>
  <c r="BQ355" i="1"/>
  <c r="BR355" i="1"/>
  <c r="BS355" i="1"/>
  <c r="BT355" i="1"/>
  <c r="BU355" i="1"/>
  <c r="BV355" i="1"/>
  <c r="BW355" i="1"/>
  <c r="BX355" i="1"/>
  <c r="BY355" i="1"/>
  <c r="BZ355" i="1"/>
  <c r="CA355" i="1"/>
  <c r="CB355" i="1"/>
  <c r="CC355" i="1"/>
  <c r="CD355" i="1"/>
  <c r="CE355" i="1"/>
  <c r="CF355" i="1"/>
  <c r="CG355" i="1"/>
  <c r="CH355" i="1"/>
  <c r="CI355" i="1"/>
  <c r="CJ355" i="1"/>
  <c r="CK355" i="1"/>
  <c r="CL355" i="1"/>
  <c r="CM355" i="1"/>
  <c r="CN355" i="1"/>
  <c r="CO355" i="1"/>
  <c r="CP355" i="1"/>
  <c r="CQ355" i="1"/>
  <c r="CR355" i="1"/>
  <c r="CS355" i="1"/>
  <c r="CT355" i="1"/>
  <c r="CU355" i="1"/>
  <c r="CV355" i="1"/>
  <c r="CW355" i="1"/>
  <c r="CX355" i="1"/>
  <c r="CY355" i="1"/>
  <c r="CZ355" i="1"/>
  <c r="DA355" i="1"/>
  <c r="DB355" i="1"/>
  <c r="DC355" i="1"/>
  <c r="DD355" i="1"/>
  <c r="DE355" i="1"/>
  <c r="DF355" i="1"/>
  <c r="DG355" i="1"/>
  <c r="DH355" i="1"/>
  <c r="DI355" i="1"/>
  <c r="DJ355" i="1"/>
  <c r="DK355" i="1"/>
  <c r="DL355" i="1"/>
  <c r="DM355" i="1"/>
  <c r="DN355" i="1"/>
  <c r="DO355" i="1"/>
  <c r="DP355" i="1"/>
  <c r="DQ355" i="1"/>
  <c r="DR355" i="1"/>
  <c r="DS355" i="1"/>
  <c r="DT355" i="1"/>
  <c r="DU355" i="1"/>
  <c r="DV355" i="1"/>
  <c r="DW355" i="1"/>
  <c r="DX355" i="1"/>
  <c r="DY355" i="1"/>
  <c r="DZ355" i="1"/>
  <c r="EA355" i="1"/>
  <c r="EB355" i="1"/>
  <c r="EC355" i="1"/>
  <c r="ED355" i="1"/>
  <c r="EE355" i="1"/>
  <c r="EF355" i="1"/>
  <c r="EG355" i="1"/>
  <c r="EH355" i="1"/>
  <c r="EI355" i="1"/>
  <c r="EJ355" i="1"/>
  <c r="EK355" i="1"/>
  <c r="EL355" i="1"/>
  <c r="EM355" i="1"/>
  <c r="EN355" i="1"/>
  <c r="EO355" i="1"/>
  <c r="EP355" i="1"/>
  <c r="EQ355" i="1"/>
  <c r="ER355" i="1"/>
  <c r="ES355" i="1"/>
  <c r="ET355" i="1"/>
  <c r="EU355" i="1"/>
  <c r="EV355" i="1"/>
  <c r="EW355" i="1"/>
  <c r="EX355" i="1"/>
  <c r="EY355" i="1"/>
  <c r="EZ355" i="1"/>
  <c r="FA355" i="1"/>
  <c r="FB355" i="1"/>
  <c r="FC355" i="1"/>
  <c r="FD355" i="1"/>
  <c r="FE355" i="1"/>
  <c r="FF355" i="1"/>
  <c r="FG355" i="1"/>
  <c r="FH355" i="1"/>
  <c r="FI355" i="1"/>
  <c r="FJ355" i="1"/>
  <c r="FK355" i="1"/>
  <c r="FL355" i="1"/>
  <c r="FM355" i="1"/>
  <c r="FN355" i="1"/>
  <c r="FO355" i="1"/>
  <c r="FP355" i="1"/>
  <c r="FQ355" i="1"/>
  <c r="FR355" i="1"/>
  <c r="FS355" i="1"/>
  <c r="FT355" i="1"/>
  <c r="FU355" i="1"/>
  <c r="FV355" i="1"/>
  <c r="FW355" i="1"/>
  <c r="FX355" i="1"/>
  <c r="FY355" i="1"/>
  <c r="FZ355" i="1"/>
  <c r="GA355" i="1"/>
  <c r="GB355" i="1"/>
  <c r="GC355" i="1"/>
  <c r="GD355" i="1"/>
  <c r="GE355" i="1"/>
  <c r="GF355" i="1"/>
  <c r="GG355" i="1"/>
  <c r="GH355" i="1"/>
  <c r="GI355" i="1"/>
  <c r="GJ355" i="1"/>
  <c r="GK355" i="1"/>
  <c r="GL355" i="1"/>
  <c r="GM355" i="1"/>
  <c r="GN355" i="1"/>
  <c r="GO355" i="1"/>
  <c r="GP355" i="1"/>
  <c r="GQ355" i="1"/>
  <c r="GR355" i="1"/>
  <c r="GS355" i="1"/>
  <c r="GT355" i="1"/>
  <c r="GU355" i="1"/>
  <c r="GV355" i="1"/>
  <c r="GW355" i="1"/>
  <c r="GX355" i="1"/>
  <c r="GY355" i="1"/>
  <c r="GZ355" i="1"/>
  <c r="HA355" i="1"/>
  <c r="HB355" i="1"/>
  <c r="HC355" i="1"/>
  <c r="HD355" i="1"/>
  <c r="HE355" i="1"/>
  <c r="HF355" i="1"/>
  <c r="HG355" i="1"/>
  <c r="HH355" i="1"/>
  <c r="HI355" i="1"/>
  <c r="HJ355" i="1"/>
  <c r="HK355" i="1"/>
  <c r="HL355" i="1"/>
  <c r="HM355" i="1"/>
  <c r="HN355" i="1"/>
  <c r="HO355" i="1"/>
  <c r="HP355" i="1"/>
  <c r="HQ355" i="1"/>
  <c r="HR355" i="1"/>
  <c r="HS355" i="1"/>
  <c r="HT355" i="1"/>
  <c r="HU355" i="1"/>
  <c r="HV355" i="1"/>
  <c r="HW355" i="1"/>
  <c r="HX355" i="1"/>
  <c r="HY355" i="1"/>
  <c r="HZ355" i="1"/>
  <c r="IA355" i="1"/>
  <c r="IB355" i="1"/>
  <c r="IC355" i="1"/>
  <c r="ID355" i="1"/>
  <c r="IE355" i="1"/>
  <c r="IF355" i="1"/>
  <c r="IG355" i="1"/>
  <c r="IH355" i="1"/>
  <c r="II355" i="1"/>
  <c r="IJ355" i="1"/>
  <c r="IK355" i="1"/>
  <c r="IL355" i="1"/>
  <c r="IM355" i="1"/>
  <c r="IN355" i="1"/>
  <c r="IO355" i="1"/>
  <c r="IP355" i="1"/>
  <c r="IQ355" i="1"/>
  <c r="IR355" i="1"/>
  <c r="IS355" i="1"/>
  <c r="IT355" i="1"/>
  <c r="IU355" i="1"/>
  <c r="IV355" i="1"/>
  <c r="IW355" i="1"/>
  <c r="IX355" i="1"/>
  <c r="IY355" i="1"/>
  <c r="IZ355" i="1"/>
  <c r="JA355" i="1"/>
  <c r="JB355" i="1"/>
  <c r="JC355" i="1"/>
  <c r="JD355" i="1"/>
  <c r="JE355" i="1"/>
  <c r="JF355" i="1"/>
  <c r="JG355" i="1"/>
  <c r="JH355" i="1"/>
  <c r="JI355" i="1"/>
  <c r="JJ355" i="1"/>
  <c r="JK355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BI357" i="1"/>
  <c r="BJ357" i="1"/>
  <c r="BK357" i="1"/>
  <c r="BL357" i="1"/>
  <c r="BM357" i="1"/>
  <c r="BN357" i="1"/>
  <c r="BO357" i="1"/>
  <c r="BP357" i="1"/>
  <c r="BQ357" i="1"/>
  <c r="BR357" i="1"/>
  <c r="BS357" i="1"/>
  <c r="BT357" i="1"/>
  <c r="BU357" i="1"/>
  <c r="BV357" i="1"/>
  <c r="BW357" i="1"/>
  <c r="BX357" i="1"/>
  <c r="BY357" i="1"/>
  <c r="BZ357" i="1"/>
  <c r="CA357" i="1"/>
  <c r="CB357" i="1"/>
  <c r="CC357" i="1"/>
  <c r="CD357" i="1"/>
  <c r="CE357" i="1"/>
  <c r="CF357" i="1"/>
  <c r="CG357" i="1"/>
  <c r="CH357" i="1"/>
  <c r="CI357" i="1"/>
  <c r="CJ357" i="1"/>
  <c r="CK357" i="1"/>
  <c r="CL357" i="1"/>
  <c r="CM357" i="1"/>
  <c r="CN357" i="1"/>
  <c r="CO357" i="1"/>
  <c r="CP357" i="1"/>
  <c r="CQ357" i="1"/>
  <c r="CR357" i="1"/>
  <c r="CS357" i="1"/>
  <c r="CT357" i="1"/>
  <c r="CU357" i="1"/>
  <c r="CV357" i="1"/>
  <c r="CW357" i="1"/>
  <c r="CX357" i="1"/>
  <c r="CY357" i="1"/>
  <c r="CZ357" i="1"/>
  <c r="DA357" i="1"/>
  <c r="DB357" i="1"/>
  <c r="DC357" i="1"/>
  <c r="DD357" i="1"/>
  <c r="DE357" i="1"/>
  <c r="DF357" i="1"/>
  <c r="DG357" i="1"/>
  <c r="DH357" i="1"/>
  <c r="DI357" i="1"/>
  <c r="DJ357" i="1"/>
  <c r="DK357" i="1"/>
  <c r="DL357" i="1"/>
  <c r="DM357" i="1"/>
  <c r="DN357" i="1"/>
  <c r="DO357" i="1"/>
  <c r="DP357" i="1"/>
  <c r="DQ357" i="1"/>
  <c r="DR357" i="1"/>
  <c r="DS357" i="1"/>
  <c r="DT357" i="1"/>
  <c r="DU357" i="1"/>
  <c r="DV357" i="1"/>
  <c r="DW357" i="1"/>
  <c r="DX357" i="1"/>
  <c r="DY357" i="1"/>
  <c r="DZ357" i="1"/>
  <c r="EA357" i="1"/>
  <c r="EB357" i="1"/>
  <c r="EC357" i="1"/>
  <c r="ED357" i="1"/>
  <c r="EE357" i="1"/>
  <c r="EF357" i="1"/>
  <c r="EG357" i="1"/>
  <c r="EH357" i="1"/>
  <c r="EI357" i="1"/>
  <c r="EJ357" i="1"/>
  <c r="EK357" i="1"/>
  <c r="EL357" i="1"/>
  <c r="EM357" i="1"/>
  <c r="EN357" i="1"/>
  <c r="EO357" i="1"/>
  <c r="EP357" i="1"/>
  <c r="EQ357" i="1"/>
  <c r="ER357" i="1"/>
  <c r="ES357" i="1"/>
  <c r="ET357" i="1"/>
  <c r="EU357" i="1"/>
  <c r="EV357" i="1"/>
  <c r="EW357" i="1"/>
  <c r="EX357" i="1"/>
  <c r="EY357" i="1"/>
  <c r="EZ357" i="1"/>
  <c r="FA357" i="1"/>
  <c r="FB357" i="1"/>
  <c r="FC357" i="1"/>
  <c r="FD357" i="1"/>
  <c r="FE357" i="1"/>
  <c r="FF357" i="1"/>
  <c r="FG357" i="1"/>
  <c r="FH357" i="1"/>
  <c r="FI357" i="1"/>
  <c r="FJ357" i="1"/>
  <c r="FK357" i="1"/>
  <c r="FL357" i="1"/>
  <c r="FM357" i="1"/>
  <c r="FN357" i="1"/>
  <c r="FO357" i="1"/>
  <c r="FP357" i="1"/>
  <c r="FQ357" i="1"/>
  <c r="FR357" i="1"/>
  <c r="FS357" i="1"/>
  <c r="FT357" i="1"/>
  <c r="FU357" i="1"/>
  <c r="FV357" i="1"/>
  <c r="FW357" i="1"/>
  <c r="FX357" i="1"/>
  <c r="FY357" i="1"/>
  <c r="FZ357" i="1"/>
  <c r="GA357" i="1"/>
  <c r="GB357" i="1"/>
  <c r="GC357" i="1"/>
  <c r="GD357" i="1"/>
  <c r="GE357" i="1"/>
  <c r="GF357" i="1"/>
  <c r="GG357" i="1"/>
  <c r="GH357" i="1"/>
  <c r="GI357" i="1"/>
  <c r="GJ357" i="1"/>
  <c r="GK357" i="1"/>
  <c r="GL357" i="1"/>
  <c r="GM357" i="1"/>
  <c r="GN357" i="1"/>
  <c r="GO357" i="1"/>
  <c r="GP357" i="1"/>
  <c r="GQ357" i="1"/>
  <c r="GR357" i="1"/>
  <c r="GS357" i="1"/>
  <c r="GT357" i="1"/>
  <c r="GU357" i="1"/>
  <c r="GV357" i="1"/>
  <c r="GW357" i="1"/>
  <c r="GX357" i="1"/>
  <c r="GY357" i="1"/>
  <c r="GZ357" i="1"/>
  <c r="HA357" i="1"/>
  <c r="HB357" i="1"/>
  <c r="HC357" i="1"/>
  <c r="HD357" i="1"/>
  <c r="HE357" i="1"/>
  <c r="HF357" i="1"/>
  <c r="HG357" i="1"/>
  <c r="HH357" i="1"/>
  <c r="HI357" i="1"/>
  <c r="HJ357" i="1"/>
  <c r="HK357" i="1"/>
  <c r="HL357" i="1"/>
  <c r="HM357" i="1"/>
  <c r="HN357" i="1"/>
  <c r="HO357" i="1"/>
  <c r="HP357" i="1"/>
  <c r="HQ357" i="1"/>
  <c r="HR357" i="1"/>
  <c r="HS357" i="1"/>
  <c r="HT357" i="1"/>
  <c r="HU357" i="1"/>
  <c r="HV357" i="1"/>
  <c r="HW357" i="1"/>
  <c r="HX357" i="1"/>
  <c r="HY357" i="1"/>
  <c r="HZ357" i="1"/>
  <c r="IA357" i="1"/>
  <c r="IB357" i="1"/>
  <c r="IC357" i="1"/>
  <c r="ID357" i="1"/>
  <c r="IE357" i="1"/>
  <c r="IF357" i="1"/>
  <c r="IG357" i="1"/>
  <c r="IH357" i="1"/>
  <c r="II357" i="1"/>
  <c r="IJ357" i="1"/>
  <c r="IK357" i="1"/>
  <c r="IL357" i="1"/>
  <c r="IM357" i="1"/>
  <c r="IN357" i="1"/>
  <c r="IO357" i="1"/>
  <c r="IP357" i="1"/>
  <c r="IQ357" i="1"/>
  <c r="IR357" i="1"/>
  <c r="IS357" i="1"/>
  <c r="IT357" i="1"/>
  <c r="IU357" i="1"/>
  <c r="IV357" i="1"/>
  <c r="IW357" i="1"/>
  <c r="IX357" i="1"/>
  <c r="IY357" i="1"/>
  <c r="IZ357" i="1"/>
  <c r="JA357" i="1"/>
  <c r="JB357" i="1"/>
  <c r="JC357" i="1"/>
  <c r="JD357" i="1"/>
  <c r="JE357" i="1"/>
  <c r="JF357" i="1"/>
  <c r="JG357" i="1"/>
  <c r="JH357" i="1"/>
  <c r="JI357" i="1"/>
  <c r="JJ357" i="1"/>
  <c r="JK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F358" i="1"/>
  <c r="BG358" i="1"/>
  <c r="BH358" i="1"/>
  <c r="BI358" i="1"/>
  <c r="BJ358" i="1"/>
  <c r="BK358" i="1"/>
  <c r="BL358" i="1"/>
  <c r="BM358" i="1"/>
  <c r="BN358" i="1"/>
  <c r="BO358" i="1"/>
  <c r="BP358" i="1"/>
  <c r="BQ358" i="1"/>
  <c r="BR358" i="1"/>
  <c r="BS358" i="1"/>
  <c r="BT358" i="1"/>
  <c r="BU358" i="1"/>
  <c r="BV358" i="1"/>
  <c r="BW358" i="1"/>
  <c r="BX358" i="1"/>
  <c r="BY358" i="1"/>
  <c r="BZ358" i="1"/>
  <c r="CA358" i="1"/>
  <c r="CB358" i="1"/>
  <c r="CC358" i="1"/>
  <c r="CD358" i="1"/>
  <c r="CE358" i="1"/>
  <c r="CF358" i="1"/>
  <c r="CG358" i="1"/>
  <c r="CH358" i="1"/>
  <c r="CI358" i="1"/>
  <c r="CJ358" i="1"/>
  <c r="CK358" i="1"/>
  <c r="CL358" i="1"/>
  <c r="CM358" i="1"/>
  <c r="CN358" i="1"/>
  <c r="CO358" i="1"/>
  <c r="CP358" i="1"/>
  <c r="CQ358" i="1"/>
  <c r="CR358" i="1"/>
  <c r="CS358" i="1"/>
  <c r="CT358" i="1"/>
  <c r="CU358" i="1"/>
  <c r="CV358" i="1"/>
  <c r="CW358" i="1"/>
  <c r="CX358" i="1"/>
  <c r="CY358" i="1"/>
  <c r="CZ358" i="1"/>
  <c r="DA358" i="1"/>
  <c r="DB358" i="1"/>
  <c r="DC358" i="1"/>
  <c r="DD358" i="1"/>
  <c r="DE358" i="1"/>
  <c r="DF358" i="1"/>
  <c r="DG358" i="1"/>
  <c r="DH358" i="1"/>
  <c r="DI358" i="1"/>
  <c r="DJ358" i="1"/>
  <c r="DK358" i="1"/>
  <c r="DL358" i="1"/>
  <c r="DM358" i="1"/>
  <c r="DN358" i="1"/>
  <c r="DO358" i="1"/>
  <c r="DP358" i="1"/>
  <c r="DQ358" i="1"/>
  <c r="DR358" i="1"/>
  <c r="DS358" i="1"/>
  <c r="DT358" i="1"/>
  <c r="DU358" i="1"/>
  <c r="DV358" i="1"/>
  <c r="DW358" i="1"/>
  <c r="DX358" i="1"/>
  <c r="DY358" i="1"/>
  <c r="DZ358" i="1"/>
  <c r="EA358" i="1"/>
  <c r="EB358" i="1"/>
  <c r="EC358" i="1"/>
  <c r="ED358" i="1"/>
  <c r="EE358" i="1"/>
  <c r="EF358" i="1"/>
  <c r="EG358" i="1"/>
  <c r="EH358" i="1"/>
  <c r="EI358" i="1"/>
  <c r="EJ358" i="1"/>
  <c r="EK358" i="1"/>
  <c r="EL358" i="1"/>
  <c r="EM358" i="1"/>
  <c r="EN358" i="1"/>
  <c r="EO358" i="1"/>
  <c r="EP358" i="1"/>
  <c r="EQ358" i="1"/>
  <c r="ER358" i="1"/>
  <c r="ES358" i="1"/>
  <c r="ET358" i="1"/>
  <c r="EU358" i="1"/>
  <c r="EV358" i="1"/>
  <c r="EW358" i="1"/>
  <c r="EX358" i="1"/>
  <c r="EY358" i="1"/>
  <c r="EZ358" i="1"/>
  <c r="FA358" i="1"/>
  <c r="FB358" i="1"/>
  <c r="FC358" i="1"/>
  <c r="FD358" i="1"/>
  <c r="FE358" i="1"/>
  <c r="FF358" i="1"/>
  <c r="FG358" i="1"/>
  <c r="FH358" i="1"/>
  <c r="FI358" i="1"/>
  <c r="FJ358" i="1"/>
  <c r="FK358" i="1"/>
  <c r="FL358" i="1"/>
  <c r="FM358" i="1"/>
  <c r="FN358" i="1"/>
  <c r="FO358" i="1"/>
  <c r="FP358" i="1"/>
  <c r="FQ358" i="1"/>
  <c r="FR358" i="1"/>
  <c r="FS358" i="1"/>
  <c r="FT358" i="1"/>
  <c r="FU358" i="1"/>
  <c r="FV358" i="1"/>
  <c r="FW358" i="1"/>
  <c r="FX358" i="1"/>
  <c r="FY358" i="1"/>
  <c r="FZ358" i="1"/>
  <c r="GA358" i="1"/>
  <c r="GB358" i="1"/>
  <c r="GC358" i="1"/>
  <c r="GD358" i="1"/>
  <c r="GE358" i="1"/>
  <c r="GF358" i="1"/>
  <c r="GG358" i="1"/>
  <c r="GH358" i="1"/>
  <c r="GI358" i="1"/>
  <c r="GJ358" i="1"/>
  <c r="GK358" i="1"/>
  <c r="GL358" i="1"/>
  <c r="GM358" i="1"/>
  <c r="GN358" i="1"/>
  <c r="GO358" i="1"/>
  <c r="GP358" i="1"/>
  <c r="GQ358" i="1"/>
  <c r="GR358" i="1"/>
  <c r="GS358" i="1"/>
  <c r="GT358" i="1"/>
  <c r="GU358" i="1"/>
  <c r="GV358" i="1"/>
  <c r="GW358" i="1"/>
  <c r="GX358" i="1"/>
  <c r="GY358" i="1"/>
  <c r="GZ358" i="1"/>
  <c r="HA358" i="1"/>
  <c r="HB358" i="1"/>
  <c r="HC358" i="1"/>
  <c r="HD358" i="1"/>
  <c r="HE358" i="1"/>
  <c r="HF358" i="1"/>
  <c r="HG358" i="1"/>
  <c r="HH358" i="1"/>
  <c r="HI358" i="1"/>
  <c r="HJ358" i="1"/>
  <c r="HK358" i="1"/>
  <c r="HL358" i="1"/>
  <c r="HM358" i="1"/>
  <c r="HN358" i="1"/>
  <c r="HO358" i="1"/>
  <c r="HP358" i="1"/>
  <c r="HQ358" i="1"/>
  <c r="HR358" i="1"/>
  <c r="HS358" i="1"/>
  <c r="HT358" i="1"/>
  <c r="HU358" i="1"/>
  <c r="HV358" i="1"/>
  <c r="HW358" i="1"/>
  <c r="HX358" i="1"/>
  <c r="HY358" i="1"/>
  <c r="HZ358" i="1"/>
  <c r="IA358" i="1"/>
  <c r="IB358" i="1"/>
  <c r="IC358" i="1"/>
  <c r="ID358" i="1"/>
  <c r="IE358" i="1"/>
  <c r="IF358" i="1"/>
  <c r="IG358" i="1"/>
  <c r="IH358" i="1"/>
  <c r="II358" i="1"/>
  <c r="IJ358" i="1"/>
  <c r="IK358" i="1"/>
  <c r="IL358" i="1"/>
  <c r="IM358" i="1"/>
  <c r="IN358" i="1"/>
  <c r="IO358" i="1"/>
  <c r="IP358" i="1"/>
  <c r="IQ358" i="1"/>
  <c r="IR358" i="1"/>
  <c r="IS358" i="1"/>
  <c r="IT358" i="1"/>
  <c r="IU358" i="1"/>
  <c r="IV358" i="1"/>
  <c r="IW358" i="1"/>
  <c r="IX358" i="1"/>
  <c r="IY358" i="1"/>
  <c r="IZ358" i="1"/>
  <c r="JA358" i="1"/>
  <c r="JB358" i="1"/>
  <c r="JC358" i="1"/>
  <c r="JD358" i="1"/>
  <c r="JE358" i="1"/>
  <c r="JF358" i="1"/>
  <c r="JG358" i="1"/>
  <c r="JH358" i="1"/>
  <c r="JI358" i="1"/>
  <c r="JJ358" i="1"/>
  <c r="JK358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BI360" i="1"/>
  <c r="BJ360" i="1"/>
  <c r="BK360" i="1"/>
  <c r="BL360" i="1"/>
  <c r="BM360" i="1"/>
  <c r="BN360" i="1"/>
  <c r="BO360" i="1"/>
  <c r="BP360" i="1"/>
  <c r="BQ360" i="1"/>
  <c r="BR360" i="1"/>
  <c r="BS360" i="1"/>
  <c r="BT360" i="1"/>
  <c r="BU360" i="1"/>
  <c r="BV360" i="1"/>
  <c r="BW360" i="1"/>
  <c r="BX360" i="1"/>
  <c r="BY360" i="1"/>
  <c r="BZ360" i="1"/>
  <c r="CA360" i="1"/>
  <c r="CB360" i="1"/>
  <c r="CC360" i="1"/>
  <c r="CD360" i="1"/>
  <c r="CE360" i="1"/>
  <c r="CF360" i="1"/>
  <c r="CG360" i="1"/>
  <c r="CH360" i="1"/>
  <c r="CI360" i="1"/>
  <c r="CJ360" i="1"/>
  <c r="CK360" i="1"/>
  <c r="CL360" i="1"/>
  <c r="CM360" i="1"/>
  <c r="CN360" i="1"/>
  <c r="CO360" i="1"/>
  <c r="CP360" i="1"/>
  <c r="CQ360" i="1"/>
  <c r="CR360" i="1"/>
  <c r="CS360" i="1"/>
  <c r="CT360" i="1"/>
  <c r="CU360" i="1"/>
  <c r="CV360" i="1"/>
  <c r="CW360" i="1"/>
  <c r="CX360" i="1"/>
  <c r="CY360" i="1"/>
  <c r="CZ360" i="1"/>
  <c r="DA360" i="1"/>
  <c r="DB360" i="1"/>
  <c r="DC360" i="1"/>
  <c r="DD360" i="1"/>
  <c r="DE360" i="1"/>
  <c r="DF360" i="1"/>
  <c r="DG360" i="1"/>
  <c r="DH360" i="1"/>
  <c r="DI360" i="1"/>
  <c r="DJ360" i="1"/>
  <c r="DK360" i="1"/>
  <c r="DL360" i="1"/>
  <c r="DM360" i="1"/>
  <c r="DN360" i="1"/>
  <c r="DO360" i="1"/>
  <c r="DP360" i="1"/>
  <c r="DQ360" i="1"/>
  <c r="DR360" i="1"/>
  <c r="DS360" i="1"/>
  <c r="DT360" i="1"/>
  <c r="DU360" i="1"/>
  <c r="DV360" i="1"/>
  <c r="DW360" i="1"/>
  <c r="DX360" i="1"/>
  <c r="DY360" i="1"/>
  <c r="DZ360" i="1"/>
  <c r="EA360" i="1"/>
  <c r="EB360" i="1"/>
  <c r="EC360" i="1"/>
  <c r="ED360" i="1"/>
  <c r="EE360" i="1"/>
  <c r="EF360" i="1"/>
  <c r="EG360" i="1"/>
  <c r="EH360" i="1"/>
  <c r="EI360" i="1"/>
  <c r="EJ360" i="1"/>
  <c r="EK360" i="1"/>
  <c r="EL360" i="1"/>
  <c r="EM360" i="1"/>
  <c r="EN360" i="1"/>
  <c r="EO360" i="1"/>
  <c r="EP360" i="1"/>
  <c r="EQ360" i="1"/>
  <c r="ER360" i="1"/>
  <c r="ES360" i="1"/>
  <c r="ET360" i="1"/>
  <c r="EU360" i="1"/>
  <c r="EV360" i="1"/>
  <c r="EW360" i="1"/>
  <c r="EX360" i="1"/>
  <c r="EY360" i="1"/>
  <c r="EZ360" i="1"/>
  <c r="FA360" i="1"/>
  <c r="FB360" i="1"/>
  <c r="FC360" i="1"/>
  <c r="FD360" i="1"/>
  <c r="FE360" i="1"/>
  <c r="FF360" i="1"/>
  <c r="FG360" i="1"/>
  <c r="FH360" i="1"/>
  <c r="FI360" i="1"/>
  <c r="FJ360" i="1"/>
  <c r="FK360" i="1"/>
  <c r="FL360" i="1"/>
  <c r="FM360" i="1"/>
  <c r="FN360" i="1"/>
  <c r="FO360" i="1"/>
  <c r="FP360" i="1"/>
  <c r="FQ360" i="1"/>
  <c r="FR360" i="1"/>
  <c r="FS360" i="1"/>
  <c r="FT360" i="1"/>
  <c r="FU360" i="1"/>
  <c r="FV360" i="1"/>
  <c r="FW360" i="1"/>
  <c r="FX360" i="1"/>
  <c r="FY360" i="1"/>
  <c r="FZ360" i="1"/>
  <c r="GA360" i="1"/>
  <c r="GB360" i="1"/>
  <c r="GC360" i="1"/>
  <c r="GD360" i="1"/>
  <c r="GE360" i="1"/>
  <c r="GF360" i="1"/>
  <c r="GG360" i="1"/>
  <c r="GH360" i="1"/>
  <c r="GI360" i="1"/>
  <c r="GJ360" i="1"/>
  <c r="GK360" i="1"/>
  <c r="GL360" i="1"/>
  <c r="GM360" i="1"/>
  <c r="GN360" i="1"/>
  <c r="GO360" i="1"/>
  <c r="GP360" i="1"/>
  <c r="GQ360" i="1"/>
  <c r="GR360" i="1"/>
  <c r="GS360" i="1"/>
  <c r="GT360" i="1"/>
  <c r="GU360" i="1"/>
  <c r="GV360" i="1"/>
  <c r="GW360" i="1"/>
  <c r="GX360" i="1"/>
  <c r="GY360" i="1"/>
  <c r="GZ360" i="1"/>
  <c r="HA360" i="1"/>
  <c r="HB360" i="1"/>
  <c r="HC360" i="1"/>
  <c r="HD360" i="1"/>
  <c r="HE360" i="1"/>
  <c r="HF360" i="1"/>
  <c r="HG360" i="1"/>
  <c r="HH360" i="1"/>
  <c r="HI360" i="1"/>
  <c r="HJ360" i="1"/>
  <c r="HK360" i="1"/>
  <c r="HL360" i="1"/>
  <c r="HM360" i="1"/>
  <c r="HN360" i="1"/>
  <c r="HO360" i="1"/>
  <c r="HP360" i="1"/>
  <c r="HQ360" i="1"/>
  <c r="HR360" i="1"/>
  <c r="HS360" i="1"/>
  <c r="HT360" i="1"/>
  <c r="HU360" i="1"/>
  <c r="HV360" i="1"/>
  <c r="HW360" i="1"/>
  <c r="HX360" i="1"/>
  <c r="HY360" i="1"/>
  <c r="HZ360" i="1"/>
  <c r="IA360" i="1"/>
  <c r="IB360" i="1"/>
  <c r="IC360" i="1"/>
  <c r="ID360" i="1"/>
  <c r="IE360" i="1"/>
  <c r="IF360" i="1"/>
  <c r="IG360" i="1"/>
  <c r="IH360" i="1"/>
  <c r="II360" i="1"/>
  <c r="IJ360" i="1"/>
  <c r="IK360" i="1"/>
  <c r="IL360" i="1"/>
  <c r="IM360" i="1"/>
  <c r="IN360" i="1"/>
  <c r="IO360" i="1"/>
  <c r="IP360" i="1"/>
  <c r="IQ360" i="1"/>
  <c r="IR360" i="1"/>
  <c r="IS360" i="1"/>
  <c r="IT360" i="1"/>
  <c r="IU360" i="1"/>
  <c r="IV360" i="1"/>
  <c r="IW360" i="1"/>
  <c r="IX360" i="1"/>
  <c r="IY360" i="1"/>
  <c r="IZ360" i="1"/>
  <c r="JA360" i="1"/>
  <c r="JB360" i="1"/>
  <c r="JC360" i="1"/>
  <c r="JD360" i="1"/>
  <c r="JE360" i="1"/>
  <c r="JF360" i="1"/>
  <c r="JG360" i="1"/>
  <c r="JH360" i="1"/>
  <c r="JI360" i="1"/>
  <c r="JJ360" i="1"/>
  <c r="JK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BI361" i="1"/>
  <c r="BJ361" i="1"/>
  <c r="BK361" i="1"/>
  <c r="BL361" i="1"/>
  <c r="BM361" i="1"/>
  <c r="BN361" i="1"/>
  <c r="BO361" i="1"/>
  <c r="BP361" i="1"/>
  <c r="BQ361" i="1"/>
  <c r="BR361" i="1"/>
  <c r="BS361" i="1"/>
  <c r="BT361" i="1"/>
  <c r="BU361" i="1"/>
  <c r="BV361" i="1"/>
  <c r="BW361" i="1"/>
  <c r="BX361" i="1"/>
  <c r="BY361" i="1"/>
  <c r="BZ361" i="1"/>
  <c r="CA361" i="1"/>
  <c r="CB361" i="1"/>
  <c r="CC361" i="1"/>
  <c r="CD361" i="1"/>
  <c r="CE361" i="1"/>
  <c r="CF361" i="1"/>
  <c r="CG361" i="1"/>
  <c r="CH361" i="1"/>
  <c r="CI361" i="1"/>
  <c r="CJ361" i="1"/>
  <c r="CK361" i="1"/>
  <c r="CL361" i="1"/>
  <c r="CM361" i="1"/>
  <c r="CN361" i="1"/>
  <c r="CO361" i="1"/>
  <c r="CP361" i="1"/>
  <c r="CQ361" i="1"/>
  <c r="CR361" i="1"/>
  <c r="CS361" i="1"/>
  <c r="CT361" i="1"/>
  <c r="CU361" i="1"/>
  <c r="CV361" i="1"/>
  <c r="CW361" i="1"/>
  <c r="CX361" i="1"/>
  <c r="CY361" i="1"/>
  <c r="CZ361" i="1"/>
  <c r="DA361" i="1"/>
  <c r="DB361" i="1"/>
  <c r="DC361" i="1"/>
  <c r="DD361" i="1"/>
  <c r="DE361" i="1"/>
  <c r="DF361" i="1"/>
  <c r="DG361" i="1"/>
  <c r="DH361" i="1"/>
  <c r="DI361" i="1"/>
  <c r="DJ361" i="1"/>
  <c r="DK361" i="1"/>
  <c r="DL361" i="1"/>
  <c r="DM361" i="1"/>
  <c r="DN361" i="1"/>
  <c r="DO361" i="1"/>
  <c r="DP361" i="1"/>
  <c r="DQ361" i="1"/>
  <c r="DR361" i="1"/>
  <c r="DS361" i="1"/>
  <c r="DT361" i="1"/>
  <c r="DU361" i="1"/>
  <c r="DV361" i="1"/>
  <c r="DW361" i="1"/>
  <c r="DX361" i="1"/>
  <c r="DY361" i="1"/>
  <c r="DZ361" i="1"/>
  <c r="EA361" i="1"/>
  <c r="EB361" i="1"/>
  <c r="EC361" i="1"/>
  <c r="ED361" i="1"/>
  <c r="EE361" i="1"/>
  <c r="EF361" i="1"/>
  <c r="EG361" i="1"/>
  <c r="EH361" i="1"/>
  <c r="EI361" i="1"/>
  <c r="EJ361" i="1"/>
  <c r="EK361" i="1"/>
  <c r="EL361" i="1"/>
  <c r="EM361" i="1"/>
  <c r="EN361" i="1"/>
  <c r="EO361" i="1"/>
  <c r="EP361" i="1"/>
  <c r="EQ361" i="1"/>
  <c r="ER361" i="1"/>
  <c r="ES361" i="1"/>
  <c r="ET361" i="1"/>
  <c r="EU361" i="1"/>
  <c r="EV361" i="1"/>
  <c r="EW361" i="1"/>
  <c r="EX361" i="1"/>
  <c r="EY361" i="1"/>
  <c r="EZ361" i="1"/>
  <c r="FA361" i="1"/>
  <c r="FB361" i="1"/>
  <c r="FC361" i="1"/>
  <c r="FD361" i="1"/>
  <c r="FE361" i="1"/>
  <c r="FF361" i="1"/>
  <c r="FG361" i="1"/>
  <c r="FH361" i="1"/>
  <c r="FI361" i="1"/>
  <c r="FJ361" i="1"/>
  <c r="FK361" i="1"/>
  <c r="FL361" i="1"/>
  <c r="FM361" i="1"/>
  <c r="FN361" i="1"/>
  <c r="FO361" i="1"/>
  <c r="FP361" i="1"/>
  <c r="FQ361" i="1"/>
  <c r="FR361" i="1"/>
  <c r="FS361" i="1"/>
  <c r="FT361" i="1"/>
  <c r="FU361" i="1"/>
  <c r="FV361" i="1"/>
  <c r="FW361" i="1"/>
  <c r="FX361" i="1"/>
  <c r="FY361" i="1"/>
  <c r="FZ361" i="1"/>
  <c r="GA361" i="1"/>
  <c r="GB361" i="1"/>
  <c r="GC361" i="1"/>
  <c r="GD361" i="1"/>
  <c r="GE361" i="1"/>
  <c r="GF361" i="1"/>
  <c r="GG361" i="1"/>
  <c r="GH361" i="1"/>
  <c r="GI361" i="1"/>
  <c r="GJ361" i="1"/>
  <c r="GK361" i="1"/>
  <c r="GL361" i="1"/>
  <c r="GM361" i="1"/>
  <c r="GN361" i="1"/>
  <c r="GO361" i="1"/>
  <c r="GP361" i="1"/>
  <c r="GQ361" i="1"/>
  <c r="GR361" i="1"/>
  <c r="GS361" i="1"/>
  <c r="GT361" i="1"/>
  <c r="GU361" i="1"/>
  <c r="GV361" i="1"/>
  <c r="GW361" i="1"/>
  <c r="GX361" i="1"/>
  <c r="GY361" i="1"/>
  <c r="GZ361" i="1"/>
  <c r="HA361" i="1"/>
  <c r="HB361" i="1"/>
  <c r="HC361" i="1"/>
  <c r="HD361" i="1"/>
  <c r="HE361" i="1"/>
  <c r="HF361" i="1"/>
  <c r="HG361" i="1"/>
  <c r="HH361" i="1"/>
  <c r="HI361" i="1"/>
  <c r="HJ361" i="1"/>
  <c r="HK361" i="1"/>
  <c r="HL361" i="1"/>
  <c r="HM361" i="1"/>
  <c r="HN361" i="1"/>
  <c r="HO361" i="1"/>
  <c r="HP361" i="1"/>
  <c r="HQ361" i="1"/>
  <c r="HR361" i="1"/>
  <c r="HS361" i="1"/>
  <c r="HT361" i="1"/>
  <c r="HU361" i="1"/>
  <c r="HV361" i="1"/>
  <c r="HW361" i="1"/>
  <c r="HX361" i="1"/>
  <c r="HY361" i="1"/>
  <c r="HZ361" i="1"/>
  <c r="IA361" i="1"/>
  <c r="IB361" i="1"/>
  <c r="IC361" i="1"/>
  <c r="ID361" i="1"/>
  <c r="IE361" i="1"/>
  <c r="IF361" i="1"/>
  <c r="IG361" i="1"/>
  <c r="IH361" i="1"/>
  <c r="II361" i="1"/>
  <c r="IJ361" i="1"/>
  <c r="IK361" i="1"/>
  <c r="IL361" i="1"/>
  <c r="IM361" i="1"/>
  <c r="IN361" i="1"/>
  <c r="IO361" i="1"/>
  <c r="IP361" i="1"/>
  <c r="IQ361" i="1"/>
  <c r="IR361" i="1"/>
  <c r="IS361" i="1"/>
  <c r="IT361" i="1"/>
  <c r="IU361" i="1"/>
  <c r="IV361" i="1"/>
  <c r="IW361" i="1"/>
  <c r="IX361" i="1"/>
  <c r="IY361" i="1"/>
  <c r="IZ361" i="1"/>
  <c r="JA361" i="1"/>
  <c r="JB361" i="1"/>
  <c r="JC361" i="1"/>
  <c r="JD361" i="1"/>
  <c r="JE361" i="1"/>
  <c r="JF361" i="1"/>
  <c r="JG361" i="1"/>
  <c r="JH361" i="1"/>
  <c r="JI361" i="1"/>
  <c r="JJ361" i="1"/>
  <c r="JK361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V363" i="1"/>
  <c r="AW363" i="1"/>
  <c r="AX363" i="1"/>
  <c r="AY363" i="1"/>
  <c r="AZ363" i="1"/>
  <c r="BA363" i="1"/>
  <c r="BB363" i="1"/>
  <c r="BC363" i="1"/>
  <c r="BD363" i="1"/>
  <c r="BE363" i="1"/>
  <c r="BF363" i="1"/>
  <c r="BG363" i="1"/>
  <c r="BH363" i="1"/>
  <c r="BI363" i="1"/>
  <c r="BJ363" i="1"/>
  <c r="BK363" i="1"/>
  <c r="BL363" i="1"/>
  <c r="BM363" i="1"/>
  <c r="BN363" i="1"/>
  <c r="BO363" i="1"/>
  <c r="BP363" i="1"/>
  <c r="BQ363" i="1"/>
  <c r="BR363" i="1"/>
  <c r="BS363" i="1"/>
  <c r="BT363" i="1"/>
  <c r="BU363" i="1"/>
  <c r="BV363" i="1"/>
  <c r="BW363" i="1"/>
  <c r="BX363" i="1"/>
  <c r="BY363" i="1"/>
  <c r="BZ363" i="1"/>
  <c r="CA363" i="1"/>
  <c r="CB363" i="1"/>
  <c r="CC363" i="1"/>
  <c r="CD363" i="1"/>
  <c r="CE363" i="1"/>
  <c r="CF363" i="1"/>
  <c r="CG363" i="1"/>
  <c r="CH363" i="1"/>
  <c r="CI363" i="1"/>
  <c r="CJ363" i="1"/>
  <c r="CK363" i="1"/>
  <c r="CL363" i="1"/>
  <c r="CM363" i="1"/>
  <c r="CN363" i="1"/>
  <c r="CO363" i="1"/>
  <c r="CP363" i="1"/>
  <c r="CQ363" i="1"/>
  <c r="CR363" i="1"/>
  <c r="CS363" i="1"/>
  <c r="CT363" i="1"/>
  <c r="CU363" i="1"/>
  <c r="CV363" i="1"/>
  <c r="CW363" i="1"/>
  <c r="CX363" i="1"/>
  <c r="CY363" i="1"/>
  <c r="CZ363" i="1"/>
  <c r="DA363" i="1"/>
  <c r="DB363" i="1"/>
  <c r="DC363" i="1"/>
  <c r="DD363" i="1"/>
  <c r="DE363" i="1"/>
  <c r="DF363" i="1"/>
  <c r="DG363" i="1"/>
  <c r="DH363" i="1"/>
  <c r="DI363" i="1"/>
  <c r="DJ363" i="1"/>
  <c r="DK363" i="1"/>
  <c r="DL363" i="1"/>
  <c r="DM363" i="1"/>
  <c r="DN363" i="1"/>
  <c r="DO363" i="1"/>
  <c r="DP363" i="1"/>
  <c r="DQ363" i="1"/>
  <c r="DR363" i="1"/>
  <c r="DS363" i="1"/>
  <c r="DT363" i="1"/>
  <c r="DU363" i="1"/>
  <c r="DV363" i="1"/>
  <c r="DW363" i="1"/>
  <c r="DX363" i="1"/>
  <c r="DY363" i="1"/>
  <c r="DZ363" i="1"/>
  <c r="EA363" i="1"/>
  <c r="EB363" i="1"/>
  <c r="EC363" i="1"/>
  <c r="ED363" i="1"/>
  <c r="EE363" i="1"/>
  <c r="EF363" i="1"/>
  <c r="EG363" i="1"/>
  <c r="EH363" i="1"/>
  <c r="EI363" i="1"/>
  <c r="EJ363" i="1"/>
  <c r="EK363" i="1"/>
  <c r="EL363" i="1"/>
  <c r="EM363" i="1"/>
  <c r="EN363" i="1"/>
  <c r="EO363" i="1"/>
  <c r="EP363" i="1"/>
  <c r="EQ363" i="1"/>
  <c r="ER363" i="1"/>
  <c r="ES363" i="1"/>
  <c r="ET363" i="1"/>
  <c r="EU363" i="1"/>
  <c r="EV363" i="1"/>
  <c r="EW363" i="1"/>
  <c r="EX363" i="1"/>
  <c r="EY363" i="1"/>
  <c r="EZ363" i="1"/>
  <c r="FA363" i="1"/>
  <c r="FB363" i="1"/>
  <c r="FC363" i="1"/>
  <c r="FD363" i="1"/>
  <c r="FE363" i="1"/>
  <c r="FF363" i="1"/>
  <c r="FG363" i="1"/>
  <c r="FH363" i="1"/>
  <c r="FI363" i="1"/>
  <c r="FJ363" i="1"/>
  <c r="FK363" i="1"/>
  <c r="FL363" i="1"/>
  <c r="FM363" i="1"/>
  <c r="FN363" i="1"/>
  <c r="FO363" i="1"/>
  <c r="FP363" i="1"/>
  <c r="FQ363" i="1"/>
  <c r="FR363" i="1"/>
  <c r="FS363" i="1"/>
  <c r="FT363" i="1"/>
  <c r="FU363" i="1"/>
  <c r="FV363" i="1"/>
  <c r="FW363" i="1"/>
  <c r="FX363" i="1"/>
  <c r="FY363" i="1"/>
  <c r="FZ363" i="1"/>
  <c r="GA363" i="1"/>
  <c r="GB363" i="1"/>
  <c r="GC363" i="1"/>
  <c r="GD363" i="1"/>
  <c r="GE363" i="1"/>
  <c r="GF363" i="1"/>
  <c r="GG363" i="1"/>
  <c r="GH363" i="1"/>
  <c r="GI363" i="1"/>
  <c r="GJ363" i="1"/>
  <c r="GK363" i="1"/>
  <c r="GL363" i="1"/>
  <c r="GM363" i="1"/>
  <c r="GN363" i="1"/>
  <c r="GO363" i="1"/>
  <c r="GP363" i="1"/>
  <c r="GQ363" i="1"/>
  <c r="GR363" i="1"/>
  <c r="GS363" i="1"/>
  <c r="GT363" i="1"/>
  <c r="GU363" i="1"/>
  <c r="GV363" i="1"/>
  <c r="GW363" i="1"/>
  <c r="GX363" i="1"/>
  <c r="GY363" i="1"/>
  <c r="GZ363" i="1"/>
  <c r="HA363" i="1"/>
  <c r="HB363" i="1"/>
  <c r="HC363" i="1"/>
  <c r="HD363" i="1"/>
  <c r="HE363" i="1"/>
  <c r="HF363" i="1"/>
  <c r="HG363" i="1"/>
  <c r="HH363" i="1"/>
  <c r="HI363" i="1"/>
  <c r="HJ363" i="1"/>
  <c r="HK363" i="1"/>
  <c r="HL363" i="1"/>
  <c r="HM363" i="1"/>
  <c r="HN363" i="1"/>
  <c r="HO363" i="1"/>
  <c r="HP363" i="1"/>
  <c r="HQ363" i="1"/>
  <c r="HR363" i="1"/>
  <c r="HS363" i="1"/>
  <c r="HT363" i="1"/>
  <c r="HU363" i="1"/>
  <c r="HV363" i="1"/>
  <c r="HW363" i="1"/>
  <c r="HX363" i="1"/>
  <c r="HY363" i="1"/>
  <c r="HZ363" i="1"/>
  <c r="IA363" i="1"/>
  <c r="IB363" i="1"/>
  <c r="IC363" i="1"/>
  <c r="ID363" i="1"/>
  <c r="IE363" i="1"/>
  <c r="IF363" i="1"/>
  <c r="IG363" i="1"/>
  <c r="IH363" i="1"/>
  <c r="II363" i="1"/>
  <c r="IJ363" i="1"/>
  <c r="IK363" i="1"/>
  <c r="IL363" i="1"/>
  <c r="IM363" i="1"/>
  <c r="IN363" i="1"/>
  <c r="IO363" i="1"/>
  <c r="IP363" i="1"/>
  <c r="IQ363" i="1"/>
  <c r="IR363" i="1"/>
  <c r="IS363" i="1"/>
  <c r="IT363" i="1"/>
  <c r="IU363" i="1"/>
  <c r="IV363" i="1"/>
  <c r="IW363" i="1"/>
  <c r="IX363" i="1"/>
  <c r="IY363" i="1"/>
  <c r="IZ363" i="1"/>
  <c r="JA363" i="1"/>
  <c r="JB363" i="1"/>
  <c r="JC363" i="1"/>
  <c r="JD363" i="1"/>
  <c r="JE363" i="1"/>
  <c r="JF363" i="1"/>
  <c r="JG363" i="1"/>
  <c r="JH363" i="1"/>
  <c r="JI363" i="1"/>
  <c r="JJ363" i="1"/>
  <c r="JK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V364" i="1"/>
  <c r="AW364" i="1"/>
  <c r="AX364" i="1"/>
  <c r="AY364" i="1"/>
  <c r="AZ364" i="1"/>
  <c r="BA364" i="1"/>
  <c r="BB364" i="1"/>
  <c r="BC364" i="1"/>
  <c r="BD364" i="1"/>
  <c r="BE364" i="1"/>
  <c r="BF364" i="1"/>
  <c r="BG364" i="1"/>
  <c r="BH364" i="1"/>
  <c r="BI364" i="1"/>
  <c r="BJ364" i="1"/>
  <c r="BK364" i="1"/>
  <c r="BL364" i="1"/>
  <c r="BM364" i="1"/>
  <c r="BN364" i="1"/>
  <c r="BO364" i="1"/>
  <c r="BP364" i="1"/>
  <c r="BQ364" i="1"/>
  <c r="BR364" i="1"/>
  <c r="BS364" i="1"/>
  <c r="BT364" i="1"/>
  <c r="BU364" i="1"/>
  <c r="BV364" i="1"/>
  <c r="BW364" i="1"/>
  <c r="BX364" i="1"/>
  <c r="BY364" i="1"/>
  <c r="BZ364" i="1"/>
  <c r="CA364" i="1"/>
  <c r="CB364" i="1"/>
  <c r="CC364" i="1"/>
  <c r="CD364" i="1"/>
  <c r="CE364" i="1"/>
  <c r="CF364" i="1"/>
  <c r="CG364" i="1"/>
  <c r="CH364" i="1"/>
  <c r="CI364" i="1"/>
  <c r="CJ364" i="1"/>
  <c r="CK364" i="1"/>
  <c r="CL364" i="1"/>
  <c r="CM364" i="1"/>
  <c r="CN364" i="1"/>
  <c r="CO364" i="1"/>
  <c r="CP364" i="1"/>
  <c r="CQ364" i="1"/>
  <c r="CR364" i="1"/>
  <c r="CS364" i="1"/>
  <c r="CT364" i="1"/>
  <c r="CU364" i="1"/>
  <c r="CV364" i="1"/>
  <c r="CW364" i="1"/>
  <c r="CX364" i="1"/>
  <c r="CY364" i="1"/>
  <c r="CZ364" i="1"/>
  <c r="DA364" i="1"/>
  <c r="DB364" i="1"/>
  <c r="DC364" i="1"/>
  <c r="DD364" i="1"/>
  <c r="DE364" i="1"/>
  <c r="DF364" i="1"/>
  <c r="DG364" i="1"/>
  <c r="DH364" i="1"/>
  <c r="DI364" i="1"/>
  <c r="DJ364" i="1"/>
  <c r="DK364" i="1"/>
  <c r="DL364" i="1"/>
  <c r="DM364" i="1"/>
  <c r="DN364" i="1"/>
  <c r="DO364" i="1"/>
  <c r="DP364" i="1"/>
  <c r="DQ364" i="1"/>
  <c r="DR364" i="1"/>
  <c r="DS364" i="1"/>
  <c r="DT364" i="1"/>
  <c r="DU364" i="1"/>
  <c r="DV364" i="1"/>
  <c r="DW364" i="1"/>
  <c r="DX364" i="1"/>
  <c r="DY364" i="1"/>
  <c r="DZ364" i="1"/>
  <c r="EA364" i="1"/>
  <c r="EB364" i="1"/>
  <c r="EC364" i="1"/>
  <c r="ED364" i="1"/>
  <c r="EE364" i="1"/>
  <c r="EF364" i="1"/>
  <c r="EG364" i="1"/>
  <c r="EH364" i="1"/>
  <c r="EI364" i="1"/>
  <c r="EJ364" i="1"/>
  <c r="EK364" i="1"/>
  <c r="EL364" i="1"/>
  <c r="EM364" i="1"/>
  <c r="EN364" i="1"/>
  <c r="EO364" i="1"/>
  <c r="EP364" i="1"/>
  <c r="EQ364" i="1"/>
  <c r="ER364" i="1"/>
  <c r="ES364" i="1"/>
  <c r="ET364" i="1"/>
  <c r="EU364" i="1"/>
  <c r="EV364" i="1"/>
  <c r="EW364" i="1"/>
  <c r="EX364" i="1"/>
  <c r="EY364" i="1"/>
  <c r="EZ364" i="1"/>
  <c r="FA364" i="1"/>
  <c r="FB364" i="1"/>
  <c r="FC364" i="1"/>
  <c r="FD364" i="1"/>
  <c r="FE364" i="1"/>
  <c r="FF364" i="1"/>
  <c r="FG364" i="1"/>
  <c r="FH364" i="1"/>
  <c r="FI364" i="1"/>
  <c r="FJ364" i="1"/>
  <c r="FK364" i="1"/>
  <c r="FL364" i="1"/>
  <c r="FM364" i="1"/>
  <c r="FN364" i="1"/>
  <c r="FO364" i="1"/>
  <c r="FP364" i="1"/>
  <c r="FQ364" i="1"/>
  <c r="FR364" i="1"/>
  <c r="FS364" i="1"/>
  <c r="FT364" i="1"/>
  <c r="FU364" i="1"/>
  <c r="FV364" i="1"/>
  <c r="FW364" i="1"/>
  <c r="FX364" i="1"/>
  <c r="FY364" i="1"/>
  <c r="FZ364" i="1"/>
  <c r="GA364" i="1"/>
  <c r="GB364" i="1"/>
  <c r="GC364" i="1"/>
  <c r="GD364" i="1"/>
  <c r="GE364" i="1"/>
  <c r="GF364" i="1"/>
  <c r="GG364" i="1"/>
  <c r="GH364" i="1"/>
  <c r="GI364" i="1"/>
  <c r="GJ364" i="1"/>
  <c r="GK364" i="1"/>
  <c r="GL364" i="1"/>
  <c r="GM364" i="1"/>
  <c r="GN364" i="1"/>
  <c r="GO364" i="1"/>
  <c r="GP364" i="1"/>
  <c r="GQ364" i="1"/>
  <c r="GR364" i="1"/>
  <c r="GS364" i="1"/>
  <c r="GT364" i="1"/>
  <c r="GU364" i="1"/>
  <c r="GV364" i="1"/>
  <c r="GW364" i="1"/>
  <c r="GX364" i="1"/>
  <c r="GY364" i="1"/>
  <c r="GZ364" i="1"/>
  <c r="HA364" i="1"/>
  <c r="HB364" i="1"/>
  <c r="HC364" i="1"/>
  <c r="HD364" i="1"/>
  <c r="HE364" i="1"/>
  <c r="HF364" i="1"/>
  <c r="HG364" i="1"/>
  <c r="HH364" i="1"/>
  <c r="HI364" i="1"/>
  <c r="HJ364" i="1"/>
  <c r="HK364" i="1"/>
  <c r="HL364" i="1"/>
  <c r="HM364" i="1"/>
  <c r="HN364" i="1"/>
  <c r="HO364" i="1"/>
  <c r="HP364" i="1"/>
  <c r="HQ364" i="1"/>
  <c r="HR364" i="1"/>
  <c r="HS364" i="1"/>
  <c r="HT364" i="1"/>
  <c r="HU364" i="1"/>
  <c r="HV364" i="1"/>
  <c r="HW364" i="1"/>
  <c r="HX364" i="1"/>
  <c r="HY364" i="1"/>
  <c r="HZ364" i="1"/>
  <c r="IA364" i="1"/>
  <c r="IB364" i="1"/>
  <c r="IC364" i="1"/>
  <c r="ID364" i="1"/>
  <c r="IE364" i="1"/>
  <c r="IF364" i="1"/>
  <c r="IG364" i="1"/>
  <c r="IH364" i="1"/>
  <c r="II364" i="1"/>
  <c r="IJ364" i="1"/>
  <c r="IK364" i="1"/>
  <c r="IL364" i="1"/>
  <c r="IM364" i="1"/>
  <c r="IN364" i="1"/>
  <c r="IO364" i="1"/>
  <c r="IP364" i="1"/>
  <c r="IQ364" i="1"/>
  <c r="IR364" i="1"/>
  <c r="IS364" i="1"/>
  <c r="IT364" i="1"/>
  <c r="IU364" i="1"/>
  <c r="IV364" i="1"/>
  <c r="IW364" i="1"/>
  <c r="IX364" i="1"/>
  <c r="IY364" i="1"/>
  <c r="IZ364" i="1"/>
  <c r="JA364" i="1"/>
  <c r="JB364" i="1"/>
  <c r="JC364" i="1"/>
  <c r="JD364" i="1"/>
  <c r="JE364" i="1"/>
  <c r="JF364" i="1"/>
  <c r="JG364" i="1"/>
  <c r="JH364" i="1"/>
  <c r="JI364" i="1"/>
  <c r="JJ364" i="1"/>
  <c r="JK364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BI366" i="1"/>
  <c r="BJ366" i="1"/>
  <c r="BK366" i="1"/>
  <c r="BL366" i="1"/>
  <c r="BM366" i="1"/>
  <c r="BN366" i="1"/>
  <c r="BO366" i="1"/>
  <c r="BP366" i="1"/>
  <c r="BQ366" i="1"/>
  <c r="BR366" i="1"/>
  <c r="BS366" i="1"/>
  <c r="BT366" i="1"/>
  <c r="BU366" i="1"/>
  <c r="BV366" i="1"/>
  <c r="BW366" i="1"/>
  <c r="BX366" i="1"/>
  <c r="BY366" i="1"/>
  <c r="BZ366" i="1"/>
  <c r="CA366" i="1"/>
  <c r="CB366" i="1"/>
  <c r="CC366" i="1"/>
  <c r="CD366" i="1"/>
  <c r="CE366" i="1"/>
  <c r="CF366" i="1"/>
  <c r="CG366" i="1"/>
  <c r="CH366" i="1"/>
  <c r="CI366" i="1"/>
  <c r="CJ366" i="1"/>
  <c r="CK366" i="1"/>
  <c r="CL366" i="1"/>
  <c r="CM366" i="1"/>
  <c r="CN366" i="1"/>
  <c r="CO366" i="1"/>
  <c r="CP366" i="1"/>
  <c r="CQ366" i="1"/>
  <c r="CR366" i="1"/>
  <c r="CS366" i="1"/>
  <c r="CT366" i="1"/>
  <c r="CU366" i="1"/>
  <c r="CV366" i="1"/>
  <c r="CW366" i="1"/>
  <c r="CX366" i="1"/>
  <c r="CY366" i="1"/>
  <c r="CZ366" i="1"/>
  <c r="DA366" i="1"/>
  <c r="DB366" i="1"/>
  <c r="DC366" i="1"/>
  <c r="DD366" i="1"/>
  <c r="DE366" i="1"/>
  <c r="DF366" i="1"/>
  <c r="DG366" i="1"/>
  <c r="DH366" i="1"/>
  <c r="DI366" i="1"/>
  <c r="DJ366" i="1"/>
  <c r="DK366" i="1"/>
  <c r="DL366" i="1"/>
  <c r="DM366" i="1"/>
  <c r="DN366" i="1"/>
  <c r="DO366" i="1"/>
  <c r="DP366" i="1"/>
  <c r="DQ366" i="1"/>
  <c r="DR366" i="1"/>
  <c r="DS366" i="1"/>
  <c r="DT366" i="1"/>
  <c r="DU366" i="1"/>
  <c r="DV366" i="1"/>
  <c r="DW366" i="1"/>
  <c r="DX366" i="1"/>
  <c r="DY366" i="1"/>
  <c r="DZ366" i="1"/>
  <c r="EA366" i="1"/>
  <c r="EB366" i="1"/>
  <c r="EC366" i="1"/>
  <c r="ED366" i="1"/>
  <c r="EE366" i="1"/>
  <c r="EF366" i="1"/>
  <c r="EG366" i="1"/>
  <c r="EH366" i="1"/>
  <c r="EI366" i="1"/>
  <c r="EJ366" i="1"/>
  <c r="EK366" i="1"/>
  <c r="EL366" i="1"/>
  <c r="EM366" i="1"/>
  <c r="EN366" i="1"/>
  <c r="EO366" i="1"/>
  <c r="EP366" i="1"/>
  <c r="EQ366" i="1"/>
  <c r="ER366" i="1"/>
  <c r="ES366" i="1"/>
  <c r="ET366" i="1"/>
  <c r="EU366" i="1"/>
  <c r="EV366" i="1"/>
  <c r="EW366" i="1"/>
  <c r="EX366" i="1"/>
  <c r="EY366" i="1"/>
  <c r="EZ366" i="1"/>
  <c r="FA366" i="1"/>
  <c r="FB366" i="1"/>
  <c r="FC366" i="1"/>
  <c r="FD366" i="1"/>
  <c r="FE366" i="1"/>
  <c r="FF366" i="1"/>
  <c r="FG366" i="1"/>
  <c r="FH366" i="1"/>
  <c r="FI366" i="1"/>
  <c r="FJ366" i="1"/>
  <c r="FK366" i="1"/>
  <c r="FL366" i="1"/>
  <c r="FM366" i="1"/>
  <c r="FN366" i="1"/>
  <c r="FO366" i="1"/>
  <c r="FP366" i="1"/>
  <c r="FQ366" i="1"/>
  <c r="FR366" i="1"/>
  <c r="FS366" i="1"/>
  <c r="FT366" i="1"/>
  <c r="FU366" i="1"/>
  <c r="FV366" i="1"/>
  <c r="FW366" i="1"/>
  <c r="FX366" i="1"/>
  <c r="FY366" i="1"/>
  <c r="FZ366" i="1"/>
  <c r="GA366" i="1"/>
  <c r="GB366" i="1"/>
  <c r="GC366" i="1"/>
  <c r="GD366" i="1"/>
  <c r="GE366" i="1"/>
  <c r="GF366" i="1"/>
  <c r="GG366" i="1"/>
  <c r="GH366" i="1"/>
  <c r="GI366" i="1"/>
  <c r="GJ366" i="1"/>
  <c r="GK366" i="1"/>
  <c r="GL366" i="1"/>
  <c r="GM366" i="1"/>
  <c r="GN366" i="1"/>
  <c r="GO366" i="1"/>
  <c r="GP366" i="1"/>
  <c r="GQ366" i="1"/>
  <c r="GR366" i="1"/>
  <c r="GS366" i="1"/>
  <c r="GT366" i="1"/>
  <c r="GU366" i="1"/>
  <c r="GV366" i="1"/>
  <c r="GW366" i="1"/>
  <c r="GX366" i="1"/>
  <c r="GY366" i="1"/>
  <c r="GZ366" i="1"/>
  <c r="HA366" i="1"/>
  <c r="HB366" i="1"/>
  <c r="HC366" i="1"/>
  <c r="HD366" i="1"/>
  <c r="HE366" i="1"/>
  <c r="HF366" i="1"/>
  <c r="HG366" i="1"/>
  <c r="HH366" i="1"/>
  <c r="HI366" i="1"/>
  <c r="HJ366" i="1"/>
  <c r="HK366" i="1"/>
  <c r="HL366" i="1"/>
  <c r="HM366" i="1"/>
  <c r="HN366" i="1"/>
  <c r="HO366" i="1"/>
  <c r="HP366" i="1"/>
  <c r="HQ366" i="1"/>
  <c r="HR366" i="1"/>
  <c r="HS366" i="1"/>
  <c r="HT366" i="1"/>
  <c r="HU366" i="1"/>
  <c r="HV366" i="1"/>
  <c r="HW366" i="1"/>
  <c r="HX366" i="1"/>
  <c r="HY366" i="1"/>
  <c r="HZ366" i="1"/>
  <c r="IA366" i="1"/>
  <c r="IB366" i="1"/>
  <c r="IC366" i="1"/>
  <c r="ID366" i="1"/>
  <c r="IE366" i="1"/>
  <c r="IF366" i="1"/>
  <c r="IG366" i="1"/>
  <c r="IH366" i="1"/>
  <c r="II366" i="1"/>
  <c r="IJ366" i="1"/>
  <c r="IK366" i="1"/>
  <c r="IL366" i="1"/>
  <c r="IM366" i="1"/>
  <c r="IN366" i="1"/>
  <c r="IO366" i="1"/>
  <c r="IP366" i="1"/>
  <c r="IQ366" i="1"/>
  <c r="IR366" i="1"/>
  <c r="IS366" i="1"/>
  <c r="IT366" i="1"/>
  <c r="IU366" i="1"/>
  <c r="IV366" i="1"/>
  <c r="IW366" i="1"/>
  <c r="IX366" i="1"/>
  <c r="IY366" i="1"/>
  <c r="IZ366" i="1"/>
  <c r="JA366" i="1"/>
  <c r="JB366" i="1"/>
  <c r="JC366" i="1"/>
  <c r="JD366" i="1"/>
  <c r="JE366" i="1"/>
  <c r="JF366" i="1"/>
  <c r="JG366" i="1"/>
  <c r="JH366" i="1"/>
  <c r="JI366" i="1"/>
  <c r="JJ366" i="1"/>
  <c r="JK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F367" i="1"/>
  <c r="BG367" i="1"/>
  <c r="BH367" i="1"/>
  <c r="BI367" i="1"/>
  <c r="BJ367" i="1"/>
  <c r="BK367" i="1"/>
  <c r="BL367" i="1"/>
  <c r="BM367" i="1"/>
  <c r="BN367" i="1"/>
  <c r="BO367" i="1"/>
  <c r="BP367" i="1"/>
  <c r="BQ367" i="1"/>
  <c r="BR367" i="1"/>
  <c r="BS367" i="1"/>
  <c r="BT367" i="1"/>
  <c r="BU367" i="1"/>
  <c r="BV367" i="1"/>
  <c r="BW367" i="1"/>
  <c r="BX367" i="1"/>
  <c r="BY367" i="1"/>
  <c r="BZ367" i="1"/>
  <c r="CA367" i="1"/>
  <c r="CB367" i="1"/>
  <c r="CC367" i="1"/>
  <c r="CD367" i="1"/>
  <c r="CE367" i="1"/>
  <c r="CF367" i="1"/>
  <c r="CG367" i="1"/>
  <c r="CH367" i="1"/>
  <c r="CI367" i="1"/>
  <c r="CJ367" i="1"/>
  <c r="CK367" i="1"/>
  <c r="CL367" i="1"/>
  <c r="CM367" i="1"/>
  <c r="CN367" i="1"/>
  <c r="CO367" i="1"/>
  <c r="CP367" i="1"/>
  <c r="CQ367" i="1"/>
  <c r="CR367" i="1"/>
  <c r="CS367" i="1"/>
  <c r="CT367" i="1"/>
  <c r="CU367" i="1"/>
  <c r="CV367" i="1"/>
  <c r="CW367" i="1"/>
  <c r="CX367" i="1"/>
  <c r="CY367" i="1"/>
  <c r="CZ367" i="1"/>
  <c r="DA367" i="1"/>
  <c r="DB367" i="1"/>
  <c r="DC367" i="1"/>
  <c r="DD367" i="1"/>
  <c r="DE367" i="1"/>
  <c r="DF367" i="1"/>
  <c r="DG367" i="1"/>
  <c r="DH367" i="1"/>
  <c r="DI367" i="1"/>
  <c r="DJ367" i="1"/>
  <c r="DK367" i="1"/>
  <c r="DL367" i="1"/>
  <c r="DM367" i="1"/>
  <c r="DN367" i="1"/>
  <c r="DO367" i="1"/>
  <c r="DP367" i="1"/>
  <c r="DQ367" i="1"/>
  <c r="DR367" i="1"/>
  <c r="DS367" i="1"/>
  <c r="DT367" i="1"/>
  <c r="DU367" i="1"/>
  <c r="DV367" i="1"/>
  <c r="DW367" i="1"/>
  <c r="DX367" i="1"/>
  <c r="DY367" i="1"/>
  <c r="DZ367" i="1"/>
  <c r="EA367" i="1"/>
  <c r="EB367" i="1"/>
  <c r="EC367" i="1"/>
  <c r="ED367" i="1"/>
  <c r="EE367" i="1"/>
  <c r="EF367" i="1"/>
  <c r="EG367" i="1"/>
  <c r="EH367" i="1"/>
  <c r="EI367" i="1"/>
  <c r="EJ367" i="1"/>
  <c r="EK367" i="1"/>
  <c r="EL367" i="1"/>
  <c r="EM367" i="1"/>
  <c r="EN367" i="1"/>
  <c r="EO367" i="1"/>
  <c r="EP367" i="1"/>
  <c r="EQ367" i="1"/>
  <c r="ER367" i="1"/>
  <c r="ES367" i="1"/>
  <c r="ET367" i="1"/>
  <c r="EU367" i="1"/>
  <c r="EV367" i="1"/>
  <c r="EW367" i="1"/>
  <c r="EX367" i="1"/>
  <c r="EY367" i="1"/>
  <c r="EZ367" i="1"/>
  <c r="FA367" i="1"/>
  <c r="FB367" i="1"/>
  <c r="FC367" i="1"/>
  <c r="FD367" i="1"/>
  <c r="FE367" i="1"/>
  <c r="FF367" i="1"/>
  <c r="FG367" i="1"/>
  <c r="FH367" i="1"/>
  <c r="FI367" i="1"/>
  <c r="FJ367" i="1"/>
  <c r="FK367" i="1"/>
  <c r="FL367" i="1"/>
  <c r="FM367" i="1"/>
  <c r="FN367" i="1"/>
  <c r="FO367" i="1"/>
  <c r="FP367" i="1"/>
  <c r="FQ367" i="1"/>
  <c r="FR367" i="1"/>
  <c r="FS367" i="1"/>
  <c r="FT367" i="1"/>
  <c r="FU367" i="1"/>
  <c r="FV367" i="1"/>
  <c r="FW367" i="1"/>
  <c r="FX367" i="1"/>
  <c r="FY367" i="1"/>
  <c r="FZ367" i="1"/>
  <c r="GA367" i="1"/>
  <c r="GB367" i="1"/>
  <c r="GC367" i="1"/>
  <c r="GD367" i="1"/>
  <c r="GE367" i="1"/>
  <c r="GF367" i="1"/>
  <c r="GG367" i="1"/>
  <c r="GH367" i="1"/>
  <c r="GI367" i="1"/>
  <c r="GJ367" i="1"/>
  <c r="GK367" i="1"/>
  <c r="GL367" i="1"/>
  <c r="GM367" i="1"/>
  <c r="GN367" i="1"/>
  <c r="GO367" i="1"/>
  <c r="GP367" i="1"/>
  <c r="GQ367" i="1"/>
  <c r="GR367" i="1"/>
  <c r="GS367" i="1"/>
  <c r="GT367" i="1"/>
  <c r="GU367" i="1"/>
  <c r="GV367" i="1"/>
  <c r="GW367" i="1"/>
  <c r="GX367" i="1"/>
  <c r="GY367" i="1"/>
  <c r="GZ367" i="1"/>
  <c r="HA367" i="1"/>
  <c r="HB367" i="1"/>
  <c r="HC367" i="1"/>
  <c r="HD367" i="1"/>
  <c r="HE367" i="1"/>
  <c r="HF367" i="1"/>
  <c r="HG367" i="1"/>
  <c r="HH367" i="1"/>
  <c r="HI367" i="1"/>
  <c r="HJ367" i="1"/>
  <c r="HK367" i="1"/>
  <c r="HL367" i="1"/>
  <c r="HM367" i="1"/>
  <c r="HN367" i="1"/>
  <c r="HO367" i="1"/>
  <c r="HP367" i="1"/>
  <c r="HQ367" i="1"/>
  <c r="HR367" i="1"/>
  <c r="HS367" i="1"/>
  <c r="HT367" i="1"/>
  <c r="HU367" i="1"/>
  <c r="HV367" i="1"/>
  <c r="HW367" i="1"/>
  <c r="HX367" i="1"/>
  <c r="HY367" i="1"/>
  <c r="HZ367" i="1"/>
  <c r="IA367" i="1"/>
  <c r="IB367" i="1"/>
  <c r="IC367" i="1"/>
  <c r="ID367" i="1"/>
  <c r="IE367" i="1"/>
  <c r="IF367" i="1"/>
  <c r="IG367" i="1"/>
  <c r="IH367" i="1"/>
  <c r="II367" i="1"/>
  <c r="IJ367" i="1"/>
  <c r="IK367" i="1"/>
  <c r="IL367" i="1"/>
  <c r="IM367" i="1"/>
  <c r="IN367" i="1"/>
  <c r="IO367" i="1"/>
  <c r="IP367" i="1"/>
  <c r="IQ367" i="1"/>
  <c r="IR367" i="1"/>
  <c r="IS367" i="1"/>
  <c r="IT367" i="1"/>
  <c r="IU367" i="1"/>
  <c r="IV367" i="1"/>
  <c r="IW367" i="1"/>
  <c r="IX367" i="1"/>
  <c r="IY367" i="1"/>
  <c r="IZ367" i="1"/>
  <c r="JA367" i="1"/>
  <c r="JB367" i="1"/>
  <c r="JC367" i="1"/>
  <c r="JD367" i="1"/>
  <c r="JE367" i="1"/>
  <c r="JF367" i="1"/>
  <c r="JG367" i="1"/>
  <c r="JH367" i="1"/>
  <c r="JI367" i="1"/>
  <c r="JJ367" i="1"/>
  <c r="JK367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BJ369" i="1"/>
  <c r="BK369" i="1"/>
  <c r="BL369" i="1"/>
  <c r="BM369" i="1"/>
  <c r="BN369" i="1"/>
  <c r="BO369" i="1"/>
  <c r="BP369" i="1"/>
  <c r="BQ369" i="1"/>
  <c r="BR369" i="1"/>
  <c r="BS369" i="1"/>
  <c r="BT369" i="1"/>
  <c r="BU369" i="1"/>
  <c r="BV369" i="1"/>
  <c r="BW369" i="1"/>
  <c r="BX369" i="1"/>
  <c r="BY369" i="1"/>
  <c r="BZ369" i="1"/>
  <c r="CA369" i="1"/>
  <c r="CB369" i="1"/>
  <c r="CC369" i="1"/>
  <c r="CD369" i="1"/>
  <c r="CE369" i="1"/>
  <c r="CF369" i="1"/>
  <c r="CG369" i="1"/>
  <c r="CH369" i="1"/>
  <c r="CI369" i="1"/>
  <c r="CJ369" i="1"/>
  <c r="CK369" i="1"/>
  <c r="CL369" i="1"/>
  <c r="CM369" i="1"/>
  <c r="CN369" i="1"/>
  <c r="CO369" i="1"/>
  <c r="CP369" i="1"/>
  <c r="CQ369" i="1"/>
  <c r="CR369" i="1"/>
  <c r="CS369" i="1"/>
  <c r="CT369" i="1"/>
  <c r="CU369" i="1"/>
  <c r="CV369" i="1"/>
  <c r="CW369" i="1"/>
  <c r="CX369" i="1"/>
  <c r="CY369" i="1"/>
  <c r="CZ369" i="1"/>
  <c r="DA369" i="1"/>
  <c r="DB369" i="1"/>
  <c r="DC369" i="1"/>
  <c r="DD369" i="1"/>
  <c r="DE369" i="1"/>
  <c r="DF369" i="1"/>
  <c r="DG369" i="1"/>
  <c r="DH369" i="1"/>
  <c r="DI369" i="1"/>
  <c r="DJ369" i="1"/>
  <c r="DK369" i="1"/>
  <c r="DL369" i="1"/>
  <c r="DM369" i="1"/>
  <c r="DN369" i="1"/>
  <c r="DO369" i="1"/>
  <c r="DP369" i="1"/>
  <c r="DQ369" i="1"/>
  <c r="DR369" i="1"/>
  <c r="DS369" i="1"/>
  <c r="DT369" i="1"/>
  <c r="DU369" i="1"/>
  <c r="DV369" i="1"/>
  <c r="DW369" i="1"/>
  <c r="DX369" i="1"/>
  <c r="DY369" i="1"/>
  <c r="DZ369" i="1"/>
  <c r="EA369" i="1"/>
  <c r="EB369" i="1"/>
  <c r="EC369" i="1"/>
  <c r="ED369" i="1"/>
  <c r="EE369" i="1"/>
  <c r="EF369" i="1"/>
  <c r="EG369" i="1"/>
  <c r="EH369" i="1"/>
  <c r="EI369" i="1"/>
  <c r="EJ369" i="1"/>
  <c r="EK369" i="1"/>
  <c r="EL369" i="1"/>
  <c r="EM369" i="1"/>
  <c r="EN369" i="1"/>
  <c r="EO369" i="1"/>
  <c r="EP369" i="1"/>
  <c r="EQ369" i="1"/>
  <c r="ER369" i="1"/>
  <c r="ES369" i="1"/>
  <c r="ET369" i="1"/>
  <c r="EU369" i="1"/>
  <c r="EV369" i="1"/>
  <c r="EW369" i="1"/>
  <c r="EX369" i="1"/>
  <c r="EY369" i="1"/>
  <c r="EZ369" i="1"/>
  <c r="FA369" i="1"/>
  <c r="FB369" i="1"/>
  <c r="FC369" i="1"/>
  <c r="FD369" i="1"/>
  <c r="FE369" i="1"/>
  <c r="FF369" i="1"/>
  <c r="FG369" i="1"/>
  <c r="FH369" i="1"/>
  <c r="FI369" i="1"/>
  <c r="FJ369" i="1"/>
  <c r="FK369" i="1"/>
  <c r="FL369" i="1"/>
  <c r="FM369" i="1"/>
  <c r="FN369" i="1"/>
  <c r="FO369" i="1"/>
  <c r="FP369" i="1"/>
  <c r="FQ369" i="1"/>
  <c r="FR369" i="1"/>
  <c r="FS369" i="1"/>
  <c r="FT369" i="1"/>
  <c r="FU369" i="1"/>
  <c r="FV369" i="1"/>
  <c r="FW369" i="1"/>
  <c r="FX369" i="1"/>
  <c r="FY369" i="1"/>
  <c r="FZ369" i="1"/>
  <c r="GA369" i="1"/>
  <c r="GB369" i="1"/>
  <c r="GC369" i="1"/>
  <c r="GD369" i="1"/>
  <c r="GE369" i="1"/>
  <c r="GF369" i="1"/>
  <c r="GG369" i="1"/>
  <c r="GH369" i="1"/>
  <c r="GI369" i="1"/>
  <c r="GJ369" i="1"/>
  <c r="GK369" i="1"/>
  <c r="GL369" i="1"/>
  <c r="GM369" i="1"/>
  <c r="GN369" i="1"/>
  <c r="GO369" i="1"/>
  <c r="GP369" i="1"/>
  <c r="GQ369" i="1"/>
  <c r="GR369" i="1"/>
  <c r="GS369" i="1"/>
  <c r="GT369" i="1"/>
  <c r="GU369" i="1"/>
  <c r="GV369" i="1"/>
  <c r="GW369" i="1"/>
  <c r="GX369" i="1"/>
  <c r="GY369" i="1"/>
  <c r="GZ369" i="1"/>
  <c r="HA369" i="1"/>
  <c r="HB369" i="1"/>
  <c r="HC369" i="1"/>
  <c r="HD369" i="1"/>
  <c r="HE369" i="1"/>
  <c r="HF369" i="1"/>
  <c r="HG369" i="1"/>
  <c r="HH369" i="1"/>
  <c r="HI369" i="1"/>
  <c r="HJ369" i="1"/>
  <c r="HK369" i="1"/>
  <c r="HL369" i="1"/>
  <c r="HM369" i="1"/>
  <c r="HN369" i="1"/>
  <c r="HO369" i="1"/>
  <c r="HP369" i="1"/>
  <c r="HQ369" i="1"/>
  <c r="HR369" i="1"/>
  <c r="HS369" i="1"/>
  <c r="HT369" i="1"/>
  <c r="HU369" i="1"/>
  <c r="HV369" i="1"/>
  <c r="HW369" i="1"/>
  <c r="HX369" i="1"/>
  <c r="HY369" i="1"/>
  <c r="HZ369" i="1"/>
  <c r="IA369" i="1"/>
  <c r="IB369" i="1"/>
  <c r="IC369" i="1"/>
  <c r="ID369" i="1"/>
  <c r="IE369" i="1"/>
  <c r="IF369" i="1"/>
  <c r="IG369" i="1"/>
  <c r="IH369" i="1"/>
  <c r="II369" i="1"/>
  <c r="IJ369" i="1"/>
  <c r="IK369" i="1"/>
  <c r="IL369" i="1"/>
  <c r="IM369" i="1"/>
  <c r="IN369" i="1"/>
  <c r="IO369" i="1"/>
  <c r="IP369" i="1"/>
  <c r="IQ369" i="1"/>
  <c r="IR369" i="1"/>
  <c r="IS369" i="1"/>
  <c r="IT369" i="1"/>
  <c r="IU369" i="1"/>
  <c r="IV369" i="1"/>
  <c r="IW369" i="1"/>
  <c r="IX369" i="1"/>
  <c r="IY369" i="1"/>
  <c r="IZ369" i="1"/>
  <c r="JA369" i="1"/>
  <c r="JB369" i="1"/>
  <c r="JC369" i="1"/>
  <c r="JD369" i="1"/>
  <c r="JE369" i="1"/>
  <c r="JF369" i="1"/>
  <c r="JG369" i="1"/>
  <c r="JH369" i="1"/>
  <c r="JI369" i="1"/>
  <c r="JJ369" i="1"/>
  <c r="JK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BK370" i="1"/>
  <c r="BL370" i="1"/>
  <c r="BM370" i="1"/>
  <c r="BN370" i="1"/>
  <c r="BO370" i="1"/>
  <c r="BP370" i="1"/>
  <c r="BQ370" i="1"/>
  <c r="BR370" i="1"/>
  <c r="BS370" i="1"/>
  <c r="BT370" i="1"/>
  <c r="BU370" i="1"/>
  <c r="BV370" i="1"/>
  <c r="BW370" i="1"/>
  <c r="BX370" i="1"/>
  <c r="BY370" i="1"/>
  <c r="BZ370" i="1"/>
  <c r="CA370" i="1"/>
  <c r="CB370" i="1"/>
  <c r="CC370" i="1"/>
  <c r="CD370" i="1"/>
  <c r="CE370" i="1"/>
  <c r="CF370" i="1"/>
  <c r="CG370" i="1"/>
  <c r="CH370" i="1"/>
  <c r="CI370" i="1"/>
  <c r="CJ370" i="1"/>
  <c r="CK370" i="1"/>
  <c r="CL370" i="1"/>
  <c r="CM370" i="1"/>
  <c r="CN370" i="1"/>
  <c r="CO370" i="1"/>
  <c r="CP370" i="1"/>
  <c r="CQ370" i="1"/>
  <c r="CR370" i="1"/>
  <c r="CS370" i="1"/>
  <c r="CT370" i="1"/>
  <c r="CU370" i="1"/>
  <c r="CV370" i="1"/>
  <c r="CW370" i="1"/>
  <c r="CX370" i="1"/>
  <c r="CY370" i="1"/>
  <c r="CZ370" i="1"/>
  <c r="DA370" i="1"/>
  <c r="DB370" i="1"/>
  <c r="DC370" i="1"/>
  <c r="DD370" i="1"/>
  <c r="DE370" i="1"/>
  <c r="DF370" i="1"/>
  <c r="DG370" i="1"/>
  <c r="DH370" i="1"/>
  <c r="DI370" i="1"/>
  <c r="DJ370" i="1"/>
  <c r="DK370" i="1"/>
  <c r="DL370" i="1"/>
  <c r="DM370" i="1"/>
  <c r="DN370" i="1"/>
  <c r="DO370" i="1"/>
  <c r="DP370" i="1"/>
  <c r="DQ370" i="1"/>
  <c r="DR370" i="1"/>
  <c r="DS370" i="1"/>
  <c r="DT370" i="1"/>
  <c r="DU370" i="1"/>
  <c r="DV370" i="1"/>
  <c r="DW370" i="1"/>
  <c r="DX370" i="1"/>
  <c r="DY370" i="1"/>
  <c r="DZ370" i="1"/>
  <c r="EA370" i="1"/>
  <c r="EB370" i="1"/>
  <c r="EC370" i="1"/>
  <c r="ED370" i="1"/>
  <c r="EE370" i="1"/>
  <c r="EF370" i="1"/>
  <c r="EG370" i="1"/>
  <c r="EH370" i="1"/>
  <c r="EI370" i="1"/>
  <c r="EJ370" i="1"/>
  <c r="EK370" i="1"/>
  <c r="EL370" i="1"/>
  <c r="EM370" i="1"/>
  <c r="EN370" i="1"/>
  <c r="EO370" i="1"/>
  <c r="EP370" i="1"/>
  <c r="EQ370" i="1"/>
  <c r="ER370" i="1"/>
  <c r="ES370" i="1"/>
  <c r="ET370" i="1"/>
  <c r="EU370" i="1"/>
  <c r="EV370" i="1"/>
  <c r="EW370" i="1"/>
  <c r="EX370" i="1"/>
  <c r="EY370" i="1"/>
  <c r="EZ370" i="1"/>
  <c r="FA370" i="1"/>
  <c r="FB370" i="1"/>
  <c r="FC370" i="1"/>
  <c r="FD370" i="1"/>
  <c r="FE370" i="1"/>
  <c r="FF370" i="1"/>
  <c r="FG370" i="1"/>
  <c r="FH370" i="1"/>
  <c r="FI370" i="1"/>
  <c r="FJ370" i="1"/>
  <c r="FK370" i="1"/>
  <c r="FL370" i="1"/>
  <c r="FM370" i="1"/>
  <c r="FN370" i="1"/>
  <c r="FO370" i="1"/>
  <c r="FP370" i="1"/>
  <c r="FQ370" i="1"/>
  <c r="FR370" i="1"/>
  <c r="FS370" i="1"/>
  <c r="FT370" i="1"/>
  <c r="FU370" i="1"/>
  <c r="FV370" i="1"/>
  <c r="FW370" i="1"/>
  <c r="FX370" i="1"/>
  <c r="FY370" i="1"/>
  <c r="FZ370" i="1"/>
  <c r="GA370" i="1"/>
  <c r="GB370" i="1"/>
  <c r="GC370" i="1"/>
  <c r="GD370" i="1"/>
  <c r="GE370" i="1"/>
  <c r="GF370" i="1"/>
  <c r="GG370" i="1"/>
  <c r="GH370" i="1"/>
  <c r="GI370" i="1"/>
  <c r="GJ370" i="1"/>
  <c r="GK370" i="1"/>
  <c r="GL370" i="1"/>
  <c r="GM370" i="1"/>
  <c r="GN370" i="1"/>
  <c r="GO370" i="1"/>
  <c r="GP370" i="1"/>
  <c r="GQ370" i="1"/>
  <c r="GR370" i="1"/>
  <c r="GS370" i="1"/>
  <c r="GT370" i="1"/>
  <c r="GU370" i="1"/>
  <c r="GV370" i="1"/>
  <c r="GW370" i="1"/>
  <c r="GX370" i="1"/>
  <c r="GY370" i="1"/>
  <c r="GZ370" i="1"/>
  <c r="HA370" i="1"/>
  <c r="HB370" i="1"/>
  <c r="HC370" i="1"/>
  <c r="HD370" i="1"/>
  <c r="HE370" i="1"/>
  <c r="HF370" i="1"/>
  <c r="HG370" i="1"/>
  <c r="HH370" i="1"/>
  <c r="HI370" i="1"/>
  <c r="HJ370" i="1"/>
  <c r="HK370" i="1"/>
  <c r="HL370" i="1"/>
  <c r="HM370" i="1"/>
  <c r="HN370" i="1"/>
  <c r="HO370" i="1"/>
  <c r="HP370" i="1"/>
  <c r="HQ370" i="1"/>
  <c r="HR370" i="1"/>
  <c r="HS370" i="1"/>
  <c r="HT370" i="1"/>
  <c r="HU370" i="1"/>
  <c r="HV370" i="1"/>
  <c r="HW370" i="1"/>
  <c r="HX370" i="1"/>
  <c r="HY370" i="1"/>
  <c r="HZ370" i="1"/>
  <c r="IA370" i="1"/>
  <c r="IB370" i="1"/>
  <c r="IC370" i="1"/>
  <c r="ID370" i="1"/>
  <c r="IE370" i="1"/>
  <c r="IF370" i="1"/>
  <c r="IG370" i="1"/>
  <c r="IH370" i="1"/>
  <c r="II370" i="1"/>
  <c r="IJ370" i="1"/>
  <c r="IK370" i="1"/>
  <c r="IL370" i="1"/>
  <c r="IM370" i="1"/>
  <c r="IN370" i="1"/>
  <c r="IO370" i="1"/>
  <c r="IP370" i="1"/>
  <c r="IQ370" i="1"/>
  <c r="IR370" i="1"/>
  <c r="IS370" i="1"/>
  <c r="IT370" i="1"/>
  <c r="IU370" i="1"/>
  <c r="IV370" i="1"/>
  <c r="IW370" i="1"/>
  <c r="IX370" i="1"/>
  <c r="IY370" i="1"/>
  <c r="IZ370" i="1"/>
  <c r="JA370" i="1"/>
  <c r="JB370" i="1"/>
  <c r="JC370" i="1"/>
  <c r="JD370" i="1"/>
  <c r="JE370" i="1"/>
  <c r="JF370" i="1"/>
  <c r="JG370" i="1"/>
  <c r="JH370" i="1"/>
  <c r="JI370" i="1"/>
  <c r="JJ370" i="1"/>
  <c r="JK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BI371" i="1"/>
  <c r="BJ371" i="1"/>
  <c r="BK371" i="1"/>
  <c r="BL371" i="1"/>
  <c r="BM371" i="1"/>
  <c r="BN371" i="1"/>
  <c r="BO371" i="1"/>
  <c r="BP371" i="1"/>
  <c r="BQ371" i="1"/>
  <c r="BR371" i="1"/>
  <c r="BS371" i="1"/>
  <c r="BT371" i="1"/>
  <c r="BU371" i="1"/>
  <c r="BV371" i="1"/>
  <c r="BW371" i="1"/>
  <c r="BX371" i="1"/>
  <c r="BY371" i="1"/>
  <c r="BZ371" i="1"/>
  <c r="CA371" i="1"/>
  <c r="CB371" i="1"/>
  <c r="CC371" i="1"/>
  <c r="CD371" i="1"/>
  <c r="CE371" i="1"/>
  <c r="CF371" i="1"/>
  <c r="CG371" i="1"/>
  <c r="CH371" i="1"/>
  <c r="CI371" i="1"/>
  <c r="CJ371" i="1"/>
  <c r="CK371" i="1"/>
  <c r="CL371" i="1"/>
  <c r="CM371" i="1"/>
  <c r="CN371" i="1"/>
  <c r="CO371" i="1"/>
  <c r="CP371" i="1"/>
  <c r="CQ371" i="1"/>
  <c r="CR371" i="1"/>
  <c r="CS371" i="1"/>
  <c r="CT371" i="1"/>
  <c r="CU371" i="1"/>
  <c r="CV371" i="1"/>
  <c r="CW371" i="1"/>
  <c r="CX371" i="1"/>
  <c r="CY371" i="1"/>
  <c r="CZ371" i="1"/>
  <c r="DA371" i="1"/>
  <c r="DB371" i="1"/>
  <c r="DC371" i="1"/>
  <c r="DD371" i="1"/>
  <c r="DE371" i="1"/>
  <c r="DF371" i="1"/>
  <c r="DG371" i="1"/>
  <c r="DH371" i="1"/>
  <c r="DI371" i="1"/>
  <c r="DJ371" i="1"/>
  <c r="DK371" i="1"/>
  <c r="DL371" i="1"/>
  <c r="DM371" i="1"/>
  <c r="DN371" i="1"/>
  <c r="DO371" i="1"/>
  <c r="DP371" i="1"/>
  <c r="DQ371" i="1"/>
  <c r="DR371" i="1"/>
  <c r="DS371" i="1"/>
  <c r="DT371" i="1"/>
  <c r="DU371" i="1"/>
  <c r="DV371" i="1"/>
  <c r="DW371" i="1"/>
  <c r="DX371" i="1"/>
  <c r="DY371" i="1"/>
  <c r="DZ371" i="1"/>
  <c r="EA371" i="1"/>
  <c r="EB371" i="1"/>
  <c r="EC371" i="1"/>
  <c r="ED371" i="1"/>
  <c r="EE371" i="1"/>
  <c r="EF371" i="1"/>
  <c r="EG371" i="1"/>
  <c r="EH371" i="1"/>
  <c r="EI371" i="1"/>
  <c r="EJ371" i="1"/>
  <c r="EK371" i="1"/>
  <c r="EL371" i="1"/>
  <c r="EM371" i="1"/>
  <c r="EN371" i="1"/>
  <c r="EO371" i="1"/>
  <c r="EP371" i="1"/>
  <c r="EQ371" i="1"/>
  <c r="ER371" i="1"/>
  <c r="ES371" i="1"/>
  <c r="ET371" i="1"/>
  <c r="EU371" i="1"/>
  <c r="EV371" i="1"/>
  <c r="EW371" i="1"/>
  <c r="EX371" i="1"/>
  <c r="EY371" i="1"/>
  <c r="EZ371" i="1"/>
  <c r="FA371" i="1"/>
  <c r="FB371" i="1"/>
  <c r="FC371" i="1"/>
  <c r="FD371" i="1"/>
  <c r="FE371" i="1"/>
  <c r="FF371" i="1"/>
  <c r="FG371" i="1"/>
  <c r="FH371" i="1"/>
  <c r="FI371" i="1"/>
  <c r="FJ371" i="1"/>
  <c r="FK371" i="1"/>
  <c r="FL371" i="1"/>
  <c r="FM371" i="1"/>
  <c r="FN371" i="1"/>
  <c r="FO371" i="1"/>
  <c r="FP371" i="1"/>
  <c r="FQ371" i="1"/>
  <c r="FR371" i="1"/>
  <c r="FS371" i="1"/>
  <c r="FT371" i="1"/>
  <c r="FU371" i="1"/>
  <c r="FV371" i="1"/>
  <c r="FW371" i="1"/>
  <c r="FX371" i="1"/>
  <c r="FY371" i="1"/>
  <c r="FZ371" i="1"/>
  <c r="GA371" i="1"/>
  <c r="GB371" i="1"/>
  <c r="GC371" i="1"/>
  <c r="GD371" i="1"/>
  <c r="GE371" i="1"/>
  <c r="GF371" i="1"/>
  <c r="GG371" i="1"/>
  <c r="GH371" i="1"/>
  <c r="GI371" i="1"/>
  <c r="GJ371" i="1"/>
  <c r="GK371" i="1"/>
  <c r="GL371" i="1"/>
  <c r="GM371" i="1"/>
  <c r="GN371" i="1"/>
  <c r="GO371" i="1"/>
  <c r="GP371" i="1"/>
  <c r="GQ371" i="1"/>
  <c r="GR371" i="1"/>
  <c r="GS371" i="1"/>
  <c r="GT371" i="1"/>
  <c r="GU371" i="1"/>
  <c r="GV371" i="1"/>
  <c r="GW371" i="1"/>
  <c r="GX371" i="1"/>
  <c r="GY371" i="1"/>
  <c r="GZ371" i="1"/>
  <c r="HA371" i="1"/>
  <c r="HB371" i="1"/>
  <c r="HC371" i="1"/>
  <c r="HD371" i="1"/>
  <c r="HE371" i="1"/>
  <c r="HF371" i="1"/>
  <c r="HG371" i="1"/>
  <c r="HH371" i="1"/>
  <c r="HI371" i="1"/>
  <c r="HJ371" i="1"/>
  <c r="HK371" i="1"/>
  <c r="HL371" i="1"/>
  <c r="HM371" i="1"/>
  <c r="HN371" i="1"/>
  <c r="HO371" i="1"/>
  <c r="HP371" i="1"/>
  <c r="HQ371" i="1"/>
  <c r="HR371" i="1"/>
  <c r="HS371" i="1"/>
  <c r="HT371" i="1"/>
  <c r="HU371" i="1"/>
  <c r="HV371" i="1"/>
  <c r="HW371" i="1"/>
  <c r="HX371" i="1"/>
  <c r="HY371" i="1"/>
  <c r="HZ371" i="1"/>
  <c r="IA371" i="1"/>
  <c r="IB371" i="1"/>
  <c r="IC371" i="1"/>
  <c r="ID371" i="1"/>
  <c r="IE371" i="1"/>
  <c r="IF371" i="1"/>
  <c r="IG371" i="1"/>
  <c r="IH371" i="1"/>
  <c r="II371" i="1"/>
  <c r="IJ371" i="1"/>
  <c r="IK371" i="1"/>
  <c r="IL371" i="1"/>
  <c r="IM371" i="1"/>
  <c r="IN371" i="1"/>
  <c r="IO371" i="1"/>
  <c r="IP371" i="1"/>
  <c r="IQ371" i="1"/>
  <c r="IR371" i="1"/>
  <c r="IS371" i="1"/>
  <c r="IT371" i="1"/>
  <c r="IU371" i="1"/>
  <c r="IV371" i="1"/>
  <c r="IW371" i="1"/>
  <c r="IX371" i="1"/>
  <c r="IY371" i="1"/>
  <c r="IZ371" i="1"/>
  <c r="JA371" i="1"/>
  <c r="JB371" i="1"/>
  <c r="JC371" i="1"/>
  <c r="JD371" i="1"/>
  <c r="JE371" i="1"/>
  <c r="JF371" i="1"/>
  <c r="JG371" i="1"/>
  <c r="JH371" i="1"/>
  <c r="JI371" i="1"/>
  <c r="JJ371" i="1"/>
  <c r="JK371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F373" i="1"/>
  <c r="BG373" i="1"/>
  <c r="BH373" i="1"/>
  <c r="BI373" i="1"/>
  <c r="BJ373" i="1"/>
  <c r="BK373" i="1"/>
  <c r="BL373" i="1"/>
  <c r="BM373" i="1"/>
  <c r="BN373" i="1"/>
  <c r="BO373" i="1"/>
  <c r="BP373" i="1"/>
  <c r="BQ373" i="1"/>
  <c r="BR373" i="1"/>
  <c r="BS373" i="1"/>
  <c r="BT373" i="1"/>
  <c r="BU373" i="1"/>
  <c r="BV373" i="1"/>
  <c r="BW373" i="1"/>
  <c r="BX373" i="1"/>
  <c r="BY373" i="1"/>
  <c r="BZ373" i="1"/>
  <c r="CA373" i="1"/>
  <c r="CB373" i="1"/>
  <c r="CC373" i="1"/>
  <c r="CD373" i="1"/>
  <c r="CE373" i="1"/>
  <c r="CF373" i="1"/>
  <c r="CG373" i="1"/>
  <c r="CH373" i="1"/>
  <c r="CI373" i="1"/>
  <c r="CJ373" i="1"/>
  <c r="CK373" i="1"/>
  <c r="CL373" i="1"/>
  <c r="CM373" i="1"/>
  <c r="CN373" i="1"/>
  <c r="CO373" i="1"/>
  <c r="CP373" i="1"/>
  <c r="CQ373" i="1"/>
  <c r="CR373" i="1"/>
  <c r="CS373" i="1"/>
  <c r="CT373" i="1"/>
  <c r="CU373" i="1"/>
  <c r="CV373" i="1"/>
  <c r="CW373" i="1"/>
  <c r="CX373" i="1"/>
  <c r="CY373" i="1"/>
  <c r="CZ373" i="1"/>
  <c r="DA373" i="1"/>
  <c r="DB373" i="1"/>
  <c r="DC373" i="1"/>
  <c r="DD373" i="1"/>
  <c r="DE373" i="1"/>
  <c r="DF373" i="1"/>
  <c r="DG373" i="1"/>
  <c r="DH373" i="1"/>
  <c r="DI373" i="1"/>
  <c r="DJ373" i="1"/>
  <c r="DK373" i="1"/>
  <c r="DL373" i="1"/>
  <c r="DM373" i="1"/>
  <c r="DN373" i="1"/>
  <c r="DO373" i="1"/>
  <c r="DP373" i="1"/>
  <c r="DQ373" i="1"/>
  <c r="DR373" i="1"/>
  <c r="DS373" i="1"/>
  <c r="DT373" i="1"/>
  <c r="DU373" i="1"/>
  <c r="DV373" i="1"/>
  <c r="DW373" i="1"/>
  <c r="DX373" i="1"/>
  <c r="DY373" i="1"/>
  <c r="DZ373" i="1"/>
  <c r="EA373" i="1"/>
  <c r="EB373" i="1"/>
  <c r="EC373" i="1"/>
  <c r="ED373" i="1"/>
  <c r="EE373" i="1"/>
  <c r="EF373" i="1"/>
  <c r="EG373" i="1"/>
  <c r="EH373" i="1"/>
  <c r="EI373" i="1"/>
  <c r="EJ373" i="1"/>
  <c r="EK373" i="1"/>
  <c r="EL373" i="1"/>
  <c r="EM373" i="1"/>
  <c r="EN373" i="1"/>
  <c r="EO373" i="1"/>
  <c r="EP373" i="1"/>
  <c r="EQ373" i="1"/>
  <c r="ER373" i="1"/>
  <c r="ES373" i="1"/>
  <c r="ET373" i="1"/>
  <c r="EU373" i="1"/>
  <c r="EV373" i="1"/>
  <c r="EW373" i="1"/>
  <c r="EX373" i="1"/>
  <c r="EY373" i="1"/>
  <c r="EZ373" i="1"/>
  <c r="FA373" i="1"/>
  <c r="FB373" i="1"/>
  <c r="FC373" i="1"/>
  <c r="FD373" i="1"/>
  <c r="FE373" i="1"/>
  <c r="FF373" i="1"/>
  <c r="FG373" i="1"/>
  <c r="FH373" i="1"/>
  <c r="FI373" i="1"/>
  <c r="FJ373" i="1"/>
  <c r="FK373" i="1"/>
  <c r="FL373" i="1"/>
  <c r="FM373" i="1"/>
  <c r="FN373" i="1"/>
  <c r="FO373" i="1"/>
  <c r="FP373" i="1"/>
  <c r="FQ373" i="1"/>
  <c r="FR373" i="1"/>
  <c r="FS373" i="1"/>
  <c r="FT373" i="1"/>
  <c r="FU373" i="1"/>
  <c r="FV373" i="1"/>
  <c r="FW373" i="1"/>
  <c r="FX373" i="1"/>
  <c r="FY373" i="1"/>
  <c r="FZ373" i="1"/>
  <c r="GA373" i="1"/>
  <c r="GB373" i="1"/>
  <c r="GC373" i="1"/>
  <c r="GD373" i="1"/>
  <c r="GE373" i="1"/>
  <c r="GF373" i="1"/>
  <c r="GG373" i="1"/>
  <c r="GH373" i="1"/>
  <c r="GI373" i="1"/>
  <c r="GJ373" i="1"/>
  <c r="GK373" i="1"/>
  <c r="GL373" i="1"/>
  <c r="GM373" i="1"/>
  <c r="GN373" i="1"/>
  <c r="GO373" i="1"/>
  <c r="GP373" i="1"/>
  <c r="GQ373" i="1"/>
  <c r="GR373" i="1"/>
  <c r="GS373" i="1"/>
  <c r="GT373" i="1"/>
  <c r="GU373" i="1"/>
  <c r="GV373" i="1"/>
  <c r="GW373" i="1"/>
  <c r="GX373" i="1"/>
  <c r="GY373" i="1"/>
  <c r="GZ373" i="1"/>
  <c r="HA373" i="1"/>
  <c r="HB373" i="1"/>
  <c r="HC373" i="1"/>
  <c r="HD373" i="1"/>
  <c r="HE373" i="1"/>
  <c r="HF373" i="1"/>
  <c r="HG373" i="1"/>
  <c r="HH373" i="1"/>
  <c r="HI373" i="1"/>
  <c r="HJ373" i="1"/>
  <c r="HK373" i="1"/>
  <c r="HL373" i="1"/>
  <c r="HM373" i="1"/>
  <c r="HN373" i="1"/>
  <c r="HO373" i="1"/>
  <c r="HP373" i="1"/>
  <c r="HQ373" i="1"/>
  <c r="HR373" i="1"/>
  <c r="HS373" i="1"/>
  <c r="HT373" i="1"/>
  <c r="HU373" i="1"/>
  <c r="HV373" i="1"/>
  <c r="HW373" i="1"/>
  <c r="HX373" i="1"/>
  <c r="HY373" i="1"/>
  <c r="HZ373" i="1"/>
  <c r="IA373" i="1"/>
  <c r="IB373" i="1"/>
  <c r="IC373" i="1"/>
  <c r="ID373" i="1"/>
  <c r="IE373" i="1"/>
  <c r="IF373" i="1"/>
  <c r="IG373" i="1"/>
  <c r="IH373" i="1"/>
  <c r="II373" i="1"/>
  <c r="IJ373" i="1"/>
  <c r="IK373" i="1"/>
  <c r="IL373" i="1"/>
  <c r="IM373" i="1"/>
  <c r="IN373" i="1"/>
  <c r="IO373" i="1"/>
  <c r="IP373" i="1"/>
  <c r="IQ373" i="1"/>
  <c r="IR373" i="1"/>
  <c r="IS373" i="1"/>
  <c r="IT373" i="1"/>
  <c r="IU373" i="1"/>
  <c r="IV373" i="1"/>
  <c r="IW373" i="1"/>
  <c r="IX373" i="1"/>
  <c r="IY373" i="1"/>
  <c r="IZ373" i="1"/>
  <c r="JA373" i="1"/>
  <c r="JB373" i="1"/>
  <c r="JC373" i="1"/>
  <c r="JD373" i="1"/>
  <c r="JE373" i="1"/>
  <c r="JF373" i="1"/>
  <c r="JG373" i="1"/>
  <c r="JH373" i="1"/>
  <c r="JI373" i="1"/>
  <c r="JJ373" i="1"/>
  <c r="JK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V374" i="1"/>
  <c r="AW374" i="1"/>
  <c r="AX374" i="1"/>
  <c r="AY374" i="1"/>
  <c r="AZ374" i="1"/>
  <c r="BA374" i="1"/>
  <c r="BB374" i="1"/>
  <c r="BC374" i="1"/>
  <c r="BD374" i="1"/>
  <c r="BE374" i="1"/>
  <c r="BF374" i="1"/>
  <c r="BG374" i="1"/>
  <c r="BH374" i="1"/>
  <c r="BI374" i="1"/>
  <c r="BJ374" i="1"/>
  <c r="BK374" i="1"/>
  <c r="BL374" i="1"/>
  <c r="BM374" i="1"/>
  <c r="BN374" i="1"/>
  <c r="BO374" i="1"/>
  <c r="BP374" i="1"/>
  <c r="BQ374" i="1"/>
  <c r="BR374" i="1"/>
  <c r="BS374" i="1"/>
  <c r="BT374" i="1"/>
  <c r="BU374" i="1"/>
  <c r="BV374" i="1"/>
  <c r="BW374" i="1"/>
  <c r="BX374" i="1"/>
  <c r="BY374" i="1"/>
  <c r="BZ374" i="1"/>
  <c r="CA374" i="1"/>
  <c r="CB374" i="1"/>
  <c r="CC374" i="1"/>
  <c r="CD374" i="1"/>
  <c r="CE374" i="1"/>
  <c r="CF374" i="1"/>
  <c r="CG374" i="1"/>
  <c r="CH374" i="1"/>
  <c r="CI374" i="1"/>
  <c r="CJ374" i="1"/>
  <c r="CK374" i="1"/>
  <c r="CL374" i="1"/>
  <c r="CM374" i="1"/>
  <c r="CN374" i="1"/>
  <c r="CO374" i="1"/>
  <c r="CP374" i="1"/>
  <c r="CQ374" i="1"/>
  <c r="CR374" i="1"/>
  <c r="CS374" i="1"/>
  <c r="CT374" i="1"/>
  <c r="CU374" i="1"/>
  <c r="CV374" i="1"/>
  <c r="CW374" i="1"/>
  <c r="CX374" i="1"/>
  <c r="CY374" i="1"/>
  <c r="CZ374" i="1"/>
  <c r="DA374" i="1"/>
  <c r="DB374" i="1"/>
  <c r="DC374" i="1"/>
  <c r="DD374" i="1"/>
  <c r="DE374" i="1"/>
  <c r="DF374" i="1"/>
  <c r="DG374" i="1"/>
  <c r="DH374" i="1"/>
  <c r="DI374" i="1"/>
  <c r="DJ374" i="1"/>
  <c r="DK374" i="1"/>
  <c r="DL374" i="1"/>
  <c r="DM374" i="1"/>
  <c r="DN374" i="1"/>
  <c r="DO374" i="1"/>
  <c r="DP374" i="1"/>
  <c r="DQ374" i="1"/>
  <c r="DR374" i="1"/>
  <c r="DS374" i="1"/>
  <c r="DT374" i="1"/>
  <c r="DU374" i="1"/>
  <c r="DV374" i="1"/>
  <c r="DW374" i="1"/>
  <c r="DX374" i="1"/>
  <c r="DY374" i="1"/>
  <c r="DZ374" i="1"/>
  <c r="EA374" i="1"/>
  <c r="EB374" i="1"/>
  <c r="EC374" i="1"/>
  <c r="ED374" i="1"/>
  <c r="EE374" i="1"/>
  <c r="EF374" i="1"/>
  <c r="EG374" i="1"/>
  <c r="EH374" i="1"/>
  <c r="EI374" i="1"/>
  <c r="EJ374" i="1"/>
  <c r="EK374" i="1"/>
  <c r="EL374" i="1"/>
  <c r="EM374" i="1"/>
  <c r="EN374" i="1"/>
  <c r="EO374" i="1"/>
  <c r="EP374" i="1"/>
  <c r="EQ374" i="1"/>
  <c r="ER374" i="1"/>
  <c r="ES374" i="1"/>
  <c r="ET374" i="1"/>
  <c r="EU374" i="1"/>
  <c r="EV374" i="1"/>
  <c r="EW374" i="1"/>
  <c r="EX374" i="1"/>
  <c r="EY374" i="1"/>
  <c r="EZ374" i="1"/>
  <c r="FA374" i="1"/>
  <c r="FB374" i="1"/>
  <c r="FC374" i="1"/>
  <c r="FD374" i="1"/>
  <c r="FE374" i="1"/>
  <c r="FF374" i="1"/>
  <c r="FG374" i="1"/>
  <c r="FH374" i="1"/>
  <c r="FI374" i="1"/>
  <c r="FJ374" i="1"/>
  <c r="FK374" i="1"/>
  <c r="FL374" i="1"/>
  <c r="FM374" i="1"/>
  <c r="FN374" i="1"/>
  <c r="FO374" i="1"/>
  <c r="FP374" i="1"/>
  <c r="FQ374" i="1"/>
  <c r="FR374" i="1"/>
  <c r="FS374" i="1"/>
  <c r="FT374" i="1"/>
  <c r="FU374" i="1"/>
  <c r="FV374" i="1"/>
  <c r="FW374" i="1"/>
  <c r="FX374" i="1"/>
  <c r="FY374" i="1"/>
  <c r="FZ374" i="1"/>
  <c r="GA374" i="1"/>
  <c r="GB374" i="1"/>
  <c r="GC374" i="1"/>
  <c r="GD374" i="1"/>
  <c r="GE374" i="1"/>
  <c r="GF374" i="1"/>
  <c r="GG374" i="1"/>
  <c r="GH374" i="1"/>
  <c r="GI374" i="1"/>
  <c r="GJ374" i="1"/>
  <c r="GK374" i="1"/>
  <c r="GL374" i="1"/>
  <c r="GM374" i="1"/>
  <c r="GN374" i="1"/>
  <c r="GO374" i="1"/>
  <c r="GP374" i="1"/>
  <c r="GQ374" i="1"/>
  <c r="GR374" i="1"/>
  <c r="GS374" i="1"/>
  <c r="GT374" i="1"/>
  <c r="GU374" i="1"/>
  <c r="GV374" i="1"/>
  <c r="GW374" i="1"/>
  <c r="GX374" i="1"/>
  <c r="GY374" i="1"/>
  <c r="GZ374" i="1"/>
  <c r="HA374" i="1"/>
  <c r="HB374" i="1"/>
  <c r="HC374" i="1"/>
  <c r="HD374" i="1"/>
  <c r="HE374" i="1"/>
  <c r="HF374" i="1"/>
  <c r="HG374" i="1"/>
  <c r="HH374" i="1"/>
  <c r="HI374" i="1"/>
  <c r="HJ374" i="1"/>
  <c r="HK374" i="1"/>
  <c r="HL374" i="1"/>
  <c r="HM374" i="1"/>
  <c r="HN374" i="1"/>
  <c r="HO374" i="1"/>
  <c r="HP374" i="1"/>
  <c r="HQ374" i="1"/>
  <c r="HR374" i="1"/>
  <c r="HS374" i="1"/>
  <c r="HT374" i="1"/>
  <c r="HU374" i="1"/>
  <c r="HV374" i="1"/>
  <c r="HW374" i="1"/>
  <c r="HX374" i="1"/>
  <c r="HY374" i="1"/>
  <c r="HZ374" i="1"/>
  <c r="IA374" i="1"/>
  <c r="IB374" i="1"/>
  <c r="IC374" i="1"/>
  <c r="ID374" i="1"/>
  <c r="IE374" i="1"/>
  <c r="IF374" i="1"/>
  <c r="IG374" i="1"/>
  <c r="IH374" i="1"/>
  <c r="II374" i="1"/>
  <c r="IJ374" i="1"/>
  <c r="IK374" i="1"/>
  <c r="IL374" i="1"/>
  <c r="IM374" i="1"/>
  <c r="IN374" i="1"/>
  <c r="IO374" i="1"/>
  <c r="IP374" i="1"/>
  <c r="IQ374" i="1"/>
  <c r="IR374" i="1"/>
  <c r="IS374" i="1"/>
  <c r="IT374" i="1"/>
  <c r="IU374" i="1"/>
  <c r="IV374" i="1"/>
  <c r="IW374" i="1"/>
  <c r="IX374" i="1"/>
  <c r="IY374" i="1"/>
  <c r="IZ374" i="1"/>
  <c r="JA374" i="1"/>
  <c r="JB374" i="1"/>
  <c r="JC374" i="1"/>
  <c r="JD374" i="1"/>
  <c r="JE374" i="1"/>
  <c r="JF374" i="1"/>
  <c r="JG374" i="1"/>
  <c r="JH374" i="1"/>
  <c r="JI374" i="1"/>
  <c r="JJ374" i="1"/>
  <c r="JK374" i="1"/>
  <c r="A376" i="1"/>
</calcChain>
</file>

<file path=xl/sharedStrings.xml><?xml version="1.0" encoding="utf-8"?>
<sst xmlns="http://schemas.openxmlformats.org/spreadsheetml/2006/main" count="3" uniqueCount="3">
  <si>
    <t>="* p&lt;0.05</t>
  </si>
  <si>
    <t xml:space="preserve"> ** p&lt;0.01</t>
  </si>
  <si>
    <t xml:space="preserve"> *** p&lt;0.001"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</si>
</sst>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B97B-87B6-4FDD-B317-B53E65483554}">
  <dimension ref="A2:JK377"/>
  <sheetViews>
    <sheetView tabSelected="1" workbookViewId="0"/>
  </sheetViews>
  <sheetFormatPr defaultRowHeight="14.4" x14ac:dyDescent="0.3"/>
  <sheetData>
    <row r="2" spans="1:271" x14ac:dyDescent="0.3">
      <c r="A2" t="str">
        <f>""</f>
        <v/>
      </c>
      <c r="B2" t="str">
        <f>"(1)"</f>
        <v>(1)</v>
      </c>
      <c r="C2" t="str">
        <f>"(2)"</f>
        <v>(2)</v>
      </c>
      <c r="D2" t="str">
        <f>"(3)"</f>
        <v>(3)</v>
      </c>
      <c r="E2" t="str">
        <f>"(4)"</f>
        <v>(4)</v>
      </c>
      <c r="F2" t="str">
        <f>"(5)"</f>
        <v>(5)</v>
      </c>
      <c r="G2" t="str">
        <f>"(6)"</f>
        <v>(6)</v>
      </c>
      <c r="H2" t="str">
        <f>"(7)"</f>
        <v>(7)</v>
      </c>
      <c r="I2" t="str">
        <f>"(8)"</f>
        <v>(8)</v>
      </c>
      <c r="J2" t="str">
        <f>"(9)"</f>
        <v>(9)</v>
      </c>
      <c r="K2" t="str">
        <f>"(10)"</f>
        <v>(10)</v>
      </c>
      <c r="L2" t="str">
        <f>"(11)"</f>
        <v>(11)</v>
      </c>
      <c r="M2" t="str">
        <f>"(12)"</f>
        <v>(12)</v>
      </c>
      <c r="N2" t="str">
        <f>"(13)"</f>
        <v>(13)</v>
      </c>
      <c r="O2" t="str">
        <f>"(14)"</f>
        <v>(14)</v>
      </c>
      <c r="P2" t="str">
        <f>"(15)"</f>
        <v>(15)</v>
      </c>
      <c r="Q2" t="str">
        <f>"(16)"</f>
        <v>(16)</v>
      </c>
      <c r="R2" t="str">
        <f>"(17)"</f>
        <v>(17)</v>
      </c>
      <c r="S2" t="str">
        <f>"(18)"</f>
        <v>(18)</v>
      </c>
      <c r="T2" t="str">
        <f>"(19)"</f>
        <v>(19)</v>
      </c>
      <c r="U2" t="str">
        <f>"(20)"</f>
        <v>(20)</v>
      </c>
      <c r="V2" t="str">
        <f>"(21)"</f>
        <v>(21)</v>
      </c>
      <c r="W2" t="str">
        <f>"(22)"</f>
        <v>(22)</v>
      </c>
      <c r="X2" t="str">
        <f>"(23)"</f>
        <v>(23)</v>
      </c>
      <c r="Y2" t="str">
        <f>"(24)"</f>
        <v>(24)</v>
      </c>
      <c r="Z2" t="str">
        <f>"(25)"</f>
        <v>(25)</v>
      </c>
      <c r="AA2" t="str">
        <f>"(26)"</f>
        <v>(26)</v>
      </c>
      <c r="AB2" t="str">
        <f>"(27)"</f>
        <v>(27)</v>
      </c>
      <c r="AC2" t="str">
        <f>"(28)"</f>
        <v>(28)</v>
      </c>
      <c r="AD2" t="str">
        <f>"(29)"</f>
        <v>(29)</v>
      </c>
      <c r="AE2" t="str">
        <f>"(30)"</f>
        <v>(30)</v>
      </c>
      <c r="AF2" t="str">
        <f>"(31)"</f>
        <v>(31)</v>
      </c>
      <c r="AG2" t="str">
        <f>"(32)"</f>
        <v>(32)</v>
      </c>
      <c r="AH2" t="str">
        <f>"(33)"</f>
        <v>(33)</v>
      </c>
      <c r="AI2" t="str">
        <f>"(34)"</f>
        <v>(34)</v>
      </c>
      <c r="AJ2" t="str">
        <f>"(35)"</f>
        <v>(35)</v>
      </c>
      <c r="AK2" t="str">
        <f>"(36)"</f>
        <v>(36)</v>
      </c>
      <c r="AL2" t="str">
        <f>"(37)"</f>
        <v>(37)</v>
      </c>
      <c r="AM2" t="str">
        <f>"(38)"</f>
        <v>(38)</v>
      </c>
      <c r="AN2" t="str">
        <f>"(39)"</f>
        <v>(39)</v>
      </c>
      <c r="AO2" t="str">
        <f>"(40)"</f>
        <v>(40)</v>
      </c>
      <c r="AP2" t="str">
        <f>"(41)"</f>
        <v>(41)</v>
      </c>
      <c r="AQ2" t="str">
        <f>"(42)"</f>
        <v>(42)</v>
      </c>
      <c r="AR2" t="str">
        <f>"(43)"</f>
        <v>(43)</v>
      </c>
      <c r="AS2" t="str">
        <f>"(44)"</f>
        <v>(44)</v>
      </c>
      <c r="AT2" t="str">
        <f>"(45)"</f>
        <v>(45)</v>
      </c>
      <c r="AU2" t="str">
        <f>"(46)"</f>
        <v>(46)</v>
      </c>
      <c r="AV2" t="str">
        <f>"(47)"</f>
        <v>(47)</v>
      </c>
      <c r="AW2" t="str">
        <f>"(48)"</f>
        <v>(48)</v>
      </c>
      <c r="AX2" t="str">
        <f>"(49)"</f>
        <v>(49)</v>
      </c>
      <c r="AY2" t="str">
        <f>"(50)"</f>
        <v>(50)</v>
      </c>
      <c r="AZ2" t="str">
        <f>"(51)"</f>
        <v>(51)</v>
      </c>
      <c r="BA2" t="str">
        <f>"(52)"</f>
        <v>(52)</v>
      </c>
      <c r="BB2" t="str">
        <f>"(53)"</f>
        <v>(53)</v>
      </c>
      <c r="BC2" t="str">
        <f>"(54)"</f>
        <v>(54)</v>
      </c>
      <c r="BD2" t="str">
        <f>"(55)"</f>
        <v>(55)</v>
      </c>
      <c r="BE2" t="str">
        <f>"(56)"</f>
        <v>(56)</v>
      </c>
      <c r="BF2" t="str">
        <f>"(57)"</f>
        <v>(57)</v>
      </c>
      <c r="BG2" t="str">
        <f>"(58)"</f>
        <v>(58)</v>
      </c>
      <c r="BH2" t="str">
        <f>"(59)"</f>
        <v>(59)</v>
      </c>
      <c r="BI2" t="str">
        <f>"(60)"</f>
        <v>(60)</v>
      </c>
      <c r="BJ2" t="str">
        <f>"(61)"</f>
        <v>(61)</v>
      </c>
      <c r="BK2" t="str">
        <f>"(62)"</f>
        <v>(62)</v>
      </c>
      <c r="BL2" t="str">
        <f>"(63)"</f>
        <v>(63)</v>
      </c>
      <c r="BM2" t="str">
        <f>"(64)"</f>
        <v>(64)</v>
      </c>
      <c r="BN2" t="str">
        <f>"(65)"</f>
        <v>(65)</v>
      </c>
      <c r="BO2" t="str">
        <f>"(66)"</f>
        <v>(66)</v>
      </c>
      <c r="BP2" t="str">
        <f>"(67)"</f>
        <v>(67)</v>
      </c>
      <c r="BQ2" t="str">
        <f>"(68)"</f>
        <v>(68)</v>
      </c>
      <c r="BR2" t="str">
        <f>"(69)"</f>
        <v>(69)</v>
      </c>
      <c r="BS2" t="str">
        <f>"(70)"</f>
        <v>(70)</v>
      </c>
      <c r="BT2" t="str">
        <f>"(71)"</f>
        <v>(71)</v>
      </c>
      <c r="BU2" t="str">
        <f>"(72)"</f>
        <v>(72)</v>
      </c>
      <c r="BV2" t="str">
        <f>"(73)"</f>
        <v>(73)</v>
      </c>
      <c r="BW2" t="str">
        <f>"(74)"</f>
        <v>(74)</v>
      </c>
      <c r="BX2" t="str">
        <f>"(75)"</f>
        <v>(75)</v>
      </c>
      <c r="BY2" t="str">
        <f>"(76)"</f>
        <v>(76)</v>
      </c>
      <c r="BZ2" t="str">
        <f>"(77)"</f>
        <v>(77)</v>
      </c>
      <c r="CA2" t="str">
        <f>"(78)"</f>
        <v>(78)</v>
      </c>
      <c r="CB2" t="str">
        <f>"(79)"</f>
        <v>(79)</v>
      </c>
      <c r="CC2" t="str">
        <f>"(80)"</f>
        <v>(80)</v>
      </c>
      <c r="CD2" t="str">
        <f>"(81)"</f>
        <v>(81)</v>
      </c>
      <c r="CE2" t="str">
        <f>"(82)"</f>
        <v>(82)</v>
      </c>
      <c r="CF2" t="str">
        <f>"(83)"</f>
        <v>(83)</v>
      </c>
      <c r="CG2" t="str">
        <f>"(84)"</f>
        <v>(84)</v>
      </c>
      <c r="CH2" t="str">
        <f>"(85)"</f>
        <v>(85)</v>
      </c>
      <c r="CI2" t="str">
        <f>"(86)"</f>
        <v>(86)</v>
      </c>
      <c r="CJ2" t="str">
        <f>"(87)"</f>
        <v>(87)</v>
      </c>
      <c r="CK2" t="str">
        <f>"(88)"</f>
        <v>(88)</v>
      </c>
      <c r="CL2" t="str">
        <f>"(89)"</f>
        <v>(89)</v>
      </c>
      <c r="CM2" t="str">
        <f>"(90)"</f>
        <v>(90)</v>
      </c>
      <c r="CN2" t="str">
        <f>"(91)"</f>
        <v>(91)</v>
      </c>
      <c r="CO2" t="str">
        <f>"(92)"</f>
        <v>(92)</v>
      </c>
      <c r="CP2" t="str">
        <f>"(93)"</f>
        <v>(93)</v>
      </c>
      <c r="CQ2" t="str">
        <f>"(94)"</f>
        <v>(94)</v>
      </c>
      <c r="CR2" t="str">
        <f>"(95)"</f>
        <v>(95)</v>
      </c>
      <c r="CS2" t="str">
        <f>"(96)"</f>
        <v>(96)</v>
      </c>
      <c r="CT2" t="str">
        <f>"(97)"</f>
        <v>(97)</v>
      </c>
      <c r="CU2" t="str">
        <f>"(98)"</f>
        <v>(98)</v>
      </c>
      <c r="CV2" t="str">
        <f>"(99)"</f>
        <v>(99)</v>
      </c>
      <c r="CW2" t="str">
        <f>"(100)"</f>
        <v>(100)</v>
      </c>
      <c r="CX2" t="str">
        <f>"(101)"</f>
        <v>(101)</v>
      </c>
      <c r="CY2" t="str">
        <f>"(102)"</f>
        <v>(102)</v>
      </c>
      <c r="CZ2" t="str">
        <f>"(103)"</f>
        <v>(103)</v>
      </c>
      <c r="DA2" t="str">
        <f>"(104)"</f>
        <v>(104)</v>
      </c>
      <c r="DB2" t="str">
        <f>"(105)"</f>
        <v>(105)</v>
      </c>
      <c r="DC2" t="str">
        <f>"(106)"</f>
        <v>(106)</v>
      </c>
      <c r="DD2" t="str">
        <f>"(107)"</f>
        <v>(107)</v>
      </c>
      <c r="DE2" t="str">
        <f>"(108)"</f>
        <v>(108)</v>
      </c>
      <c r="DF2" t="str">
        <f>"(109)"</f>
        <v>(109)</v>
      </c>
      <c r="DG2" t="str">
        <f>"(110)"</f>
        <v>(110)</v>
      </c>
      <c r="DH2" t="str">
        <f>"(111)"</f>
        <v>(111)</v>
      </c>
      <c r="DI2" t="str">
        <f>"(112)"</f>
        <v>(112)</v>
      </c>
      <c r="DJ2" t="str">
        <f>"(113)"</f>
        <v>(113)</v>
      </c>
      <c r="DK2" t="str">
        <f>"(114)"</f>
        <v>(114)</v>
      </c>
      <c r="DL2" t="str">
        <f>"(115)"</f>
        <v>(115)</v>
      </c>
      <c r="DM2" t="str">
        <f>"(116)"</f>
        <v>(116)</v>
      </c>
      <c r="DN2" t="str">
        <f>"(117)"</f>
        <v>(117)</v>
      </c>
      <c r="DO2" t="str">
        <f>"(118)"</f>
        <v>(118)</v>
      </c>
      <c r="DP2" t="str">
        <f>"(119)"</f>
        <v>(119)</v>
      </c>
      <c r="DQ2" t="str">
        <f>"(120)"</f>
        <v>(120)</v>
      </c>
      <c r="DR2" t="str">
        <f>"(121)"</f>
        <v>(121)</v>
      </c>
      <c r="DS2" t="str">
        <f>"(122)"</f>
        <v>(122)</v>
      </c>
      <c r="DT2" t="str">
        <f>"(123)"</f>
        <v>(123)</v>
      </c>
      <c r="DU2" t="str">
        <f>"(124)"</f>
        <v>(124)</v>
      </c>
      <c r="DV2" t="str">
        <f>"(125)"</f>
        <v>(125)</v>
      </c>
      <c r="DW2" t="str">
        <f>"(126)"</f>
        <v>(126)</v>
      </c>
      <c r="DX2" t="str">
        <f>"(127)"</f>
        <v>(127)</v>
      </c>
      <c r="DY2" t="str">
        <f>"(128)"</f>
        <v>(128)</v>
      </c>
      <c r="DZ2" t="str">
        <f>"(129)"</f>
        <v>(129)</v>
      </c>
      <c r="EA2" t="str">
        <f>"(130)"</f>
        <v>(130)</v>
      </c>
      <c r="EB2" t="str">
        <f>"(131)"</f>
        <v>(131)</v>
      </c>
      <c r="EC2" t="str">
        <f>"(132)"</f>
        <v>(132)</v>
      </c>
      <c r="ED2" t="str">
        <f>"(133)"</f>
        <v>(133)</v>
      </c>
      <c r="EE2" t="str">
        <f>"(134)"</f>
        <v>(134)</v>
      </c>
      <c r="EF2" t="str">
        <f>"(135)"</f>
        <v>(135)</v>
      </c>
      <c r="EG2" t="str">
        <f>"(136)"</f>
        <v>(136)</v>
      </c>
      <c r="EH2" t="str">
        <f>"(137)"</f>
        <v>(137)</v>
      </c>
      <c r="EI2" t="str">
        <f>"(138)"</f>
        <v>(138)</v>
      </c>
      <c r="EJ2" t="str">
        <f>"(139)"</f>
        <v>(139)</v>
      </c>
      <c r="EK2" t="str">
        <f>"(140)"</f>
        <v>(140)</v>
      </c>
      <c r="EL2" t="str">
        <f>"(141)"</f>
        <v>(141)</v>
      </c>
      <c r="EM2" t="str">
        <f>"(142)"</f>
        <v>(142)</v>
      </c>
      <c r="EN2" t="str">
        <f>"(143)"</f>
        <v>(143)</v>
      </c>
      <c r="EO2" t="str">
        <f>"(144)"</f>
        <v>(144)</v>
      </c>
      <c r="EP2" t="str">
        <f>"(145)"</f>
        <v>(145)</v>
      </c>
      <c r="EQ2" t="str">
        <f>"(146)"</f>
        <v>(146)</v>
      </c>
      <c r="ER2" t="str">
        <f>"(147)"</f>
        <v>(147)</v>
      </c>
      <c r="ES2" t="str">
        <f>"(148)"</f>
        <v>(148)</v>
      </c>
      <c r="ET2" t="str">
        <f>"(149)"</f>
        <v>(149)</v>
      </c>
      <c r="EU2" t="str">
        <f>"(150)"</f>
        <v>(150)</v>
      </c>
      <c r="EV2" t="str">
        <f>"(151)"</f>
        <v>(151)</v>
      </c>
      <c r="EW2" t="str">
        <f>"(152)"</f>
        <v>(152)</v>
      </c>
      <c r="EX2" t="str">
        <f>"(153)"</f>
        <v>(153)</v>
      </c>
      <c r="EY2" t="str">
        <f>"(154)"</f>
        <v>(154)</v>
      </c>
      <c r="EZ2" t="str">
        <f>"(155)"</f>
        <v>(155)</v>
      </c>
      <c r="FA2" t="str">
        <f>"(156)"</f>
        <v>(156)</v>
      </c>
      <c r="FB2" t="str">
        <f>"(157)"</f>
        <v>(157)</v>
      </c>
      <c r="FC2" t="str">
        <f>"(158)"</f>
        <v>(158)</v>
      </c>
      <c r="FD2" t="str">
        <f>"(159)"</f>
        <v>(159)</v>
      </c>
      <c r="FE2" t="str">
        <f>"(160)"</f>
        <v>(160)</v>
      </c>
      <c r="FF2" t="str">
        <f>"(161)"</f>
        <v>(161)</v>
      </c>
      <c r="FG2" t="str">
        <f>"(162)"</f>
        <v>(162)</v>
      </c>
      <c r="FH2" t="str">
        <f>"(163)"</f>
        <v>(163)</v>
      </c>
      <c r="FI2" t="str">
        <f>"(164)"</f>
        <v>(164)</v>
      </c>
      <c r="FJ2" t="str">
        <f>"(165)"</f>
        <v>(165)</v>
      </c>
      <c r="FK2" t="str">
        <f>"(166)"</f>
        <v>(166)</v>
      </c>
      <c r="FL2" t="str">
        <f>"(167)"</f>
        <v>(167)</v>
      </c>
      <c r="FM2" t="str">
        <f>"(168)"</f>
        <v>(168)</v>
      </c>
      <c r="FN2" t="str">
        <f>"(169)"</f>
        <v>(169)</v>
      </c>
      <c r="FO2" t="str">
        <f>"(170)"</f>
        <v>(170)</v>
      </c>
      <c r="FP2" t="str">
        <f>"(171)"</f>
        <v>(171)</v>
      </c>
      <c r="FQ2" t="str">
        <f>"(172)"</f>
        <v>(172)</v>
      </c>
      <c r="FR2" t="str">
        <f>"(173)"</f>
        <v>(173)</v>
      </c>
      <c r="FS2" t="str">
        <f>"(174)"</f>
        <v>(174)</v>
      </c>
      <c r="FT2" t="str">
        <f>"(175)"</f>
        <v>(175)</v>
      </c>
      <c r="FU2" t="str">
        <f>"(176)"</f>
        <v>(176)</v>
      </c>
      <c r="FV2" t="str">
        <f>"(177)"</f>
        <v>(177)</v>
      </c>
      <c r="FW2" t="str">
        <f>"(178)"</f>
        <v>(178)</v>
      </c>
      <c r="FX2" t="str">
        <f>"(179)"</f>
        <v>(179)</v>
      </c>
      <c r="FY2" t="str">
        <f>"(180)"</f>
        <v>(180)</v>
      </c>
      <c r="FZ2" t="str">
        <f>"(181)"</f>
        <v>(181)</v>
      </c>
      <c r="GA2" t="str">
        <f>"(182)"</f>
        <v>(182)</v>
      </c>
      <c r="GB2" t="str">
        <f>"(183)"</f>
        <v>(183)</v>
      </c>
      <c r="GC2" t="str">
        <f>"(184)"</f>
        <v>(184)</v>
      </c>
      <c r="GD2" t="str">
        <f>"(185)"</f>
        <v>(185)</v>
      </c>
      <c r="GE2" t="str">
        <f>"(186)"</f>
        <v>(186)</v>
      </c>
      <c r="GF2" t="str">
        <f>"(187)"</f>
        <v>(187)</v>
      </c>
      <c r="GG2" t="str">
        <f>"(188)"</f>
        <v>(188)</v>
      </c>
      <c r="GH2" t="str">
        <f>"(189)"</f>
        <v>(189)</v>
      </c>
      <c r="GI2" t="str">
        <f>"(190)"</f>
        <v>(190)</v>
      </c>
      <c r="GJ2" t="str">
        <f>"(191)"</f>
        <v>(191)</v>
      </c>
      <c r="GK2" t="str">
        <f>"(192)"</f>
        <v>(192)</v>
      </c>
      <c r="GL2" t="str">
        <f>"(193)"</f>
        <v>(193)</v>
      </c>
      <c r="GM2" t="str">
        <f>"(194)"</f>
        <v>(194)</v>
      </c>
      <c r="GN2" t="str">
        <f>"(195)"</f>
        <v>(195)</v>
      </c>
      <c r="GO2" t="str">
        <f>"(196)"</f>
        <v>(196)</v>
      </c>
      <c r="GP2" t="str">
        <f>"(197)"</f>
        <v>(197)</v>
      </c>
      <c r="GQ2" t="str">
        <f>"(198)"</f>
        <v>(198)</v>
      </c>
      <c r="GR2" t="str">
        <f>"(199)"</f>
        <v>(199)</v>
      </c>
      <c r="GS2" t="str">
        <f>"(200)"</f>
        <v>(200)</v>
      </c>
      <c r="GT2" t="str">
        <f>"(201)"</f>
        <v>(201)</v>
      </c>
      <c r="GU2" t="str">
        <f>"(202)"</f>
        <v>(202)</v>
      </c>
      <c r="GV2" t="str">
        <f>"(203)"</f>
        <v>(203)</v>
      </c>
      <c r="GW2" t="str">
        <f>"(204)"</f>
        <v>(204)</v>
      </c>
      <c r="GX2" t="str">
        <f>"(205)"</f>
        <v>(205)</v>
      </c>
      <c r="GY2" t="str">
        <f>"(206)"</f>
        <v>(206)</v>
      </c>
      <c r="GZ2" t="str">
        <f>"(207)"</f>
        <v>(207)</v>
      </c>
      <c r="HA2" t="str">
        <f>"(208)"</f>
        <v>(208)</v>
      </c>
      <c r="HB2" t="str">
        <f>"(209)"</f>
        <v>(209)</v>
      </c>
      <c r="HC2" t="str">
        <f>"(210)"</f>
        <v>(210)</v>
      </c>
      <c r="HD2" t="str">
        <f>"(211)"</f>
        <v>(211)</v>
      </c>
      <c r="HE2" t="str">
        <f>"(212)"</f>
        <v>(212)</v>
      </c>
      <c r="HF2" t="str">
        <f>"(213)"</f>
        <v>(213)</v>
      </c>
      <c r="HG2" t="str">
        <f>"(214)"</f>
        <v>(214)</v>
      </c>
      <c r="HH2" t="str">
        <f>"(215)"</f>
        <v>(215)</v>
      </c>
      <c r="HI2" t="str">
        <f>"(216)"</f>
        <v>(216)</v>
      </c>
      <c r="HJ2" t="str">
        <f>"(217)"</f>
        <v>(217)</v>
      </c>
      <c r="HK2" t="str">
        <f>"(218)"</f>
        <v>(218)</v>
      </c>
      <c r="HL2" t="str">
        <f>"(219)"</f>
        <v>(219)</v>
      </c>
      <c r="HM2" t="str">
        <f>"(220)"</f>
        <v>(220)</v>
      </c>
      <c r="HN2" t="str">
        <f>"(221)"</f>
        <v>(221)</v>
      </c>
      <c r="HO2" t="str">
        <f>"(222)"</f>
        <v>(222)</v>
      </c>
      <c r="HP2" t="str">
        <f>"(223)"</f>
        <v>(223)</v>
      </c>
      <c r="HQ2" t="str">
        <f>"(224)"</f>
        <v>(224)</v>
      </c>
      <c r="HR2" t="str">
        <f>"(225)"</f>
        <v>(225)</v>
      </c>
      <c r="HS2" t="str">
        <f>"(226)"</f>
        <v>(226)</v>
      </c>
      <c r="HT2" t="str">
        <f>"(227)"</f>
        <v>(227)</v>
      </c>
      <c r="HU2" t="str">
        <f>"(228)"</f>
        <v>(228)</v>
      </c>
      <c r="HV2" t="str">
        <f>"(229)"</f>
        <v>(229)</v>
      </c>
      <c r="HW2" t="str">
        <f>"(230)"</f>
        <v>(230)</v>
      </c>
      <c r="HX2" t="str">
        <f>"(231)"</f>
        <v>(231)</v>
      </c>
      <c r="HY2" t="str">
        <f>"(232)"</f>
        <v>(232)</v>
      </c>
      <c r="HZ2" t="str">
        <f>"(233)"</f>
        <v>(233)</v>
      </c>
      <c r="IA2" t="str">
        <f>"(234)"</f>
        <v>(234)</v>
      </c>
      <c r="IB2" t="str">
        <f>"(235)"</f>
        <v>(235)</v>
      </c>
      <c r="IC2" t="str">
        <f>"(236)"</f>
        <v>(236)</v>
      </c>
      <c r="ID2" t="str">
        <f>"(237)"</f>
        <v>(237)</v>
      </c>
      <c r="IE2" t="str">
        <f>"(238)"</f>
        <v>(238)</v>
      </c>
      <c r="IF2" t="str">
        <f>"(239)"</f>
        <v>(239)</v>
      </c>
      <c r="IG2" t="str">
        <f>"(240)"</f>
        <v>(240)</v>
      </c>
      <c r="IH2" t="str">
        <f>"(241)"</f>
        <v>(241)</v>
      </c>
      <c r="II2" t="str">
        <f>"(242)"</f>
        <v>(242)</v>
      </c>
      <c r="IJ2" t="str">
        <f>"(243)"</f>
        <v>(243)</v>
      </c>
      <c r="IK2" t="str">
        <f>"(244)"</f>
        <v>(244)</v>
      </c>
      <c r="IL2" t="str">
        <f>"(245)"</f>
        <v>(245)</v>
      </c>
      <c r="IM2" t="str">
        <f>"(246)"</f>
        <v>(246)</v>
      </c>
      <c r="IN2" t="str">
        <f>"(247)"</f>
        <v>(247)</v>
      </c>
      <c r="IO2" t="str">
        <f>"(248)"</f>
        <v>(248)</v>
      </c>
      <c r="IP2" t="str">
        <f>"(249)"</f>
        <v>(249)</v>
      </c>
      <c r="IQ2" t="str">
        <f>"(250)"</f>
        <v>(250)</v>
      </c>
      <c r="IR2" t="str">
        <f>"(251)"</f>
        <v>(251)</v>
      </c>
      <c r="IS2" t="str">
        <f>"(252)"</f>
        <v>(252)</v>
      </c>
      <c r="IT2" t="str">
        <f>"(253)"</f>
        <v>(253)</v>
      </c>
      <c r="IU2" t="str">
        <f>"(254)"</f>
        <v>(254)</v>
      </c>
      <c r="IV2" t="str">
        <f>"(255)"</f>
        <v>(255)</v>
      </c>
      <c r="IW2" t="str">
        <f>"(256)"</f>
        <v>(256)</v>
      </c>
      <c r="IX2" t="str">
        <f>"(257)"</f>
        <v>(257)</v>
      </c>
      <c r="IY2" t="str">
        <f>"(258)"</f>
        <v>(258)</v>
      </c>
      <c r="IZ2" t="str">
        <f>"(259)"</f>
        <v>(259)</v>
      </c>
      <c r="JA2" t="str">
        <f>"(260)"</f>
        <v>(260)</v>
      </c>
      <c r="JB2" t="str">
        <f>"(261)"</f>
        <v>(261)</v>
      </c>
      <c r="JC2" t="str">
        <f>"(262)"</f>
        <v>(262)</v>
      </c>
      <c r="JD2" t="str">
        <f>"(263)"</f>
        <v>(263)</v>
      </c>
      <c r="JE2" t="str">
        <f>"(264)"</f>
        <v>(264)</v>
      </c>
      <c r="JF2" t="str">
        <f>"(265)"</f>
        <v>(265)</v>
      </c>
      <c r="JG2" t="str">
        <f>"(266)"</f>
        <v>(266)</v>
      </c>
      <c r="JH2" t="str">
        <f>"(267)"</f>
        <v>(267)</v>
      </c>
      <c r="JI2" t="str">
        <f>"(268)"</f>
        <v>(268)</v>
      </c>
      <c r="JJ2" t="str">
        <f>"(269)"</f>
        <v>(269)</v>
      </c>
      <c r="JK2" t="str">
        <f>"(270)"</f>
        <v>(270)</v>
      </c>
    </row>
    <row r="3" spans="1:271" x14ac:dyDescent="0.3">
      <c r="A3" t="str">
        <f>""</f>
        <v/>
      </c>
      <c r="B3" t="str">
        <f t="shared" ref="B3:BM3" si="0">"_t"</f>
        <v>_t</v>
      </c>
      <c r="C3" t="str">
        <f t="shared" si="0"/>
        <v>_t</v>
      </c>
      <c r="D3" t="str">
        <f t="shared" si="0"/>
        <v>_t</v>
      </c>
      <c r="E3" t="str">
        <f t="shared" si="0"/>
        <v>_t</v>
      </c>
      <c r="F3" t="str">
        <f t="shared" si="0"/>
        <v>_t</v>
      </c>
      <c r="G3" t="str">
        <f t="shared" si="0"/>
        <v>_t</v>
      </c>
      <c r="H3" t="str">
        <f t="shared" si="0"/>
        <v>_t</v>
      </c>
      <c r="I3" t="str">
        <f t="shared" si="0"/>
        <v>_t</v>
      </c>
      <c r="J3" t="str">
        <f t="shared" si="0"/>
        <v>_t</v>
      </c>
      <c r="K3" t="str">
        <f t="shared" si="0"/>
        <v>_t</v>
      </c>
      <c r="L3" t="str">
        <f t="shared" si="0"/>
        <v>_t</v>
      </c>
      <c r="M3" t="str">
        <f t="shared" si="0"/>
        <v>_t</v>
      </c>
      <c r="N3" t="str">
        <f t="shared" si="0"/>
        <v>_t</v>
      </c>
      <c r="O3" t="str">
        <f t="shared" si="0"/>
        <v>_t</v>
      </c>
      <c r="P3" t="str">
        <f t="shared" si="0"/>
        <v>_t</v>
      </c>
      <c r="Q3" t="str">
        <f t="shared" si="0"/>
        <v>_t</v>
      </c>
      <c r="R3" t="str">
        <f t="shared" si="0"/>
        <v>_t</v>
      </c>
      <c r="S3" t="str">
        <f t="shared" si="0"/>
        <v>_t</v>
      </c>
      <c r="T3" t="str">
        <f t="shared" si="0"/>
        <v>_t</v>
      </c>
      <c r="U3" t="str">
        <f t="shared" si="0"/>
        <v>_t</v>
      </c>
      <c r="V3" t="str">
        <f t="shared" si="0"/>
        <v>_t</v>
      </c>
      <c r="W3" t="str">
        <f t="shared" si="0"/>
        <v>_t</v>
      </c>
      <c r="X3" t="str">
        <f t="shared" si="0"/>
        <v>_t</v>
      </c>
      <c r="Y3" t="str">
        <f t="shared" si="0"/>
        <v>_t</v>
      </c>
      <c r="Z3" t="str">
        <f t="shared" si="0"/>
        <v>_t</v>
      </c>
      <c r="AA3" t="str">
        <f t="shared" si="0"/>
        <v>_t</v>
      </c>
      <c r="AB3" t="str">
        <f t="shared" si="0"/>
        <v>_t</v>
      </c>
      <c r="AC3" t="str">
        <f t="shared" si="0"/>
        <v>_t</v>
      </c>
      <c r="AD3" t="str">
        <f t="shared" si="0"/>
        <v>_t</v>
      </c>
      <c r="AE3" t="str">
        <f t="shared" si="0"/>
        <v>_t</v>
      </c>
      <c r="AF3" t="str">
        <f t="shared" si="0"/>
        <v>_t</v>
      </c>
      <c r="AG3" t="str">
        <f t="shared" si="0"/>
        <v>_t</v>
      </c>
      <c r="AH3" t="str">
        <f t="shared" si="0"/>
        <v>_t</v>
      </c>
      <c r="AI3" t="str">
        <f t="shared" si="0"/>
        <v>_t</v>
      </c>
      <c r="AJ3" t="str">
        <f t="shared" si="0"/>
        <v>_t</v>
      </c>
      <c r="AK3" t="str">
        <f t="shared" si="0"/>
        <v>_t</v>
      </c>
      <c r="AL3" t="str">
        <f t="shared" si="0"/>
        <v>_t</v>
      </c>
      <c r="AM3" t="str">
        <f t="shared" si="0"/>
        <v>_t</v>
      </c>
      <c r="AN3" t="str">
        <f t="shared" si="0"/>
        <v>_t</v>
      </c>
      <c r="AO3" t="str">
        <f t="shared" si="0"/>
        <v>_t</v>
      </c>
      <c r="AP3" t="str">
        <f t="shared" si="0"/>
        <v>_t</v>
      </c>
      <c r="AQ3" t="str">
        <f t="shared" si="0"/>
        <v>_t</v>
      </c>
      <c r="AR3" t="str">
        <f t="shared" si="0"/>
        <v>_t</v>
      </c>
      <c r="AS3" t="str">
        <f t="shared" si="0"/>
        <v>_t</v>
      </c>
      <c r="AT3" t="str">
        <f t="shared" si="0"/>
        <v>_t</v>
      </c>
      <c r="AU3" t="str">
        <f t="shared" si="0"/>
        <v>_t</v>
      </c>
      <c r="AV3" t="str">
        <f t="shared" si="0"/>
        <v>_t</v>
      </c>
      <c r="AW3" t="str">
        <f t="shared" si="0"/>
        <v>_t</v>
      </c>
      <c r="AX3" t="str">
        <f t="shared" si="0"/>
        <v>_t</v>
      </c>
      <c r="AY3" t="str">
        <f t="shared" si="0"/>
        <v>_t</v>
      </c>
      <c r="AZ3" t="str">
        <f t="shared" si="0"/>
        <v>_t</v>
      </c>
      <c r="BA3" t="str">
        <f t="shared" si="0"/>
        <v>_t</v>
      </c>
      <c r="BB3" t="str">
        <f t="shared" si="0"/>
        <v>_t</v>
      </c>
      <c r="BC3" t="str">
        <f t="shared" si="0"/>
        <v>_t</v>
      </c>
      <c r="BD3" t="str">
        <f t="shared" si="0"/>
        <v>_t</v>
      </c>
      <c r="BE3" t="str">
        <f t="shared" si="0"/>
        <v>_t</v>
      </c>
      <c r="BF3" t="str">
        <f t="shared" si="0"/>
        <v>_t</v>
      </c>
      <c r="BG3" t="str">
        <f t="shared" si="0"/>
        <v>_t</v>
      </c>
      <c r="BH3" t="str">
        <f t="shared" si="0"/>
        <v>_t</v>
      </c>
      <c r="BI3" t="str">
        <f t="shared" si="0"/>
        <v>_t</v>
      </c>
      <c r="BJ3" t="str">
        <f t="shared" si="0"/>
        <v>_t</v>
      </c>
      <c r="BK3" t="str">
        <f t="shared" si="0"/>
        <v>_t</v>
      </c>
      <c r="BL3" t="str">
        <f t="shared" si="0"/>
        <v>_t</v>
      </c>
      <c r="BM3" t="str">
        <f t="shared" si="0"/>
        <v>_t</v>
      </c>
      <c r="BN3" t="str">
        <f t="shared" ref="BN3:DY3" si="1">"_t"</f>
        <v>_t</v>
      </c>
      <c r="BO3" t="str">
        <f t="shared" si="1"/>
        <v>_t</v>
      </c>
      <c r="BP3" t="str">
        <f t="shared" si="1"/>
        <v>_t</v>
      </c>
      <c r="BQ3" t="str">
        <f t="shared" si="1"/>
        <v>_t</v>
      </c>
      <c r="BR3" t="str">
        <f t="shared" si="1"/>
        <v>_t</v>
      </c>
      <c r="BS3" t="str">
        <f t="shared" si="1"/>
        <v>_t</v>
      </c>
      <c r="BT3" t="str">
        <f t="shared" si="1"/>
        <v>_t</v>
      </c>
      <c r="BU3" t="str">
        <f t="shared" si="1"/>
        <v>_t</v>
      </c>
      <c r="BV3" t="str">
        <f t="shared" si="1"/>
        <v>_t</v>
      </c>
      <c r="BW3" t="str">
        <f t="shared" si="1"/>
        <v>_t</v>
      </c>
      <c r="BX3" t="str">
        <f t="shared" si="1"/>
        <v>_t</v>
      </c>
      <c r="BY3" t="str">
        <f t="shared" si="1"/>
        <v>_t</v>
      </c>
      <c r="BZ3" t="str">
        <f t="shared" si="1"/>
        <v>_t</v>
      </c>
      <c r="CA3" t="str">
        <f t="shared" si="1"/>
        <v>_t</v>
      </c>
      <c r="CB3" t="str">
        <f t="shared" si="1"/>
        <v>_t</v>
      </c>
      <c r="CC3" t="str">
        <f t="shared" si="1"/>
        <v>_t</v>
      </c>
      <c r="CD3" t="str">
        <f t="shared" si="1"/>
        <v>_t</v>
      </c>
      <c r="CE3" t="str">
        <f t="shared" si="1"/>
        <v>_t</v>
      </c>
      <c r="CF3" t="str">
        <f t="shared" si="1"/>
        <v>_t</v>
      </c>
      <c r="CG3" t="str">
        <f t="shared" si="1"/>
        <v>_t</v>
      </c>
      <c r="CH3" t="str">
        <f t="shared" si="1"/>
        <v>_t</v>
      </c>
      <c r="CI3" t="str">
        <f t="shared" si="1"/>
        <v>_t</v>
      </c>
      <c r="CJ3" t="str">
        <f t="shared" si="1"/>
        <v>_t</v>
      </c>
      <c r="CK3" t="str">
        <f t="shared" si="1"/>
        <v>_t</v>
      </c>
      <c r="CL3" t="str">
        <f t="shared" si="1"/>
        <v>_t</v>
      </c>
      <c r="CM3" t="str">
        <f t="shared" si="1"/>
        <v>_t</v>
      </c>
      <c r="CN3" t="str">
        <f t="shared" si="1"/>
        <v>_t</v>
      </c>
      <c r="CO3" t="str">
        <f t="shared" si="1"/>
        <v>_t</v>
      </c>
      <c r="CP3" t="str">
        <f t="shared" si="1"/>
        <v>_t</v>
      </c>
      <c r="CQ3" t="str">
        <f t="shared" si="1"/>
        <v>_t</v>
      </c>
      <c r="CR3" t="str">
        <f t="shared" si="1"/>
        <v>_t</v>
      </c>
      <c r="CS3" t="str">
        <f t="shared" si="1"/>
        <v>_t</v>
      </c>
      <c r="CT3" t="str">
        <f t="shared" si="1"/>
        <v>_t</v>
      </c>
      <c r="CU3" t="str">
        <f t="shared" si="1"/>
        <v>_t</v>
      </c>
      <c r="CV3" t="str">
        <f t="shared" si="1"/>
        <v>_t</v>
      </c>
      <c r="CW3" t="str">
        <f t="shared" si="1"/>
        <v>_t</v>
      </c>
      <c r="CX3" t="str">
        <f t="shared" si="1"/>
        <v>_t</v>
      </c>
      <c r="CY3" t="str">
        <f t="shared" si="1"/>
        <v>_t</v>
      </c>
      <c r="CZ3" t="str">
        <f t="shared" si="1"/>
        <v>_t</v>
      </c>
      <c r="DA3" t="str">
        <f t="shared" si="1"/>
        <v>_t</v>
      </c>
      <c r="DB3" t="str">
        <f t="shared" si="1"/>
        <v>_t</v>
      </c>
      <c r="DC3" t="str">
        <f t="shared" si="1"/>
        <v>_t</v>
      </c>
      <c r="DD3" t="str">
        <f t="shared" si="1"/>
        <v>_t</v>
      </c>
      <c r="DE3" t="str">
        <f t="shared" si="1"/>
        <v>_t</v>
      </c>
      <c r="DF3" t="str">
        <f t="shared" si="1"/>
        <v>_t</v>
      </c>
      <c r="DG3" t="str">
        <f t="shared" si="1"/>
        <v>_t</v>
      </c>
      <c r="DH3" t="str">
        <f t="shared" si="1"/>
        <v>_t</v>
      </c>
      <c r="DI3" t="str">
        <f t="shared" si="1"/>
        <v>_t</v>
      </c>
      <c r="DJ3" t="str">
        <f t="shared" si="1"/>
        <v>_t</v>
      </c>
      <c r="DK3" t="str">
        <f t="shared" si="1"/>
        <v>_t</v>
      </c>
      <c r="DL3" t="str">
        <f t="shared" si="1"/>
        <v>_t</v>
      </c>
      <c r="DM3" t="str">
        <f t="shared" si="1"/>
        <v>_t</v>
      </c>
      <c r="DN3" t="str">
        <f t="shared" si="1"/>
        <v>_t</v>
      </c>
      <c r="DO3" t="str">
        <f t="shared" si="1"/>
        <v>_t</v>
      </c>
      <c r="DP3" t="str">
        <f t="shared" si="1"/>
        <v>_t</v>
      </c>
      <c r="DQ3" t="str">
        <f t="shared" si="1"/>
        <v>_t</v>
      </c>
      <c r="DR3" t="str">
        <f t="shared" si="1"/>
        <v>_t</v>
      </c>
      <c r="DS3" t="str">
        <f t="shared" si="1"/>
        <v>_t</v>
      </c>
      <c r="DT3" t="str">
        <f t="shared" si="1"/>
        <v>_t</v>
      </c>
      <c r="DU3" t="str">
        <f t="shared" si="1"/>
        <v>_t</v>
      </c>
      <c r="DV3" t="str">
        <f t="shared" si="1"/>
        <v>_t</v>
      </c>
      <c r="DW3" t="str">
        <f t="shared" si="1"/>
        <v>_t</v>
      </c>
      <c r="DX3" t="str">
        <f t="shared" si="1"/>
        <v>_t</v>
      </c>
      <c r="DY3" t="str">
        <f t="shared" si="1"/>
        <v>_t</v>
      </c>
      <c r="DZ3" t="str">
        <f t="shared" ref="DZ3:GK3" si="2">"_t"</f>
        <v>_t</v>
      </c>
      <c r="EA3" t="str">
        <f t="shared" si="2"/>
        <v>_t</v>
      </c>
      <c r="EB3" t="str">
        <f t="shared" si="2"/>
        <v>_t</v>
      </c>
      <c r="EC3" t="str">
        <f t="shared" si="2"/>
        <v>_t</v>
      </c>
      <c r="ED3" t="str">
        <f t="shared" si="2"/>
        <v>_t</v>
      </c>
      <c r="EE3" t="str">
        <f t="shared" si="2"/>
        <v>_t</v>
      </c>
      <c r="EF3" t="str">
        <f t="shared" si="2"/>
        <v>_t</v>
      </c>
      <c r="EG3" t="str">
        <f t="shared" si="2"/>
        <v>_t</v>
      </c>
      <c r="EH3" t="str">
        <f t="shared" si="2"/>
        <v>_t</v>
      </c>
      <c r="EI3" t="str">
        <f t="shared" si="2"/>
        <v>_t</v>
      </c>
      <c r="EJ3" t="str">
        <f t="shared" si="2"/>
        <v>_t</v>
      </c>
      <c r="EK3" t="str">
        <f t="shared" si="2"/>
        <v>_t</v>
      </c>
      <c r="EL3" t="str">
        <f t="shared" si="2"/>
        <v>_t</v>
      </c>
      <c r="EM3" t="str">
        <f t="shared" si="2"/>
        <v>_t</v>
      </c>
      <c r="EN3" t="str">
        <f t="shared" si="2"/>
        <v>_t</v>
      </c>
      <c r="EO3" t="str">
        <f t="shared" si="2"/>
        <v>_t</v>
      </c>
      <c r="EP3" t="str">
        <f t="shared" si="2"/>
        <v>_t</v>
      </c>
      <c r="EQ3" t="str">
        <f t="shared" si="2"/>
        <v>_t</v>
      </c>
      <c r="ER3" t="str">
        <f t="shared" si="2"/>
        <v>_t</v>
      </c>
      <c r="ES3" t="str">
        <f t="shared" si="2"/>
        <v>_t</v>
      </c>
      <c r="ET3" t="str">
        <f t="shared" si="2"/>
        <v>_t</v>
      </c>
      <c r="EU3" t="str">
        <f t="shared" si="2"/>
        <v>_t</v>
      </c>
      <c r="EV3" t="str">
        <f t="shared" si="2"/>
        <v>_t</v>
      </c>
      <c r="EW3" t="str">
        <f t="shared" si="2"/>
        <v>_t</v>
      </c>
      <c r="EX3" t="str">
        <f t="shared" si="2"/>
        <v>_t</v>
      </c>
      <c r="EY3" t="str">
        <f t="shared" si="2"/>
        <v>_t</v>
      </c>
      <c r="EZ3" t="str">
        <f t="shared" si="2"/>
        <v>_t</v>
      </c>
      <c r="FA3" t="str">
        <f t="shared" si="2"/>
        <v>_t</v>
      </c>
      <c r="FB3" t="str">
        <f t="shared" si="2"/>
        <v>_t</v>
      </c>
      <c r="FC3" t="str">
        <f t="shared" si="2"/>
        <v>_t</v>
      </c>
      <c r="FD3" t="str">
        <f t="shared" si="2"/>
        <v>_t</v>
      </c>
      <c r="FE3" t="str">
        <f t="shared" si="2"/>
        <v>_t</v>
      </c>
      <c r="FF3" t="str">
        <f t="shared" si="2"/>
        <v>_t</v>
      </c>
      <c r="FG3" t="str">
        <f t="shared" si="2"/>
        <v>_t</v>
      </c>
      <c r="FH3" t="str">
        <f t="shared" si="2"/>
        <v>_t</v>
      </c>
      <c r="FI3" t="str">
        <f t="shared" si="2"/>
        <v>_t</v>
      </c>
      <c r="FJ3" t="str">
        <f t="shared" si="2"/>
        <v>_t</v>
      </c>
      <c r="FK3" t="str">
        <f t="shared" si="2"/>
        <v>_t</v>
      </c>
      <c r="FL3" t="str">
        <f t="shared" si="2"/>
        <v>_t</v>
      </c>
      <c r="FM3" t="str">
        <f t="shared" si="2"/>
        <v>_t</v>
      </c>
      <c r="FN3" t="str">
        <f t="shared" si="2"/>
        <v>_t</v>
      </c>
      <c r="FO3" t="str">
        <f t="shared" si="2"/>
        <v>_t</v>
      </c>
      <c r="FP3" t="str">
        <f t="shared" si="2"/>
        <v>_t</v>
      </c>
      <c r="FQ3" t="str">
        <f t="shared" si="2"/>
        <v>_t</v>
      </c>
      <c r="FR3" t="str">
        <f t="shared" si="2"/>
        <v>_t</v>
      </c>
      <c r="FS3" t="str">
        <f t="shared" si="2"/>
        <v>_t</v>
      </c>
      <c r="FT3" t="str">
        <f t="shared" si="2"/>
        <v>_t</v>
      </c>
      <c r="FU3" t="str">
        <f t="shared" si="2"/>
        <v>_t</v>
      </c>
      <c r="FV3" t="str">
        <f t="shared" si="2"/>
        <v>_t</v>
      </c>
      <c r="FW3" t="str">
        <f t="shared" si="2"/>
        <v>_t</v>
      </c>
      <c r="FX3" t="str">
        <f t="shared" si="2"/>
        <v>_t</v>
      </c>
      <c r="FY3" t="str">
        <f t="shared" si="2"/>
        <v>_t</v>
      </c>
      <c r="FZ3" t="str">
        <f t="shared" si="2"/>
        <v>_t</v>
      </c>
      <c r="GA3" t="str">
        <f t="shared" si="2"/>
        <v>_t</v>
      </c>
      <c r="GB3" t="str">
        <f t="shared" si="2"/>
        <v>_t</v>
      </c>
      <c r="GC3" t="str">
        <f t="shared" si="2"/>
        <v>_t</v>
      </c>
      <c r="GD3" t="str">
        <f t="shared" si="2"/>
        <v>_t</v>
      </c>
      <c r="GE3" t="str">
        <f t="shared" si="2"/>
        <v>_t</v>
      </c>
      <c r="GF3" t="str">
        <f t="shared" si="2"/>
        <v>_t</v>
      </c>
      <c r="GG3" t="str">
        <f t="shared" si="2"/>
        <v>_t</v>
      </c>
      <c r="GH3" t="str">
        <f t="shared" si="2"/>
        <v>_t</v>
      </c>
      <c r="GI3" t="str">
        <f t="shared" si="2"/>
        <v>_t</v>
      </c>
      <c r="GJ3" t="str">
        <f t="shared" si="2"/>
        <v>_t</v>
      </c>
      <c r="GK3" t="str">
        <f t="shared" si="2"/>
        <v>_t</v>
      </c>
      <c r="GL3" t="str">
        <f t="shared" ref="GL3:IW3" si="3">"_t"</f>
        <v>_t</v>
      </c>
      <c r="GM3" t="str">
        <f t="shared" si="3"/>
        <v>_t</v>
      </c>
      <c r="GN3" t="str">
        <f t="shared" si="3"/>
        <v>_t</v>
      </c>
      <c r="GO3" t="str">
        <f t="shared" si="3"/>
        <v>_t</v>
      </c>
      <c r="GP3" t="str">
        <f t="shared" si="3"/>
        <v>_t</v>
      </c>
      <c r="GQ3" t="str">
        <f t="shared" si="3"/>
        <v>_t</v>
      </c>
      <c r="GR3" t="str">
        <f t="shared" si="3"/>
        <v>_t</v>
      </c>
      <c r="GS3" t="str">
        <f t="shared" si="3"/>
        <v>_t</v>
      </c>
      <c r="GT3" t="str">
        <f t="shared" si="3"/>
        <v>_t</v>
      </c>
      <c r="GU3" t="str">
        <f t="shared" si="3"/>
        <v>_t</v>
      </c>
      <c r="GV3" t="str">
        <f t="shared" si="3"/>
        <v>_t</v>
      </c>
      <c r="GW3" t="str">
        <f t="shared" si="3"/>
        <v>_t</v>
      </c>
      <c r="GX3" t="str">
        <f t="shared" si="3"/>
        <v>_t</v>
      </c>
      <c r="GY3" t="str">
        <f t="shared" si="3"/>
        <v>_t</v>
      </c>
      <c r="GZ3" t="str">
        <f t="shared" si="3"/>
        <v>_t</v>
      </c>
      <c r="HA3" t="str">
        <f t="shared" si="3"/>
        <v>_t</v>
      </c>
      <c r="HB3" t="str">
        <f t="shared" si="3"/>
        <v>_t</v>
      </c>
      <c r="HC3" t="str">
        <f t="shared" si="3"/>
        <v>_t</v>
      </c>
      <c r="HD3" t="str">
        <f t="shared" si="3"/>
        <v>_t</v>
      </c>
      <c r="HE3" t="str">
        <f t="shared" si="3"/>
        <v>_t</v>
      </c>
      <c r="HF3" t="str">
        <f t="shared" si="3"/>
        <v>_t</v>
      </c>
      <c r="HG3" t="str">
        <f t="shared" si="3"/>
        <v>_t</v>
      </c>
      <c r="HH3" t="str">
        <f t="shared" si="3"/>
        <v>_t</v>
      </c>
      <c r="HI3" t="str">
        <f t="shared" si="3"/>
        <v>_t</v>
      </c>
      <c r="HJ3" t="str">
        <f t="shared" si="3"/>
        <v>_t</v>
      </c>
      <c r="HK3" t="str">
        <f t="shared" si="3"/>
        <v>_t</v>
      </c>
      <c r="HL3" t="str">
        <f t="shared" si="3"/>
        <v>_t</v>
      </c>
      <c r="HM3" t="str">
        <f t="shared" si="3"/>
        <v>_t</v>
      </c>
      <c r="HN3" t="str">
        <f t="shared" si="3"/>
        <v>_t</v>
      </c>
      <c r="HO3" t="str">
        <f t="shared" si="3"/>
        <v>_t</v>
      </c>
      <c r="HP3" t="str">
        <f t="shared" si="3"/>
        <v>_t</v>
      </c>
      <c r="HQ3" t="str">
        <f t="shared" si="3"/>
        <v>_t</v>
      </c>
      <c r="HR3" t="str">
        <f t="shared" si="3"/>
        <v>_t</v>
      </c>
      <c r="HS3" t="str">
        <f t="shared" si="3"/>
        <v>_t</v>
      </c>
      <c r="HT3" t="str">
        <f t="shared" si="3"/>
        <v>_t</v>
      </c>
      <c r="HU3" t="str">
        <f t="shared" si="3"/>
        <v>_t</v>
      </c>
      <c r="HV3" t="str">
        <f t="shared" si="3"/>
        <v>_t</v>
      </c>
      <c r="HW3" t="str">
        <f t="shared" si="3"/>
        <v>_t</v>
      </c>
      <c r="HX3" t="str">
        <f t="shared" si="3"/>
        <v>_t</v>
      </c>
      <c r="HY3" t="str">
        <f t="shared" si="3"/>
        <v>_t</v>
      </c>
      <c r="HZ3" t="str">
        <f t="shared" si="3"/>
        <v>_t</v>
      </c>
      <c r="IA3" t="str">
        <f t="shared" si="3"/>
        <v>_t</v>
      </c>
      <c r="IB3" t="str">
        <f t="shared" si="3"/>
        <v>_t</v>
      </c>
      <c r="IC3" t="str">
        <f t="shared" si="3"/>
        <v>_t</v>
      </c>
      <c r="ID3" t="str">
        <f t="shared" si="3"/>
        <v>_t</v>
      </c>
      <c r="IE3" t="str">
        <f t="shared" si="3"/>
        <v>_t</v>
      </c>
      <c r="IF3" t="str">
        <f t="shared" si="3"/>
        <v>_t</v>
      </c>
      <c r="IG3" t="str">
        <f t="shared" si="3"/>
        <v>_t</v>
      </c>
      <c r="IH3" t="str">
        <f t="shared" si="3"/>
        <v>_t</v>
      </c>
      <c r="II3" t="str">
        <f t="shared" si="3"/>
        <v>_t</v>
      </c>
      <c r="IJ3" t="str">
        <f t="shared" si="3"/>
        <v>_t</v>
      </c>
      <c r="IK3" t="str">
        <f t="shared" si="3"/>
        <v>_t</v>
      </c>
      <c r="IL3" t="str">
        <f t="shared" si="3"/>
        <v>_t</v>
      </c>
      <c r="IM3" t="str">
        <f t="shared" si="3"/>
        <v>_t</v>
      </c>
      <c r="IN3" t="str">
        <f t="shared" si="3"/>
        <v>_t</v>
      </c>
      <c r="IO3" t="str">
        <f t="shared" si="3"/>
        <v>_t</v>
      </c>
      <c r="IP3" t="str">
        <f t="shared" si="3"/>
        <v>_t</v>
      </c>
      <c r="IQ3" t="str">
        <f t="shared" si="3"/>
        <v>_t</v>
      </c>
      <c r="IR3" t="str">
        <f t="shared" si="3"/>
        <v>_t</v>
      </c>
      <c r="IS3" t="str">
        <f t="shared" si="3"/>
        <v>_t</v>
      </c>
      <c r="IT3" t="str">
        <f t="shared" si="3"/>
        <v>_t</v>
      </c>
      <c r="IU3" t="str">
        <f t="shared" si="3"/>
        <v>_t</v>
      </c>
      <c r="IV3" t="str">
        <f t="shared" si="3"/>
        <v>_t</v>
      </c>
      <c r="IW3" t="str">
        <f t="shared" si="3"/>
        <v>_t</v>
      </c>
      <c r="IX3" t="str">
        <f t="shared" ref="IX3:JK3" si="4">"_t"</f>
        <v>_t</v>
      </c>
      <c r="IY3" t="str">
        <f t="shared" si="4"/>
        <v>_t</v>
      </c>
      <c r="IZ3" t="str">
        <f t="shared" si="4"/>
        <v>_t</v>
      </c>
      <c r="JA3" t="str">
        <f t="shared" si="4"/>
        <v>_t</v>
      </c>
      <c r="JB3" t="str">
        <f t="shared" si="4"/>
        <v>_t</v>
      </c>
      <c r="JC3" t="str">
        <f t="shared" si="4"/>
        <v>_t</v>
      </c>
      <c r="JD3" t="str">
        <f t="shared" si="4"/>
        <v>_t</v>
      </c>
      <c r="JE3" t="str">
        <f t="shared" si="4"/>
        <v>_t</v>
      </c>
      <c r="JF3" t="str">
        <f t="shared" si="4"/>
        <v>_t</v>
      </c>
      <c r="JG3" t="str">
        <f t="shared" si="4"/>
        <v>_t</v>
      </c>
      <c r="JH3" t="str">
        <f t="shared" si="4"/>
        <v>_t</v>
      </c>
      <c r="JI3" t="str">
        <f t="shared" si="4"/>
        <v>_t</v>
      </c>
      <c r="JJ3" t="str">
        <f t="shared" si="4"/>
        <v>_t</v>
      </c>
      <c r="JK3" t="str">
        <f t="shared" si="4"/>
        <v>_t</v>
      </c>
    </row>
    <row r="5" spans="1:271" x14ac:dyDescent="0.3">
      <c r="A5" t="str">
        <f>"_t"</f>
        <v>_t</v>
      </c>
      <c r="B5" t="str">
        <f>""</f>
        <v/>
      </c>
      <c r="C5" t="str">
        <f>""</f>
        <v/>
      </c>
      <c r="D5" t="str">
        <f>""</f>
        <v/>
      </c>
      <c r="E5" t="str">
        <f>""</f>
        <v/>
      </c>
      <c r="F5" t="str">
        <f>""</f>
        <v/>
      </c>
      <c r="G5" t="str">
        <f>""</f>
        <v/>
      </c>
      <c r="H5" t="str">
        <f>""</f>
        <v/>
      </c>
      <c r="I5" t="str">
        <f>""</f>
        <v/>
      </c>
      <c r="J5" t="str">
        <f>""</f>
        <v/>
      </c>
      <c r="K5" t="str">
        <f>""</f>
        <v/>
      </c>
      <c r="L5" t="str">
        <f>""</f>
        <v/>
      </c>
      <c r="M5" t="str">
        <f>""</f>
        <v/>
      </c>
      <c r="N5" t="str">
        <f>""</f>
        <v/>
      </c>
      <c r="O5" t="str">
        <f>""</f>
        <v/>
      </c>
      <c r="P5" t="str">
        <f>""</f>
        <v/>
      </c>
      <c r="Q5" t="str">
        <f>""</f>
        <v/>
      </c>
      <c r="R5" t="str">
        <f>""</f>
        <v/>
      </c>
      <c r="S5" t="str">
        <f>""</f>
        <v/>
      </c>
      <c r="T5" t="str">
        <f>""</f>
        <v/>
      </c>
      <c r="U5" t="str">
        <f>""</f>
        <v/>
      </c>
      <c r="V5" t="str">
        <f>""</f>
        <v/>
      </c>
      <c r="W5" t="str">
        <f>""</f>
        <v/>
      </c>
      <c r="X5" t="str">
        <f>""</f>
        <v/>
      </c>
      <c r="Y5" t="str">
        <f>""</f>
        <v/>
      </c>
      <c r="Z5" t="str">
        <f>""</f>
        <v/>
      </c>
      <c r="AA5" t="str">
        <f>""</f>
        <v/>
      </c>
      <c r="AB5" t="str">
        <f>""</f>
        <v/>
      </c>
      <c r="AC5" t="str">
        <f>""</f>
        <v/>
      </c>
      <c r="AD5" t="str">
        <f>""</f>
        <v/>
      </c>
      <c r="AE5" t="str">
        <f>""</f>
        <v/>
      </c>
      <c r="AF5" t="str">
        <f>""</f>
        <v/>
      </c>
      <c r="AG5" t="str">
        <f>""</f>
        <v/>
      </c>
      <c r="AH5" t="str">
        <f>""</f>
        <v/>
      </c>
      <c r="AI5" t="str">
        <f>""</f>
        <v/>
      </c>
      <c r="AJ5" t="str">
        <f>""</f>
        <v/>
      </c>
      <c r="AK5" t="str">
        <f>""</f>
        <v/>
      </c>
      <c r="AL5" t="str">
        <f>""</f>
        <v/>
      </c>
      <c r="AM5" t="str">
        <f>""</f>
        <v/>
      </c>
      <c r="AN5" t="str">
        <f>""</f>
        <v/>
      </c>
      <c r="AO5" t="str">
        <f>""</f>
        <v/>
      </c>
      <c r="AP5" t="str">
        <f>""</f>
        <v/>
      </c>
      <c r="AQ5" t="str">
        <f>""</f>
        <v/>
      </c>
      <c r="AR5" t="str">
        <f>""</f>
        <v/>
      </c>
      <c r="AS5" t="str">
        <f>""</f>
        <v/>
      </c>
      <c r="AT5" t="str">
        <f>""</f>
        <v/>
      </c>
      <c r="AU5" t="str">
        <f>""</f>
        <v/>
      </c>
      <c r="AV5" t="str">
        <f>""</f>
        <v/>
      </c>
      <c r="AW5" t="str">
        <f>""</f>
        <v/>
      </c>
      <c r="AX5" t="str">
        <f>""</f>
        <v/>
      </c>
      <c r="AY5" t="str">
        <f>""</f>
        <v/>
      </c>
      <c r="AZ5" t="str">
        <f>""</f>
        <v/>
      </c>
      <c r="BA5" t="str">
        <f>""</f>
        <v/>
      </c>
      <c r="BB5" t="str">
        <f>""</f>
        <v/>
      </c>
      <c r="BC5" t="str">
        <f>""</f>
        <v/>
      </c>
      <c r="BD5" t="str">
        <f>""</f>
        <v/>
      </c>
      <c r="BE5" t="str">
        <f>""</f>
        <v/>
      </c>
      <c r="BF5" t="str">
        <f>""</f>
        <v/>
      </c>
      <c r="BG5" t="str">
        <f>""</f>
        <v/>
      </c>
      <c r="BH5" t="str">
        <f>""</f>
        <v/>
      </c>
      <c r="BI5" t="str">
        <f>""</f>
        <v/>
      </c>
      <c r="BJ5" t="str">
        <f>""</f>
        <v/>
      </c>
      <c r="BK5" t="str">
        <f>""</f>
        <v/>
      </c>
      <c r="BL5" t="str">
        <f>""</f>
        <v/>
      </c>
      <c r="BM5" t="str">
        <f>""</f>
        <v/>
      </c>
      <c r="BN5" t="str">
        <f>""</f>
        <v/>
      </c>
      <c r="BO5" t="str">
        <f>""</f>
        <v/>
      </c>
      <c r="BP5" t="str">
        <f>""</f>
        <v/>
      </c>
      <c r="BQ5" t="str">
        <f>""</f>
        <v/>
      </c>
      <c r="BR5" t="str">
        <f>""</f>
        <v/>
      </c>
      <c r="BS5" t="str">
        <f>""</f>
        <v/>
      </c>
      <c r="BT5" t="str">
        <f>""</f>
        <v/>
      </c>
      <c r="BU5" t="str">
        <f>""</f>
        <v/>
      </c>
      <c r="BV5" t="str">
        <f>""</f>
        <v/>
      </c>
      <c r="BW5" t="str">
        <f>""</f>
        <v/>
      </c>
      <c r="BX5" t="str">
        <f>""</f>
        <v/>
      </c>
      <c r="BY5" t="str">
        <f>""</f>
        <v/>
      </c>
      <c r="BZ5" t="str">
        <f>""</f>
        <v/>
      </c>
      <c r="CA5" t="str">
        <f>""</f>
        <v/>
      </c>
      <c r="CB5" t="str">
        <f>""</f>
        <v/>
      </c>
      <c r="CC5" t="str">
        <f>""</f>
        <v/>
      </c>
      <c r="CD5" t="str">
        <f>""</f>
        <v/>
      </c>
      <c r="CE5" t="str">
        <f>""</f>
        <v/>
      </c>
      <c r="CF5" t="str">
        <f>""</f>
        <v/>
      </c>
      <c r="CG5" t="str">
        <f>""</f>
        <v/>
      </c>
      <c r="CH5" t="str">
        <f>""</f>
        <v/>
      </c>
      <c r="CI5" t="str">
        <f>""</f>
        <v/>
      </c>
      <c r="CJ5" t="str">
        <f>""</f>
        <v/>
      </c>
      <c r="CK5" t="str">
        <f>""</f>
        <v/>
      </c>
      <c r="CL5" t="str">
        <f>""</f>
        <v/>
      </c>
      <c r="CM5" t="str">
        <f>""</f>
        <v/>
      </c>
      <c r="CN5" t="str">
        <f>""</f>
        <v/>
      </c>
      <c r="CO5" t="str">
        <f>""</f>
        <v/>
      </c>
      <c r="CP5" t="str">
        <f>""</f>
        <v/>
      </c>
      <c r="CQ5" t="str">
        <f>""</f>
        <v/>
      </c>
      <c r="CR5" t="str">
        <f>""</f>
        <v/>
      </c>
      <c r="CS5" t="str">
        <f>""</f>
        <v/>
      </c>
      <c r="CT5" t="str">
        <f>""</f>
        <v/>
      </c>
      <c r="CU5" t="str">
        <f>""</f>
        <v/>
      </c>
      <c r="CV5" t="str">
        <f>""</f>
        <v/>
      </c>
      <c r="CW5" t="str">
        <f>""</f>
        <v/>
      </c>
      <c r="CX5" t="str">
        <f>""</f>
        <v/>
      </c>
      <c r="CY5" t="str">
        <f>""</f>
        <v/>
      </c>
      <c r="CZ5" t="str">
        <f>""</f>
        <v/>
      </c>
      <c r="DA5" t="str">
        <f>""</f>
        <v/>
      </c>
      <c r="DB5" t="str">
        <f>""</f>
        <v/>
      </c>
      <c r="DC5" t="str">
        <f>""</f>
        <v/>
      </c>
      <c r="DD5" t="str">
        <f>""</f>
        <v/>
      </c>
      <c r="DE5" t="str">
        <f>""</f>
        <v/>
      </c>
      <c r="DF5" t="str">
        <f>""</f>
        <v/>
      </c>
      <c r="DG5" t="str">
        <f>""</f>
        <v/>
      </c>
      <c r="DH5" t="str">
        <f>""</f>
        <v/>
      </c>
      <c r="DI5" t="str">
        <f>""</f>
        <v/>
      </c>
      <c r="DJ5" t="str">
        <f>""</f>
        <v/>
      </c>
      <c r="DK5" t="str">
        <f>""</f>
        <v/>
      </c>
      <c r="DL5" t="str">
        <f>""</f>
        <v/>
      </c>
      <c r="DM5" t="str">
        <f>""</f>
        <v/>
      </c>
      <c r="DN5" t="str">
        <f>""</f>
        <v/>
      </c>
      <c r="DO5" t="str">
        <f>""</f>
        <v/>
      </c>
      <c r="DP5" t="str">
        <f>""</f>
        <v/>
      </c>
      <c r="DQ5" t="str">
        <f>""</f>
        <v/>
      </c>
      <c r="DR5" t="str">
        <f>""</f>
        <v/>
      </c>
      <c r="DS5" t="str">
        <f>""</f>
        <v/>
      </c>
      <c r="DT5" t="str">
        <f>""</f>
        <v/>
      </c>
      <c r="DU5" t="str">
        <f>""</f>
        <v/>
      </c>
      <c r="DV5" t="str">
        <f>""</f>
        <v/>
      </c>
      <c r="DW5" t="str">
        <f>""</f>
        <v/>
      </c>
      <c r="DX5" t="str">
        <f>""</f>
        <v/>
      </c>
      <c r="DY5" t="str">
        <f>""</f>
        <v/>
      </c>
      <c r="DZ5" t="str">
        <f>""</f>
        <v/>
      </c>
      <c r="EA5" t="str">
        <f>""</f>
        <v/>
      </c>
      <c r="EB5" t="str">
        <f>""</f>
        <v/>
      </c>
      <c r="EC5" t="str">
        <f>""</f>
        <v/>
      </c>
      <c r="ED5" t="str">
        <f>""</f>
        <v/>
      </c>
      <c r="EE5" t="str">
        <f>""</f>
        <v/>
      </c>
      <c r="EF5" t="str">
        <f>""</f>
        <v/>
      </c>
      <c r="EG5" t="str">
        <f>""</f>
        <v/>
      </c>
      <c r="EH5" t="str">
        <f>""</f>
        <v/>
      </c>
      <c r="EI5" t="str">
        <f>""</f>
        <v/>
      </c>
      <c r="EJ5" t="str">
        <f>""</f>
        <v/>
      </c>
      <c r="EK5" t="str">
        <f>""</f>
        <v/>
      </c>
      <c r="EL5" t="str">
        <f>""</f>
        <v/>
      </c>
      <c r="EM5" t="str">
        <f>""</f>
        <v/>
      </c>
      <c r="EN5" t="str">
        <f>""</f>
        <v/>
      </c>
      <c r="EO5" t="str">
        <f>""</f>
        <v/>
      </c>
      <c r="EP5" t="str">
        <f>""</f>
        <v/>
      </c>
      <c r="EQ5" t="str">
        <f>""</f>
        <v/>
      </c>
      <c r="ER5" t="str">
        <f>""</f>
        <v/>
      </c>
      <c r="ES5" t="str">
        <f>""</f>
        <v/>
      </c>
      <c r="ET5" t="str">
        <f>""</f>
        <v/>
      </c>
      <c r="EU5" t="str">
        <f>""</f>
        <v/>
      </c>
      <c r="EV5" t="str">
        <f>""</f>
        <v/>
      </c>
      <c r="EW5" t="str">
        <f>""</f>
        <v/>
      </c>
      <c r="EX5" t="str">
        <f>""</f>
        <v/>
      </c>
      <c r="EY5" t="str">
        <f>""</f>
        <v/>
      </c>
      <c r="EZ5" t="str">
        <f>""</f>
        <v/>
      </c>
      <c r="FA5" t="str">
        <f>""</f>
        <v/>
      </c>
      <c r="FB5" t="str">
        <f>""</f>
        <v/>
      </c>
      <c r="FC5" t="str">
        <f>""</f>
        <v/>
      </c>
      <c r="FD5" t="str">
        <f>""</f>
        <v/>
      </c>
      <c r="FE5" t="str">
        <f>""</f>
        <v/>
      </c>
      <c r="FF5" t="str">
        <f>""</f>
        <v/>
      </c>
      <c r="FG5" t="str">
        <f>""</f>
        <v/>
      </c>
      <c r="FH5" t="str">
        <f>""</f>
        <v/>
      </c>
      <c r="FI5" t="str">
        <f>""</f>
        <v/>
      </c>
      <c r="FJ5" t="str">
        <f>""</f>
        <v/>
      </c>
      <c r="FK5" t="str">
        <f>""</f>
        <v/>
      </c>
      <c r="FL5" t="str">
        <f>""</f>
        <v/>
      </c>
      <c r="FM5" t="str">
        <f>""</f>
        <v/>
      </c>
      <c r="FN5" t="str">
        <f>""</f>
        <v/>
      </c>
      <c r="FO5" t="str">
        <f>""</f>
        <v/>
      </c>
      <c r="FP5" t="str">
        <f>""</f>
        <v/>
      </c>
      <c r="FQ5" t="str">
        <f>""</f>
        <v/>
      </c>
      <c r="FR5" t="str">
        <f>""</f>
        <v/>
      </c>
      <c r="FS5" t="str">
        <f>""</f>
        <v/>
      </c>
      <c r="FT5" t="str">
        <f>""</f>
        <v/>
      </c>
      <c r="FU5" t="str">
        <f>""</f>
        <v/>
      </c>
      <c r="FV5" t="str">
        <f>""</f>
        <v/>
      </c>
      <c r="FW5" t="str">
        <f>""</f>
        <v/>
      </c>
      <c r="FX5" t="str">
        <f>""</f>
        <v/>
      </c>
      <c r="FY5" t="str">
        <f>""</f>
        <v/>
      </c>
      <c r="FZ5" t="str">
        <f>""</f>
        <v/>
      </c>
      <c r="GA5" t="str">
        <f>""</f>
        <v/>
      </c>
      <c r="GB5" t="str">
        <f>""</f>
        <v/>
      </c>
      <c r="GC5" t="str">
        <f>""</f>
        <v/>
      </c>
      <c r="GD5" t="str">
        <f>""</f>
        <v/>
      </c>
      <c r="GE5" t="str">
        <f>""</f>
        <v/>
      </c>
      <c r="GF5" t="str">
        <f>""</f>
        <v/>
      </c>
      <c r="GG5" t="str">
        <f>""</f>
        <v/>
      </c>
      <c r="GH5" t="str">
        <f>""</f>
        <v/>
      </c>
      <c r="GI5" t="str">
        <f>""</f>
        <v/>
      </c>
      <c r="GJ5" t="str">
        <f>""</f>
        <v/>
      </c>
      <c r="GK5" t="str">
        <f>""</f>
        <v/>
      </c>
      <c r="GL5" t="str">
        <f>""</f>
        <v/>
      </c>
      <c r="GM5" t="str">
        <f>""</f>
        <v/>
      </c>
      <c r="GN5" t="str">
        <f>""</f>
        <v/>
      </c>
      <c r="GO5" t="str">
        <f>""</f>
        <v/>
      </c>
      <c r="GP5" t="str">
        <f>""</f>
        <v/>
      </c>
      <c r="GQ5" t="str">
        <f>""</f>
        <v/>
      </c>
      <c r="GR5" t="str">
        <f>""</f>
        <v/>
      </c>
      <c r="GS5" t="str">
        <f>""</f>
        <v/>
      </c>
      <c r="GT5" t="str">
        <f>""</f>
        <v/>
      </c>
      <c r="GU5" t="str">
        <f>""</f>
        <v/>
      </c>
      <c r="GV5" t="str">
        <f>""</f>
        <v/>
      </c>
      <c r="GW5" t="str">
        <f>""</f>
        <v/>
      </c>
      <c r="GX5" t="str">
        <f>""</f>
        <v/>
      </c>
      <c r="GY5" t="str">
        <f>""</f>
        <v/>
      </c>
      <c r="GZ5" t="str">
        <f>""</f>
        <v/>
      </c>
      <c r="HA5" t="str">
        <f>""</f>
        <v/>
      </c>
      <c r="HB5" t="str">
        <f>""</f>
        <v/>
      </c>
      <c r="HC5" t="str">
        <f>""</f>
        <v/>
      </c>
      <c r="HD5" t="str">
        <f>""</f>
        <v/>
      </c>
      <c r="HE5" t="str">
        <f>""</f>
        <v/>
      </c>
      <c r="HF5" t="str">
        <f>""</f>
        <v/>
      </c>
      <c r="HG5" t="str">
        <f>""</f>
        <v/>
      </c>
      <c r="HH5" t="str">
        <f>""</f>
        <v/>
      </c>
      <c r="HI5" t="str">
        <f>""</f>
        <v/>
      </c>
      <c r="HJ5" t="str">
        <f>""</f>
        <v/>
      </c>
      <c r="HK5" t="str">
        <f>""</f>
        <v/>
      </c>
      <c r="HL5" t="str">
        <f>""</f>
        <v/>
      </c>
      <c r="HM5" t="str">
        <f>""</f>
        <v/>
      </c>
      <c r="HN5" t="str">
        <f>""</f>
        <v/>
      </c>
      <c r="HO5" t="str">
        <f>""</f>
        <v/>
      </c>
      <c r="HP5" t="str">
        <f>""</f>
        <v/>
      </c>
      <c r="HQ5" t="str">
        <f>""</f>
        <v/>
      </c>
      <c r="HR5" t="str">
        <f>""</f>
        <v/>
      </c>
      <c r="HS5" t="str">
        <f>""</f>
        <v/>
      </c>
      <c r="HT5" t="str">
        <f>""</f>
        <v/>
      </c>
      <c r="HU5" t="str">
        <f>""</f>
        <v/>
      </c>
      <c r="HV5" t="str">
        <f>""</f>
        <v/>
      </c>
      <c r="HW5" t="str">
        <f>""</f>
        <v/>
      </c>
      <c r="HX5" t="str">
        <f>""</f>
        <v/>
      </c>
      <c r="HY5" t="str">
        <f>""</f>
        <v/>
      </c>
      <c r="HZ5" t="str">
        <f>""</f>
        <v/>
      </c>
      <c r="IA5" t="str">
        <f>""</f>
        <v/>
      </c>
      <c r="IB5" t="str">
        <f>""</f>
        <v/>
      </c>
      <c r="IC5" t="str">
        <f>""</f>
        <v/>
      </c>
      <c r="ID5" t="str">
        <f>""</f>
        <v/>
      </c>
      <c r="IE5" t="str">
        <f>""</f>
        <v/>
      </c>
      <c r="IF5" t="str">
        <f>""</f>
        <v/>
      </c>
      <c r="IG5" t="str">
        <f>""</f>
        <v/>
      </c>
      <c r="IH5" t="str">
        <f>""</f>
        <v/>
      </c>
      <c r="II5" t="str">
        <f>""</f>
        <v/>
      </c>
      <c r="IJ5" t="str">
        <f>""</f>
        <v/>
      </c>
      <c r="IK5" t="str">
        <f>""</f>
        <v/>
      </c>
      <c r="IL5" t="str">
        <f>""</f>
        <v/>
      </c>
      <c r="IM5" t="str">
        <f>""</f>
        <v/>
      </c>
      <c r="IN5" t="str">
        <f>""</f>
        <v/>
      </c>
      <c r="IO5" t="str">
        <f>""</f>
        <v/>
      </c>
      <c r="IP5" t="str">
        <f>""</f>
        <v/>
      </c>
      <c r="IQ5" t="str">
        <f>""</f>
        <v/>
      </c>
      <c r="IR5" t="str">
        <f>""</f>
        <v/>
      </c>
      <c r="IS5" t="str">
        <f>""</f>
        <v/>
      </c>
      <c r="IT5" t="str">
        <f>""</f>
        <v/>
      </c>
      <c r="IU5" t="str">
        <f>""</f>
        <v/>
      </c>
      <c r="IV5" t="str">
        <f>""</f>
        <v/>
      </c>
      <c r="IW5" t="str">
        <f>""</f>
        <v/>
      </c>
      <c r="IX5" t="str">
        <f>""</f>
        <v/>
      </c>
      <c r="IY5" t="str">
        <f>""</f>
        <v/>
      </c>
      <c r="IZ5" t="str">
        <f>""</f>
        <v/>
      </c>
      <c r="JA5" t="str">
        <f>""</f>
        <v/>
      </c>
      <c r="JB5" t="str">
        <f>""</f>
        <v/>
      </c>
      <c r="JC5" t="str">
        <f>""</f>
        <v/>
      </c>
      <c r="JD5" t="str">
        <f>""</f>
        <v/>
      </c>
      <c r="JE5" t="str">
        <f>""</f>
        <v/>
      </c>
      <c r="JF5" t="str">
        <f>""</f>
        <v/>
      </c>
      <c r="JG5" t="str">
        <f>""</f>
        <v/>
      </c>
      <c r="JH5" t="str">
        <f>""</f>
        <v/>
      </c>
      <c r="JI5" t="str">
        <f>""</f>
        <v/>
      </c>
      <c r="JJ5" t="str">
        <f>""</f>
        <v/>
      </c>
      <c r="JK5" t="str">
        <f>""</f>
        <v/>
      </c>
    </row>
    <row r="6" spans="1:271" x14ac:dyDescent="0.3">
      <c r="A6" t="str">
        <f>"zMETAB1"</f>
        <v>zMETAB1</v>
      </c>
      <c r="B6" t="str">
        <f>"-0.0752"</f>
        <v>-0.0752</v>
      </c>
      <c r="C6" t="str">
        <f>"-0.192**"</f>
        <v>-0.192**</v>
      </c>
      <c r="D6" t="str">
        <f>"-0.185***"</f>
        <v>-0.185***</v>
      </c>
      <c r="E6" t="str">
        <f>""</f>
        <v/>
      </c>
      <c r="F6" t="str">
        <f>""</f>
        <v/>
      </c>
      <c r="G6" t="str">
        <f>""</f>
        <v/>
      </c>
      <c r="H6" t="str">
        <f>""</f>
        <v/>
      </c>
      <c r="I6" t="str">
        <f>""</f>
        <v/>
      </c>
      <c r="J6" t="str">
        <f>""</f>
        <v/>
      </c>
      <c r="K6" t="str">
        <f>""</f>
        <v/>
      </c>
      <c r="L6" t="str">
        <f>""</f>
        <v/>
      </c>
      <c r="M6" t="str">
        <f>""</f>
        <v/>
      </c>
      <c r="N6" t="str">
        <f>""</f>
        <v/>
      </c>
      <c r="O6" t="str">
        <f>""</f>
        <v/>
      </c>
      <c r="P6" t="str">
        <f>""</f>
        <v/>
      </c>
      <c r="Q6" t="str">
        <f>""</f>
        <v/>
      </c>
      <c r="R6" t="str">
        <f>""</f>
        <v/>
      </c>
      <c r="S6" t="str">
        <f>""</f>
        <v/>
      </c>
      <c r="T6" t="str">
        <f>""</f>
        <v/>
      </c>
      <c r="U6" t="str">
        <f>""</f>
        <v/>
      </c>
      <c r="V6" t="str">
        <f>""</f>
        <v/>
      </c>
      <c r="W6" t="str">
        <f>""</f>
        <v/>
      </c>
      <c r="X6" t="str">
        <f>""</f>
        <v/>
      </c>
      <c r="Y6" t="str">
        <f>""</f>
        <v/>
      </c>
      <c r="Z6" t="str">
        <f>""</f>
        <v/>
      </c>
      <c r="AA6" t="str">
        <f>""</f>
        <v/>
      </c>
      <c r="AB6" t="str">
        <f>""</f>
        <v/>
      </c>
      <c r="AC6" t="str">
        <f>""</f>
        <v/>
      </c>
      <c r="AD6" t="str">
        <f>""</f>
        <v/>
      </c>
      <c r="AE6" t="str">
        <f>""</f>
        <v/>
      </c>
      <c r="AF6" t="str">
        <f>""</f>
        <v/>
      </c>
      <c r="AG6" t="str">
        <f>""</f>
        <v/>
      </c>
      <c r="AH6" t="str">
        <f>""</f>
        <v/>
      </c>
      <c r="AI6" t="str">
        <f>""</f>
        <v/>
      </c>
      <c r="AJ6" t="str">
        <f>""</f>
        <v/>
      </c>
      <c r="AK6" t="str">
        <f>""</f>
        <v/>
      </c>
      <c r="AL6" t="str">
        <f>""</f>
        <v/>
      </c>
      <c r="AM6" t="str">
        <f>""</f>
        <v/>
      </c>
      <c r="AN6" t="str">
        <f>""</f>
        <v/>
      </c>
      <c r="AO6" t="str">
        <f>""</f>
        <v/>
      </c>
      <c r="AP6" t="str">
        <f>""</f>
        <v/>
      </c>
      <c r="AQ6" t="str">
        <f>""</f>
        <v/>
      </c>
      <c r="AR6" t="str">
        <f>""</f>
        <v/>
      </c>
      <c r="AS6" t="str">
        <f>""</f>
        <v/>
      </c>
      <c r="AT6" t="str">
        <f>""</f>
        <v/>
      </c>
      <c r="AU6" t="str">
        <f>"-0.0597"</f>
        <v>-0.0597</v>
      </c>
      <c r="AV6" t="str">
        <f>"-0.104"</f>
        <v>-0.104</v>
      </c>
      <c r="AW6" t="str">
        <f>"-0.150***"</f>
        <v>-0.150***</v>
      </c>
      <c r="AX6" t="str">
        <f>""</f>
        <v/>
      </c>
      <c r="AY6" t="str">
        <f>""</f>
        <v/>
      </c>
      <c r="AZ6" t="str">
        <f>""</f>
        <v/>
      </c>
      <c r="BA6" t="str">
        <f>""</f>
        <v/>
      </c>
      <c r="BB6" t="str">
        <f>""</f>
        <v/>
      </c>
      <c r="BC6" t="str">
        <f>""</f>
        <v/>
      </c>
      <c r="BD6" t="str">
        <f>""</f>
        <v/>
      </c>
      <c r="BE6" t="str">
        <f>""</f>
        <v/>
      </c>
      <c r="BF6" t="str">
        <f>""</f>
        <v/>
      </c>
      <c r="BG6" t="str">
        <f>""</f>
        <v/>
      </c>
      <c r="BH6" t="str">
        <f>""</f>
        <v/>
      </c>
      <c r="BI6" t="str">
        <f>""</f>
        <v/>
      </c>
      <c r="BJ6" t="str">
        <f>""</f>
        <v/>
      </c>
      <c r="BK6" t="str">
        <f>""</f>
        <v/>
      </c>
      <c r="BL6" t="str">
        <f>""</f>
        <v/>
      </c>
      <c r="BM6" t="str">
        <f>""</f>
        <v/>
      </c>
      <c r="BN6" t="str">
        <f>""</f>
        <v/>
      </c>
      <c r="BO6" t="str">
        <f>""</f>
        <v/>
      </c>
      <c r="BP6" t="str">
        <f>""</f>
        <v/>
      </c>
      <c r="BQ6" t="str">
        <f>""</f>
        <v/>
      </c>
      <c r="BR6" t="str">
        <f>""</f>
        <v/>
      </c>
      <c r="BS6" t="str">
        <f>""</f>
        <v/>
      </c>
      <c r="BT6" t="str">
        <f>""</f>
        <v/>
      </c>
      <c r="BU6" t="str">
        <f>""</f>
        <v/>
      </c>
      <c r="BV6" t="str">
        <f>""</f>
        <v/>
      </c>
      <c r="BW6" t="str">
        <f>""</f>
        <v/>
      </c>
      <c r="BX6" t="str">
        <f>""</f>
        <v/>
      </c>
      <c r="BY6" t="str">
        <f>""</f>
        <v/>
      </c>
      <c r="BZ6" t="str">
        <f>""</f>
        <v/>
      </c>
      <c r="CA6" t="str">
        <f>""</f>
        <v/>
      </c>
      <c r="CB6" t="str">
        <f>""</f>
        <v/>
      </c>
      <c r="CC6" t="str">
        <f>""</f>
        <v/>
      </c>
      <c r="CD6" t="str">
        <f>""</f>
        <v/>
      </c>
      <c r="CE6" t="str">
        <f>""</f>
        <v/>
      </c>
      <c r="CF6" t="str">
        <f>""</f>
        <v/>
      </c>
      <c r="CG6" t="str">
        <f>""</f>
        <v/>
      </c>
      <c r="CH6" t="str">
        <f>""</f>
        <v/>
      </c>
      <c r="CI6" t="str">
        <f>""</f>
        <v/>
      </c>
      <c r="CJ6" t="str">
        <f>""</f>
        <v/>
      </c>
      <c r="CK6" t="str">
        <f>""</f>
        <v/>
      </c>
      <c r="CL6" t="str">
        <f>""</f>
        <v/>
      </c>
      <c r="CM6" t="str">
        <f>""</f>
        <v/>
      </c>
      <c r="CN6" t="str">
        <f>"-0.0329"</f>
        <v>-0.0329</v>
      </c>
      <c r="CO6" t="str">
        <f>"-0.110"</f>
        <v>-0.110</v>
      </c>
      <c r="CP6" t="str">
        <f>"-0.137***"</f>
        <v>-0.137***</v>
      </c>
      <c r="CQ6" t="str">
        <f>""</f>
        <v/>
      </c>
      <c r="CR6" t="str">
        <f>""</f>
        <v/>
      </c>
      <c r="CS6" t="str">
        <f>""</f>
        <v/>
      </c>
      <c r="CT6" t="str">
        <f>""</f>
        <v/>
      </c>
      <c r="CU6" t="str">
        <f>""</f>
        <v/>
      </c>
      <c r="CV6" t="str">
        <f>""</f>
        <v/>
      </c>
      <c r="CW6" t="str">
        <f>""</f>
        <v/>
      </c>
      <c r="CX6" t="str">
        <f>""</f>
        <v/>
      </c>
      <c r="CY6" t="str">
        <f>""</f>
        <v/>
      </c>
      <c r="CZ6" t="str">
        <f>""</f>
        <v/>
      </c>
      <c r="DA6" t="str">
        <f>""</f>
        <v/>
      </c>
      <c r="DB6" t="str">
        <f>""</f>
        <v/>
      </c>
      <c r="DC6" t="str">
        <f>""</f>
        <v/>
      </c>
      <c r="DD6" t="str">
        <f>""</f>
        <v/>
      </c>
      <c r="DE6" t="str">
        <f>""</f>
        <v/>
      </c>
      <c r="DF6" t="str">
        <f>""</f>
        <v/>
      </c>
      <c r="DG6" t="str">
        <f>""</f>
        <v/>
      </c>
      <c r="DH6" t="str">
        <f>""</f>
        <v/>
      </c>
      <c r="DI6" t="str">
        <f>""</f>
        <v/>
      </c>
      <c r="DJ6" t="str">
        <f>""</f>
        <v/>
      </c>
      <c r="DK6" t="str">
        <f>""</f>
        <v/>
      </c>
      <c r="DL6" t="str">
        <f>""</f>
        <v/>
      </c>
      <c r="DM6" t="str">
        <f>""</f>
        <v/>
      </c>
      <c r="DN6" t="str">
        <f>""</f>
        <v/>
      </c>
      <c r="DO6" t="str">
        <f>""</f>
        <v/>
      </c>
      <c r="DP6" t="str">
        <f>""</f>
        <v/>
      </c>
      <c r="DQ6" t="str">
        <f>""</f>
        <v/>
      </c>
      <c r="DR6" t="str">
        <f>""</f>
        <v/>
      </c>
      <c r="DS6" t="str">
        <f>""</f>
        <v/>
      </c>
      <c r="DT6" t="str">
        <f>""</f>
        <v/>
      </c>
      <c r="DU6" t="str">
        <f>""</f>
        <v/>
      </c>
      <c r="DV6" t="str">
        <f>""</f>
        <v/>
      </c>
      <c r="DW6" t="str">
        <f>""</f>
        <v/>
      </c>
      <c r="DX6" t="str">
        <f>""</f>
        <v/>
      </c>
      <c r="DY6" t="str">
        <f>""</f>
        <v/>
      </c>
      <c r="DZ6" t="str">
        <f>""</f>
        <v/>
      </c>
      <c r="EA6" t="str">
        <f>""</f>
        <v/>
      </c>
      <c r="EB6" t="str">
        <f>""</f>
        <v/>
      </c>
      <c r="EC6" t="str">
        <f>""</f>
        <v/>
      </c>
      <c r="ED6" t="str">
        <f>""</f>
        <v/>
      </c>
      <c r="EE6" t="str">
        <f>""</f>
        <v/>
      </c>
      <c r="EF6" t="str">
        <f>""</f>
        <v/>
      </c>
      <c r="EG6" t="str">
        <f>"-0.0982"</f>
        <v>-0.0982</v>
      </c>
      <c r="EH6" t="str">
        <f>"-0.119"</f>
        <v>-0.119</v>
      </c>
      <c r="EI6" t="str">
        <f>"-0.149***"</f>
        <v>-0.149***</v>
      </c>
      <c r="EJ6" t="str">
        <f>""</f>
        <v/>
      </c>
      <c r="EK6" t="str">
        <f>""</f>
        <v/>
      </c>
      <c r="EL6" t="str">
        <f>""</f>
        <v/>
      </c>
      <c r="EM6" t="str">
        <f>""</f>
        <v/>
      </c>
      <c r="EN6" t="str">
        <f>""</f>
        <v/>
      </c>
      <c r="EO6" t="str">
        <f>""</f>
        <v/>
      </c>
      <c r="EP6" t="str">
        <f>""</f>
        <v/>
      </c>
      <c r="EQ6" t="str">
        <f>""</f>
        <v/>
      </c>
      <c r="ER6" t="str">
        <f>""</f>
        <v/>
      </c>
      <c r="ES6" t="str">
        <f>""</f>
        <v/>
      </c>
      <c r="ET6" t="str">
        <f>""</f>
        <v/>
      </c>
      <c r="EU6" t="str">
        <f>""</f>
        <v/>
      </c>
      <c r="EV6" t="str">
        <f>""</f>
        <v/>
      </c>
      <c r="EW6" t="str">
        <f>""</f>
        <v/>
      </c>
      <c r="EX6" t="str">
        <f>""</f>
        <v/>
      </c>
      <c r="EY6" t="str">
        <f>""</f>
        <v/>
      </c>
      <c r="EZ6" t="str">
        <f>""</f>
        <v/>
      </c>
      <c r="FA6" t="str">
        <f>""</f>
        <v/>
      </c>
      <c r="FB6" t="str">
        <f>""</f>
        <v/>
      </c>
      <c r="FC6" t="str">
        <f>""</f>
        <v/>
      </c>
      <c r="FD6" t="str">
        <f>""</f>
        <v/>
      </c>
      <c r="FE6" t="str">
        <f>""</f>
        <v/>
      </c>
      <c r="FF6" t="str">
        <f>""</f>
        <v/>
      </c>
      <c r="FG6" t="str">
        <f>""</f>
        <v/>
      </c>
      <c r="FH6" t="str">
        <f>""</f>
        <v/>
      </c>
      <c r="FI6" t="str">
        <f>""</f>
        <v/>
      </c>
      <c r="FJ6" t="str">
        <f>""</f>
        <v/>
      </c>
      <c r="FK6" t="str">
        <f>""</f>
        <v/>
      </c>
      <c r="FL6" t="str">
        <f>""</f>
        <v/>
      </c>
      <c r="FM6" t="str">
        <f>""</f>
        <v/>
      </c>
      <c r="FN6" t="str">
        <f>""</f>
        <v/>
      </c>
      <c r="FO6" t="str">
        <f>""</f>
        <v/>
      </c>
      <c r="FP6" t="str">
        <f>""</f>
        <v/>
      </c>
      <c r="FQ6" t="str">
        <f>""</f>
        <v/>
      </c>
      <c r="FR6" t="str">
        <f>""</f>
        <v/>
      </c>
      <c r="FS6" t="str">
        <f>""</f>
        <v/>
      </c>
      <c r="FT6" t="str">
        <f>""</f>
        <v/>
      </c>
      <c r="FU6" t="str">
        <f>""</f>
        <v/>
      </c>
      <c r="FV6" t="str">
        <f>""</f>
        <v/>
      </c>
      <c r="FW6" t="str">
        <f>""</f>
        <v/>
      </c>
      <c r="FX6" t="str">
        <f>""</f>
        <v/>
      </c>
      <c r="FY6" t="str">
        <f>""</f>
        <v/>
      </c>
      <c r="FZ6" t="str">
        <f>"-0.0848"</f>
        <v>-0.0848</v>
      </c>
      <c r="GA6" t="str">
        <f>"-0.191**"</f>
        <v>-0.191**</v>
      </c>
      <c r="GB6" t="str">
        <f>"-0.127***"</f>
        <v>-0.127***</v>
      </c>
      <c r="GC6" t="str">
        <f>""</f>
        <v/>
      </c>
      <c r="GD6" t="str">
        <f>""</f>
        <v/>
      </c>
      <c r="GE6" t="str">
        <f>""</f>
        <v/>
      </c>
      <c r="GF6" t="str">
        <f>""</f>
        <v/>
      </c>
      <c r="GG6" t="str">
        <f>""</f>
        <v/>
      </c>
      <c r="GH6" t="str">
        <f>""</f>
        <v/>
      </c>
      <c r="GI6" t="str">
        <f>""</f>
        <v/>
      </c>
      <c r="GJ6" t="str">
        <f>""</f>
        <v/>
      </c>
      <c r="GK6" t="str">
        <f>""</f>
        <v/>
      </c>
      <c r="GL6" t="str">
        <f>""</f>
        <v/>
      </c>
      <c r="GM6" t="str">
        <f>""</f>
        <v/>
      </c>
      <c r="GN6" t="str">
        <f>""</f>
        <v/>
      </c>
      <c r="GO6" t="str">
        <f>""</f>
        <v/>
      </c>
      <c r="GP6" t="str">
        <f>""</f>
        <v/>
      </c>
      <c r="GQ6" t="str">
        <f>""</f>
        <v/>
      </c>
      <c r="GR6" t="str">
        <f>""</f>
        <v/>
      </c>
      <c r="GS6" t="str">
        <f>""</f>
        <v/>
      </c>
      <c r="GT6" t="str">
        <f>""</f>
        <v/>
      </c>
      <c r="GU6" t="str">
        <f>""</f>
        <v/>
      </c>
      <c r="GV6" t="str">
        <f>""</f>
        <v/>
      </c>
      <c r="GW6" t="str">
        <f>""</f>
        <v/>
      </c>
      <c r="GX6" t="str">
        <f>""</f>
        <v/>
      </c>
      <c r="GY6" t="str">
        <f>""</f>
        <v/>
      </c>
      <c r="GZ6" t="str">
        <f>""</f>
        <v/>
      </c>
      <c r="HA6" t="str">
        <f>""</f>
        <v/>
      </c>
      <c r="HB6" t="str">
        <f>""</f>
        <v/>
      </c>
      <c r="HC6" t="str">
        <f>""</f>
        <v/>
      </c>
      <c r="HD6" t="str">
        <f>""</f>
        <v/>
      </c>
      <c r="HE6" t="str">
        <f>""</f>
        <v/>
      </c>
      <c r="HF6" t="str">
        <f>""</f>
        <v/>
      </c>
      <c r="HG6" t="str">
        <f>""</f>
        <v/>
      </c>
      <c r="HH6" t="str">
        <f>""</f>
        <v/>
      </c>
      <c r="HI6" t="str">
        <f>""</f>
        <v/>
      </c>
      <c r="HJ6" t="str">
        <f>""</f>
        <v/>
      </c>
      <c r="HK6" t="str">
        <f>""</f>
        <v/>
      </c>
      <c r="HL6" t="str">
        <f>""</f>
        <v/>
      </c>
      <c r="HM6" t="str">
        <f>""</f>
        <v/>
      </c>
      <c r="HN6" t="str">
        <f>""</f>
        <v/>
      </c>
      <c r="HO6" t="str">
        <f>""</f>
        <v/>
      </c>
      <c r="HP6" t="str">
        <f>""</f>
        <v/>
      </c>
      <c r="HQ6" t="str">
        <f>""</f>
        <v/>
      </c>
      <c r="HR6" t="str">
        <f>""</f>
        <v/>
      </c>
      <c r="HS6" t="str">
        <f>"-0.0883"</f>
        <v>-0.0883</v>
      </c>
      <c r="HT6" t="str">
        <f>"-0.190**"</f>
        <v>-0.190**</v>
      </c>
      <c r="HU6" t="str">
        <f>"-0.186***"</f>
        <v>-0.186***</v>
      </c>
      <c r="HV6" t="str">
        <f>""</f>
        <v/>
      </c>
      <c r="HW6" t="str">
        <f>""</f>
        <v/>
      </c>
      <c r="HX6" t="str">
        <f>""</f>
        <v/>
      </c>
      <c r="HY6" t="str">
        <f>""</f>
        <v/>
      </c>
      <c r="HZ6" t="str">
        <f>""</f>
        <v/>
      </c>
      <c r="IA6" t="str">
        <f>""</f>
        <v/>
      </c>
      <c r="IB6" t="str">
        <f>""</f>
        <v/>
      </c>
      <c r="IC6" t="str">
        <f>""</f>
        <v/>
      </c>
      <c r="ID6" t="str">
        <f>""</f>
        <v/>
      </c>
      <c r="IE6" t="str">
        <f>""</f>
        <v/>
      </c>
      <c r="IF6" t="str">
        <f>""</f>
        <v/>
      </c>
      <c r="IG6" t="str">
        <f>""</f>
        <v/>
      </c>
      <c r="IH6" t="str">
        <f>""</f>
        <v/>
      </c>
      <c r="II6" t="str">
        <f>""</f>
        <v/>
      </c>
      <c r="IJ6" t="str">
        <f>""</f>
        <v/>
      </c>
      <c r="IK6" t="str">
        <f>""</f>
        <v/>
      </c>
      <c r="IL6" t="str">
        <f>""</f>
        <v/>
      </c>
      <c r="IM6" t="str">
        <f>""</f>
        <v/>
      </c>
      <c r="IN6" t="str">
        <f>""</f>
        <v/>
      </c>
      <c r="IO6" t="str">
        <f>""</f>
        <v/>
      </c>
      <c r="IP6" t="str">
        <f>""</f>
        <v/>
      </c>
      <c r="IQ6" t="str">
        <f>""</f>
        <v/>
      </c>
      <c r="IR6" t="str">
        <f>""</f>
        <v/>
      </c>
      <c r="IS6" t="str">
        <f>""</f>
        <v/>
      </c>
      <c r="IT6" t="str">
        <f>""</f>
        <v/>
      </c>
      <c r="IU6" t="str">
        <f>""</f>
        <v/>
      </c>
      <c r="IV6" t="str">
        <f>""</f>
        <v/>
      </c>
      <c r="IW6" t="str">
        <f>""</f>
        <v/>
      </c>
      <c r="IX6" t="str">
        <f>""</f>
        <v/>
      </c>
      <c r="IY6" t="str">
        <f>""</f>
        <v/>
      </c>
      <c r="IZ6" t="str">
        <f>""</f>
        <v/>
      </c>
      <c r="JA6" t="str">
        <f>""</f>
        <v/>
      </c>
      <c r="JB6" t="str">
        <f>""</f>
        <v/>
      </c>
      <c r="JC6" t="str">
        <f>""</f>
        <v/>
      </c>
      <c r="JD6" t="str">
        <f>""</f>
        <v/>
      </c>
      <c r="JE6" t="str">
        <f>""</f>
        <v/>
      </c>
      <c r="JF6" t="str">
        <f>""</f>
        <v/>
      </c>
      <c r="JG6" t="str">
        <f>""</f>
        <v/>
      </c>
      <c r="JH6" t="str">
        <f>""</f>
        <v/>
      </c>
      <c r="JI6" t="str">
        <f>""</f>
        <v/>
      </c>
      <c r="JJ6" t="str">
        <f>""</f>
        <v/>
      </c>
      <c r="JK6" t="str">
        <f>""</f>
        <v/>
      </c>
    </row>
    <row r="7" spans="1:271" x14ac:dyDescent="0.3">
      <c r="A7" t="str">
        <f>""</f>
        <v/>
      </c>
      <c r="B7" t="str">
        <f>"(0.0772)"</f>
        <v>(0.0772)</v>
      </c>
      <c r="C7" t="str">
        <f>"(0.0611)"</f>
        <v>(0.0611)</v>
      </c>
      <c r="D7" t="str">
        <f>"(0.0339)"</f>
        <v>(0.0339)</v>
      </c>
      <c r="E7" t="str">
        <f>""</f>
        <v/>
      </c>
      <c r="F7" t="str">
        <f>""</f>
        <v/>
      </c>
      <c r="G7" t="str">
        <f>""</f>
        <v/>
      </c>
      <c r="H7" t="str">
        <f>""</f>
        <v/>
      </c>
      <c r="I7" t="str">
        <f>""</f>
        <v/>
      </c>
      <c r="J7" t="str">
        <f>""</f>
        <v/>
      </c>
      <c r="K7" t="str">
        <f>""</f>
        <v/>
      </c>
      <c r="L7" t="str">
        <f>""</f>
        <v/>
      </c>
      <c r="M7" t="str">
        <f>""</f>
        <v/>
      </c>
      <c r="N7" t="str">
        <f>""</f>
        <v/>
      </c>
      <c r="O7" t="str">
        <f>""</f>
        <v/>
      </c>
      <c r="P7" t="str">
        <f>""</f>
        <v/>
      </c>
      <c r="Q7" t="str">
        <f>""</f>
        <v/>
      </c>
      <c r="R7" t="str">
        <f>""</f>
        <v/>
      </c>
      <c r="S7" t="str">
        <f>""</f>
        <v/>
      </c>
      <c r="T7" t="str">
        <f>""</f>
        <v/>
      </c>
      <c r="U7" t="str">
        <f>""</f>
        <v/>
      </c>
      <c r="V7" t="str">
        <f>""</f>
        <v/>
      </c>
      <c r="W7" t="str">
        <f>""</f>
        <v/>
      </c>
      <c r="X7" t="str">
        <f>""</f>
        <v/>
      </c>
      <c r="Y7" t="str">
        <f>""</f>
        <v/>
      </c>
      <c r="Z7" t="str">
        <f>""</f>
        <v/>
      </c>
      <c r="AA7" t="str">
        <f>""</f>
        <v/>
      </c>
      <c r="AB7" t="str">
        <f>""</f>
        <v/>
      </c>
      <c r="AC7" t="str">
        <f>""</f>
        <v/>
      </c>
      <c r="AD7" t="str">
        <f>""</f>
        <v/>
      </c>
      <c r="AE7" t="str">
        <f>""</f>
        <v/>
      </c>
      <c r="AF7" t="str">
        <f>""</f>
        <v/>
      </c>
      <c r="AG7" t="str">
        <f>""</f>
        <v/>
      </c>
      <c r="AH7" t="str">
        <f>""</f>
        <v/>
      </c>
      <c r="AI7" t="str">
        <f>""</f>
        <v/>
      </c>
      <c r="AJ7" t="str">
        <f>""</f>
        <v/>
      </c>
      <c r="AK7" t="str">
        <f>""</f>
        <v/>
      </c>
      <c r="AL7" t="str">
        <f>""</f>
        <v/>
      </c>
      <c r="AM7" t="str">
        <f>""</f>
        <v/>
      </c>
      <c r="AN7" t="str">
        <f>""</f>
        <v/>
      </c>
      <c r="AO7" t="str">
        <f>""</f>
        <v/>
      </c>
      <c r="AP7" t="str">
        <f>""</f>
        <v/>
      </c>
      <c r="AQ7" t="str">
        <f>""</f>
        <v/>
      </c>
      <c r="AR7" t="str">
        <f>""</f>
        <v/>
      </c>
      <c r="AS7" t="str">
        <f>""</f>
        <v/>
      </c>
      <c r="AT7" t="str">
        <f>""</f>
        <v/>
      </c>
      <c r="AU7" t="str">
        <f>"(0.0752)"</f>
        <v>(0.0752)</v>
      </c>
      <c r="AV7" t="str">
        <f>"(0.0590)"</f>
        <v>(0.0590)</v>
      </c>
      <c r="AW7" t="str">
        <f>"(0.0323)"</f>
        <v>(0.0323)</v>
      </c>
      <c r="AX7" t="str">
        <f>""</f>
        <v/>
      </c>
      <c r="AY7" t="str">
        <f>""</f>
        <v/>
      </c>
      <c r="AZ7" t="str">
        <f>""</f>
        <v/>
      </c>
      <c r="BA7" t="str">
        <f>""</f>
        <v/>
      </c>
      <c r="BB7" t="str">
        <f>""</f>
        <v/>
      </c>
      <c r="BC7" t="str">
        <f>""</f>
        <v/>
      </c>
      <c r="BD7" t="str">
        <f>""</f>
        <v/>
      </c>
      <c r="BE7" t="str">
        <f>""</f>
        <v/>
      </c>
      <c r="BF7" t="str">
        <f>""</f>
        <v/>
      </c>
      <c r="BG7" t="str">
        <f>""</f>
        <v/>
      </c>
      <c r="BH7" t="str">
        <f>""</f>
        <v/>
      </c>
      <c r="BI7" t="str">
        <f>""</f>
        <v/>
      </c>
      <c r="BJ7" t="str">
        <f>""</f>
        <v/>
      </c>
      <c r="BK7" t="str">
        <f>""</f>
        <v/>
      </c>
      <c r="BL7" t="str">
        <f>""</f>
        <v/>
      </c>
      <c r="BM7" t="str">
        <f>""</f>
        <v/>
      </c>
      <c r="BN7" t="str">
        <f>""</f>
        <v/>
      </c>
      <c r="BO7" t="str">
        <f>""</f>
        <v/>
      </c>
      <c r="BP7" t="str">
        <f>""</f>
        <v/>
      </c>
      <c r="BQ7" t="str">
        <f>""</f>
        <v/>
      </c>
      <c r="BR7" t="str">
        <f>""</f>
        <v/>
      </c>
      <c r="BS7" t="str">
        <f>""</f>
        <v/>
      </c>
      <c r="BT7" t="str">
        <f>""</f>
        <v/>
      </c>
      <c r="BU7" t="str">
        <f>""</f>
        <v/>
      </c>
      <c r="BV7" t="str">
        <f>""</f>
        <v/>
      </c>
      <c r="BW7" t="str">
        <f>""</f>
        <v/>
      </c>
      <c r="BX7" t="str">
        <f>""</f>
        <v/>
      </c>
      <c r="BY7" t="str">
        <f>""</f>
        <v/>
      </c>
      <c r="BZ7" t="str">
        <f>""</f>
        <v/>
      </c>
      <c r="CA7" t="str">
        <f>""</f>
        <v/>
      </c>
      <c r="CB7" t="str">
        <f>""</f>
        <v/>
      </c>
      <c r="CC7" t="str">
        <f>""</f>
        <v/>
      </c>
      <c r="CD7" t="str">
        <f>""</f>
        <v/>
      </c>
      <c r="CE7" t="str">
        <f>""</f>
        <v/>
      </c>
      <c r="CF7" t="str">
        <f>""</f>
        <v/>
      </c>
      <c r="CG7" t="str">
        <f>""</f>
        <v/>
      </c>
      <c r="CH7" t="str">
        <f>""</f>
        <v/>
      </c>
      <c r="CI7" t="str">
        <f>""</f>
        <v/>
      </c>
      <c r="CJ7" t="str">
        <f>""</f>
        <v/>
      </c>
      <c r="CK7" t="str">
        <f>""</f>
        <v/>
      </c>
      <c r="CL7" t="str">
        <f>""</f>
        <v/>
      </c>
      <c r="CM7" t="str">
        <f>""</f>
        <v/>
      </c>
      <c r="CN7" t="str">
        <f>"(0.0760)"</f>
        <v>(0.0760)</v>
      </c>
      <c r="CO7" t="str">
        <f>"(0.0565)"</f>
        <v>(0.0565)</v>
      </c>
      <c r="CP7" t="str">
        <f>"(0.0324)"</f>
        <v>(0.0324)</v>
      </c>
      <c r="CQ7" t="str">
        <f>""</f>
        <v/>
      </c>
      <c r="CR7" t="str">
        <f>""</f>
        <v/>
      </c>
      <c r="CS7" t="str">
        <f>""</f>
        <v/>
      </c>
      <c r="CT7" t="str">
        <f>""</f>
        <v/>
      </c>
      <c r="CU7" t="str">
        <f>""</f>
        <v/>
      </c>
      <c r="CV7" t="str">
        <f>""</f>
        <v/>
      </c>
      <c r="CW7" t="str">
        <f>""</f>
        <v/>
      </c>
      <c r="CX7" t="str">
        <f>""</f>
        <v/>
      </c>
      <c r="CY7" t="str">
        <f>""</f>
        <v/>
      </c>
      <c r="CZ7" t="str">
        <f>""</f>
        <v/>
      </c>
      <c r="DA7" t="str">
        <f>""</f>
        <v/>
      </c>
      <c r="DB7" t="str">
        <f>""</f>
        <v/>
      </c>
      <c r="DC7" t="str">
        <f>""</f>
        <v/>
      </c>
      <c r="DD7" t="str">
        <f>""</f>
        <v/>
      </c>
      <c r="DE7" t="str">
        <f>""</f>
        <v/>
      </c>
      <c r="DF7" t="str">
        <f>""</f>
        <v/>
      </c>
      <c r="DG7" t="str">
        <f>""</f>
        <v/>
      </c>
      <c r="DH7" t="str">
        <f>""</f>
        <v/>
      </c>
      <c r="DI7" t="str">
        <f>""</f>
        <v/>
      </c>
      <c r="DJ7" t="str">
        <f>""</f>
        <v/>
      </c>
      <c r="DK7" t="str">
        <f>""</f>
        <v/>
      </c>
      <c r="DL7" t="str">
        <f>""</f>
        <v/>
      </c>
      <c r="DM7" t="str">
        <f>""</f>
        <v/>
      </c>
      <c r="DN7" t="str">
        <f>""</f>
        <v/>
      </c>
      <c r="DO7" t="str">
        <f>""</f>
        <v/>
      </c>
      <c r="DP7" t="str">
        <f>""</f>
        <v/>
      </c>
      <c r="DQ7" t="str">
        <f>""</f>
        <v/>
      </c>
      <c r="DR7" t="str">
        <f>""</f>
        <v/>
      </c>
      <c r="DS7" t="str">
        <f>""</f>
        <v/>
      </c>
      <c r="DT7" t="str">
        <f>""</f>
        <v/>
      </c>
      <c r="DU7" t="str">
        <f>""</f>
        <v/>
      </c>
      <c r="DV7" t="str">
        <f>""</f>
        <v/>
      </c>
      <c r="DW7" t="str">
        <f>""</f>
        <v/>
      </c>
      <c r="DX7" t="str">
        <f>""</f>
        <v/>
      </c>
      <c r="DY7" t="str">
        <f>""</f>
        <v/>
      </c>
      <c r="DZ7" t="str">
        <f>""</f>
        <v/>
      </c>
      <c r="EA7" t="str">
        <f>""</f>
        <v/>
      </c>
      <c r="EB7" t="str">
        <f>""</f>
        <v/>
      </c>
      <c r="EC7" t="str">
        <f>""</f>
        <v/>
      </c>
      <c r="ED7" t="str">
        <f>""</f>
        <v/>
      </c>
      <c r="EE7" t="str">
        <f>""</f>
        <v/>
      </c>
      <c r="EF7" t="str">
        <f>""</f>
        <v/>
      </c>
      <c r="EG7" t="str">
        <f>"(0.0740)"</f>
        <v>(0.0740)</v>
      </c>
      <c r="EH7" t="str">
        <f>"(0.0611)"</f>
        <v>(0.0611)</v>
      </c>
      <c r="EI7" t="str">
        <f>"(0.0329)"</f>
        <v>(0.0329)</v>
      </c>
      <c r="EJ7" t="str">
        <f>""</f>
        <v/>
      </c>
      <c r="EK7" t="str">
        <f>""</f>
        <v/>
      </c>
      <c r="EL7" t="str">
        <f>""</f>
        <v/>
      </c>
      <c r="EM7" t="str">
        <f>""</f>
        <v/>
      </c>
      <c r="EN7" t="str">
        <f>""</f>
        <v/>
      </c>
      <c r="EO7" t="str">
        <f>""</f>
        <v/>
      </c>
      <c r="EP7" t="str">
        <f>""</f>
        <v/>
      </c>
      <c r="EQ7" t="str">
        <f>""</f>
        <v/>
      </c>
      <c r="ER7" t="str">
        <f>""</f>
        <v/>
      </c>
      <c r="ES7" t="str">
        <f>""</f>
        <v/>
      </c>
      <c r="ET7" t="str">
        <f>""</f>
        <v/>
      </c>
      <c r="EU7" t="str">
        <f>""</f>
        <v/>
      </c>
      <c r="EV7" t="str">
        <f>""</f>
        <v/>
      </c>
      <c r="EW7" t="str">
        <f>""</f>
        <v/>
      </c>
      <c r="EX7" t="str">
        <f>""</f>
        <v/>
      </c>
      <c r="EY7" t="str">
        <f>""</f>
        <v/>
      </c>
      <c r="EZ7" t="str">
        <f>""</f>
        <v/>
      </c>
      <c r="FA7" t="str">
        <f>""</f>
        <v/>
      </c>
      <c r="FB7" t="str">
        <f>""</f>
        <v/>
      </c>
      <c r="FC7" t="str">
        <f>""</f>
        <v/>
      </c>
      <c r="FD7" t="str">
        <f>""</f>
        <v/>
      </c>
      <c r="FE7" t="str">
        <f>""</f>
        <v/>
      </c>
      <c r="FF7" t="str">
        <f>""</f>
        <v/>
      </c>
      <c r="FG7" t="str">
        <f>""</f>
        <v/>
      </c>
      <c r="FH7" t="str">
        <f>""</f>
        <v/>
      </c>
      <c r="FI7" t="str">
        <f>""</f>
        <v/>
      </c>
      <c r="FJ7" t="str">
        <f>""</f>
        <v/>
      </c>
      <c r="FK7" t="str">
        <f>""</f>
        <v/>
      </c>
      <c r="FL7" t="str">
        <f>""</f>
        <v/>
      </c>
      <c r="FM7" t="str">
        <f>""</f>
        <v/>
      </c>
      <c r="FN7" t="str">
        <f>""</f>
        <v/>
      </c>
      <c r="FO7" t="str">
        <f>""</f>
        <v/>
      </c>
      <c r="FP7" t="str">
        <f>""</f>
        <v/>
      </c>
      <c r="FQ7" t="str">
        <f>""</f>
        <v/>
      </c>
      <c r="FR7" t="str">
        <f>""</f>
        <v/>
      </c>
      <c r="FS7" t="str">
        <f>""</f>
        <v/>
      </c>
      <c r="FT7" t="str">
        <f>""</f>
        <v/>
      </c>
      <c r="FU7" t="str">
        <f>""</f>
        <v/>
      </c>
      <c r="FV7" t="str">
        <f>""</f>
        <v/>
      </c>
      <c r="FW7" t="str">
        <f>""</f>
        <v/>
      </c>
      <c r="FX7" t="str">
        <f>""</f>
        <v/>
      </c>
      <c r="FY7" t="str">
        <f>""</f>
        <v/>
      </c>
      <c r="FZ7" t="str">
        <f>"(0.0756)"</f>
        <v>(0.0756)</v>
      </c>
      <c r="GA7" t="str">
        <f>"(0.0623)"</f>
        <v>(0.0623)</v>
      </c>
      <c r="GB7" t="str">
        <f>"(0.0334)"</f>
        <v>(0.0334)</v>
      </c>
      <c r="GC7" t="str">
        <f>""</f>
        <v/>
      </c>
      <c r="GD7" t="str">
        <f>""</f>
        <v/>
      </c>
      <c r="GE7" t="str">
        <f>""</f>
        <v/>
      </c>
      <c r="GF7" t="str">
        <f>""</f>
        <v/>
      </c>
      <c r="GG7" t="str">
        <f>""</f>
        <v/>
      </c>
      <c r="GH7" t="str">
        <f>""</f>
        <v/>
      </c>
      <c r="GI7" t="str">
        <f>""</f>
        <v/>
      </c>
      <c r="GJ7" t="str">
        <f>""</f>
        <v/>
      </c>
      <c r="GK7" t="str">
        <f>""</f>
        <v/>
      </c>
      <c r="GL7" t="str">
        <f>""</f>
        <v/>
      </c>
      <c r="GM7" t="str">
        <f>""</f>
        <v/>
      </c>
      <c r="GN7" t="str">
        <f>""</f>
        <v/>
      </c>
      <c r="GO7" t="str">
        <f>""</f>
        <v/>
      </c>
      <c r="GP7" t="str">
        <f>""</f>
        <v/>
      </c>
      <c r="GQ7" t="str">
        <f>""</f>
        <v/>
      </c>
      <c r="GR7" t="str">
        <f>""</f>
        <v/>
      </c>
      <c r="GS7" t="str">
        <f>""</f>
        <v/>
      </c>
      <c r="GT7" t="str">
        <f>""</f>
        <v/>
      </c>
      <c r="GU7" t="str">
        <f>""</f>
        <v/>
      </c>
      <c r="GV7" t="str">
        <f>""</f>
        <v/>
      </c>
      <c r="GW7" t="str">
        <f>""</f>
        <v/>
      </c>
      <c r="GX7" t="str">
        <f>""</f>
        <v/>
      </c>
      <c r="GY7" t="str">
        <f>""</f>
        <v/>
      </c>
      <c r="GZ7" t="str">
        <f>""</f>
        <v/>
      </c>
      <c r="HA7" t="str">
        <f>""</f>
        <v/>
      </c>
      <c r="HB7" t="str">
        <f>""</f>
        <v/>
      </c>
      <c r="HC7" t="str">
        <f>""</f>
        <v/>
      </c>
      <c r="HD7" t="str">
        <f>""</f>
        <v/>
      </c>
      <c r="HE7" t="str">
        <f>""</f>
        <v/>
      </c>
      <c r="HF7" t="str">
        <f>""</f>
        <v/>
      </c>
      <c r="HG7" t="str">
        <f>""</f>
        <v/>
      </c>
      <c r="HH7" t="str">
        <f>""</f>
        <v/>
      </c>
      <c r="HI7" t="str">
        <f>""</f>
        <v/>
      </c>
      <c r="HJ7" t="str">
        <f>""</f>
        <v/>
      </c>
      <c r="HK7" t="str">
        <f>""</f>
        <v/>
      </c>
      <c r="HL7" t="str">
        <f>""</f>
        <v/>
      </c>
      <c r="HM7" t="str">
        <f>""</f>
        <v/>
      </c>
      <c r="HN7" t="str">
        <f>""</f>
        <v/>
      </c>
      <c r="HO7" t="str">
        <f>""</f>
        <v/>
      </c>
      <c r="HP7" t="str">
        <f>""</f>
        <v/>
      </c>
      <c r="HQ7" t="str">
        <f>""</f>
        <v/>
      </c>
      <c r="HR7" t="str">
        <f>""</f>
        <v/>
      </c>
      <c r="HS7" t="str">
        <f>"(0.0771)"</f>
        <v>(0.0771)</v>
      </c>
      <c r="HT7" t="str">
        <f>"(0.0627)"</f>
        <v>(0.0627)</v>
      </c>
      <c r="HU7" t="str">
        <f>"(0.0342)"</f>
        <v>(0.0342)</v>
      </c>
      <c r="HV7" t="str">
        <f>""</f>
        <v/>
      </c>
      <c r="HW7" t="str">
        <f>""</f>
        <v/>
      </c>
      <c r="HX7" t="str">
        <f>""</f>
        <v/>
      </c>
      <c r="HY7" t="str">
        <f>""</f>
        <v/>
      </c>
      <c r="HZ7" t="str">
        <f>""</f>
        <v/>
      </c>
      <c r="IA7" t="str">
        <f>""</f>
        <v/>
      </c>
      <c r="IB7" t="str">
        <f>""</f>
        <v/>
      </c>
      <c r="IC7" t="str">
        <f>""</f>
        <v/>
      </c>
      <c r="ID7" t="str">
        <f>""</f>
        <v/>
      </c>
      <c r="IE7" t="str">
        <f>""</f>
        <v/>
      </c>
      <c r="IF7" t="str">
        <f>""</f>
        <v/>
      </c>
      <c r="IG7" t="str">
        <f>""</f>
        <v/>
      </c>
      <c r="IH7" t="str">
        <f>""</f>
        <v/>
      </c>
      <c r="II7" t="str">
        <f>""</f>
        <v/>
      </c>
      <c r="IJ7" t="str">
        <f>""</f>
        <v/>
      </c>
      <c r="IK7" t="str">
        <f>""</f>
        <v/>
      </c>
      <c r="IL7" t="str">
        <f>""</f>
        <v/>
      </c>
      <c r="IM7" t="str">
        <f>""</f>
        <v/>
      </c>
      <c r="IN7" t="str">
        <f>""</f>
        <v/>
      </c>
      <c r="IO7" t="str">
        <f>""</f>
        <v/>
      </c>
      <c r="IP7" t="str">
        <f>""</f>
        <v/>
      </c>
      <c r="IQ7" t="str">
        <f>""</f>
        <v/>
      </c>
      <c r="IR7" t="str">
        <f>""</f>
        <v/>
      </c>
      <c r="IS7" t="str">
        <f>""</f>
        <v/>
      </c>
      <c r="IT7" t="str">
        <f>""</f>
        <v/>
      </c>
      <c r="IU7" t="str">
        <f>""</f>
        <v/>
      </c>
      <c r="IV7" t="str">
        <f>""</f>
        <v/>
      </c>
      <c r="IW7" t="str">
        <f>""</f>
        <v/>
      </c>
      <c r="IX7" t="str">
        <f>""</f>
        <v/>
      </c>
      <c r="IY7" t="str">
        <f>""</f>
        <v/>
      </c>
      <c r="IZ7" t="str">
        <f>""</f>
        <v/>
      </c>
      <c r="JA7" t="str">
        <f>""</f>
        <v/>
      </c>
      <c r="JB7" t="str">
        <f>""</f>
        <v/>
      </c>
      <c r="JC7" t="str">
        <f>""</f>
        <v/>
      </c>
      <c r="JD7" t="str">
        <f>""</f>
        <v/>
      </c>
      <c r="JE7" t="str">
        <f>""</f>
        <v/>
      </c>
      <c r="JF7" t="str">
        <f>""</f>
        <v/>
      </c>
      <c r="JG7" t="str">
        <f>""</f>
        <v/>
      </c>
      <c r="JH7" t="str">
        <f>""</f>
        <v/>
      </c>
      <c r="JI7" t="str">
        <f>""</f>
        <v/>
      </c>
      <c r="JJ7" t="str">
        <f>""</f>
        <v/>
      </c>
      <c r="JK7" t="str">
        <f>""</f>
        <v/>
      </c>
    </row>
    <row r="9" spans="1:271" x14ac:dyDescent="0.3">
      <c r="A9" t="str">
        <f>"PM1"</f>
        <v>PM1</v>
      </c>
      <c r="B9" t="str">
        <f>"0.00338"</f>
        <v>0.00338</v>
      </c>
      <c r="C9" t="str">
        <f>"-0.00506"</f>
        <v>-0.00506</v>
      </c>
      <c r="D9" t="str">
        <f>"0.0642"</f>
        <v>0.0642</v>
      </c>
      <c r="E9" t="str">
        <f>"0.0225"</f>
        <v>0.0225</v>
      </c>
      <c r="F9" t="str">
        <f>"-0.0215"</f>
        <v>-0.0215</v>
      </c>
      <c r="G9" t="str">
        <f>"0.0806"</f>
        <v>0.0806</v>
      </c>
      <c r="H9" t="str">
        <f>"0.0181"</f>
        <v>0.0181</v>
      </c>
      <c r="I9" t="str">
        <f>"-0.0260"</f>
        <v>-0.0260</v>
      </c>
      <c r="J9" t="str">
        <f>"0.0794"</f>
        <v>0.0794</v>
      </c>
      <c r="K9" t="str">
        <f>"0.0292"</f>
        <v>0.0292</v>
      </c>
      <c r="L9" t="str">
        <f>"-0.0218"</f>
        <v>-0.0218</v>
      </c>
      <c r="M9" t="str">
        <f>"0.0772"</f>
        <v>0.0772</v>
      </c>
      <c r="N9" t="str">
        <f>"0.0288"</f>
        <v>0.0288</v>
      </c>
      <c r="O9" t="str">
        <f>"-0.0240"</f>
        <v>-0.0240</v>
      </c>
      <c r="P9" t="str">
        <f>"0.0693"</f>
        <v>0.0693</v>
      </c>
      <c r="Q9" t="str">
        <f>"0.0181"</f>
        <v>0.0181</v>
      </c>
      <c r="R9" t="str">
        <f>"-0.0256"</f>
        <v>-0.0256</v>
      </c>
      <c r="S9" t="str">
        <f>"0.0731"</f>
        <v>0.0731</v>
      </c>
      <c r="T9" t="str">
        <f>"0.0104"</f>
        <v>0.0104</v>
      </c>
      <c r="U9" t="str">
        <f>"-0.0268"</f>
        <v>-0.0268</v>
      </c>
      <c r="V9" t="str">
        <f>"0.0501"</f>
        <v>0.0501</v>
      </c>
      <c r="W9" t="str">
        <f>"0.00964"</f>
        <v>0.00964</v>
      </c>
      <c r="X9" t="str">
        <f>"-0.00932"</f>
        <v>-0.00932</v>
      </c>
      <c r="Y9" t="str">
        <f>"0.0676"</f>
        <v>0.0676</v>
      </c>
      <c r="Z9" t="str">
        <f>"0.0000709"</f>
        <v>0.0000709</v>
      </c>
      <c r="AA9" t="str">
        <f>"-0.0215"</f>
        <v>-0.0215</v>
      </c>
      <c r="AB9" t="str">
        <f>"0.0644"</f>
        <v>0.0644</v>
      </c>
      <c r="AC9" t="str">
        <f>"0.00906"</f>
        <v>0.00906</v>
      </c>
      <c r="AD9" t="str">
        <f>"-0.0236"</f>
        <v>-0.0236</v>
      </c>
      <c r="AE9" t="str">
        <f>"0.0691"</f>
        <v>0.0691</v>
      </c>
      <c r="AF9" t="str">
        <f>"0.0144"</f>
        <v>0.0144</v>
      </c>
      <c r="AG9" t="str">
        <f>"-0.0276"</f>
        <v>-0.0276</v>
      </c>
      <c r="AH9" t="str">
        <f>"0.0772"</f>
        <v>0.0772</v>
      </c>
      <c r="AI9" t="str">
        <f>"0.00852"</f>
        <v>0.00852</v>
      </c>
      <c r="AJ9" t="str">
        <f>"-0.0188"</f>
        <v>-0.0188</v>
      </c>
      <c r="AK9" t="str">
        <f>"0.0673"</f>
        <v>0.0673</v>
      </c>
      <c r="AL9" t="str">
        <f>"-0.0210"</f>
        <v>-0.0210</v>
      </c>
      <c r="AM9" t="str">
        <f>"-0.0211"</f>
        <v>-0.0211</v>
      </c>
      <c r="AN9" t="str">
        <f>"0.0702"</f>
        <v>0.0702</v>
      </c>
      <c r="AO9" t="str">
        <f>"0.00869"</f>
        <v>0.00869</v>
      </c>
      <c r="AP9" t="str">
        <f>"-0.0245"</f>
        <v>-0.0245</v>
      </c>
      <c r="AQ9" t="str">
        <f>"0.0656"</f>
        <v>0.0656</v>
      </c>
      <c r="AR9" t="str">
        <f>"0.00487"</f>
        <v>0.00487</v>
      </c>
      <c r="AS9" t="str">
        <f>"-0.0255"</f>
        <v>-0.0255</v>
      </c>
      <c r="AT9" t="str">
        <f>"0.0682"</f>
        <v>0.0682</v>
      </c>
      <c r="AU9" t="str">
        <f>""</f>
        <v/>
      </c>
      <c r="AV9" t="str">
        <f>""</f>
        <v/>
      </c>
      <c r="AW9" t="str">
        <f>""</f>
        <v/>
      </c>
      <c r="AX9" t="str">
        <f>""</f>
        <v/>
      </c>
      <c r="AY9" t="str">
        <f>""</f>
        <v/>
      </c>
      <c r="AZ9" t="str">
        <f>""</f>
        <v/>
      </c>
      <c r="BA9" t="str">
        <f>""</f>
        <v/>
      </c>
      <c r="BB9" t="str">
        <f>""</f>
        <v/>
      </c>
      <c r="BC9" t="str">
        <f>""</f>
        <v/>
      </c>
      <c r="BD9" t="str">
        <f>""</f>
        <v/>
      </c>
      <c r="BE9" t="str">
        <f>""</f>
        <v/>
      </c>
      <c r="BF9" t="str">
        <f>""</f>
        <v/>
      </c>
      <c r="BG9" t="str">
        <f>""</f>
        <v/>
      </c>
      <c r="BH9" t="str">
        <f>""</f>
        <v/>
      </c>
      <c r="BI9" t="str">
        <f>""</f>
        <v/>
      </c>
      <c r="BJ9" t="str">
        <f>""</f>
        <v/>
      </c>
      <c r="BK9" t="str">
        <f>""</f>
        <v/>
      </c>
      <c r="BL9" t="str">
        <f>""</f>
        <v/>
      </c>
      <c r="BM9" t="str">
        <f>""</f>
        <v/>
      </c>
      <c r="BN9" t="str">
        <f>""</f>
        <v/>
      </c>
      <c r="BO9" t="str">
        <f>""</f>
        <v/>
      </c>
      <c r="BP9" t="str">
        <f>""</f>
        <v/>
      </c>
      <c r="BQ9" t="str">
        <f>""</f>
        <v/>
      </c>
      <c r="BR9" t="str">
        <f>""</f>
        <v/>
      </c>
      <c r="BS9" t="str">
        <f>""</f>
        <v/>
      </c>
      <c r="BT9" t="str">
        <f>""</f>
        <v/>
      </c>
      <c r="BU9" t="str">
        <f>""</f>
        <v/>
      </c>
      <c r="BV9" t="str">
        <f>""</f>
        <v/>
      </c>
      <c r="BW9" t="str">
        <f>""</f>
        <v/>
      </c>
      <c r="BX9" t="str">
        <f>""</f>
        <v/>
      </c>
      <c r="BY9" t="str">
        <f>""</f>
        <v/>
      </c>
      <c r="BZ9" t="str">
        <f>""</f>
        <v/>
      </c>
      <c r="CA9" t="str">
        <f>""</f>
        <v/>
      </c>
      <c r="CB9" t="str">
        <f>""</f>
        <v/>
      </c>
      <c r="CC9" t="str">
        <f>""</f>
        <v/>
      </c>
      <c r="CD9" t="str">
        <f>""</f>
        <v/>
      </c>
      <c r="CE9" t="str">
        <f>""</f>
        <v/>
      </c>
      <c r="CF9" t="str">
        <f>""</f>
        <v/>
      </c>
      <c r="CG9" t="str">
        <f>""</f>
        <v/>
      </c>
      <c r="CH9" t="str">
        <f>""</f>
        <v/>
      </c>
      <c r="CI9" t="str">
        <f>""</f>
        <v/>
      </c>
      <c r="CJ9" t="str">
        <f>""</f>
        <v/>
      </c>
      <c r="CK9" t="str">
        <f>""</f>
        <v/>
      </c>
      <c r="CL9" t="str">
        <f>""</f>
        <v/>
      </c>
      <c r="CM9" t="str">
        <f>""</f>
        <v/>
      </c>
      <c r="CN9" t="str">
        <f>""</f>
        <v/>
      </c>
      <c r="CO9" t="str">
        <f>""</f>
        <v/>
      </c>
      <c r="CP9" t="str">
        <f>""</f>
        <v/>
      </c>
      <c r="CQ9" t="str">
        <f>""</f>
        <v/>
      </c>
      <c r="CR9" t="str">
        <f>""</f>
        <v/>
      </c>
      <c r="CS9" t="str">
        <f>""</f>
        <v/>
      </c>
      <c r="CT9" t="str">
        <f>""</f>
        <v/>
      </c>
      <c r="CU9" t="str">
        <f>""</f>
        <v/>
      </c>
      <c r="CV9" t="str">
        <f>""</f>
        <v/>
      </c>
      <c r="CW9" t="str">
        <f>""</f>
        <v/>
      </c>
      <c r="CX9" t="str">
        <f>""</f>
        <v/>
      </c>
      <c r="CY9" t="str">
        <f>""</f>
        <v/>
      </c>
      <c r="CZ9" t="str">
        <f>""</f>
        <v/>
      </c>
      <c r="DA9" t="str">
        <f>""</f>
        <v/>
      </c>
      <c r="DB9" t="str">
        <f>""</f>
        <v/>
      </c>
      <c r="DC9" t="str">
        <f>""</f>
        <v/>
      </c>
      <c r="DD9" t="str">
        <f>""</f>
        <v/>
      </c>
      <c r="DE9" t="str">
        <f>""</f>
        <v/>
      </c>
      <c r="DF9" t="str">
        <f>""</f>
        <v/>
      </c>
      <c r="DG9" t="str">
        <f>""</f>
        <v/>
      </c>
      <c r="DH9" t="str">
        <f>""</f>
        <v/>
      </c>
      <c r="DI9" t="str">
        <f>""</f>
        <v/>
      </c>
      <c r="DJ9" t="str">
        <f>""</f>
        <v/>
      </c>
      <c r="DK9" t="str">
        <f>""</f>
        <v/>
      </c>
      <c r="DL9" t="str">
        <f>""</f>
        <v/>
      </c>
      <c r="DM9" t="str">
        <f>""</f>
        <v/>
      </c>
      <c r="DN9" t="str">
        <f>""</f>
        <v/>
      </c>
      <c r="DO9" t="str">
        <f>""</f>
        <v/>
      </c>
      <c r="DP9" t="str">
        <f>""</f>
        <v/>
      </c>
      <c r="DQ9" t="str">
        <f>""</f>
        <v/>
      </c>
      <c r="DR9" t="str">
        <f>""</f>
        <v/>
      </c>
      <c r="DS9" t="str">
        <f>""</f>
        <v/>
      </c>
      <c r="DT9" t="str">
        <f>""</f>
        <v/>
      </c>
      <c r="DU9" t="str">
        <f>""</f>
        <v/>
      </c>
      <c r="DV9" t="str">
        <f>""</f>
        <v/>
      </c>
      <c r="DW9" t="str">
        <f>""</f>
        <v/>
      </c>
      <c r="DX9" t="str">
        <f>""</f>
        <v/>
      </c>
      <c r="DY9" t="str">
        <f>""</f>
        <v/>
      </c>
      <c r="DZ9" t="str">
        <f>""</f>
        <v/>
      </c>
      <c r="EA9" t="str">
        <f>""</f>
        <v/>
      </c>
      <c r="EB9" t="str">
        <f>""</f>
        <v/>
      </c>
      <c r="EC9" t="str">
        <f>""</f>
        <v/>
      </c>
      <c r="ED9" t="str">
        <f>""</f>
        <v/>
      </c>
      <c r="EE9" t="str">
        <f>""</f>
        <v/>
      </c>
      <c r="EF9" t="str">
        <f>""</f>
        <v/>
      </c>
      <c r="EG9" t="str">
        <f>""</f>
        <v/>
      </c>
      <c r="EH9" t="str">
        <f>""</f>
        <v/>
      </c>
      <c r="EI9" t="str">
        <f>""</f>
        <v/>
      </c>
      <c r="EJ9" t="str">
        <f>""</f>
        <v/>
      </c>
      <c r="EK9" t="str">
        <f>""</f>
        <v/>
      </c>
      <c r="EL9" t="str">
        <f>""</f>
        <v/>
      </c>
      <c r="EM9" t="str">
        <f>""</f>
        <v/>
      </c>
      <c r="EN9" t="str">
        <f>""</f>
        <v/>
      </c>
      <c r="EO9" t="str">
        <f>""</f>
        <v/>
      </c>
      <c r="EP9" t="str">
        <f>""</f>
        <v/>
      </c>
      <c r="EQ9" t="str">
        <f>""</f>
        <v/>
      </c>
      <c r="ER9" t="str">
        <f>""</f>
        <v/>
      </c>
      <c r="ES9" t="str">
        <f>""</f>
        <v/>
      </c>
      <c r="ET9" t="str">
        <f>""</f>
        <v/>
      </c>
      <c r="EU9" t="str">
        <f>""</f>
        <v/>
      </c>
      <c r="EV9" t="str">
        <f>""</f>
        <v/>
      </c>
      <c r="EW9" t="str">
        <f>""</f>
        <v/>
      </c>
      <c r="EX9" t="str">
        <f>""</f>
        <v/>
      </c>
      <c r="EY9" t="str">
        <f>""</f>
        <v/>
      </c>
      <c r="EZ9" t="str">
        <f>""</f>
        <v/>
      </c>
      <c r="FA9" t="str">
        <f>""</f>
        <v/>
      </c>
      <c r="FB9" t="str">
        <f>""</f>
        <v/>
      </c>
      <c r="FC9" t="str">
        <f>""</f>
        <v/>
      </c>
      <c r="FD9" t="str">
        <f>""</f>
        <v/>
      </c>
      <c r="FE9" t="str">
        <f>""</f>
        <v/>
      </c>
      <c r="FF9" t="str">
        <f>""</f>
        <v/>
      </c>
      <c r="FG9" t="str">
        <f>""</f>
        <v/>
      </c>
      <c r="FH9" t="str">
        <f>""</f>
        <v/>
      </c>
      <c r="FI9" t="str">
        <f>""</f>
        <v/>
      </c>
      <c r="FJ9" t="str">
        <f>""</f>
        <v/>
      </c>
      <c r="FK9" t="str">
        <f>""</f>
        <v/>
      </c>
      <c r="FL9" t="str">
        <f>""</f>
        <v/>
      </c>
      <c r="FM9" t="str">
        <f>""</f>
        <v/>
      </c>
      <c r="FN9" t="str">
        <f>""</f>
        <v/>
      </c>
      <c r="FO9" t="str">
        <f>""</f>
        <v/>
      </c>
      <c r="FP9" t="str">
        <f>""</f>
        <v/>
      </c>
      <c r="FQ9" t="str">
        <f>""</f>
        <v/>
      </c>
      <c r="FR9" t="str">
        <f>""</f>
        <v/>
      </c>
      <c r="FS9" t="str">
        <f>""</f>
        <v/>
      </c>
      <c r="FT9" t="str">
        <f>""</f>
        <v/>
      </c>
      <c r="FU9" t="str">
        <f>""</f>
        <v/>
      </c>
      <c r="FV9" t="str">
        <f>""</f>
        <v/>
      </c>
      <c r="FW9" t="str">
        <f>""</f>
        <v/>
      </c>
      <c r="FX9" t="str">
        <f>""</f>
        <v/>
      </c>
      <c r="FY9" t="str">
        <f>""</f>
        <v/>
      </c>
      <c r="FZ9" t="str">
        <f>""</f>
        <v/>
      </c>
      <c r="GA9" t="str">
        <f>""</f>
        <v/>
      </c>
      <c r="GB9" t="str">
        <f>""</f>
        <v/>
      </c>
      <c r="GC9" t="str">
        <f>""</f>
        <v/>
      </c>
      <c r="GD9" t="str">
        <f>""</f>
        <v/>
      </c>
      <c r="GE9" t="str">
        <f>""</f>
        <v/>
      </c>
      <c r="GF9" t="str">
        <f>""</f>
        <v/>
      </c>
      <c r="GG9" t="str">
        <f>""</f>
        <v/>
      </c>
      <c r="GH9" t="str">
        <f>""</f>
        <v/>
      </c>
      <c r="GI9" t="str">
        <f>""</f>
        <v/>
      </c>
      <c r="GJ9" t="str">
        <f>""</f>
        <v/>
      </c>
      <c r="GK9" t="str">
        <f>""</f>
        <v/>
      </c>
      <c r="GL9" t="str">
        <f>""</f>
        <v/>
      </c>
      <c r="GM9" t="str">
        <f>""</f>
        <v/>
      </c>
      <c r="GN9" t="str">
        <f>""</f>
        <v/>
      </c>
      <c r="GO9" t="str">
        <f>""</f>
        <v/>
      </c>
      <c r="GP9" t="str">
        <f>""</f>
        <v/>
      </c>
      <c r="GQ9" t="str">
        <f>""</f>
        <v/>
      </c>
      <c r="GR9" t="str">
        <f>""</f>
        <v/>
      </c>
      <c r="GS9" t="str">
        <f>""</f>
        <v/>
      </c>
      <c r="GT9" t="str">
        <f>""</f>
        <v/>
      </c>
      <c r="GU9" t="str">
        <f>""</f>
        <v/>
      </c>
      <c r="GV9" t="str">
        <f>""</f>
        <v/>
      </c>
      <c r="GW9" t="str">
        <f>""</f>
        <v/>
      </c>
      <c r="GX9" t="str">
        <f>""</f>
        <v/>
      </c>
      <c r="GY9" t="str">
        <f>""</f>
        <v/>
      </c>
      <c r="GZ9" t="str">
        <f>""</f>
        <v/>
      </c>
      <c r="HA9" t="str">
        <f>""</f>
        <v/>
      </c>
      <c r="HB9" t="str">
        <f>""</f>
        <v/>
      </c>
      <c r="HC9" t="str">
        <f>""</f>
        <v/>
      </c>
      <c r="HD9" t="str">
        <f>""</f>
        <v/>
      </c>
      <c r="HE9" t="str">
        <f>""</f>
        <v/>
      </c>
      <c r="HF9" t="str">
        <f>""</f>
        <v/>
      </c>
      <c r="HG9" t="str">
        <f>""</f>
        <v/>
      </c>
      <c r="HH9" t="str">
        <f>""</f>
        <v/>
      </c>
      <c r="HI9" t="str">
        <f>""</f>
        <v/>
      </c>
      <c r="HJ9" t="str">
        <f>""</f>
        <v/>
      </c>
      <c r="HK9" t="str">
        <f>""</f>
        <v/>
      </c>
      <c r="HL9" t="str">
        <f>""</f>
        <v/>
      </c>
      <c r="HM9" t="str">
        <f>""</f>
        <v/>
      </c>
      <c r="HN9" t="str">
        <f>""</f>
        <v/>
      </c>
      <c r="HO9" t="str">
        <f>""</f>
        <v/>
      </c>
      <c r="HP9" t="str">
        <f>""</f>
        <v/>
      </c>
      <c r="HQ9" t="str">
        <f>""</f>
        <v/>
      </c>
      <c r="HR9" t="str">
        <f>""</f>
        <v/>
      </c>
      <c r="HS9" t="str">
        <f>""</f>
        <v/>
      </c>
      <c r="HT9" t="str">
        <f>""</f>
        <v/>
      </c>
      <c r="HU9" t="str">
        <f>""</f>
        <v/>
      </c>
      <c r="HV9" t="str">
        <f>""</f>
        <v/>
      </c>
      <c r="HW9" t="str">
        <f>""</f>
        <v/>
      </c>
      <c r="HX9" t="str">
        <f>""</f>
        <v/>
      </c>
      <c r="HY9" t="str">
        <f>""</f>
        <v/>
      </c>
      <c r="HZ9" t="str">
        <f>""</f>
        <v/>
      </c>
      <c r="IA9" t="str">
        <f>""</f>
        <v/>
      </c>
      <c r="IB9" t="str">
        <f>""</f>
        <v/>
      </c>
      <c r="IC9" t="str">
        <f>""</f>
        <v/>
      </c>
      <c r="ID9" t="str">
        <f>""</f>
        <v/>
      </c>
      <c r="IE9" t="str">
        <f>""</f>
        <v/>
      </c>
      <c r="IF9" t="str">
        <f>""</f>
        <v/>
      </c>
      <c r="IG9" t="str">
        <f>""</f>
        <v/>
      </c>
      <c r="IH9" t="str">
        <f>""</f>
        <v/>
      </c>
      <c r="II9" t="str">
        <f>""</f>
        <v/>
      </c>
      <c r="IJ9" t="str">
        <f>""</f>
        <v/>
      </c>
      <c r="IK9" t="str">
        <f>""</f>
        <v/>
      </c>
      <c r="IL9" t="str">
        <f>""</f>
        <v/>
      </c>
      <c r="IM9" t="str">
        <f>""</f>
        <v/>
      </c>
      <c r="IN9" t="str">
        <f>""</f>
        <v/>
      </c>
      <c r="IO9" t="str">
        <f>""</f>
        <v/>
      </c>
      <c r="IP9" t="str">
        <f>""</f>
        <v/>
      </c>
      <c r="IQ9" t="str">
        <f>""</f>
        <v/>
      </c>
      <c r="IR9" t="str">
        <f>""</f>
        <v/>
      </c>
      <c r="IS9" t="str">
        <f>""</f>
        <v/>
      </c>
      <c r="IT9" t="str">
        <f>""</f>
        <v/>
      </c>
      <c r="IU9" t="str">
        <f>""</f>
        <v/>
      </c>
      <c r="IV9" t="str">
        <f>""</f>
        <v/>
      </c>
      <c r="IW9" t="str">
        <f>""</f>
        <v/>
      </c>
      <c r="IX9" t="str">
        <f>""</f>
        <v/>
      </c>
      <c r="IY9" t="str">
        <f>""</f>
        <v/>
      </c>
      <c r="IZ9" t="str">
        <f>""</f>
        <v/>
      </c>
      <c r="JA9" t="str">
        <f>""</f>
        <v/>
      </c>
      <c r="JB9" t="str">
        <f>""</f>
        <v/>
      </c>
      <c r="JC9" t="str">
        <f>""</f>
        <v/>
      </c>
      <c r="JD9" t="str">
        <f>""</f>
        <v/>
      </c>
      <c r="JE9" t="str">
        <f>""</f>
        <v/>
      </c>
      <c r="JF9" t="str">
        <f>""</f>
        <v/>
      </c>
      <c r="JG9" t="str">
        <f>""</f>
        <v/>
      </c>
      <c r="JH9" t="str">
        <f>""</f>
        <v/>
      </c>
      <c r="JI9" t="str">
        <f>""</f>
        <v/>
      </c>
      <c r="JJ9" t="str">
        <f>""</f>
        <v/>
      </c>
      <c r="JK9" t="str">
        <f>""</f>
        <v/>
      </c>
    </row>
    <row r="10" spans="1:271" x14ac:dyDescent="0.3">
      <c r="A10" t="str">
        <f>""</f>
        <v/>
      </c>
      <c r="B10" t="str">
        <f>"(0.113)"</f>
        <v>(0.113)</v>
      </c>
      <c r="C10" t="str">
        <f>"(0.0887)"</f>
        <v>(0.0887)</v>
      </c>
      <c r="D10" t="str">
        <f>"(0.0484)"</f>
        <v>(0.0484)</v>
      </c>
      <c r="E10" t="str">
        <f>"(0.112)"</f>
        <v>(0.112)</v>
      </c>
      <c r="F10" t="str">
        <f>"(0.0878)"</f>
        <v>(0.0878)</v>
      </c>
      <c r="G10" t="str">
        <f>"(0.0485)"</f>
        <v>(0.0485)</v>
      </c>
      <c r="H10" t="str">
        <f>"(0.111)"</f>
        <v>(0.111)</v>
      </c>
      <c r="I10" t="str">
        <f>"(0.0881)"</f>
        <v>(0.0881)</v>
      </c>
      <c r="J10" t="str">
        <f>"(0.0495)"</f>
        <v>(0.0495)</v>
      </c>
      <c r="K10" t="str">
        <f>"(0.113)"</f>
        <v>(0.113)</v>
      </c>
      <c r="L10" t="str">
        <f>"(0.0882)"</f>
        <v>(0.0882)</v>
      </c>
      <c r="M10" t="str">
        <f>"(0.0493)"</f>
        <v>(0.0493)</v>
      </c>
      <c r="N10" t="str">
        <f>"(0.112)"</f>
        <v>(0.112)</v>
      </c>
      <c r="O10" t="str">
        <f>"(0.0882)"</f>
        <v>(0.0882)</v>
      </c>
      <c r="P10" t="str">
        <f>"(0.0492)"</f>
        <v>(0.0492)</v>
      </c>
      <c r="Q10" t="str">
        <f>"(0.111)"</f>
        <v>(0.111)</v>
      </c>
      <c r="R10" t="str">
        <f>"(0.0879)"</f>
        <v>(0.0879)</v>
      </c>
      <c r="S10" t="str">
        <f>"(0.0483)"</f>
        <v>(0.0483)</v>
      </c>
      <c r="T10" t="str">
        <f>"(0.111)"</f>
        <v>(0.111)</v>
      </c>
      <c r="U10" t="str">
        <f>"(0.0878)"</f>
        <v>(0.0878)</v>
      </c>
      <c r="V10" t="str">
        <f>"(0.0487)"</f>
        <v>(0.0487)</v>
      </c>
      <c r="W10" t="str">
        <f>"(0.111)"</f>
        <v>(0.111)</v>
      </c>
      <c r="X10" t="str">
        <f>"(0.0882)"</f>
        <v>(0.0882)</v>
      </c>
      <c r="Y10" t="str">
        <f>"(0.0479)"</f>
        <v>(0.0479)</v>
      </c>
      <c r="Z10" t="str">
        <f>"(0.112)"</f>
        <v>(0.112)</v>
      </c>
      <c r="AA10" t="str">
        <f>"(0.0878)"</f>
        <v>(0.0878)</v>
      </c>
      <c r="AB10" t="str">
        <f>"(0.0478)"</f>
        <v>(0.0478)</v>
      </c>
      <c r="AC10" t="str">
        <f>"(0.112)"</f>
        <v>(0.112)</v>
      </c>
      <c r="AD10" t="str">
        <f>"(0.0877)"</f>
        <v>(0.0877)</v>
      </c>
      <c r="AE10" t="str">
        <f>"(0.0478)"</f>
        <v>(0.0478)</v>
      </c>
      <c r="AF10" t="str">
        <f>"(0.111)"</f>
        <v>(0.111)</v>
      </c>
      <c r="AG10" t="str">
        <f>"(0.0881)"</f>
        <v>(0.0881)</v>
      </c>
      <c r="AH10" t="str">
        <f>"(0.0487)"</f>
        <v>(0.0487)</v>
      </c>
      <c r="AI10" t="str">
        <f>"(0.111)"</f>
        <v>(0.111)</v>
      </c>
      <c r="AJ10" t="str">
        <f>"(0.0878)"</f>
        <v>(0.0878)</v>
      </c>
      <c r="AK10" t="str">
        <f>"(0.0478)"</f>
        <v>(0.0478)</v>
      </c>
      <c r="AL10" t="str">
        <f>"(0.113)"</f>
        <v>(0.113)</v>
      </c>
      <c r="AM10" t="str">
        <f>"(0.0880)"</f>
        <v>(0.0880)</v>
      </c>
      <c r="AN10" t="str">
        <f>"(0.0484)"</f>
        <v>(0.0484)</v>
      </c>
      <c r="AO10" t="str">
        <f>"(0.111)"</f>
        <v>(0.111)</v>
      </c>
      <c r="AP10" t="str">
        <f>"(0.0877)"</f>
        <v>(0.0877)</v>
      </c>
      <c r="AQ10" t="str">
        <f>"(0.0479)"</f>
        <v>(0.0479)</v>
      </c>
      <c r="AR10" t="str">
        <f>"(0.112)"</f>
        <v>(0.112)</v>
      </c>
      <c r="AS10" t="str">
        <f>"(0.0877)"</f>
        <v>(0.0877)</v>
      </c>
      <c r="AT10" t="str">
        <f>"(0.0480)"</f>
        <v>(0.0480)</v>
      </c>
      <c r="AU10" t="str">
        <f>""</f>
        <v/>
      </c>
      <c r="AV10" t="str">
        <f>""</f>
        <v/>
      </c>
      <c r="AW10" t="str">
        <f>""</f>
        <v/>
      </c>
      <c r="AX10" t="str">
        <f>""</f>
        <v/>
      </c>
      <c r="AY10" t="str">
        <f>""</f>
        <v/>
      </c>
      <c r="AZ10" t="str">
        <f>""</f>
        <v/>
      </c>
      <c r="BA10" t="str">
        <f>""</f>
        <v/>
      </c>
      <c r="BB10" t="str">
        <f>""</f>
        <v/>
      </c>
      <c r="BC10" t="str">
        <f>""</f>
        <v/>
      </c>
      <c r="BD10" t="str">
        <f>""</f>
        <v/>
      </c>
      <c r="BE10" t="str">
        <f>""</f>
        <v/>
      </c>
      <c r="BF10" t="str">
        <f>""</f>
        <v/>
      </c>
      <c r="BG10" t="str">
        <f>""</f>
        <v/>
      </c>
      <c r="BH10" t="str">
        <f>""</f>
        <v/>
      </c>
      <c r="BI10" t="str">
        <f>""</f>
        <v/>
      </c>
      <c r="BJ10" t="str">
        <f>""</f>
        <v/>
      </c>
      <c r="BK10" t="str">
        <f>""</f>
        <v/>
      </c>
      <c r="BL10" t="str">
        <f>""</f>
        <v/>
      </c>
      <c r="BM10" t="str">
        <f>""</f>
        <v/>
      </c>
      <c r="BN10" t="str">
        <f>""</f>
        <v/>
      </c>
      <c r="BO10" t="str">
        <f>""</f>
        <v/>
      </c>
      <c r="BP10" t="str">
        <f>""</f>
        <v/>
      </c>
      <c r="BQ10" t="str">
        <f>""</f>
        <v/>
      </c>
      <c r="BR10" t="str">
        <f>""</f>
        <v/>
      </c>
      <c r="BS10" t="str">
        <f>""</f>
        <v/>
      </c>
      <c r="BT10" t="str">
        <f>""</f>
        <v/>
      </c>
      <c r="BU10" t="str">
        <f>""</f>
        <v/>
      </c>
      <c r="BV10" t="str">
        <f>""</f>
        <v/>
      </c>
      <c r="BW10" t="str">
        <f>""</f>
        <v/>
      </c>
      <c r="BX10" t="str">
        <f>""</f>
        <v/>
      </c>
      <c r="BY10" t="str">
        <f>""</f>
        <v/>
      </c>
      <c r="BZ10" t="str">
        <f>""</f>
        <v/>
      </c>
      <c r="CA10" t="str">
        <f>""</f>
        <v/>
      </c>
      <c r="CB10" t="str">
        <f>""</f>
        <v/>
      </c>
      <c r="CC10" t="str">
        <f>""</f>
        <v/>
      </c>
      <c r="CD10" t="str">
        <f>""</f>
        <v/>
      </c>
      <c r="CE10" t="str">
        <f>""</f>
        <v/>
      </c>
      <c r="CF10" t="str">
        <f>""</f>
        <v/>
      </c>
      <c r="CG10" t="str">
        <f>""</f>
        <v/>
      </c>
      <c r="CH10" t="str">
        <f>""</f>
        <v/>
      </c>
      <c r="CI10" t="str">
        <f>""</f>
        <v/>
      </c>
      <c r="CJ10" t="str">
        <f>""</f>
        <v/>
      </c>
      <c r="CK10" t="str">
        <f>""</f>
        <v/>
      </c>
      <c r="CL10" t="str">
        <f>""</f>
        <v/>
      </c>
      <c r="CM10" t="str">
        <f>""</f>
        <v/>
      </c>
      <c r="CN10" t="str">
        <f>""</f>
        <v/>
      </c>
      <c r="CO10" t="str">
        <f>""</f>
        <v/>
      </c>
      <c r="CP10" t="str">
        <f>""</f>
        <v/>
      </c>
      <c r="CQ10" t="str">
        <f>""</f>
        <v/>
      </c>
      <c r="CR10" t="str">
        <f>""</f>
        <v/>
      </c>
      <c r="CS10" t="str">
        <f>""</f>
        <v/>
      </c>
      <c r="CT10" t="str">
        <f>""</f>
        <v/>
      </c>
      <c r="CU10" t="str">
        <f>""</f>
        <v/>
      </c>
      <c r="CV10" t="str">
        <f>""</f>
        <v/>
      </c>
      <c r="CW10" t="str">
        <f>""</f>
        <v/>
      </c>
      <c r="CX10" t="str">
        <f>""</f>
        <v/>
      </c>
      <c r="CY10" t="str">
        <f>""</f>
        <v/>
      </c>
      <c r="CZ10" t="str">
        <f>""</f>
        <v/>
      </c>
      <c r="DA10" t="str">
        <f>""</f>
        <v/>
      </c>
      <c r="DB10" t="str">
        <f>""</f>
        <v/>
      </c>
      <c r="DC10" t="str">
        <f>""</f>
        <v/>
      </c>
      <c r="DD10" t="str">
        <f>""</f>
        <v/>
      </c>
      <c r="DE10" t="str">
        <f>""</f>
        <v/>
      </c>
      <c r="DF10" t="str">
        <f>""</f>
        <v/>
      </c>
      <c r="DG10" t="str">
        <f>""</f>
        <v/>
      </c>
      <c r="DH10" t="str">
        <f>""</f>
        <v/>
      </c>
      <c r="DI10" t="str">
        <f>""</f>
        <v/>
      </c>
      <c r="DJ10" t="str">
        <f>""</f>
        <v/>
      </c>
      <c r="DK10" t="str">
        <f>""</f>
        <v/>
      </c>
      <c r="DL10" t="str">
        <f>""</f>
        <v/>
      </c>
      <c r="DM10" t="str">
        <f>""</f>
        <v/>
      </c>
      <c r="DN10" t="str">
        <f>""</f>
        <v/>
      </c>
      <c r="DO10" t="str">
        <f>""</f>
        <v/>
      </c>
      <c r="DP10" t="str">
        <f>""</f>
        <v/>
      </c>
      <c r="DQ10" t="str">
        <f>""</f>
        <v/>
      </c>
      <c r="DR10" t="str">
        <f>""</f>
        <v/>
      </c>
      <c r="DS10" t="str">
        <f>""</f>
        <v/>
      </c>
      <c r="DT10" t="str">
        <f>""</f>
        <v/>
      </c>
      <c r="DU10" t="str">
        <f>""</f>
        <v/>
      </c>
      <c r="DV10" t="str">
        <f>""</f>
        <v/>
      </c>
      <c r="DW10" t="str">
        <f>""</f>
        <v/>
      </c>
      <c r="DX10" t="str">
        <f>""</f>
        <v/>
      </c>
      <c r="DY10" t="str">
        <f>""</f>
        <v/>
      </c>
      <c r="DZ10" t="str">
        <f>""</f>
        <v/>
      </c>
      <c r="EA10" t="str">
        <f>""</f>
        <v/>
      </c>
      <c r="EB10" t="str">
        <f>""</f>
        <v/>
      </c>
      <c r="EC10" t="str">
        <f>""</f>
        <v/>
      </c>
      <c r="ED10" t="str">
        <f>""</f>
        <v/>
      </c>
      <c r="EE10" t="str">
        <f>""</f>
        <v/>
      </c>
      <c r="EF10" t="str">
        <f>""</f>
        <v/>
      </c>
      <c r="EG10" t="str">
        <f>""</f>
        <v/>
      </c>
      <c r="EH10" t="str">
        <f>""</f>
        <v/>
      </c>
      <c r="EI10" t="str">
        <f>""</f>
        <v/>
      </c>
      <c r="EJ10" t="str">
        <f>""</f>
        <v/>
      </c>
      <c r="EK10" t="str">
        <f>""</f>
        <v/>
      </c>
      <c r="EL10" t="str">
        <f>""</f>
        <v/>
      </c>
      <c r="EM10" t="str">
        <f>""</f>
        <v/>
      </c>
      <c r="EN10" t="str">
        <f>""</f>
        <v/>
      </c>
      <c r="EO10" t="str">
        <f>""</f>
        <v/>
      </c>
      <c r="EP10" t="str">
        <f>""</f>
        <v/>
      </c>
      <c r="EQ10" t="str">
        <f>""</f>
        <v/>
      </c>
      <c r="ER10" t="str">
        <f>""</f>
        <v/>
      </c>
      <c r="ES10" t="str">
        <f>""</f>
        <v/>
      </c>
      <c r="ET10" t="str">
        <f>""</f>
        <v/>
      </c>
      <c r="EU10" t="str">
        <f>""</f>
        <v/>
      </c>
      <c r="EV10" t="str">
        <f>""</f>
        <v/>
      </c>
      <c r="EW10" t="str">
        <f>""</f>
        <v/>
      </c>
      <c r="EX10" t="str">
        <f>""</f>
        <v/>
      </c>
      <c r="EY10" t="str">
        <f>""</f>
        <v/>
      </c>
      <c r="EZ10" t="str">
        <f>""</f>
        <v/>
      </c>
      <c r="FA10" t="str">
        <f>""</f>
        <v/>
      </c>
      <c r="FB10" t="str">
        <f>""</f>
        <v/>
      </c>
      <c r="FC10" t="str">
        <f>""</f>
        <v/>
      </c>
      <c r="FD10" t="str">
        <f>""</f>
        <v/>
      </c>
      <c r="FE10" t="str">
        <f>""</f>
        <v/>
      </c>
      <c r="FF10" t="str">
        <f>""</f>
        <v/>
      </c>
      <c r="FG10" t="str">
        <f>""</f>
        <v/>
      </c>
      <c r="FH10" t="str">
        <f>""</f>
        <v/>
      </c>
      <c r="FI10" t="str">
        <f>""</f>
        <v/>
      </c>
      <c r="FJ10" t="str">
        <f>""</f>
        <v/>
      </c>
      <c r="FK10" t="str">
        <f>""</f>
        <v/>
      </c>
      <c r="FL10" t="str">
        <f>""</f>
        <v/>
      </c>
      <c r="FM10" t="str">
        <f>""</f>
        <v/>
      </c>
      <c r="FN10" t="str">
        <f>""</f>
        <v/>
      </c>
      <c r="FO10" t="str">
        <f>""</f>
        <v/>
      </c>
      <c r="FP10" t="str">
        <f>""</f>
        <v/>
      </c>
      <c r="FQ10" t="str">
        <f>""</f>
        <v/>
      </c>
      <c r="FR10" t="str">
        <f>""</f>
        <v/>
      </c>
      <c r="FS10" t="str">
        <f>""</f>
        <v/>
      </c>
      <c r="FT10" t="str">
        <f>""</f>
        <v/>
      </c>
      <c r="FU10" t="str">
        <f>""</f>
        <v/>
      </c>
      <c r="FV10" t="str">
        <f>""</f>
        <v/>
      </c>
      <c r="FW10" t="str">
        <f>""</f>
        <v/>
      </c>
      <c r="FX10" t="str">
        <f>""</f>
        <v/>
      </c>
      <c r="FY10" t="str">
        <f>""</f>
        <v/>
      </c>
      <c r="FZ10" t="str">
        <f>""</f>
        <v/>
      </c>
      <c r="GA10" t="str">
        <f>""</f>
        <v/>
      </c>
      <c r="GB10" t="str">
        <f>""</f>
        <v/>
      </c>
      <c r="GC10" t="str">
        <f>""</f>
        <v/>
      </c>
      <c r="GD10" t="str">
        <f>""</f>
        <v/>
      </c>
      <c r="GE10" t="str">
        <f>""</f>
        <v/>
      </c>
      <c r="GF10" t="str">
        <f>""</f>
        <v/>
      </c>
      <c r="GG10" t="str">
        <f>""</f>
        <v/>
      </c>
      <c r="GH10" t="str">
        <f>""</f>
        <v/>
      </c>
      <c r="GI10" t="str">
        <f>""</f>
        <v/>
      </c>
      <c r="GJ10" t="str">
        <f>""</f>
        <v/>
      </c>
      <c r="GK10" t="str">
        <f>""</f>
        <v/>
      </c>
      <c r="GL10" t="str">
        <f>""</f>
        <v/>
      </c>
      <c r="GM10" t="str">
        <f>""</f>
        <v/>
      </c>
      <c r="GN10" t="str">
        <f>""</f>
        <v/>
      </c>
      <c r="GO10" t="str">
        <f>""</f>
        <v/>
      </c>
      <c r="GP10" t="str">
        <f>""</f>
        <v/>
      </c>
      <c r="GQ10" t="str">
        <f>""</f>
        <v/>
      </c>
      <c r="GR10" t="str">
        <f>""</f>
        <v/>
      </c>
      <c r="GS10" t="str">
        <f>""</f>
        <v/>
      </c>
      <c r="GT10" t="str">
        <f>""</f>
        <v/>
      </c>
      <c r="GU10" t="str">
        <f>""</f>
        <v/>
      </c>
      <c r="GV10" t="str">
        <f>""</f>
        <v/>
      </c>
      <c r="GW10" t="str">
        <f>""</f>
        <v/>
      </c>
      <c r="GX10" t="str">
        <f>""</f>
        <v/>
      </c>
      <c r="GY10" t="str">
        <f>""</f>
        <v/>
      </c>
      <c r="GZ10" t="str">
        <f>""</f>
        <v/>
      </c>
      <c r="HA10" t="str">
        <f>""</f>
        <v/>
      </c>
      <c r="HB10" t="str">
        <f>""</f>
        <v/>
      </c>
      <c r="HC10" t="str">
        <f>""</f>
        <v/>
      </c>
      <c r="HD10" t="str">
        <f>""</f>
        <v/>
      </c>
      <c r="HE10" t="str">
        <f>""</f>
        <v/>
      </c>
      <c r="HF10" t="str">
        <f>""</f>
        <v/>
      </c>
      <c r="HG10" t="str">
        <f>""</f>
        <v/>
      </c>
      <c r="HH10" t="str">
        <f>""</f>
        <v/>
      </c>
      <c r="HI10" t="str">
        <f>""</f>
        <v/>
      </c>
      <c r="HJ10" t="str">
        <f>""</f>
        <v/>
      </c>
      <c r="HK10" t="str">
        <f>""</f>
        <v/>
      </c>
      <c r="HL10" t="str">
        <f>""</f>
        <v/>
      </c>
      <c r="HM10" t="str">
        <f>""</f>
        <v/>
      </c>
      <c r="HN10" t="str">
        <f>""</f>
        <v/>
      </c>
      <c r="HO10" t="str">
        <f>""</f>
        <v/>
      </c>
      <c r="HP10" t="str">
        <f>""</f>
        <v/>
      </c>
      <c r="HQ10" t="str">
        <f>""</f>
        <v/>
      </c>
      <c r="HR10" t="str">
        <f>""</f>
        <v/>
      </c>
      <c r="HS10" t="str">
        <f>""</f>
        <v/>
      </c>
      <c r="HT10" t="str">
        <f>""</f>
        <v/>
      </c>
      <c r="HU10" t="str">
        <f>""</f>
        <v/>
      </c>
      <c r="HV10" t="str">
        <f>""</f>
        <v/>
      </c>
      <c r="HW10" t="str">
        <f>""</f>
        <v/>
      </c>
      <c r="HX10" t="str">
        <f>""</f>
        <v/>
      </c>
      <c r="HY10" t="str">
        <f>""</f>
        <v/>
      </c>
      <c r="HZ10" t="str">
        <f>""</f>
        <v/>
      </c>
      <c r="IA10" t="str">
        <f>""</f>
        <v/>
      </c>
      <c r="IB10" t="str">
        <f>""</f>
        <v/>
      </c>
      <c r="IC10" t="str">
        <f>""</f>
        <v/>
      </c>
      <c r="ID10" t="str">
        <f>""</f>
        <v/>
      </c>
      <c r="IE10" t="str">
        <f>""</f>
        <v/>
      </c>
      <c r="IF10" t="str">
        <f>""</f>
        <v/>
      </c>
      <c r="IG10" t="str">
        <f>""</f>
        <v/>
      </c>
      <c r="IH10" t="str">
        <f>""</f>
        <v/>
      </c>
      <c r="II10" t="str">
        <f>""</f>
        <v/>
      </c>
      <c r="IJ10" t="str">
        <f>""</f>
        <v/>
      </c>
      <c r="IK10" t="str">
        <f>""</f>
        <v/>
      </c>
      <c r="IL10" t="str">
        <f>""</f>
        <v/>
      </c>
      <c r="IM10" t="str">
        <f>""</f>
        <v/>
      </c>
      <c r="IN10" t="str">
        <f>""</f>
        <v/>
      </c>
      <c r="IO10" t="str">
        <f>""</f>
        <v/>
      </c>
      <c r="IP10" t="str">
        <f>""</f>
        <v/>
      </c>
      <c r="IQ10" t="str">
        <f>""</f>
        <v/>
      </c>
      <c r="IR10" t="str">
        <f>""</f>
        <v/>
      </c>
      <c r="IS10" t="str">
        <f>""</f>
        <v/>
      </c>
      <c r="IT10" t="str">
        <f>""</f>
        <v/>
      </c>
      <c r="IU10" t="str">
        <f>""</f>
        <v/>
      </c>
      <c r="IV10" t="str">
        <f>""</f>
        <v/>
      </c>
      <c r="IW10" t="str">
        <f>""</f>
        <v/>
      </c>
      <c r="IX10" t="str">
        <f>""</f>
        <v/>
      </c>
      <c r="IY10" t="str">
        <f>""</f>
        <v/>
      </c>
      <c r="IZ10" t="str">
        <f>""</f>
        <v/>
      </c>
      <c r="JA10" t="str">
        <f>""</f>
        <v/>
      </c>
      <c r="JB10" t="str">
        <f>""</f>
        <v/>
      </c>
      <c r="JC10" t="str">
        <f>""</f>
        <v/>
      </c>
      <c r="JD10" t="str">
        <f>""</f>
        <v/>
      </c>
      <c r="JE10" t="str">
        <f>""</f>
        <v/>
      </c>
      <c r="JF10" t="str">
        <f>""</f>
        <v/>
      </c>
      <c r="JG10" t="str">
        <f>""</f>
        <v/>
      </c>
      <c r="JH10" t="str">
        <f>""</f>
        <v/>
      </c>
      <c r="JI10" t="str">
        <f>""</f>
        <v/>
      </c>
      <c r="JJ10" t="str">
        <f>""</f>
        <v/>
      </c>
      <c r="JK10" t="str">
        <f>""</f>
        <v/>
      </c>
    </row>
    <row r="12" spans="1:271" x14ac:dyDescent="0.3">
      <c r="A12" t="str">
        <f>"c.zMETAB1#c.PM1"</f>
        <v>c.zMETAB1#c.PM1</v>
      </c>
      <c r="B12" t="str">
        <f>"-0.0110"</f>
        <v>-0.0110</v>
      </c>
      <c r="C12" t="str">
        <f>"0.161*"</f>
        <v>0.161*</v>
      </c>
      <c r="D12" t="str">
        <f>"0.0421"</f>
        <v>0.0421</v>
      </c>
      <c r="E12" t="str">
        <f>""</f>
        <v/>
      </c>
      <c r="F12" t="str">
        <f>""</f>
        <v/>
      </c>
      <c r="G12" t="str">
        <f>""</f>
        <v/>
      </c>
      <c r="H12" t="str">
        <f>""</f>
        <v/>
      </c>
      <c r="I12" t="str">
        <f>""</f>
        <v/>
      </c>
      <c r="J12" t="str">
        <f>""</f>
        <v/>
      </c>
      <c r="K12" t="str">
        <f>""</f>
        <v/>
      </c>
      <c r="L12" t="str">
        <f>""</f>
        <v/>
      </c>
      <c r="M12" t="str">
        <f>""</f>
        <v/>
      </c>
      <c r="N12" t="str">
        <f>""</f>
        <v/>
      </c>
      <c r="O12" t="str">
        <f>""</f>
        <v/>
      </c>
      <c r="P12" t="str">
        <f>""</f>
        <v/>
      </c>
      <c r="Q12" t="str">
        <f>""</f>
        <v/>
      </c>
      <c r="R12" t="str">
        <f>""</f>
        <v/>
      </c>
      <c r="S12" t="str">
        <f>""</f>
        <v/>
      </c>
      <c r="T12" t="str">
        <f>""</f>
        <v/>
      </c>
      <c r="U12" t="str">
        <f>""</f>
        <v/>
      </c>
      <c r="V12" t="str">
        <f>""</f>
        <v/>
      </c>
      <c r="W12" t="str">
        <f>""</f>
        <v/>
      </c>
      <c r="X12" t="str">
        <f>""</f>
        <v/>
      </c>
      <c r="Y12" t="str">
        <f>""</f>
        <v/>
      </c>
      <c r="Z12" t="str">
        <f>""</f>
        <v/>
      </c>
      <c r="AA12" t="str">
        <f>""</f>
        <v/>
      </c>
      <c r="AB12" t="str">
        <f>""</f>
        <v/>
      </c>
      <c r="AC12" t="str">
        <f>""</f>
        <v/>
      </c>
      <c r="AD12" t="str">
        <f>""</f>
        <v/>
      </c>
      <c r="AE12" t="str">
        <f>""</f>
        <v/>
      </c>
      <c r="AF12" t="str">
        <f>""</f>
        <v/>
      </c>
      <c r="AG12" t="str">
        <f>""</f>
        <v/>
      </c>
      <c r="AH12" t="str">
        <f>""</f>
        <v/>
      </c>
      <c r="AI12" t="str">
        <f>""</f>
        <v/>
      </c>
      <c r="AJ12" t="str">
        <f>""</f>
        <v/>
      </c>
      <c r="AK12" t="str">
        <f>""</f>
        <v/>
      </c>
      <c r="AL12" t="str">
        <f>""</f>
        <v/>
      </c>
      <c r="AM12" t="str">
        <f>""</f>
        <v/>
      </c>
      <c r="AN12" t="str">
        <f>""</f>
        <v/>
      </c>
      <c r="AO12" t="str">
        <f>""</f>
        <v/>
      </c>
      <c r="AP12" t="str">
        <f>""</f>
        <v/>
      </c>
      <c r="AQ12" t="str">
        <f>""</f>
        <v/>
      </c>
      <c r="AR12" t="str">
        <f>""</f>
        <v/>
      </c>
      <c r="AS12" t="str">
        <f>""</f>
        <v/>
      </c>
      <c r="AT12" t="str">
        <f>""</f>
        <v/>
      </c>
      <c r="AU12" t="str">
        <f>""</f>
        <v/>
      </c>
      <c r="AV12" t="str">
        <f>""</f>
        <v/>
      </c>
      <c r="AW12" t="str">
        <f>""</f>
        <v/>
      </c>
      <c r="AX12" t="str">
        <f>""</f>
        <v/>
      </c>
      <c r="AY12" t="str">
        <f>""</f>
        <v/>
      </c>
      <c r="AZ12" t="str">
        <f>""</f>
        <v/>
      </c>
      <c r="BA12" t="str">
        <f>""</f>
        <v/>
      </c>
      <c r="BB12" t="str">
        <f>""</f>
        <v/>
      </c>
      <c r="BC12" t="str">
        <f>""</f>
        <v/>
      </c>
      <c r="BD12" t="str">
        <f>""</f>
        <v/>
      </c>
      <c r="BE12" t="str">
        <f>""</f>
        <v/>
      </c>
      <c r="BF12" t="str">
        <f>""</f>
        <v/>
      </c>
      <c r="BG12" t="str">
        <f>""</f>
        <v/>
      </c>
      <c r="BH12" t="str">
        <f>""</f>
        <v/>
      </c>
      <c r="BI12" t="str">
        <f>""</f>
        <v/>
      </c>
      <c r="BJ12" t="str">
        <f>""</f>
        <v/>
      </c>
      <c r="BK12" t="str">
        <f>""</f>
        <v/>
      </c>
      <c r="BL12" t="str">
        <f>""</f>
        <v/>
      </c>
      <c r="BM12" t="str">
        <f>""</f>
        <v/>
      </c>
      <c r="BN12" t="str">
        <f>""</f>
        <v/>
      </c>
      <c r="BO12" t="str">
        <f>""</f>
        <v/>
      </c>
      <c r="BP12" t="str">
        <f>""</f>
        <v/>
      </c>
      <c r="BQ12" t="str">
        <f>""</f>
        <v/>
      </c>
      <c r="BR12" t="str">
        <f>""</f>
        <v/>
      </c>
      <c r="BS12" t="str">
        <f>""</f>
        <v/>
      </c>
      <c r="BT12" t="str">
        <f>""</f>
        <v/>
      </c>
      <c r="BU12" t="str">
        <f>""</f>
        <v/>
      </c>
      <c r="BV12" t="str">
        <f>""</f>
        <v/>
      </c>
      <c r="BW12" t="str">
        <f>""</f>
        <v/>
      </c>
      <c r="BX12" t="str">
        <f>""</f>
        <v/>
      </c>
      <c r="BY12" t="str">
        <f>""</f>
        <v/>
      </c>
      <c r="BZ12" t="str">
        <f>""</f>
        <v/>
      </c>
      <c r="CA12" t="str">
        <f>""</f>
        <v/>
      </c>
      <c r="CB12" t="str">
        <f>""</f>
        <v/>
      </c>
      <c r="CC12" t="str">
        <f>""</f>
        <v/>
      </c>
      <c r="CD12" t="str">
        <f>""</f>
        <v/>
      </c>
      <c r="CE12" t="str">
        <f>""</f>
        <v/>
      </c>
      <c r="CF12" t="str">
        <f>""</f>
        <v/>
      </c>
      <c r="CG12" t="str">
        <f>""</f>
        <v/>
      </c>
      <c r="CH12" t="str">
        <f>""</f>
        <v/>
      </c>
      <c r="CI12" t="str">
        <f>""</f>
        <v/>
      </c>
      <c r="CJ12" t="str">
        <f>""</f>
        <v/>
      </c>
      <c r="CK12" t="str">
        <f>""</f>
        <v/>
      </c>
      <c r="CL12" t="str">
        <f>""</f>
        <v/>
      </c>
      <c r="CM12" t="str">
        <f>""</f>
        <v/>
      </c>
      <c r="CN12" t="str">
        <f>""</f>
        <v/>
      </c>
      <c r="CO12" t="str">
        <f>""</f>
        <v/>
      </c>
      <c r="CP12" t="str">
        <f>""</f>
        <v/>
      </c>
      <c r="CQ12" t="str">
        <f>""</f>
        <v/>
      </c>
      <c r="CR12" t="str">
        <f>""</f>
        <v/>
      </c>
      <c r="CS12" t="str">
        <f>""</f>
        <v/>
      </c>
      <c r="CT12" t="str">
        <f>""</f>
        <v/>
      </c>
      <c r="CU12" t="str">
        <f>""</f>
        <v/>
      </c>
      <c r="CV12" t="str">
        <f>""</f>
        <v/>
      </c>
      <c r="CW12" t="str">
        <f>""</f>
        <v/>
      </c>
      <c r="CX12" t="str">
        <f>""</f>
        <v/>
      </c>
      <c r="CY12" t="str">
        <f>""</f>
        <v/>
      </c>
      <c r="CZ12" t="str">
        <f>""</f>
        <v/>
      </c>
      <c r="DA12" t="str">
        <f>""</f>
        <v/>
      </c>
      <c r="DB12" t="str">
        <f>""</f>
        <v/>
      </c>
      <c r="DC12" t="str">
        <f>""</f>
        <v/>
      </c>
      <c r="DD12" t="str">
        <f>""</f>
        <v/>
      </c>
      <c r="DE12" t="str">
        <f>""</f>
        <v/>
      </c>
      <c r="DF12" t="str">
        <f>""</f>
        <v/>
      </c>
      <c r="DG12" t="str">
        <f>""</f>
        <v/>
      </c>
      <c r="DH12" t="str">
        <f>""</f>
        <v/>
      </c>
      <c r="DI12" t="str">
        <f>""</f>
        <v/>
      </c>
      <c r="DJ12" t="str">
        <f>""</f>
        <v/>
      </c>
      <c r="DK12" t="str">
        <f>""</f>
        <v/>
      </c>
      <c r="DL12" t="str">
        <f>""</f>
        <v/>
      </c>
      <c r="DM12" t="str">
        <f>""</f>
        <v/>
      </c>
      <c r="DN12" t="str">
        <f>""</f>
        <v/>
      </c>
      <c r="DO12" t="str">
        <f>""</f>
        <v/>
      </c>
      <c r="DP12" t="str">
        <f>""</f>
        <v/>
      </c>
      <c r="DQ12" t="str">
        <f>""</f>
        <v/>
      </c>
      <c r="DR12" t="str">
        <f>""</f>
        <v/>
      </c>
      <c r="DS12" t="str">
        <f>""</f>
        <v/>
      </c>
      <c r="DT12" t="str">
        <f>""</f>
        <v/>
      </c>
      <c r="DU12" t="str">
        <f>""</f>
        <v/>
      </c>
      <c r="DV12" t="str">
        <f>""</f>
        <v/>
      </c>
      <c r="DW12" t="str">
        <f>""</f>
        <v/>
      </c>
      <c r="DX12" t="str">
        <f>""</f>
        <v/>
      </c>
      <c r="DY12" t="str">
        <f>""</f>
        <v/>
      </c>
      <c r="DZ12" t="str">
        <f>""</f>
        <v/>
      </c>
      <c r="EA12" t="str">
        <f>""</f>
        <v/>
      </c>
      <c r="EB12" t="str">
        <f>""</f>
        <v/>
      </c>
      <c r="EC12" t="str">
        <f>""</f>
        <v/>
      </c>
      <c r="ED12" t="str">
        <f>""</f>
        <v/>
      </c>
      <c r="EE12" t="str">
        <f>""</f>
        <v/>
      </c>
      <c r="EF12" t="str">
        <f>""</f>
        <v/>
      </c>
      <c r="EG12" t="str">
        <f>""</f>
        <v/>
      </c>
      <c r="EH12" t="str">
        <f>""</f>
        <v/>
      </c>
      <c r="EI12" t="str">
        <f>""</f>
        <v/>
      </c>
      <c r="EJ12" t="str">
        <f>""</f>
        <v/>
      </c>
      <c r="EK12" t="str">
        <f>""</f>
        <v/>
      </c>
      <c r="EL12" t="str">
        <f>""</f>
        <v/>
      </c>
      <c r="EM12" t="str">
        <f>""</f>
        <v/>
      </c>
      <c r="EN12" t="str">
        <f>""</f>
        <v/>
      </c>
      <c r="EO12" t="str">
        <f>""</f>
        <v/>
      </c>
      <c r="EP12" t="str">
        <f>""</f>
        <v/>
      </c>
      <c r="EQ12" t="str">
        <f>""</f>
        <v/>
      </c>
      <c r="ER12" t="str">
        <f>""</f>
        <v/>
      </c>
      <c r="ES12" t="str">
        <f>""</f>
        <v/>
      </c>
      <c r="ET12" t="str">
        <f>""</f>
        <v/>
      </c>
      <c r="EU12" t="str">
        <f>""</f>
        <v/>
      </c>
      <c r="EV12" t="str">
        <f>""</f>
        <v/>
      </c>
      <c r="EW12" t="str">
        <f>""</f>
        <v/>
      </c>
      <c r="EX12" t="str">
        <f>""</f>
        <v/>
      </c>
      <c r="EY12" t="str">
        <f>""</f>
        <v/>
      </c>
      <c r="EZ12" t="str">
        <f>""</f>
        <v/>
      </c>
      <c r="FA12" t="str">
        <f>""</f>
        <v/>
      </c>
      <c r="FB12" t="str">
        <f>""</f>
        <v/>
      </c>
      <c r="FC12" t="str">
        <f>""</f>
        <v/>
      </c>
      <c r="FD12" t="str">
        <f>""</f>
        <v/>
      </c>
      <c r="FE12" t="str">
        <f>""</f>
        <v/>
      </c>
      <c r="FF12" t="str">
        <f>""</f>
        <v/>
      </c>
      <c r="FG12" t="str">
        <f>""</f>
        <v/>
      </c>
      <c r="FH12" t="str">
        <f>""</f>
        <v/>
      </c>
      <c r="FI12" t="str">
        <f>""</f>
        <v/>
      </c>
      <c r="FJ12" t="str">
        <f>""</f>
        <v/>
      </c>
      <c r="FK12" t="str">
        <f>""</f>
        <v/>
      </c>
      <c r="FL12" t="str">
        <f>""</f>
        <v/>
      </c>
      <c r="FM12" t="str">
        <f>""</f>
        <v/>
      </c>
      <c r="FN12" t="str">
        <f>""</f>
        <v/>
      </c>
      <c r="FO12" t="str">
        <f>""</f>
        <v/>
      </c>
      <c r="FP12" t="str">
        <f>""</f>
        <v/>
      </c>
      <c r="FQ12" t="str">
        <f>""</f>
        <v/>
      </c>
      <c r="FR12" t="str">
        <f>""</f>
        <v/>
      </c>
      <c r="FS12" t="str">
        <f>""</f>
        <v/>
      </c>
      <c r="FT12" t="str">
        <f>""</f>
        <v/>
      </c>
      <c r="FU12" t="str">
        <f>""</f>
        <v/>
      </c>
      <c r="FV12" t="str">
        <f>""</f>
        <v/>
      </c>
      <c r="FW12" t="str">
        <f>""</f>
        <v/>
      </c>
      <c r="FX12" t="str">
        <f>""</f>
        <v/>
      </c>
      <c r="FY12" t="str">
        <f>""</f>
        <v/>
      </c>
      <c r="FZ12" t="str">
        <f>""</f>
        <v/>
      </c>
      <c r="GA12" t="str">
        <f>""</f>
        <v/>
      </c>
      <c r="GB12" t="str">
        <f>""</f>
        <v/>
      </c>
      <c r="GC12" t="str">
        <f>""</f>
        <v/>
      </c>
      <c r="GD12" t="str">
        <f>""</f>
        <v/>
      </c>
      <c r="GE12" t="str">
        <f>""</f>
        <v/>
      </c>
      <c r="GF12" t="str">
        <f>""</f>
        <v/>
      </c>
      <c r="GG12" t="str">
        <f>""</f>
        <v/>
      </c>
      <c r="GH12" t="str">
        <f>""</f>
        <v/>
      </c>
      <c r="GI12" t="str">
        <f>""</f>
        <v/>
      </c>
      <c r="GJ12" t="str">
        <f>""</f>
        <v/>
      </c>
      <c r="GK12" t="str">
        <f>""</f>
        <v/>
      </c>
      <c r="GL12" t="str">
        <f>""</f>
        <v/>
      </c>
      <c r="GM12" t="str">
        <f>""</f>
        <v/>
      </c>
      <c r="GN12" t="str">
        <f>""</f>
        <v/>
      </c>
      <c r="GO12" t="str">
        <f>""</f>
        <v/>
      </c>
      <c r="GP12" t="str">
        <f>""</f>
        <v/>
      </c>
      <c r="GQ12" t="str">
        <f>""</f>
        <v/>
      </c>
      <c r="GR12" t="str">
        <f>""</f>
        <v/>
      </c>
      <c r="GS12" t="str">
        <f>""</f>
        <v/>
      </c>
      <c r="GT12" t="str">
        <f>""</f>
        <v/>
      </c>
      <c r="GU12" t="str">
        <f>""</f>
        <v/>
      </c>
      <c r="GV12" t="str">
        <f>""</f>
        <v/>
      </c>
      <c r="GW12" t="str">
        <f>""</f>
        <v/>
      </c>
      <c r="GX12" t="str">
        <f>""</f>
        <v/>
      </c>
      <c r="GY12" t="str">
        <f>""</f>
        <v/>
      </c>
      <c r="GZ12" t="str">
        <f>""</f>
        <v/>
      </c>
      <c r="HA12" t="str">
        <f>""</f>
        <v/>
      </c>
      <c r="HB12" t="str">
        <f>""</f>
        <v/>
      </c>
      <c r="HC12" t="str">
        <f>""</f>
        <v/>
      </c>
      <c r="HD12" t="str">
        <f>""</f>
        <v/>
      </c>
      <c r="HE12" t="str">
        <f>""</f>
        <v/>
      </c>
      <c r="HF12" t="str">
        <f>""</f>
        <v/>
      </c>
      <c r="HG12" t="str">
        <f>""</f>
        <v/>
      </c>
      <c r="HH12" t="str">
        <f>""</f>
        <v/>
      </c>
      <c r="HI12" t="str">
        <f>""</f>
        <v/>
      </c>
      <c r="HJ12" t="str">
        <f>""</f>
        <v/>
      </c>
      <c r="HK12" t="str">
        <f>""</f>
        <v/>
      </c>
      <c r="HL12" t="str">
        <f>""</f>
        <v/>
      </c>
      <c r="HM12" t="str">
        <f>""</f>
        <v/>
      </c>
      <c r="HN12" t="str">
        <f>""</f>
        <v/>
      </c>
      <c r="HO12" t="str">
        <f>""</f>
        <v/>
      </c>
      <c r="HP12" t="str">
        <f>""</f>
        <v/>
      </c>
      <c r="HQ12" t="str">
        <f>""</f>
        <v/>
      </c>
      <c r="HR12" t="str">
        <f>""</f>
        <v/>
      </c>
      <c r="HS12" t="str">
        <f>""</f>
        <v/>
      </c>
      <c r="HT12" t="str">
        <f>""</f>
        <v/>
      </c>
      <c r="HU12" t="str">
        <f>""</f>
        <v/>
      </c>
      <c r="HV12" t="str">
        <f>""</f>
        <v/>
      </c>
      <c r="HW12" t="str">
        <f>""</f>
        <v/>
      </c>
      <c r="HX12" t="str">
        <f>""</f>
        <v/>
      </c>
      <c r="HY12" t="str">
        <f>""</f>
        <v/>
      </c>
      <c r="HZ12" t="str">
        <f>""</f>
        <v/>
      </c>
      <c r="IA12" t="str">
        <f>""</f>
        <v/>
      </c>
      <c r="IB12" t="str">
        <f>""</f>
        <v/>
      </c>
      <c r="IC12" t="str">
        <f>""</f>
        <v/>
      </c>
      <c r="ID12" t="str">
        <f>""</f>
        <v/>
      </c>
      <c r="IE12" t="str">
        <f>""</f>
        <v/>
      </c>
      <c r="IF12" t="str">
        <f>""</f>
        <v/>
      </c>
      <c r="IG12" t="str">
        <f>""</f>
        <v/>
      </c>
      <c r="IH12" t="str">
        <f>""</f>
        <v/>
      </c>
      <c r="II12" t="str">
        <f>""</f>
        <v/>
      </c>
      <c r="IJ12" t="str">
        <f>""</f>
        <v/>
      </c>
      <c r="IK12" t="str">
        <f>""</f>
        <v/>
      </c>
      <c r="IL12" t="str">
        <f>""</f>
        <v/>
      </c>
      <c r="IM12" t="str">
        <f>""</f>
        <v/>
      </c>
      <c r="IN12" t="str">
        <f>""</f>
        <v/>
      </c>
      <c r="IO12" t="str">
        <f>""</f>
        <v/>
      </c>
      <c r="IP12" t="str">
        <f>""</f>
        <v/>
      </c>
      <c r="IQ12" t="str">
        <f>""</f>
        <v/>
      </c>
      <c r="IR12" t="str">
        <f>""</f>
        <v/>
      </c>
      <c r="IS12" t="str">
        <f>""</f>
        <v/>
      </c>
      <c r="IT12" t="str">
        <f>""</f>
        <v/>
      </c>
      <c r="IU12" t="str">
        <f>""</f>
        <v/>
      </c>
      <c r="IV12" t="str">
        <f>""</f>
        <v/>
      </c>
      <c r="IW12" t="str">
        <f>""</f>
        <v/>
      </c>
      <c r="IX12" t="str">
        <f>""</f>
        <v/>
      </c>
      <c r="IY12" t="str">
        <f>""</f>
        <v/>
      </c>
      <c r="IZ12" t="str">
        <f>""</f>
        <v/>
      </c>
      <c r="JA12" t="str">
        <f>""</f>
        <v/>
      </c>
      <c r="JB12" t="str">
        <f>""</f>
        <v/>
      </c>
      <c r="JC12" t="str">
        <f>""</f>
        <v/>
      </c>
      <c r="JD12" t="str">
        <f>""</f>
        <v/>
      </c>
      <c r="JE12" t="str">
        <f>""</f>
        <v/>
      </c>
      <c r="JF12" t="str">
        <f>""</f>
        <v/>
      </c>
      <c r="JG12" t="str">
        <f>""</f>
        <v/>
      </c>
      <c r="JH12" t="str">
        <f>""</f>
        <v/>
      </c>
      <c r="JI12" t="str">
        <f>""</f>
        <v/>
      </c>
      <c r="JJ12" t="str">
        <f>""</f>
        <v/>
      </c>
      <c r="JK12" t="str">
        <f>""</f>
        <v/>
      </c>
    </row>
    <row r="13" spans="1:271" x14ac:dyDescent="0.3">
      <c r="A13" t="str">
        <f>""</f>
        <v/>
      </c>
      <c r="B13" t="str">
        <f>"(0.104)"</f>
        <v>(0.104)</v>
      </c>
      <c r="C13" t="str">
        <f>"(0.0811)"</f>
        <v>(0.0811)</v>
      </c>
      <c r="D13" t="str">
        <f>"(0.0441)"</f>
        <v>(0.0441)</v>
      </c>
      <c r="E13" t="str">
        <f>""</f>
        <v/>
      </c>
      <c r="F13" t="str">
        <f>""</f>
        <v/>
      </c>
      <c r="G13" t="str">
        <f>""</f>
        <v/>
      </c>
      <c r="H13" t="str">
        <f>""</f>
        <v/>
      </c>
      <c r="I13" t="str">
        <f>""</f>
        <v/>
      </c>
      <c r="J13" t="str">
        <f>""</f>
        <v/>
      </c>
      <c r="K13" t="str">
        <f>""</f>
        <v/>
      </c>
      <c r="L13" t="str">
        <f>""</f>
        <v/>
      </c>
      <c r="M13" t="str">
        <f>""</f>
        <v/>
      </c>
      <c r="N13" t="str">
        <f>""</f>
        <v/>
      </c>
      <c r="O13" t="str">
        <f>""</f>
        <v/>
      </c>
      <c r="P13" t="str">
        <f>""</f>
        <v/>
      </c>
      <c r="Q13" t="str">
        <f>""</f>
        <v/>
      </c>
      <c r="R13" t="str">
        <f>""</f>
        <v/>
      </c>
      <c r="S13" t="str">
        <f>""</f>
        <v/>
      </c>
      <c r="T13" t="str">
        <f>""</f>
        <v/>
      </c>
      <c r="U13" t="str">
        <f>""</f>
        <v/>
      </c>
      <c r="V13" t="str">
        <f>""</f>
        <v/>
      </c>
      <c r="W13" t="str">
        <f>""</f>
        <v/>
      </c>
      <c r="X13" t="str">
        <f>""</f>
        <v/>
      </c>
      <c r="Y13" t="str">
        <f>""</f>
        <v/>
      </c>
      <c r="Z13" t="str">
        <f>""</f>
        <v/>
      </c>
      <c r="AA13" t="str">
        <f>""</f>
        <v/>
      </c>
      <c r="AB13" t="str">
        <f>""</f>
        <v/>
      </c>
      <c r="AC13" t="str">
        <f>""</f>
        <v/>
      </c>
      <c r="AD13" t="str">
        <f>""</f>
        <v/>
      </c>
      <c r="AE13" t="str">
        <f>""</f>
        <v/>
      </c>
      <c r="AF13" t="str">
        <f>""</f>
        <v/>
      </c>
      <c r="AG13" t="str">
        <f>""</f>
        <v/>
      </c>
      <c r="AH13" t="str">
        <f>""</f>
        <v/>
      </c>
      <c r="AI13" t="str">
        <f>""</f>
        <v/>
      </c>
      <c r="AJ13" t="str">
        <f>""</f>
        <v/>
      </c>
      <c r="AK13" t="str">
        <f>""</f>
        <v/>
      </c>
      <c r="AL13" t="str">
        <f>""</f>
        <v/>
      </c>
      <c r="AM13" t="str">
        <f>""</f>
        <v/>
      </c>
      <c r="AN13" t="str">
        <f>""</f>
        <v/>
      </c>
      <c r="AO13" t="str">
        <f>""</f>
        <v/>
      </c>
      <c r="AP13" t="str">
        <f>""</f>
        <v/>
      </c>
      <c r="AQ13" t="str">
        <f>""</f>
        <v/>
      </c>
      <c r="AR13" t="str">
        <f>""</f>
        <v/>
      </c>
      <c r="AS13" t="str">
        <f>""</f>
        <v/>
      </c>
      <c r="AT13" t="str">
        <f>""</f>
        <v/>
      </c>
      <c r="AU13" t="str">
        <f>""</f>
        <v/>
      </c>
      <c r="AV13" t="str">
        <f>""</f>
        <v/>
      </c>
      <c r="AW13" t="str">
        <f>""</f>
        <v/>
      </c>
      <c r="AX13" t="str">
        <f>""</f>
        <v/>
      </c>
      <c r="AY13" t="str">
        <f>""</f>
        <v/>
      </c>
      <c r="AZ13" t="str">
        <f>""</f>
        <v/>
      </c>
      <c r="BA13" t="str">
        <f>""</f>
        <v/>
      </c>
      <c r="BB13" t="str">
        <f>""</f>
        <v/>
      </c>
      <c r="BC13" t="str">
        <f>""</f>
        <v/>
      </c>
      <c r="BD13" t="str">
        <f>""</f>
        <v/>
      </c>
      <c r="BE13" t="str">
        <f>""</f>
        <v/>
      </c>
      <c r="BF13" t="str">
        <f>""</f>
        <v/>
      </c>
      <c r="BG13" t="str">
        <f>""</f>
        <v/>
      </c>
      <c r="BH13" t="str">
        <f>""</f>
        <v/>
      </c>
      <c r="BI13" t="str">
        <f>""</f>
        <v/>
      </c>
      <c r="BJ13" t="str">
        <f>""</f>
        <v/>
      </c>
      <c r="BK13" t="str">
        <f>""</f>
        <v/>
      </c>
      <c r="BL13" t="str">
        <f>""</f>
        <v/>
      </c>
      <c r="BM13" t="str">
        <f>""</f>
        <v/>
      </c>
      <c r="BN13" t="str">
        <f>""</f>
        <v/>
      </c>
      <c r="BO13" t="str">
        <f>""</f>
        <v/>
      </c>
      <c r="BP13" t="str">
        <f>""</f>
        <v/>
      </c>
      <c r="BQ13" t="str">
        <f>""</f>
        <v/>
      </c>
      <c r="BR13" t="str">
        <f>""</f>
        <v/>
      </c>
      <c r="BS13" t="str">
        <f>""</f>
        <v/>
      </c>
      <c r="BT13" t="str">
        <f>""</f>
        <v/>
      </c>
      <c r="BU13" t="str">
        <f>""</f>
        <v/>
      </c>
      <c r="BV13" t="str">
        <f>""</f>
        <v/>
      </c>
      <c r="BW13" t="str">
        <f>""</f>
        <v/>
      </c>
      <c r="BX13" t="str">
        <f>""</f>
        <v/>
      </c>
      <c r="BY13" t="str">
        <f>""</f>
        <v/>
      </c>
      <c r="BZ13" t="str">
        <f>""</f>
        <v/>
      </c>
      <c r="CA13" t="str">
        <f>""</f>
        <v/>
      </c>
      <c r="CB13" t="str">
        <f>""</f>
        <v/>
      </c>
      <c r="CC13" t="str">
        <f>""</f>
        <v/>
      </c>
      <c r="CD13" t="str">
        <f>""</f>
        <v/>
      </c>
      <c r="CE13" t="str">
        <f>""</f>
        <v/>
      </c>
      <c r="CF13" t="str">
        <f>""</f>
        <v/>
      </c>
      <c r="CG13" t="str">
        <f>""</f>
        <v/>
      </c>
      <c r="CH13" t="str">
        <f>""</f>
        <v/>
      </c>
      <c r="CI13" t="str">
        <f>""</f>
        <v/>
      </c>
      <c r="CJ13" t="str">
        <f>""</f>
        <v/>
      </c>
      <c r="CK13" t="str">
        <f>""</f>
        <v/>
      </c>
      <c r="CL13" t="str">
        <f>""</f>
        <v/>
      </c>
      <c r="CM13" t="str">
        <f>""</f>
        <v/>
      </c>
      <c r="CN13" t="str">
        <f>""</f>
        <v/>
      </c>
      <c r="CO13" t="str">
        <f>""</f>
        <v/>
      </c>
      <c r="CP13" t="str">
        <f>""</f>
        <v/>
      </c>
      <c r="CQ13" t="str">
        <f>""</f>
        <v/>
      </c>
      <c r="CR13" t="str">
        <f>""</f>
        <v/>
      </c>
      <c r="CS13" t="str">
        <f>""</f>
        <v/>
      </c>
      <c r="CT13" t="str">
        <f>""</f>
        <v/>
      </c>
      <c r="CU13" t="str">
        <f>""</f>
        <v/>
      </c>
      <c r="CV13" t="str">
        <f>""</f>
        <v/>
      </c>
      <c r="CW13" t="str">
        <f>""</f>
        <v/>
      </c>
      <c r="CX13" t="str">
        <f>""</f>
        <v/>
      </c>
      <c r="CY13" t="str">
        <f>""</f>
        <v/>
      </c>
      <c r="CZ13" t="str">
        <f>""</f>
        <v/>
      </c>
      <c r="DA13" t="str">
        <f>""</f>
        <v/>
      </c>
      <c r="DB13" t="str">
        <f>""</f>
        <v/>
      </c>
      <c r="DC13" t="str">
        <f>""</f>
        <v/>
      </c>
      <c r="DD13" t="str">
        <f>""</f>
        <v/>
      </c>
      <c r="DE13" t="str">
        <f>""</f>
        <v/>
      </c>
      <c r="DF13" t="str">
        <f>""</f>
        <v/>
      </c>
      <c r="DG13" t="str">
        <f>""</f>
        <v/>
      </c>
      <c r="DH13" t="str">
        <f>""</f>
        <v/>
      </c>
      <c r="DI13" t="str">
        <f>""</f>
        <v/>
      </c>
      <c r="DJ13" t="str">
        <f>""</f>
        <v/>
      </c>
      <c r="DK13" t="str">
        <f>""</f>
        <v/>
      </c>
      <c r="DL13" t="str">
        <f>""</f>
        <v/>
      </c>
      <c r="DM13" t="str">
        <f>""</f>
        <v/>
      </c>
      <c r="DN13" t="str">
        <f>""</f>
        <v/>
      </c>
      <c r="DO13" t="str">
        <f>""</f>
        <v/>
      </c>
      <c r="DP13" t="str">
        <f>""</f>
        <v/>
      </c>
      <c r="DQ13" t="str">
        <f>""</f>
        <v/>
      </c>
      <c r="DR13" t="str">
        <f>""</f>
        <v/>
      </c>
      <c r="DS13" t="str">
        <f>""</f>
        <v/>
      </c>
      <c r="DT13" t="str">
        <f>""</f>
        <v/>
      </c>
      <c r="DU13" t="str">
        <f>""</f>
        <v/>
      </c>
      <c r="DV13" t="str">
        <f>""</f>
        <v/>
      </c>
      <c r="DW13" t="str">
        <f>""</f>
        <v/>
      </c>
      <c r="DX13" t="str">
        <f>""</f>
        <v/>
      </c>
      <c r="DY13" t="str">
        <f>""</f>
        <v/>
      </c>
      <c r="DZ13" t="str">
        <f>""</f>
        <v/>
      </c>
      <c r="EA13" t="str">
        <f>""</f>
        <v/>
      </c>
      <c r="EB13" t="str">
        <f>""</f>
        <v/>
      </c>
      <c r="EC13" t="str">
        <f>""</f>
        <v/>
      </c>
      <c r="ED13" t="str">
        <f>""</f>
        <v/>
      </c>
      <c r="EE13" t="str">
        <f>""</f>
        <v/>
      </c>
      <c r="EF13" t="str">
        <f>""</f>
        <v/>
      </c>
      <c r="EG13" t="str">
        <f>""</f>
        <v/>
      </c>
      <c r="EH13" t="str">
        <f>""</f>
        <v/>
      </c>
      <c r="EI13" t="str">
        <f>""</f>
        <v/>
      </c>
      <c r="EJ13" t="str">
        <f>""</f>
        <v/>
      </c>
      <c r="EK13" t="str">
        <f>""</f>
        <v/>
      </c>
      <c r="EL13" t="str">
        <f>""</f>
        <v/>
      </c>
      <c r="EM13" t="str">
        <f>""</f>
        <v/>
      </c>
      <c r="EN13" t="str">
        <f>""</f>
        <v/>
      </c>
      <c r="EO13" t="str">
        <f>""</f>
        <v/>
      </c>
      <c r="EP13" t="str">
        <f>""</f>
        <v/>
      </c>
      <c r="EQ13" t="str">
        <f>""</f>
        <v/>
      </c>
      <c r="ER13" t="str">
        <f>""</f>
        <v/>
      </c>
      <c r="ES13" t="str">
        <f>""</f>
        <v/>
      </c>
      <c r="ET13" t="str">
        <f>""</f>
        <v/>
      </c>
      <c r="EU13" t="str">
        <f>""</f>
        <v/>
      </c>
      <c r="EV13" t="str">
        <f>""</f>
        <v/>
      </c>
      <c r="EW13" t="str">
        <f>""</f>
        <v/>
      </c>
      <c r="EX13" t="str">
        <f>""</f>
        <v/>
      </c>
      <c r="EY13" t="str">
        <f>""</f>
        <v/>
      </c>
      <c r="EZ13" t="str">
        <f>""</f>
        <v/>
      </c>
      <c r="FA13" t="str">
        <f>""</f>
        <v/>
      </c>
      <c r="FB13" t="str">
        <f>""</f>
        <v/>
      </c>
      <c r="FC13" t="str">
        <f>""</f>
        <v/>
      </c>
      <c r="FD13" t="str">
        <f>""</f>
        <v/>
      </c>
      <c r="FE13" t="str">
        <f>""</f>
        <v/>
      </c>
      <c r="FF13" t="str">
        <f>""</f>
        <v/>
      </c>
      <c r="FG13" t="str">
        <f>""</f>
        <v/>
      </c>
      <c r="FH13" t="str">
        <f>""</f>
        <v/>
      </c>
      <c r="FI13" t="str">
        <f>""</f>
        <v/>
      </c>
      <c r="FJ13" t="str">
        <f>""</f>
        <v/>
      </c>
      <c r="FK13" t="str">
        <f>""</f>
        <v/>
      </c>
      <c r="FL13" t="str">
        <f>""</f>
        <v/>
      </c>
      <c r="FM13" t="str">
        <f>""</f>
        <v/>
      </c>
      <c r="FN13" t="str">
        <f>""</f>
        <v/>
      </c>
      <c r="FO13" t="str">
        <f>""</f>
        <v/>
      </c>
      <c r="FP13" t="str">
        <f>""</f>
        <v/>
      </c>
      <c r="FQ13" t="str">
        <f>""</f>
        <v/>
      </c>
      <c r="FR13" t="str">
        <f>""</f>
        <v/>
      </c>
      <c r="FS13" t="str">
        <f>""</f>
        <v/>
      </c>
      <c r="FT13" t="str">
        <f>""</f>
        <v/>
      </c>
      <c r="FU13" t="str">
        <f>""</f>
        <v/>
      </c>
      <c r="FV13" t="str">
        <f>""</f>
        <v/>
      </c>
      <c r="FW13" t="str">
        <f>""</f>
        <v/>
      </c>
      <c r="FX13" t="str">
        <f>""</f>
        <v/>
      </c>
      <c r="FY13" t="str">
        <f>""</f>
        <v/>
      </c>
      <c r="FZ13" t="str">
        <f>""</f>
        <v/>
      </c>
      <c r="GA13" t="str">
        <f>""</f>
        <v/>
      </c>
      <c r="GB13" t="str">
        <f>""</f>
        <v/>
      </c>
      <c r="GC13" t="str">
        <f>""</f>
        <v/>
      </c>
      <c r="GD13" t="str">
        <f>""</f>
        <v/>
      </c>
      <c r="GE13" t="str">
        <f>""</f>
        <v/>
      </c>
      <c r="GF13" t="str">
        <f>""</f>
        <v/>
      </c>
      <c r="GG13" t="str">
        <f>""</f>
        <v/>
      </c>
      <c r="GH13" t="str">
        <f>""</f>
        <v/>
      </c>
      <c r="GI13" t="str">
        <f>""</f>
        <v/>
      </c>
      <c r="GJ13" t="str">
        <f>""</f>
        <v/>
      </c>
      <c r="GK13" t="str">
        <f>""</f>
        <v/>
      </c>
      <c r="GL13" t="str">
        <f>""</f>
        <v/>
      </c>
      <c r="GM13" t="str">
        <f>""</f>
        <v/>
      </c>
      <c r="GN13" t="str">
        <f>""</f>
        <v/>
      </c>
      <c r="GO13" t="str">
        <f>""</f>
        <v/>
      </c>
      <c r="GP13" t="str">
        <f>""</f>
        <v/>
      </c>
      <c r="GQ13" t="str">
        <f>""</f>
        <v/>
      </c>
      <c r="GR13" t="str">
        <f>""</f>
        <v/>
      </c>
      <c r="GS13" t="str">
        <f>""</f>
        <v/>
      </c>
      <c r="GT13" t="str">
        <f>""</f>
        <v/>
      </c>
      <c r="GU13" t="str">
        <f>""</f>
        <v/>
      </c>
      <c r="GV13" t="str">
        <f>""</f>
        <v/>
      </c>
      <c r="GW13" t="str">
        <f>""</f>
        <v/>
      </c>
      <c r="GX13" t="str">
        <f>""</f>
        <v/>
      </c>
      <c r="GY13" t="str">
        <f>""</f>
        <v/>
      </c>
      <c r="GZ13" t="str">
        <f>""</f>
        <v/>
      </c>
      <c r="HA13" t="str">
        <f>""</f>
        <v/>
      </c>
      <c r="HB13" t="str">
        <f>""</f>
        <v/>
      </c>
      <c r="HC13" t="str">
        <f>""</f>
        <v/>
      </c>
      <c r="HD13" t="str">
        <f>""</f>
        <v/>
      </c>
      <c r="HE13" t="str">
        <f>""</f>
        <v/>
      </c>
      <c r="HF13" t="str">
        <f>""</f>
        <v/>
      </c>
      <c r="HG13" t="str">
        <f>""</f>
        <v/>
      </c>
      <c r="HH13" t="str">
        <f>""</f>
        <v/>
      </c>
      <c r="HI13" t="str">
        <f>""</f>
        <v/>
      </c>
      <c r="HJ13" t="str">
        <f>""</f>
        <v/>
      </c>
      <c r="HK13" t="str">
        <f>""</f>
        <v/>
      </c>
      <c r="HL13" t="str">
        <f>""</f>
        <v/>
      </c>
      <c r="HM13" t="str">
        <f>""</f>
        <v/>
      </c>
      <c r="HN13" t="str">
        <f>""</f>
        <v/>
      </c>
      <c r="HO13" t="str">
        <f>""</f>
        <v/>
      </c>
      <c r="HP13" t="str">
        <f>""</f>
        <v/>
      </c>
      <c r="HQ13" t="str">
        <f>""</f>
        <v/>
      </c>
      <c r="HR13" t="str">
        <f>""</f>
        <v/>
      </c>
      <c r="HS13" t="str">
        <f>""</f>
        <v/>
      </c>
      <c r="HT13" t="str">
        <f>""</f>
        <v/>
      </c>
      <c r="HU13" t="str">
        <f>""</f>
        <v/>
      </c>
      <c r="HV13" t="str">
        <f>""</f>
        <v/>
      </c>
      <c r="HW13" t="str">
        <f>""</f>
        <v/>
      </c>
      <c r="HX13" t="str">
        <f>""</f>
        <v/>
      </c>
      <c r="HY13" t="str">
        <f>""</f>
        <v/>
      </c>
      <c r="HZ13" t="str">
        <f>""</f>
        <v/>
      </c>
      <c r="IA13" t="str">
        <f>""</f>
        <v/>
      </c>
      <c r="IB13" t="str">
        <f>""</f>
        <v/>
      </c>
      <c r="IC13" t="str">
        <f>""</f>
        <v/>
      </c>
      <c r="ID13" t="str">
        <f>""</f>
        <v/>
      </c>
      <c r="IE13" t="str">
        <f>""</f>
        <v/>
      </c>
      <c r="IF13" t="str">
        <f>""</f>
        <v/>
      </c>
      <c r="IG13" t="str">
        <f>""</f>
        <v/>
      </c>
      <c r="IH13" t="str">
        <f>""</f>
        <v/>
      </c>
      <c r="II13" t="str">
        <f>""</f>
        <v/>
      </c>
      <c r="IJ13" t="str">
        <f>""</f>
        <v/>
      </c>
      <c r="IK13" t="str">
        <f>""</f>
        <v/>
      </c>
      <c r="IL13" t="str">
        <f>""</f>
        <v/>
      </c>
      <c r="IM13" t="str">
        <f>""</f>
        <v/>
      </c>
      <c r="IN13" t="str">
        <f>""</f>
        <v/>
      </c>
      <c r="IO13" t="str">
        <f>""</f>
        <v/>
      </c>
      <c r="IP13" t="str">
        <f>""</f>
        <v/>
      </c>
      <c r="IQ13" t="str">
        <f>""</f>
        <v/>
      </c>
      <c r="IR13" t="str">
        <f>""</f>
        <v/>
      </c>
      <c r="IS13" t="str">
        <f>""</f>
        <v/>
      </c>
      <c r="IT13" t="str">
        <f>""</f>
        <v/>
      </c>
      <c r="IU13" t="str">
        <f>""</f>
        <v/>
      </c>
      <c r="IV13" t="str">
        <f>""</f>
        <v/>
      </c>
      <c r="IW13" t="str">
        <f>""</f>
        <v/>
      </c>
      <c r="IX13" t="str">
        <f>""</f>
        <v/>
      </c>
      <c r="IY13" t="str">
        <f>""</f>
        <v/>
      </c>
      <c r="IZ13" t="str">
        <f>""</f>
        <v/>
      </c>
      <c r="JA13" t="str">
        <f>""</f>
        <v/>
      </c>
      <c r="JB13" t="str">
        <f>""</f>
        <v/>
      </c>
      <c r="JC13" t="str">
        <f>""</f>
        <v/>
      </c>
      <c r="JD13" t="str">
        <f>""</f>
        <v/>
      </c>
      <c r="JE13" t="str">
        <f>""</f>
        <v/>
      </c>
      <c r="JF13" t="str">
        <f>""</f>
        <v/>
      </c>
      <c r="JG13" t="str">
        <f>""</f>
        <v/>
      </c>
      <c r="JH13" t="str">
        <f>""</f>
        <v/>
      </c>
      <c r="JI13" t="str">
        <f>""</f>
        <v/>
      </c>
      <c r="JJ13" t="str">
        <f>""</f>
        <v/>
      </c>
      <c r="JK13" t="str">
        <f>""</f>
        <v/>
      </c>
    </row>
    <row r="15" spans="1:271" x14ac:dyDescent="0.3">
      <c r="A15" t="str">
        <f>"zLE8_TOTALSCOREinv"</f>
        <v>zLE8_TOTALSCOREinv</v>
      </c>
      <c r="B15" t="str">
        <f>"-0.133*"</f>
        <v>-0.133*</v>
      </c>
      <c r="C15" t="str">
        <f>"0.0118"</f>
        <v>0.0118</v>
      </c>
      <c r="D15" t="str">
        <f>"0.215***"</f>
        <v>0.215***</v>
      </c>
      <c r="E15" t="str">
        <f>"-0.132*"</f>
        <v>-0.132*</v>
      </c>
      <c r="F15" t="str">
        <f>"-0.00554"</f>
        <v>-0.00554</v>
      </c>
      <c r="G15" t="str">
        <f>"0.187***"</f>
        <v>0.187***</v>
      </c>
      <c r="H15" t="str">
        <f>"-0.128*"</f>
        <v>-0.128*</v>
      </c>
      <c r="I15" t="str">
        <f>"-0.00262"</f>
        <v>-0.00262</v>
      </c>
      <c r="J15" t="str">
        <f>"0.152***"</f>
        <v>0.152***</v>
      </c>
      <c r="K15" t="str">
        <f>"-0.159**"</f>
        <v>-0.159**</v>
      </c>
      <c r="L15" t="str">
        <f>"-0.0229"</f>
        <v>-0.0229</v>
      </c>
      <c r="M15" t="str">
        <f>"0.165***"</f>
        <v>0.165***</v>
      </c>
      <c r="N15" t="str">
        <f>"-0.162**"</f>
        <v>-0.162**</v>
      </c>
      <c r="O15" t="str">
        <f>"-0.0236"</f>
        <v>-0.0236</v>
      </c>
      <c r="P15" t="str">
        <f>"0.166***"</f>
        <v>0.166***</v>
      </c>
      <c r="Q15" t="str">
        <f>"-0.143*"</f>
        <v>-0.143*</v>
      </c>
      <c r="R15" t="str">
        <f>"-0.0154"</f>
        <v>-0.0154</v>
      </c>
      <c r="S15" t="str">
        <f>"0.172***"</f>
        <v>0.172***</v>
      </c>
      <c r="T15" t="str">
        <f>"-0.157**"</f>
        <v>-0.157**</v>
      </c>
      <c r="U15" t="str">
        <f>"-0.0377"</f>
        <v>-0.0377</v>
      </c>
      <c r="V15" t="str">
        <f>"0.140***"</f>
        <v>0.140***</v>
      </c>
      <c r="W15" t="str">
        <f>"-0.147*"</f>
        <v>-0.147*</v>
      </c>
      <c r="X15" t="str">
        <f>"-0.00559"</f>
        <v>-0.00559</v>
      </c>
      <c r="Y15" t="str">
        <f>"0.170***"</f>
        <v>0.170***</v>
      </c>
      <c r="Z15" t="str">
        <f>"-0.141*"</f>
        <v>-0.141*</v>
      </c>
      <c r="AA15" t="str">
        <f>"-0.00542"</f>
        <v>-0.00542</v>
      </c>
      <c r="AB15" t="str">
        <f>"0.185***"</f>
        <v>0.185***</v>
      </c>
      <c r="AC15" t="str">
        <f>"-0.151**"</f>
        <v>-0.151**</v>
      </c>
      <c r="AD15" t="str">
        <f>"-0.0236"</f>
        <v>-0.0236</v>
      </c>
      <c r="AE15" t="str">
        <f>"0.176***"</f>
        <v>0.176***</v>
      </c>
      <c r="AF15" t="str">
        <f>"-0.152**"</f>
        <v>-0.152**</v>
      </c>
      <c r="AG15" t="str">
        <f>"-0.0234"</f>
        <v>-0.0234</v>
      </c>
      <c r="AH15" t="str">
        <f>"0.153***"</f>
        <v>0.153***</v>
      </c>
      <c r="AI15" t="str">
        <f>"-0.153**"</f>
        <v>-0.153**</v>
      </c>
      <c r="AJ15" t="str">
        <f>"-0.0176"</f>
        <v>-0.0176</v>
      </c>
      <c r="AK15" t="str">
        <f>"0.172***"</f>
        <v>0.172***</v>
      </c>
      <c r="AL15" t="str">
        <f>"-0.163**"</f>
        <v>-0.163**</v>
      </c>
      <c r="AM15" t="str">
        <f>"-0.0239"</f>
        <v>-0.0239</v>
      </c>
      <c r="AN15" t="str">
        <f>"0.159***"</f>
        <v>0.159***</v>
      </c>
      <c r="AO15" t="str">
        <f>"-0.153**"</f>
        <v>-0.153**</v>
      </c>
      <c r="AP15" t="str">
        <f>"-0.0177"</f>
        <v>-0.0177</v>
      </c>
      <c r="AQ15" t="str">
        <f>"0.165***"</f>
        <v>0.165***</v>
      </c>
      <c r="AR15" t="str">
        <f>"-0.149**"</f>
        <v>-0.149**</v>
      </c>
      <c r="AS15" t="str">
        <f>"-0.0171"</f>
        <v>-0.0171</v>
      </c>
      <c r="AT15" t="str">
        <f>"0.154***"</f>
        <v>0.154***</v>
      </c>
      <c r="AU15" t="str">
        <f>"-0.133*"</f>
        <v>-0.133*</v>
      </c>
      <c r="AV15" t="str">
        <f>"0.0124"</f>
        <v>0.0124</v>
      </c>
      <c r="AW15" t="str">
        <f>"0.216***"</f>
        <v>0.216***</v>
      </c>
      <c r="AX15" t="str">
        <f>"-0.132*"</f>
        <v>-0.132*</v>
      </c>
      <c r="AY15" t="str">
        <f>"-0.00563"</f>
        <v>-0.00563</v>
      </c>
      <c r="AZ15" t="str">
        <f>"0.187***"</f>
        <v>0.187***</v>
      </c>
      <c r="BA15" t="str">
        <f>"-0.128*"</f>
        <v>-0.128*</v>
      </c>
      <c r="BB15" t="str">
        <f>"-0.00301"</f>
        <v>-0.00301</v>
      </c>
      <c r="BC15" t="str">
        <f>"0.152***"</f>
        <v>0.152***</v>
      </c>
      <c r="BD15" t="str">
        <f>"-0.159**"</f>
        <v>-0.159**</v>
      </c>
      <c r="BE15" t="str">
        <f>"-0.0229"</f>
        <v>-0.0229</v>
      </c>
      <c r="BF15" t="str">
        <f>"0.165***"</f>
        <v>0.165***</v>
      </c>
      <c r="BG15" t="str">
        <f>"-0.160**"</f>
        <v>-0.160**</v>
      </c>
      <c r="BH15" t="str">
        <f>"-0.0237"</f>
        <v>-0.0237</v>
      </c>
      <c r="BI15" t="str">
        <f>"0.166***"</f>
        <v>0.166***</v>
      </c>
      <c r="BJ15" t="str">
        <f>"-0.143*"</f>
        <v>-0.143*</v>
      </c>
      <c r="BK15" t="str">
        <f>"-0.0162"</f>
        <v>-0.0162</v>
      </c>
      <c r="BL15" t="str">
        <f>"0.172***"</f>
        <v>0.172***</v>
      </c>
      <c r="BM15" t="str">
        <f>"-0.157**"</f>
        <v>-0.157**</v>
      </c>
      <c r="BN15" t="str">
        <f>"-0.0376"</f>
        <v>-0.0376</v>
      </c>
      <c r="BO15" t="str">
        <f>"0.141***"</f>
        <v>0.141***</v>
      </c>
      <c r="BP15" t="str">
        <f>"-0.147*"</f>
        <v>-0.147*</v>
      </c>
      <c r="BQ15" t="str">
        <f>"-0.00599"</f>
        <v>-0.00599</v>
      </c>
      <c r="BR15" t="str">
        <f>"0.170***"</f>
        <v>0.170***</v>
      </c>
      <c r="BS15" t="str">
        <f>"-0.141*"</f>
        <v>-0.141*</v>
      </c>
      <c r="BT15" t="str">
        <f>"-0.00644"</f>
        <v>-0.00644</v>
      </c>
      <c r="BU15" t="str">
        <f>"0.185***"</f>
        <v>0.185***</v>
      </c>
      <c r="BV15" t="str">
        <f>"-0.149**"</f>
        <v>-0.149**</v>
      </c>
      <c r="BW15" t="str">
        <f>"-0.0237"</f>
        <v>-0.0237</v>
      </c>
      <c r="BX15" t="str">
        <f>"0.176***"</f>
        <v>0.176***</v>
      </c>
      <c r="BY15" t="str">
        <f>"-0.153**"</f>
        <v>-0.153**</v>
      </c>
      <c r="BZ15" t="str">
        <f>"-0.0234"</f>
        <v>-0.0234</v>
      </c>
      <c r="CA15" t="str">
        <f>"0.153***"</f>
        <v>0.153***</v>
      </c>
      <c r="CB15" t="str">
        <f>"-0.152**"</f>
        <v>-0.152**</v>
      </c>
      <c r="CC15" t="str">
        <f>"-0.0214"</f>
        <v>-0.0214</v>
      </c>
      <c r="CD15" t="str">
        <f>"0.172***"</f>
        <v>0.172***</v>
      </c>
      <c r="CE15" t="str">
        <f>"-0.163**"</f>
        <v>-0.163**</v>
      </c>
      <c r="CF15" t="str">
        <f>"-0.0240"</f>
        <v>-0.0240</v>
      </c>
      <c r="CG15" t="str">
        <f>"0.159***"</f>
        <v>0.159***</v>
      </c>
      <c r="CH15" t="str">
        <f>"-0.153**"</f>
        <v>-0.153**</v>
      </c>
      <c r="CI15" t="str">
        <f>"-0.0175"</f>
        <v>-0.0175</v>
      </c>
      <c r="CJ15" t="str">
        <f>"0.165***"</f>
        <v>0.165***</v>
      </c>
      <c r="CK15" t="str">
        <f>"-0.149**"</f>
        <v>-0.149**</v>
      </c>
      <c r="CL15" t="str">
        <f>"-0.0174"</f>
        <v>-0.0174</v>
      </c>
      <c r="CM15" t="str">
        <f>"0.154***"</f>
        <v>0.154***</v>
      </c>
      <c r="CN15" t="str">
        <f>"-0.132*"</f>
        <v>-0.132*</v>
      </c>
      <c r="CO15" t="str">
        <f>"0.0113"</f>
        <v>0.0113</v>
      </c>
      <c r="CP15" t="str">
        <f>"0.217***"</f>
        <v>0.217***</v>
      </c>
      <c r="CQ15" t="str">
        <f>"-0.132*"</f>
        <v>-0.132*</v>
      </c>
      <c r="CR15" t="str">
        <f>"-0.00649"</f>
        <v>-0.00649</v>
      </c>
      <c r="CS15" t="str">
        <f>"0.187***"</f>
        <v>0.187***</v>
      </c>
      <c r="CT15" t="str">
        <f>"-0.128*"</f>
        <v>-0.128*</v>
      </c>
      <c r="CU15" t="str">
        <f>"-0.00390"</f>
        <v>-0.00390</v>
      </c>
      <c r="CV15" t="str">
        <f>"0.152***"</f>
        <v>0.152***</v>
      </c>
      <c r="CW15" t="str">
        <f>"-0.160**"</f>
        <v>-0.160**</v>
      </c>
      <c r="CX15" t="str">
        <f>"-0.0239"</f>
        <v>-0.0239</v>
      </c>
      <c r="CY15" t="str">
        <f>"0.165***"</f>
        <v>0.165***</v>
      </c>
      <c r="CZ15" t="str">
        <f>"-0.161**"</f>
        <v>-0.161**</v>
      </c>
      <c r="DA15" t="str">
        <f>"-0.0244"</f>
        <v>-0.0244</v>
      </c>
      <c r="DB15" t="str">
        <f>"0.167***"</f>
        <v>0.167***</v>
      </c>
      <c r="DC15" t="str">
        <f>"-0.142*"</f>
        <v>-0.142*</v>
      </c>
      <c r="DD15" t="str">
        <f>"-0.0171"</f>
        <v>-0.0171</v>
      </c>
      <c r="DE15" t="str">
        <f>"0.172***"</f>
        <v>0.172***</v>
      </c>
      <c r="DF15" t="str">
        <f>"-0.157**"</f>
        <v>-0.157**</v>
      </c>
      <c r="DG15" t="str">
        <f>"-0.0387"</f>
        <v>-0.0387</v>
      </c>
      <c r="DH15" t="str">
        <f>"0.141***"</f>
        <v>0.141***</v>
      </c>
      <c r="DI15" t="str">
        <f>"-0.147*"</f>
        <v>-0.147*</v>
      </c>
      <c r="DJ15" t="str">
        <f>"-0.00688"</f>
        <v>-0.00688</v>
      </c>
      <c r="DK15" t="str">
        <f>"0.170***"</f>
        <v>0.170***</v>
      </c>
      <c r="DL15" t="str">
        <f>"-0.141*"</f>
        <v>-0.141*</v>
      </c>
      <c r="DM15" t="str">
        <f>"-0.00723"</f>
        <v>-0.00723</v>
      </c>
      <c r="DN15" t="str">
        <f>"0.185***"</f>
        <v>0.185***</v>
      </c>
      <c r="DO15" t="str">
        <f>"-0.150**"</f>
        <v>-0.150**</v>
      </c>
      <c r="DP15" t="str">
        <f>"-0.0245"</f>
        <v>-0.0245</v>
      </c>
      <c r="DQ15" t="str">
        <f>"0.176***"</f>
        <v>0.176***</v>
      </c>
      <c r="DR15" t="str">
        <f>"-0.152**"</f>
        <v>-0.152**</v>
      </c>
      <c r="DS15" t="str">
        <f>"-0.0238"</f>
        <v>-0.0238</v>
      </c>
      <c r="DT15" t="str">
        <f>"0.153***"</f>
        <v>0.153***</v>
      </c>
      <c r="DU15" t="str">
        <f>"-0.152**"</f>
        <v>-0.152**</v>
      </c>
      <c r="DV15" t="str">
        <f>"-0.0198"</f>
        <v>-0.0198</v>
      </c>
      <c r="DW15" t="str">
        <f>"0.172***"</f>
        <v>0.172***</v>
      </c>
      <c r="DX15" t="str">
        <f>"-0.163**"</f>
        <v>-0.163**</v>
      </c>
      <c r="DY15" t="str">
        <f>"-0.0247"</f>
        <v>-0.0247</v>
      </c>
      <c r="DZ15" t="str">
        <f>"0.159***"</f>
        <v>0.159***</v>
      </c>
      <c r="EA15" t="str">
        <f>"-0.152**"</f>
        <v>-0.152**</v>
      </c>
      <c r="EB15" t="str">
        <f>"-0.0180"</f>
        <v>-0.0180</v>
      </c>
      <c r="EC15" t="str">
        <f>"0.166***"</f>
        <v>0.166***</v>
      </c>
      <c r="ED15" t="str">
        <f>"-0.149**"</f>
        <v>-0.149**</v>
      </c>
      <c r="EE15" t="str">
        <f>"-0.0179"</f>
        <v>-0.0179</v>
      </c>
      <c r="EF15" t="str">
        <f>"0.155***"</f>
        <v>0.155***</v>
      </c>
      <c r="EG15" t="str">
        <f>"-0.133*"</f>
        <v>-0.133*</v>
      </c>
      <c r="EH15" t="str">
        <f>"0.0123"</f>
        <v>0.0123</v>
      </c>
      <c r="EI15" t="str">
        <f>"0.216***"</f>
        <v>0.216***</v>
      </c>
      <c r="EJ15" t="str">
        <f>"-0.133*"</f>
        <v>-0.133*</v>
      </c>
      <c r="EK15" t="str">
        <f>"-0.00522"</f>
        <v>-0.00522</v>
      </c>
      <c r="EL15" t="str">
        <f>"0.187***"</f>
        <v>0.187***</v>
      </c>
      <c r="EM15" t="str">
        <f>"-0.128*"</f>
        <v>-0.128*</v>
      </c>
      <c r="EN15" t="str">
        <f>"-0.00238"</f>
        <v>-0.00238</v>
      </c>
      <c r="EO15" t="str">
        <f>"0.152***"</f>
        <v>0.152***</v>
      </c>
      <c r="EP15" t="str">
        <f>"-0.159**"</f>
        <v>-0.159**</v>
      </c>
      <c r="EQ15" t="str">
        <f>"-0.0226"</f>
        <v>-0.0226</v>
      </c>
      <c r="ER15" t="str">
        <f>"0.165***"</f>
        <v>0.165***</v>
      </c>
      <c r="ES15" t="str">
        <f>"-0.161**"</f>
        <v>-0.161**</v>
      </c>
      <c r="ET15" t="str">
        <f>"-0.0230"</f>
        <v>-0.0230</v>
      </c>
      <c r="EU15" t="str">
        <f>"0.166***"</f>
        <v>0.166***</v>
      </c>
      <c r="EV15" t="str">
        <f>"-0.143*"</f>
        <v>-0.143*</v>
      </c>
      <c r="EW15" t="str">
        <f>"-0.0149"</f>
        <v>-0.0149</v>
      </c>
      <c r="EX15" t="str">
        <f>"0.172***"</f>
        <v>0.172***</v>
      </c>
      <c r="EY15" t="str">
        <f>"-0.158**"</f>
        <v>-0.158**</v>
      </c>
      <c r="EZ15" t="str">
        <f>"-0.0370"</f>
        <v>-0.0370</v>
      </c>
      <c r="FA15" t="str">
        <f>"0.141***"</f>
        <v>0.141***</v>
      </c>
      <c r="FB15" t="str">
        <f>"-0.148**"</f>
        <v>-0.148**</v>
      </c>
      <c r="FC15" t="str">
        <f>"-0.00571"</f>
        <v>-0.00571</v>
      </c>
      <c r="FD15" t="str">
        <f>"0.170***"</f>
        <v>0.170***</v>
      </c>
      <c r="FE15" t="str">
        <f>"-0.141*"</f>
        <v>-0.141*</v>
      </c>
      <c r="FF15" t="str">
        <f>"-0.00604"</f>
        <v>-0.00604</v>
      </c>
      <c r="FG15" t="str">
        <f>"0.185***"</f>
        <v>0.185***</v>
      </c>
      <c r="FH15" t="str">
        <f>"-0.150**"</f>
        <v>-0.150**</v>
      </c>
      <c r="FI15" t="str">
        <f>"-0.0229"</f>
        <v>-0.0229</v>
      </c>
      <c r="FJ15" t="str">
        <f>"0.176***"</f>
        <v>0.176***</v>
      </c>
      <c r="FK15" t="str">
        <f>"-0.154**"</f>
        <v>-0.154**</v>
      </c>
      <c r="FL15" t="str">
        <f>"-0.0225"</f>
        <v>-0.0225</v>
      </c>
      <c r="FM15" t="str">
        <f>"0.153***"</f>
        <v>0.153***</v>
      </c>
      <c r="FN15" t="str">
        <f>"-0.153**"</f>
        <v>-0.153**</v>
      </c>
      <c r="FO15" t="str">
        <f>"-0.0180"</f>
        <v>-0.0180</v>
      </c>
      <c r="FP15" t="str">
        <f>"0.173***"</f>
        <v>0.173***</v>
      </c>
      <c r="FQ15" t="str">
        <f>"-0.164**"</f>
        <v>-0.164**</v>
      </c>
      <c r="FR15" t="str">
        <f>"-0.0231"</f>
        <v>-0.0231</v>
      </c>
      <c r="FS15" t="str">
        <f>"0.159***"</f>
        <v>0.159***</v>
      </c>
      <c r="FT15" t="str">
        <f>"-0.154**"</f>
        <v>-0.154**</v>
      </c>
      <c r="FU15" t="str">
        <f>"-0.0171"</f>
        <v>-0.0171</v>
      </c>
      <c r="FV15" t="str">
        <f>"0.165***"</f>
        <v>0.165***</v>
      </c>
      <c r="FW15" t="str">
        <f>"-0.152**"</f>
        <v>-0.152**</v>
      </c>
      <c r="FX15" t="str">
        <f>"-0.0173"</f>
        <v>-0.0173</v>
      </c>
      <c r="FY15" t="str">
        <f>"0.154***"</f>
        <v>0.154***</v>
      </c>
      <c r="FZ15" t="str">
        <f>"-0.133*"</f>
        <v>-0.133*</v>
      </c>
      <c r="GA15" t="str">
        <f>"0.0119"</f>
        <v>0.0119</v>
      </c>
      <c r="GB15" t="str">
        <f>"0.216***"</f>
        <v>0.216***</v>
      </c>
      <c r="GC15" t="str">
        <f>"-0.132*"</f>
        <v>-0.132*</v>
      </c>
      <c r="GD15" t="str">
        <f>"-0.00472"</f>
        <v>-0.00472</v>
      </c>
      <c r="GE15" t="str">
        <f>"0.187***"</f>
        <v>0.187***</v>
      </c>
      <c r="GF15" t="str">
        <f>"-0.128*"</f>
        <v>-0.128*</v>
      </c>
      <c r="GG15" t="str">
        <f>"-0.00212"</f>
        <v>-0.00212</v>
      </c>
      <c r="GH15" t="str">
        <f>"0.152***"</f>
        <v>0.152***</v>
      </c>
      <c r="GI15" t="str">
        <f>"-0.159**"</f>
        <v>-0.159**</v>
      </c>
      <c r="GJ15" t="str">
        <f>"-0.0224"</f>
        <v>-0.0224</v>
      </c>
      <c r="GK15" t="str">
        <f>"0.165***"</f>
        <v>0.165***</v>
      </c>
      <c r="GL15" t="str">
        <f>"-0.162**"</f>
        <v>-0.162**</v>
      </c>
      <c r="GM15" t="str">
        <f>"-0.0232"</f>
        <v>-0.0232</v>
      </c>
      <c r="GN15" t="str">
        <f>"0.166***"</f>
        <v>0.166***</v>
      </c>
      <c r="GO15" t="str">
        <f>"-0.143*"</f>
        <v>-0.143*</v>
      </c>
      <c r="GP15" t="str">
        <f>"-0.0154"</f>
        <v>-0.0154</v>
      </c>
      <c r="GQ15" t="str">
        <f>"0.172***"</f>
        <v>0.172***</v>
      </c>
      <c r="GR15" t="str">
        <f>"-0.158**"</f>
        <v>-0.158**</v>
      </c>
      <c r="GS15" t="str">
        <f>"-0.0368"</f>
        <v>-0.0368</v>
      </c>
      <c r="GT15" t="str">
        <f>"0.141***"</f>
        <v>0.141***</v>
      </c>
      <c r="GU15" t="str">
        <f>"-0.147*"</f>
        <v>-0.147*</v>
      </c>
      <c r="GV15" t="str">
        <f>"-0.00576"</f>
        <v>-0.00576</v>
      </c>
      <c r="GW15" t="str">
        <f>"0.170***"</f>
        <v>0.170***</v>
      </c>
      <c r="GX15" t="str">
        <f>"-0.141*"</f>
        <v>-0.141*</v>
      </c>
      <c r="GY15" t="str">
        <f>"-0.00558"</f>
        <v>-0.00558</v>
      </c>
      <c r="GZ15" t="str">
        <f>"0.185***"</f>
        <v>0.185***</v>
      </c>
      <c r="HA15" t="str">
        <f>"-0.151**"</f>
        <v>-0.151**</v>
      </c>
      <c r="HB15" t="str">
        <f>"-0.0233"</f>
        <v>-0.0233</v>
      </c>
      <c r="HC15" t="str">
        <f>"0.176***"</f>
        <v>0.176***</v>
      </c>
      <c r="HD15" t="str">
        <f>"-0.153**"</f>
        <v>-0.153**</v>
      </c>
      <c r="HE15" t="str">
        <f>"-0.0224"</f>
        <v>-0.0224</v>
      </c>
      <c r="HF15" t="str">
        <f>"0.153***"</f>
        <v>0.153***</v>
      </c>
      <c r="HG15" t="str">
        <f>"-0.153**"</f>
        <v>-0.153**</v>
      </c>
      <c r="HH15" t="str">
        <f>"-0.0175"</f>
        <v>-0.0175</v>
      </c>
      <c r="HI15" t="str">
        <f>"0.173***"</f>
        <v>0.173***</v>
      </c>
      <c r="HJ15" t="str">
        <f>"-0.163**"</f>
        <v>-0.163**</v>
      </c>
      <c r="HK15" t="str">
        <f>"-0.0233"</f>
        <v>-0.0233</v>
      </c>
      <c r="HL15" t="str">
        <f>"0.159***"</f>
        <v>0.159***</v>
      </c>
      <c r="HM15" t="str">
        <f>"-0.153**"</f>
        <v>-0.153**</v>
      </c>
      <c r="HN15" t="str">
        <f>"-0.0171"</f>
        <v>-0.0171</v>
      </c>
      <c r="HO15" t="str">
        <f>"0.165***"</f>
        <v>0.165***</v>
      </c>
      <c r="HP15" t="str">
        <f>"-0.151**"</f>
        <v>-0.151**</v>
      </c>
      <c r="HQ15" t="str">
        <f>"-0.0172"</f>
        <v>-0.0172</v>
      </c>
      <c r="HR15" t="str">
        <f>"0.155***"</f>
        <v>0.155***</v>
      </c>
      <c r="HS15" t="str">
        <f>"-0.133*"</f>
        <v>-0.133*</v>
      </c>
      <c r="HT15" t="str">
        <f>"0.0121"</f>
        <v>0.0121</v>
      </c>
      <c r="HU15" t="str">
        <f>"0.216***"</f>
        <v>0.216***</v>
      </c>
      <c r="HV15" t="str">
        <f>"-0.132*"</f>
        <v>-0.132*</v>
      </c>
      <c r="HW15" t="str">
        <f>"-0.00537"</f>
        <v>-0.00537</v>
      </c>
      <c r="HX15" t="str">
        <f>"0.187***"</f>
        <v>0.187***</v>
      </c>
      <c r="HY15" t="str">
        <f>"-0.128*"</f>
        <v>-0.128*</v>
      </c>
      <c r="HZ15" t="str">
        <f>"-0.00244"</f>
        <v>-0.00244</v>
      </c>
      <c r="IA15" t="str">
        <f>"0.152***"</f>
        <v>0.152***</v>
      </c>
      <c r="IB15" t="str">
        <f>"-0.158**"</f>
        <v>-0.158**</v>
      </c>
      <c r="IC15" t="str">
        <f>"-0.0230"</f>
        <v>-0.0230</v>
      </c>
      <c r="ID15" t="str">
        <f>"0.165***"</f>
        <v>0.165***</v>
      </c>
      <c r="IE15" t="str">
        <f>"-0.161**"</f>
        <v>-0.161**</v>
      </c>
      <c r="IF15" t="str">
        <f>"-0.0235"</f>
        <v>-0.0235</v>
      </c>
      <c r="IG15" t="str">
        <f>"0.166***"</f>
        <v>0.166***</v>
      </c>
      <c r="IH15" t="str">
        <f>"-0.143*"</f>
        <v>-0.143*</v>
      </c>
      <c r="II15" t="str">
        <f>"-0.0155"</f>
        <v>-0.0155</v>
      </c>
      <c r="IJ15" t="str">
        <f>"0.172***"</f>
        <v>0.172***</v>
      </c>
      <c r="IK15" t="str">
        <f>"-0.157**"</f>
        <v>-0.157**</v>
      </c>
      <c r="IL15" t="str">
        <f>"-0.0372"</f>
        <v>-0.0372</v>
      </c>
      <c r="IM15" t="str">
        <f>"0.141***"</f>
        <v>0.141***</v>
      </c>
      <c r="IN15" t="str">
        <f>"-0.147*"</f>
        <v>-0.147*</v>
      </c>
      <c r="IO15" t="str">
        <f>"-0.00576"</f>
        <v>-0.00576</v>
      </c>
      <c r="IP15" t="str">
        <f>"0.170***"</f>
        <v>0.170***</v>
      </c>
      <c r="IQ15" t="str">
        <f>"-0.141*"</f>
        <v>-0.141*</v>
      </c>
      <c r="IR15" t="str">
        <f>"-0.00459"</f>
        <v>-0.00459</v>
      </c>
      <c r="IS15" t="str">
        <f>"0.185***"</f>
        <v>0.185***</v>
      </c>
      <c r="IT15" t="str">
        <f>"-0.150**"</f>
        <v>-0.150**</v>
      </c>
      <c r="IU15" t="str">
        <f>"-0.0234"</f>
        <v>-0.0234</v>
      </c>
      <c r="IV15" t="str">
        <f>"0.176***"</f>
        <v>0.176***</v>
      </c>
      <c r="IW15" t="str">
        <f>"-0.152**"</f>
        <v>-0.152**</v>
      </c>
      <c r="IX15" t="str">
        <f>"-0.0228"</f>
        <v>-0.0228</v>
      </c>
      <c r="IY15" t="str">
        <f>"0.153***"</f>
        <v>0.153***</v>
      </c>
      <c r="IZ15" t="str">
        <f>"-0.153**"</f>
        <v>-0.153**</v>
      </c>
      <c r="JA15" t="str">
        <f>"-0.0178"</f>
        <v>-0.0178</v>
      </c>
      <c r="JB15" t="str">
        <f>"0.173***"</f>
        <v>0.173***</v>
      </c>
      <c r="JC15" t="str">
        <f>"-0.162**"</f>
        <v>-0.162**</v>
      </c>
      <c r="JD15" t="str">
        <f>"-0.0249"</f>
        <v>-0.0249</v>
      </c>
      <c r="JE15" t="str">
        <f>"0.159***"</f>
        <v>0.159***</v>
      </c>
      <c r="JF15" t="str">
        <f>"-0.153**"</f>
        <v>-0.153**</v>
      </c>
      <c r="JG15" t="str">
        <f>"-0.0175"</f>
        <v>-0.0175</v>
      </c>
      <c r="JH15" t="str">
        <f>"0.165***"</f>
        <v>0.165***</v>
      </c>
      <c r="JI15" t="str">
        <f>"-0.152**"</f>
        <v>-0.152**</v>
      </c>
      <c r="JJ15" t="str">
        <f>"-0.0178"</f>
        <v>-0.0178</v>
      </c>
      <c r="JK15" t="str">
        <f>"0.156***"</f>
        <v>0.156***</v>
      </c>
    </row>
    <row r="16" spans="1:271" x14ac:dyDescent="0.3">
      <c r="A16" t="str">
        <f>""</f>
        <v/>
      </c>
      <c r="B16" t="str">
        <f>"(0.0596)"</f>
        <v>(0.0596)</v>
      </c>
      <c r="C16" t="str">
        <f>"(0.0466)"</f>
        <v>(0.0466)</v>
      </c>
      <c r="D16" t="str">
        <f>"(0.0245)"</f>
        <v>(0.0245)</v>
      </c>
      <c r="E16" t="str">
        <f>"(0.0583)"</f>
        <v>(0.0583)</v>
      </c>
      <c r="F16" t="str">
        <f>"(0.0456)"</f>
        <v>(0.0456)</v>
      </c>
      <c r="G16" t="str">
        <f>"(0.0240)"</f>
        <v>(0.0240)</v>
      </c>
      <c r="H16" t="str">
        <f>"(0.0582)"</f>
        <v>(0.0582)</v>
      </c>
      <c r="I16" t="str">
        <f>"(0.0454)"</f>
        <v>(0.0454)</v>
      </c>
      <c r="J16" t="str">
        <f>"(0.0240)"</f>
        <v>(0.0240)</v>
      </c>
      <c r="K16" t="str">
        <f>"(0.0569)"</f>
        <v>(0.0569)</v>
      </c>
      <c r="L16" t="str">
        <f>"(0.0444)"</f>
        <v>(0.0444)</v>
      </c>
      <c r="M16" t="str">
        <f>"(0.0234)"</f>
        <v>(0.0234)</v>
      </c>
      <c r="N16" t="str">
        <f>"(0.0570)"</f>
        <v>(0.0570)</v>
      </c>
      <c r="O16" t="str">
        <f>"(0.0445)"</f>
        <v>(0.0445)</v>
      </c>
      <c r="P16" t="str">
        <f>"(0.0234)"</f>
        <v>(0.0234)</v>
      </c>
      <c r="Q16" t="str">
        <f>"(0.0572)"</f>
        <v>(0.0572)</v>
      </c>
      <c r="R16" t="str">
        <f>"(0.0447)"</f>
        <v>(0.0447)</v>
      </c>
      <c r="S16" t="str">
        <f>"(0.0236)"</f>
        <v>(0.0236)</v>
      </c>
      <c r="T16" t="str">
        <f>"(0.0575)"</f>
        <v>(0.0575)</v>
      </c>
      <c r="U16" t="str">
        <f>"(0.0450)"</f>
        <v>(0.0450)</v>
      </c>
      <c r="V16" t="str">
        <f>"(0.0237)"</f>
        <v>(0.0237)</v>
      </c>
      <c r="W16" t="str">
        <f>"(0.0574)"</f>
        <v>(0.0574)</v>
      </c>
      <c r="X16" t="str">
        <f>"(0.0448)"</f>
        <v>(0.0448)</v>
      </c>
      <c r="Y16" t="str">
        <f>"(0.0237)"</f>
        <v>(0.0237)</v>
      </c>
      <c r="Z16" t="str">
        <f>"(0.0577)"</f>
        <v>(0.0577)</v>
      </c>
      <c r="AA16" t="str">
        <f>"(0.0451)"</f>
        <v>(0.0451)</v>
      </c>
      <c r="AB16" t="str">
        <f>"(0.0238)"</f>
        <v>(0.0238)</v>
      </c>
      <c r="AC16" t="str">
        <f>"(0.0574)"</f>
        <v>(0.0574)</v>
      </c>
      <c r="AD16" t="str">
        <f>"(0.0448)"</f>
        <v>(0.0448)</v>
      </c>
      <c r="AE16" t="str">
        <f>"(0.0237)"</f>
        <v>(0.0237)</v>
      </c>
      <c r="AF16" t="str">
        <f>"(0.0586)"</f>
        <v>(0.0586)</v>
      </c>
      <c r="AG16" t="str">
        <f>"(0.0457)"</f>
        <v>(0.0457)</v>
      </c>
      <c r="AH16" t="str">
        <f>"(0.0242)"</f>
        <v>(0.0242)</v>
      </c>
      <c r="AI16" t="str">
        <f>"(0.0570)"</f>
        <v>(0.0570)</v>
      </c>
      <c r="AJ16" t="str">
        <f>"(0.0445)"</f>
        <v>(0.0445)</v>
      </c>
      <c r="AK16" t="str">
        <f>"(0.0235)"</f>
        <v>(0.0235)</v>
      </c>
      <c r="AL16" t="str">
        <f>"(0.0569)"</f>
        <v>(0.0569)</v>
      </c>
      <c r="AM16" t="str">
        <f>"(0.0445)"</f>
        <v>(0.0445)</v>
      </c>
      <c r="AN16" t="str">
        <f>"(0.0235)"</f>
        <v>(0.0235)</v>
      </c>
      <c r="AO16" t="str">
        <f>"(0.0572)"</f>
        <v>(0.0572)</v>
      </c>
      <c r="AP16" t="str">
        <f>"(0.0446)"</f>
        <v>(0.0446)</v>
      </c>
      <c r="AQ16" t="str">
        <f>"(0.0236)"</f>
        <v>(0.0236)</v>
      </c>
      <c r="AR16" t="str">
        <f>"(0.0574)"</f>
        <v>(0.0574)</v>
      </c>
      <c r="AS16" t="str">
        <f>"(0.0448)"</f>
        <v>(0.0448)</v>
      </c>
      <c r="AT16" t="str">
        <f>"(0.0237)"</f>
        <v>(0.0237)</v>
      </c>
      <c r="AU16" t="str">
        <f>"(0.0596)"</f>
        <v>(0.0596)</v>
      </c>
      <c r="AV16" t="str">
        <f>"(0.0466)"</f>
        <v>(0.0466)</v>
      </c>
      <c r="AW16" t="str">
        <f>"(0.0245)"</f>
        <v>(0.0245)</v>
      </c>
      <c r="AX16" t="str">
        <f>"(0.0583)"</f>
        <v>(0.0583)</v>
      </c>
      <c r="AY16" t="str">
        <f>"(0.0456)"</f>
        <v>(0.0456)</v>
      </c>
      <c r="AZ16" t="str">
        <f>"(0.0240)"</f>
        <v>(0.0240)</v>
      </c>
      <c r="BA16" t="str">
        <f>"(0.0582)"</f>
        <v>(0.0582)</v>
      </c>
      <c r="BB16" t="str">
        <f>"(0.0454)"</f>
        <v>(0.0454)</v>
      </c>
      <c r="BC16" t="str">
        <f>"(0.0240)"</f>
        <v>(0.0240)</v>
      </c>
      <c r="BD16" t="str">
        <f>"(0.0569)"</f>
        <v>(0.0569)</v>
      </c>
      <c r="BE16" t="str">
        <f>"(0.0444)"</f>
        <v>(0.0444)</v>
      </c>
      <c r="BF16" t="str">
        <f>"(0.0234)"</f>
        <v>(0.0234)</v>
      </c>
      <c r="BG16" t="str">
        <f>"(0.0570)"</f>
        <v>(0.0570)</v>
      </c>
      <c r="BH16" t="str">
        <f>"(0.0445)"</f>
        <v>(0.0445)</v>
      </c>
      <c r="BI16" t="str">
        <f>"(0.0234)"</f>
        <v>(0.0234)</v>
      </c>
      <c r="BJ16" t="str">
        <f>"(0.0572)"</f>
        <v>(0.0572)</v>
      </c>
      <c r="BK16" t="str">
        <f>"(0.0447)"</f>
        <v>(0.0447)</v>
      </c>
      <c r="BL16" t="str">
        <f>"(0.0236)"</f>
        <v>(0.0236)</v>
      </c>
      <c r="BM16" t="str">
        <f>"(0.0575)"</f>
        <v>(0.0575)</v>
      </c>
      <c r="BN16" t="str">
        <f>"(0.0450)"</f>
        <v>(0.0450)</v>
      </c>
      <c r="BO16" t="str">
        <f>"(0.0237)"</f>
        <v>(0.0237)</v>
      </c>
      <c r="BP16" t="str">
        <f>"(0.0574)"</f>
        <v>(0.0574)</v>
      </c>
      <c r="BQ16" t="str">
        <f>"(0.0448)"</f>
        <v>(0.0448)</v>
      </c>
      <c r="BR16" t="str">
        <f>"(0.0237)"</f>
        <v>(0.0237)</v>
      </c>
      <c r="BS16" t="str">
        <f>"(0.0577)"</f>
        <v>(0.0577)</v>
      </c>
      <c r="BT16" t="str">
        <f>"(0.0451)"</f>
        <v>(0.0451)</v>
      </c>
      <c r="BU16" t="str">
        <f>"(0.0238)"</f>
        <v>(0.0238)</v>
      </c>
      <c r="BV16" t="str">
        <f>"(0.0574)"</f>
        <v>(0.0574)</v>
      </c>
      <c r="BW16" t="str">
        <f>"(0.0448)"</f>
        <v>(0.0448)</v>
      </c>
      <c r="BX16" t="str">
        <f>"(0.0237)"</f>
        <v>(0.0237)</v>
      </c>
      <c r="BY16" t="str">
        <f>"(0.0586)"</f>
        <v>(0.0586)</v>
      </c>
      <c r="BZ16" t="str">
        <f>"(0.0457)"</f>
        <v>(0.0457)</v>
      </c>
      <c r="CA16" t="str">
        <f>"(0.0242)"</f>
        <v>(0.0242)</v>
      </c>
      <c r="CB16" t="str">
        <f>"(0.0570)"</f>
        <v>(0.0570)</v>
      </c>
      <c r="CC16" t="str">
        <f>"(0.0446)"</f>
        <v>(0.0446)</v>
      </c>
      <c r="CD16" t="str">
        <f>"(0.0236)"</f>
        <v>(0.0236)</v>
      </c>
      <c r="CE16" t="str">
        <f>"(0.0569)"</f>
        <v>(0.0569)</v>
      </c>
      <c r="CF16" t="str">
        <f>"(0.0445)"</f>
        <v>(0.0445)</v>
      </c>
      <c r="CG16" t="str">
        <f>"(0.0235)"</f>
        <v>(0.0235)</v>
      </c>
      <c r="CH16" t="str">
        <f>"(0.0572)"</f>
        <v>(0.0572)</v>
      </c>
      <c r="CI16" t="str">
        <f>"(0.0446)"</f>
        <v>(0.0446)</v>
      </c>
      <c r="CJ16" t="str">
        <f>"(0.0236)"</f>
        <v>(0.0236)</v>
      </c>
      <c r="CK16" t="str">
        <f>"(0.0574)"</f>
        <v>(0.0574)</v>
      </c>
      <c r="CL16" t="str">
        <f>"(0.0449)"</f>
        <v>(0.0449)</v>
      </c>
      <c r="CM16" t="str">
        <f>"(0.0237)"</f>
        <v>(0.0237)</v>
      </c>
      <c r="CN16" t="str">
        <f>"(0.0596)"</f>
        <v>(0.0596)</v>
      </c>
      <c r="CO16" t="str">
        <f>"(0.0466)"</f>
        <v>(0.0466)</v>
      </c>
      <c r="CP16" t="str">
        <f>"(0.0245)"</f>
        <v>(0.0245)</v>
      </c>
      <c r="CQ16" t="str">
        <f>"(0.0583)"</f>
        <v>(0.0583)</v>
      </c>
      <c r="CR16" t="str">
        <f>"(0.0456)"</f>
        <v>(0.0456)</v>
      </c>
      <c r="CS16" t="str">
        <f>"(0.0240)"</f>
        <v>(0.0240)</v>
      </c>
      <c r="CT16" t="str">
        <f>"(0.0582)"</f>
        <v>(0.0582)</v>
      </c>
      <c r="CU16" t="str">
        <f>"(0.0454)"</f>
        <v>(0.0454)</v>
      </c>
      <c r="CV16" t="str">
        <f>"(0.0240)"</f>
        <v>(0.0240)</v>
      </c>
      <c r="CW16" t="str">
        <f>"(0.0569)"</f>
        <v>(0.0569)</v>
      </c>
      <c r="CX16" t="str">
        <f>"(0.0444)"</f>
        <v>(0.0444)</v>
      </c>
      <c r="CY16" t="str">
        <f>"(0.0234)"</f>
        <v>(0.0234)</v>
      </c>
      <c r="CZ16" t="str">
        <f>"(0.0569)"</f>
        <v>(0.0569)</v>
      </c>
      <c r="DA16" t="str">
        <f>"(0.0445)"</f>
        <v>(0.0445)</v>
      </c>
      <c r="DB16" t="str">
        <f>"(0.0234)"</f>
        <v>(0.0234)</v>
      </c>
      <c r="DC16" t="str">
        <f>"(0.0572)"</f>
        <v>(0.0572)</v>
      </c>
      <c r="DD16" t="str">
        <f>"(0.0448)"</f>
        <v>(0.0448)</v>
      </c>
      <c r="DE16" t="str">
        <f>"(0.0236)"</f>
        <v>(0.0236)</v>
      </c>
      <c r="DF16" t="str">
        <f>"(0.0575)"</f>
        <v>(0.0575)</v>
      </c>
      <c r="DG16" t="str">
        <f>"(0.0451)"</f>
        <v>(0.0451)</v>
      </c>
      <c r="DH16" t="str">
        <f>"(0.0237)"</f>
        <v>(0.0237)</v>
      </c>
      <c r="DI16" t="str">
        <f>"(0.0574)"</f>
        <v>(0.0574)</v>
      </c>
      <c r="DJ16" t="str">
        <f>"(0.0448)"</f>
        <v>(0.0448)</v>
      </c>
      <c r="DK16" t="str">
        <f>"(0.0237)"</f>
        <v>(0.0237)</v>
      </c>
      <c r="DL16" t="str">
        <f>"(0.0577)"</f>
        <v>(0.0577)</v>
      </c>
      <c r="DM16" t="str">
        <f>"(0.0451)"</f>
        <v>(0.0451)</v>
      </c>
      <c r="DN16" t="str">
        <f>"(0.0238)"</f>
        <v>(0.0238)</v>
      </c>
      <c r="DO16" t="str">
        <f>"(0.0574)"</f>
        <v>(0.0574)</v>
      </c>
      <c r="DP16" t="str">
        <f>"(0.0448)"</f>
        <v>(0.0448)</v>
      </c>
      <c r="DQ16" t="str">
        <f>"(0.0237)"</f>
        <v>(0.0237)</v>
      </c>
      <c r="DR16" t="str">
        <f>"(0.0586)"</f>
        <v>(0.0586)</v>
      </c>
      <c r="DS16" t="str">
        <f>"(0.0457)"</f>
        <v>(0.0457)</v>
      </c>
      <c r="DT16" t="str">
        <f>"(0.0242)"</f>
        <v>(0.0242)</v>
      </c>
      <c r="DU16" t="str">
        <f>"(0.0570)"</f>
        <v>(0.0570)</v>
      </c>
      <c r="DV16" t="str">
        <f>"(0.0446)"</f>
        <v>(0.0446)</v>
      </c>
      <c r="DW16" t="str">
        <f>"(0.0235)"</f>
        <v>(0.0235)</v>
      </c>
      <c r="DX16" t="str">
        <f>"(0.0570)"</f>
        <v>(0.0570)</v>
      </c>
      <c r="DY16" t="str">
        <f>"(0.0445)"</f>
        <v>(0.0445)</v>
      </c>
      <c r="DZ16" t="str">
        <f>"(0.0235)"</f>
        <v>(0.0235)</v>
      </c>
      <c r="EA16" t="str">
        <f>"(0.0572)"</f>
        <v>(0.0572)</v>
      </c>
      <c r="EB16" t="str">
        <f>"(0.0447)"</f>
        <v>(0.0447)</v>
      </c>
      <c r="EC16" t="str">
        <f>"(0.0236)"</f>
        <v>(0.0236)</v>
      </c>
      <c r="ED16" t="str">
        <f>"(0.0574)"</f>
        <v>(0.0574)</v>
      </c>
      <c r="EE16" t="str">
        <f>"(0.0449)"</f>
        <v>(0.0449)</v>
      </c>
      <c r="EF16" t="str">
        <f>"(0.0237)"</f>
        <v>(0.0237)</v>
      </c>
      <c r="EG16" t="str">
        <f>"(0.0596)"</f>
        <v>(0.0596)</v>
      </c>
      <c r="EH16" t="str">
        <f>"(0.0466)"</f>
        <v>(0.0466)</v>
      </c>
      <c r="EI16" t="str">
        <f>"(0.0245)"</f>
        <v>(0.0245)</v>
      </c>
      <c r="EJ16" t="str">
        <f>"(0.0583)"</f>
        <v>(0.0583)</v>
      </c>
      <c r="EK16" t="str">
        <f>"(0.0456)"</f>
        <v>(0.0456)</v>
      </c>
      <c r="EL16" t="str">
        <f>"(0.0240)"</f>
        <v>(0.0240)</v>
      </c>
      <c r="EM16" t="str">
        <f>"(0.0582)"</f>
        <v>(0.0582)</v>
      </c>
      <c r="EN16" t="str">
        <f>"(0.0454)"</f>
        <v>(0.0454)</v>
      </c>
      <c r="EO16" t="str">
        <f>"(0.0240)"</f>
        <v>(0.0240)</v>
      </c>
      <c r="EP16" t="str">
        <f>"(0.0569)"</f>
        <v>(0.0569)</v>
      </c>
      <c r="EQ16" t="str">
        <f>"(0.0444)"</f>
        <v>(0.0444)</v>
      </c>
      <c r="ER16" t="str">
        <f>"(0.0234)"</f>
        <v>(0.0234)</v>
      </c>
      <c r="ES16" t="str">
        <f>"(0.0569)"</f>
        <v>(0.0569)</v>
      </c>
      <c r="ET16" t="str">
        <f>"(0.0445)"</f>
        <v>(0.0445)</v>
      </c>
      <c r="EU16" t="str">
        <f>"(0.0234)"</f>
        <v>(0.0234)</v>
      </c>
      <c r="EV16" t="str">
        <f>"(0.0572)"</f>
        <v>(0.0572)</v>
      </c>
      <c r="EW16" t="str">
        <f>"(0.0447)"</f>
        <v>(0.0447)</v>
      </c>
      <c r="EX16" t="str">
        <f>"(0.0236)"</f>
        <v>(0.0236)</v>
      </c>
      <c r="EY16" t="str">
        <f>"(0.0575)"</f>
        <v>(0.0575)</v>
      </c>
      <c r="EZ16" t="str">
        <f>"(0.0450)"</f>
        <v>(0.0450)</v>
      </c>
      <c r="FA16" t="str">
        <f>"(0.0237)"</f>
        <v>(0.0237)</v>
      </c>
      <c r="FB16" t="str">
        <f>"(0.0573)"</f>
        <v>(0.0573)</v>
      </c>
      <c r="FC16" t="str">
        <f>"(0.0448)"</f>
        <v>(0.0448)</v>
      </c>
      <c r="FD16" t="str">
        <f>"(0.0237)"</f>
        <v>(0.0237)</v>
      </c>
      <c r="FE16" t="str">
        <f>"(0.0577)"</f>
        <v>(0.0577)</v>
      </c>
      <c r="FF16" t="str">
        <f>"(0.0451)"</f>
        <v>(0.0451)</v>
      </c>
      <c r="FG16" t="str">
        <f>"(0.0238)"</f>
        <v>(0.0238)</v>
      </c>
      <c r="FH16" t="str">
        <f>"(0.0574)"</f>
        <v>(0.0574)</v>
      </c>
      <c r="FI16" t="str">
        <f>"(0.0448)"</f>
        <v>(0.0448)</v>
      </c>
      <c r="FJ16" t="str">
        <f>"(0.0237)"</f>
        <v>(0.0237)</v>
      </c>
      <c r="FK16" t="str">
        <f>"(0.0586)"</f>
        <v>(0.0586)</v>
      </c>
      <c r="FL16" t="str">
        <f>"(0.0457)"</f>
        <v>(0.0457)</v>
      </c>
      <c r="FM16" t="str">
        <f>"(0.0242)"</f>
        <v>(0.0242)</v>
      </c>
      <c r="FN16" t="str">
        <f>"(0.0570)"</f>
        <v>(0.0570)</v>
      </c>
      <c r="FO16" t="str">
        <f>"(0.0445)"</f>
        <v>(0.0445)</v>
      </c>
      <c r="FP16" t="str">
        <f>"(0.0235)"</f>
        <v>(0.0235)</v>
      </c>
      <c r="FQ16" t="str">
        <f>"(0.0570)"</f>
        <v>(0.0570)</v>
      </c>
      <c r="FR16" t="str">
        <f>"(0.0445)"</f>
        <v>(0.0445)</v>
      </c>
      <c r="FS16" t="str">
        <f>"(0.0235)"</f>
        <v>(0.0235)</v>
      </c>
      <c r="FT16" t="str">
        <f>"(0.0572)"</f>
        <v>(0.0572)</v>
      </c>
      <c r="FU16" t="str">
        <f>"(0.0447)"</f>
        <v>(0.0447)</v>
      </c>
      <c r="FV16" t="str">
        <f>"(0.0236)"</f>
        <v>(0.0236)</v>
      </c>
      <c r="FW16" t="str">
        <f>"(0.0573)"</f>
        <v>(0.0573)</v>
      </c>
      <c r="FX16" t="str">
        <f>"(0.0449)"</f>
        <v>(0.0449)</v>
      </c>
      <c r="FY16" t="str">
        <f>"(0.0237)"</f>
        <v>(0.0237)</v>
      </c>
      <c r="FZ16" t="str">
        <f>"(0.0596)"</f>
        <v>(0.0596)</v>
      </c>
      <c r="GA16" t="str">
        <f>"(0.0466)"</f>
        <v>(0.0466)</v>
      </c>
      <c r="GB16" t="str">
        <f>"(0.0245)"</f>
        <v>(0.0245)</v>
      </c>
      <c r="GC16" t="str">
        <f>"(0.0583)"</f>
        <v>(0.0583)</v>
      </c>
      <c r="GD16" t="str">
        <f>"(0.0456)"</f>
        <v>(0.0456)</v>
      </c>
      <c r="GE16" t="str">
        <f>"(0.0240)"</f>
        <v>(0.0240)</v>
      </c>
      <c r="GF16" t="str">
        <f>"(0.0582)"</f>
        <v>(0.0582)</v>
      </c>
      <c r="GG16" t="str">
        <f>"(0.0454)"</f>
        <v>(0.0454)</v>
      </c>
      <c r="GH16" t="str">
        <f>"(0.0240)"</f>
        <v>(0.0240)</v>
      </c>
      <c r="GI16" t="str">
        <f>"(0.0568)"</f>
        <v>(0.0568)</v>
      </c>
      <c r="GJ16" t="str">
        <f>"(0.0444)"</f>
        <v>(0.0444)</v>
      </c>
      <c r="GK16" t="str">
        <f>"(0.0234)"</f>
        <v>(0.0234)</v>
      </c>
      <c r="GL16" t="str">
        <f>"(0.0569)"</f>
        <v>(0.0569)</v>
      </c>
      <c r="GM16" t="str">
        <f>"(0.0445)"</f>
        <v>(0.0445)</v>
      </c>
      <c r="GN16" t="str">
        <f>"(0.0234)"</f>
        <v>(0.0234)</v>
      </c>
      <c r="GO16" t="str">
        <f>"(0.0572)"</f>
        <v>(0.0572)</v>
      </c>
      <c r="GP16" t="str">
        <f>"(0.0447)"</f>
        <v>(0.0447)</v>
      </c>
      <c r="GQ16" t="str">
        <f>"(0.0236)"</f>
        <v>(0.0236)</v>
      </c>
      <c r="GR16" t="str">
        <f>"(0.0575)"</f>
        <v>(0.0575)</v>
      </c>
      <c r="GS16" t="str">
        <f>"(0.0450)"</f>
        <v>(0.0450)</v>
      </c>
      <c r="GT16" t="str">
        <f>"(0.0237)"</f>
        <v>(0.0237)</v>
      </c>
      <c r="GU16" t="str">
        <f>"(0.0573)"</f>
        <v>(0.0573)</v>
      </c>
      <c r="GV16" t="str">
        <f>"(0.0448)"</f>
        <v>(0.0448)</v>
      </c>
      <c r="GW16" t="str">
        <f>"(0.0237)"</f>
        <v>(0.0237)</v>
      </c>
      <c r="GX16" t="str">
        <f>"(0.0577)"</f>
        <v>(0.0577)</v>
      </c>
      <c r="GY16" t="str">
        <f>"(0.0451)"</f>
        <v>(0.0451)</v>
      </c>
      <c r="GZ16" t="str">
        <f>"(0.0238)"</f>
        <v>(0.0238)</v>
      </c>
      <c r="HA16" t="str">
        <f>"(0.0574)"</f>
        <v>(0.0574)</v>
      </c>
      <c r="HB16" t="str">
        <f>"(0.0448)"</f>
        <v>(0.0448)</v>
      </c>
      <c r="HC16" t="str">
        <f>"(0.0237)"</f>
        <v>(0.0237)</v>
      </c>
      <c r="HD16" t="str">
        <f>"(0.0586)"</f>
        <v>(0.0586)</v>
      </c>
      <c r="HE16" t="str">
        <f>"(0.0457)"</f>
        <v>(0.0457)</v>
      </c>
      <c r="HF16" t="str">
        <f>"(0.0242)"</f>
        <v>(0.0242)</v>
      </c>
      <c r="HG16" t="str">
        <f>"(0.0570)"</f>
        <v>(0.0570)</v>
      </c>
      <c r="HH16" t="str">
        <f>"(0.0445)"</f>
        <v>(0.0445)</v>
      </c>
      <c r="HI16" t="str">
        <f>"(0.0235)"</f>
        <v>(0.0235)</v>
      </c>
      <c r="HJ16" t="str">
        <f>"(0.0570)"</f>
        <v>(0.0570)</v>
      </c>
      <c r="HK16" t="str">
        <f>"(0.0445)"</f>
        <v>(0.0445)</v>
      </c>
      <c r="HL16" t="str">
        <f>"(0.0235)"</f>
        <v>(0.0235)</v>
      </c>
      <c r="HM16" t="str">
        <f>"(0.0572)"</f>
        <v>(0.0572)</v>
      </c>
      <c r="HN16" t="str">
        <f>"(0.0446)"</f>
        <v>(0.0446)</v>
      </c>
      <c r="HO16" t="str">
        <f>"(0.0236)"</f>
        <v>(0.0236)</v>
      </c>
      <c r="HP16" t="str">
        <f>"(0.0574)"</f>
        <v>(0.0574)</v>
      </c>
      <c r="HQ16" t="str">
        <f>"(0.0448)"</f>
        <v>(0.0448)</v>
      </c>
      <c r="HR16" t="str">
        <f>"(0.0237)"</f>
        <v>(0.0237)</v>
      </c>
      <c r="HS16" t="str">
        <f>"(0.0596)"</f>
        <v>(0.0596)</v>
      </c>
      <c r="HT16" t="str">
        <f>"(0.0465)"</f>
        <v>(0.0465)</v>
      </c>
      <c r="HU16" t="str">
        <f>"(0.0245)"</f>
        <v>(0.0245)</v>
      </c>
      <c r="HV16" t="str">
        <f>"(0.0583)"</f>
        <v>(0.0583)</v>
      </c>
      <c r="HW16" t="str">
        <f>"(0.0456)"</f>
        <v>(0.0456)</v>
      </c>
      <c r="HX16" t="str">
        <f>"(0.0240)"</f>
        <v>(0.0240)</v>
      </c>
      <c r="HY16" t="str">
        <f>"(0.0582)"</f>
        <v>(0.0582)</v>
      </c>
      <c r="HZ16" t="str">
        <f>"(0.0454)"</f>
        <v>(0.0454)</v>
      </c>
      <c r="IA16" t="str">
        <f>"(0.0240)"</f>
        <v>(0.0240)</v>
      </c>
      <c r="IB16" t="str">
        <f>"(0.0569)"</f>
        <v>(0.0569)</v>
      </c>
      <c r="IC16" t="str">
        <f>"(0.0444)"</f>
        <v>(0.0444)</v>
      </c>
      <c r="ID16" t="str">
        <f>"(0.0234)"</f>
        <v>(0.0234)</v>
      </c>
      <c r="IE16" t="str">
        <f>"(0.0569)"</f>
        <v>(0.0569)</v>
      </c>
      <c r="IF16" t="str">
        <f>"(0.0445)"</f>
        <v>(0.0445)</v>
      </c>
      <c r="IG16" t="str">
        <f>"(0.0234)"</f>
        <v>(0.0234)</v>
      </c>
      <c r="IH16" t="str">
        <f>"(0.0572)"</f>
        <v>(0.0572)</v>
      </c>
      <c r="II16" t="str">
        <f>"(0.0447)"</f>
        <v>(0.0447)</v>
      </c>
      <c r="IJ16" t="str">
        <f>"(0.0236)"</f>
        <v>(0.0236)</v>
      </c>
      <c r="IK16" t="str">
        <f>"(0.0575)"</f>
        <v>(0.0575)</v>
      </c>
      <c r="IL16" t="str">
        <f>"(0.0450)"</f>
        <v>(0.0450)</v>
      </c>
      <c r="IM16" t="str">
        <f>"(0.0237)"</f>
        <v>(0.0237)</v>
      </c>
      <c r="IN16" t="str">
        <f>"(0.0574)"</f>
        <v>(0.0574)</v>
      </c>
      <c r="IO16" t="str">
        <f>"(0.0448)"</f>
        <v>(0.0448)</v>
      </c>
      <c r="IP16" t="str">
        <f>"(0.0237)"</f>
        <v>(0.0237)</v>
      </c>
      <c r="IQ16" t="str">
        <f>"(0.0577)"</f>
        <v>(0.0577)</v>
      </c>
      <c r="IR16" t="str">
        <f>"(0.0451)"</f>
        <v>(0.0451)</v>
      </c>
      <c r="IS16" t="str">
        <f>"(0.0238)"</f>
        <v>(0.0238)</v>
      </c>
      <c r="IT16" t="str">
        <f>"(0.0574)"</f>
        <v>(0.0574)</v>
      </c>
      <c r="IU16" t="str">
        <f>"(0.0448)"</f>
        <v>(0.0448)</v>
      </c>
      <c r="IV16" t="str">
        <f>"(0.0237)"</f>
        <v>(0.0237)</v>
      </c>
      <c r="IW16" t="str">
        <f>"(0.0586)"</f>
        <v>(0.0586)</v>
      </c>
      <c r="IX16" t="str">
        <f>"(0.0457)"</f>
        <v>(0.0457)</v>
      </c>
      <c r="IY16" t="str">
        <f>"(0.0242)"</f>
        <v>(0.0242)</v>
      </c>
      <c r="IZ16" t="str">
        <f>"(0.0570)"</f>
        <v>(0.0570)</v>
      </c>
      <c r="JA16" t="str">
        <f>"(0.0445)"</f>
        <v>(0.0445)</v>
      </c>
      <c r="JB16" t="str">
        <f>"(0.0235)"</f>
        <v>(0.0235)</v>
      </c>
      <c r="JC16" t="str">
        <f>"(0.0570)"</f>
        <v>(0.0570)</v>
      </c>
      <c r="JD16" t="str">
        <f>"(0.0445)"</f>
        <v>(0.0445)</v>
      </c>
      <c r="JE16" t="str">
        <f>"(0.0235)"</f>
        <v>(0.0235)</v>
      </c>
      <c r="JF16" t="str">
        <f>"(0.0572)"</f>
        <v>(0.0572)</v>
      </c>
      <c r="JG16" t="str">
        <f>"(0.0446)"</f>
        <v>(0.0446)</v>
      </c>
      <c r="JH16" t="str">
        <f>"(0.0236)"</f>
        <v>(0.0236)</v>
      </c>
      <c r="JI16" t="str">
        <f>"(0.0574)"</f>
        <v>(0.0574)</v>
      </c>
      <c r="JJ16" t="str">
        <f>"(0.0449)"</f>
        <v>(0.0449)</v>
      </c>
      <c r="JK16" t="str">
        <f>"(0.0237)"</f>
        <v>(0.0237)</v>
      </c>
    </row>
    <row r="18" spans="1:271" x14ac:dyDescent="0.3">
      <c r="A18" t="str">
        <f>"SEX"</f>
        <v>SEX</v>
      </c>
      <c r="B18" t="str">
        <f>"-0.743***"</f>
        <v>-0.743***</v>
      </c>
      <c r="C18" t="str">
        <f>"-0.0471"</f>
        <v>-0.0471</v>
      </c>
      <c r="D18" t="str">
        <f>"-0.453***"</f>
        <v>-0.453***</v>
      </c>
      <c r="E18" t="str">
        <f>"-0.868***"</f>
        <v>-0.868***</v>
      </c>
      <c r="F18" t="str">
        <f>"-0.150"</f>
        <v>-0.150</v>
      </c>
      <c r="G18" t="str">
        <f>"-0.592***"</f>
        <v>-0.592***</v>
      </c>
      <c r="H18" t="str">
        <f>"-0.819***"</f>
        <v>-0.819***</v>
      </c>
      <c r="I18" t="str">
        <f>"-0.121"</f>
        <v>-0.121</v>
      </c>
      <c r="J18" t="str">
        <f>"-0.491***"</f>
        <v>-0.491***</v>
      </c>
      <c r="K18" t="str">
        <f>"-0.745***"</f>
        <v>-0.745***</v>
      </c>
      <c r="L18" t="str">
        <f>"-0.0486"</f>
        <v>-0.0486</v>
      </c>
      <c r="M18" t="str">
        <f>"-0.420***"</f>
        <v>-0.420***</v>
      </c>
      <c r="N18" t="str">
        <f>"-0.776***"</f>
        <v>-0.776***</v>
      </c>
      <c r="O18" t="str">
        <f>"-0.0963"</f>
        <v>-0.0963</v>
      </c>
      <c r="P18" t="str">
        <f>"-0.491***"</f>
        <v>-0.491***</v>
      </c>
      <c r="Q18" t="str">
        <f>"-0.837***"</f>
        <v>-0.837***</v>
      </c>
      <c r="R18" t="str">
        <f>"-0.119"</f>
        <v>-0.119</v>
      </c>
      <c r="S18" t="str">
        <f>"-0.537***"</f>
        <v>-0.537***</v>
      </c>
      <c r="T18" t="str">
        <f>"-0.775***"</f>
        <v>-0.775***</v>
      </c>
      <c r="U18" t="str">
        <f>"-0.0533"</f>
        <v>-0.0533</v>
      </c>
      <c r="V18" t="str">
        <f>"-0.447***"</f>
        <v>-0.447***</v>
      </c>
      <c r="W18" t="str">
        <f>"-0.807***"</f>
        <v>-0.807***</v>
      </c>
      <c r="X18" t="str">
        <f>"-0.144"</f>
        <v>-0.144</v>
      </c>
      <c r="Y18" t="str">
        <f>"-0.523***"</f>
        <v>-0.523***</v>
      </c>
      <c r="Z18" t="str">
        <f>"-0.783***"</f>
        <v>-0.783***</v>
      </c>
      <c r="AA18" t="str">
        <f>"-0.0989"</f>
        <v>-0.0989</v>
      </c>
      <c r="AB18" t="str">
        <f>"-0.526***"</f>
        <v>-0.526***</v>
      </c>
      <c r="AC18" t="str">
        <f>"-0.789***"</f>
        <v>-0.789***</v>
      </c>
      <c r="AD18" t="str">
        <f>"-0.0893"</f>
        <v>-0.0893</v>
      </c>
      <c r="AE18" t="str">
        <f>"-0.531***"</f>
        <v>-0.531***</v>
      </c>
      <c r="AF18" t="str">
        <f>"-0.773***"</f>
        <v>-0.773***</v>
      </c>
      <c r="AG18" t="str">
        <f>"-0.0908"</f>
        <v>-0.0908</v>
      </c>
      <c r="AH18" t="str">
        <f>"-0.503***"</f>
        <v>-0.503***</v>
      </c>
      <c r="AI18" t="str">
        <f>"-0.778***"</f>
        <v>-0.778***</v>
      </c>
      <c r="AJ18" t="str">
        <f>"-0.0967"</f>
        <v>-0.0967</v>
      </c>
      <c r="AK18" t="str">
        <f>"-0.520***"</f>
        <v>-0.520***</v>
      </c>
      <c r="AL18" t="str">
        <f>"-0.767***"</f>
        <v>-0.767***</v>
      </c>
      <c r="AM18" t="str">
        <f>"-0.0899"</f>
        <v>-0.0899</v>
      </c>
      <c r="AN18" t="str">
        <f>"-0.505***"</f>
        <v>-0.505***</v>
      </c>
      <c r="AO18" t="str">
        <f>"-0.773***"</f>
        <v>-0.773***</v>
      </c>
      <c r="AP18" t="str">
        <f>"-0.0932"</f>
        <v>-0.0932</v>
      </c>
      <c r="AQ18" t="str">
        <f>"-0.511***"</f>
        <v>-0.511***</v>
      </c>
      <c r="AR18" t="str">
        <f>"-0.766***"</f>
        <v>-0.766***</v>
      </c>
      <c r="AS18" t="str">
        <f>"-0.0888"</f>
        <v>-0.0888</v>
      </c>
      <c r="AT18" t="str">
        <f>"-0.515***"</f>
        <v>-0.515***</v>
      </c>
      <c r="AU18" t="str">
        <f>"-0.743***"</f>
        <v>-0.743***</v>
      </c>
      <c r="AV18" t="str">
        <f>"-0.0488"</f>
        <v>-0.0488</v>
      </c>
      <c r="AW18" t="str">
        <f>"-0.453***"</f>
        <v>-0.453***</v>
      </c>
      <c r="AX18" t="str">
        <f>"-0.873***"</f>
        <v>-0.873***</v>
      </c>
      <c r="AY18" t="str">
        <f>"-0.151"</f>
        <v>-0.151</v>
      </c>
      <c r="AZ18" t="str">
        <f>"-0.591***"</f>
        <v>-0.591***</v>
      </c>
      <c r="BA18" t="str">
        <f>"-0.820***"</f>
        <v>-0.820***</v>
      </c>
      <c r="BB18" t="str">
        <f>"-0.121"</f>
        <v>-0.121</v>
      </c>
      <c r="BC18" t="str">
        <f>"-0.491***"</f>
        <v>-0.491***</v>
      </c>
      <c r="BD18" t="str">
        <f>"-0.749***"</f>
        <v>-0.749***</v>
      </c>
      <c r="BE18" t="str">
        <f>"-0.0493"</f>
        <v>-0.0493</v>
      </c>
      <c r="BF18" t="str">
        <f>"-0.420***"</f>
        <v>-0.420***</v>
      </c>
      <c r="BG18" t="str">
        <f>"-0.775***"</f>
        <v>-0.775***</v>
      </c>
      <c r="BH18" t="str">
        <f>"-0.0963"</f>
        <v>-0.0963</v>
      </c>
      <c r="BI18" t="str">
        <f>"-0.490***"</f>
        <v>-0.490***</v>
      </c>
      <c r="BJ18" t="str">
        <f>"-0.838***"</f>
        <v>-0.838***</v>
      </c>
      <c r="BK18" t="str">
        <f>"-0.119"</f>
        <v>-0.119</v>
      </c>
      <c r="BL18" t="str">
        <f>"-0.538***"</f>
        <v>-0.538***</v>
      </c>
      <c r="BM18" t="str">
        <f>"-0.776***"</f>
        <v>-0.776***</v>
      </c>
      <c r="BN18" t="str">
        <f>"-0.0532"</f>
        <v>-0.0532</v>
      </c>
      <c r="BO18" t="str">
        <f>"-0.446***"</f>
        <v>-0.446***</v>
      </c>
      <c r="BP18" t="str">
        <f>"-0.807***"</f>
        <v>-0.807***</v>
      </c>
      <c r="BQ18" t="str">
        <f>"-0.142"</f>
        <v>-0.142</v>
      </c>
      <c r="BR18" t="str">
        <f>"-0.523***"</f>
        <v>-0.523***</v>
      </c>
      <c r="BS18" t="str">
        <f>"-0.786***"</f>
        <v>-0.786***</v>
      </c>
      <c r="BT18" t="str">
        <f>"-0.0989"</f>
        <v>-0.0989</v>
      </c>
      <c r="BU18" t="str">
        <f>"-0.526***"</f>
        <v>-0.526***</v>
      </c>
      <c r="BV18" t="str">
        <f>"-0.788***"</f>
        <v>-0.788***</v>
      </c>
      <c r="BW18" t="str">
        <f>"-0.0889"</f>
        <v>-0.0889</v>
      </c>
      <c r="BX18" t="str">
        <f>"-0.531***"</f>
        <v>-0.531***</v>
      </c>
      <c r="BY18" t="str">
        <f>"-0.775***"</f>
        <v>-0.775***</v>
      </c>
      <c r="BZ18" t="str">
        <f>"-0.0914"</f>
        <v>-0.0914</v>
      </c>
      <c r="CA18" t="str">
        <f>"-0.502***"</f>
        <v>-0.502***</v>
      </c>
      <c r="CB18" t="str">
        <f>"-0.778***"</f>
        <v>-0.778***</v>
      </c>
      <c r="CC18" t="str">
        <f>"-0.0967"</f>
        <v>-0.0967</v>
      </c>
      <c r="CD18" t="str">
        <f>"-0.521***"</f>
        <v>-0.521***</v>
      </c>
      <c r="CE18" t="str">
        <f>"-0.767***"</f>
        <v>-0.767***</v>
      </c>
      <c r="CF18" t="str">
        <f>"-0.0900"</f>
        <v>-0.0900</v>
      </c>
      <c r="CG18" t="str">
        <f>"-0.506***"</f>
        <v>-0.506***</v>
      </c>
      <c r="CH18" t="str">
        <f>"-0.775***"</f>
        <v>-0.775***</v>
      </c>
      <c r="CI18" t="str">
        <f>"-0.0938"</f>
        <v>-0.0938</v>
      </c>
      <c r="CJ18" t="str">
        <f>"-0.511***"</f>
        <v>-0.511***</v>
      </c>
      <c r="CK18" t="str">
        <f>"-0.766***"</f>
        <v>-0.766***</v>
      </c>
      <c r="CL18" t="str">
        <f>"-0.0890"</f>
        <v>-0.0890</v>
      </c>
      <c r="CM18" t="str">
        <f>"-0.515***"</f>
        <v>-0.515***</v>
      </c>
      <c r="CN18" t="str">
        <f>"-0.743***"</f>
        <v>-0.743***</v>
      </c>
      <c r="CO18" t="str">
        <f>"-0.0464"</f>
        <v>-0.0464</v>
      </c>
      <c r="CP18" t="str">
        <f>"-0.452***"</f>
        <v>-0.452***</v>
      </c>
      <c r="CQ18" t="str">
        <f>"-0.871***"</f>
        <v>-0.871***</v>
      </c>
      <c r="CR18" t="str">
        <f>"-0.148"</f>
        <v>-0.148</v>
      </c>
      <c r="CS18" t="str">
        <f>"-0.593***"</f>
        <v>-0.593***</v>
      </c>
      <c r="CT18" t="str">
        <f>"-0.819***"</f>
        <v>-0.819***</v>
      </c>
      <c r="CU18" t="str">
        <f>"-0.118"</f>
        <v>-0.118</v>
      </c>
      <c r="CV18" t="str">
        <f>"-0.491***"</f>
        <v>-0.491***</v>
      </c>
      <c r="CW18" t="str">
        <f>"-0.748***"</f>
        <v>-0.748***</v>
      </c>
      <c r="CX18" t="str">
        <f>"-0.0467"</f>
        <v>-0.0467</v>
      </c>
      <c r="CY18" t="str">
        <f>"-0.421***"</f>
        <v>-0.421***</v>
      </c>
      <c r="CZ18" t="str">
        <f>"-0.774***"</f>
        <v>-0.774***</v>
      </c>
      <c r="DA18" t="str">
        <f>"-0.0940"</f>
        <v>-0.0940</v>
      </c>
      <c r="DB18" t="str">
        <f>"-0.491***"</f>
        <v>-0.491***</v>
      </c>
      <c r="DC18" t="str">
        <f>"-0.837***"</f>
        <v>-0.837***</v>
      </c>
      <c r="DD18" t="str">
        <f>"-0.117"</f>
        <v>-0.117</v>
      </c>
      <c r="DE18" t="str">
        <f>"-0.538***"</f>
        <v>-0.538***</v>
      </c>
      <c r="DF18" t="str">
        <f>"-0.776***"</f>
        <v>-0.776***</v>
      </c>
      <c r="DG18" t="str">
        <f>"-0.0519"</f>
        <v>-0.0519</v>
      </c>
      <c r="DH18" t="str">
        <f>"-0.446***"</f>
        <v>-0.446***</v>
      </c>
      <c r="DI18" t="str">
        <f>"-0.805***"</f>
        <v>-0.805***</v>
      </c>
      <c r="DJ18" t="str">
        <f>"-0.141"</f>
        <v>-0.141</v>
      </c>
      <c r="DK18" t="str">
        <f>"-0.524***"</f>
        <v>-0.524***</v>
      </c>
      <c r="DL18" t="str">
        <f>"-0.785***"</f>
        <v>-0.785***</v>
      </c>
      <c r="DM18" t="str">
        <f>"-0.0960"</f>
        <v>-0.0960</v>
      </c>
      <c r="DN18" t="str">
        <f>"-0.526***"</f>
        <v>-0.526***</v>
      </c>
      <c r="DO18" t="str">
        <f>"-0.788***"</f>
        <v>-0.788***</v>
      </c>
      <c r="DP18" t="str">
        <f>"-0.0871"</f>
        <v>-0.0871</v>
      </c>
      <c r="DQ18" t="str">
        <f>"-0.531***"</f>
        <v>-0.531***</v>
      </c>
      <c r="DR18" t="str">
        <f>"-0.775***"</f>
        <v>-0.775***</v>
      </c>
      <c r="DS18" t="str">
        <f>"-0.0880"</f>
        <v>-0.0880</v>
      </c>
      <c r="DT18" t="str">
        <f>"-0.502***"</f>
        <v>-0.502***</v>
      </c>
      <c r="DU18" t="str">
        <f>"-0.777***"</f>
        <v>-0.777***</v>
      </c>
      <c r="DV18" t="str">
        <f>"-0.0934"</f>
        <v>-0.0934</v>
      </c>
      <c r="DW18" t="str">
        <f>"-0.520***"</f>
        <v>-0.520***</v>
      </c>
      <c r="DX18" t="str">
        <f>"-0.767***"</f>
        <v>-0.767***</v>
      </c>
      <c r="DY18" t="str">
        <f>"-0.0874"</f>
        <v>-0.0874</v>
      </c>
      <c r="DZ18" t="str">
        <f>"-0.505***"</f>
        <v>-0.505***</v>
      </c>
      <c r="EA18" t="str">
        <f>"-0.774***"</f>
        <v>-0.774***</v>
      </c>
      <c r="EB18" t="str">
        <f>"-0.0918"</f>
        <v>-0.0918</v>
      </c>
      <c r="EC18" t="str">
        <f>"-0.512***"</f>
        <v>-0.512***</v>
      </c>
      <c r="ED18" t="str">
        <f>"-0.766***"</f>
        <v>-0.766***</v>
      </c>
      <c r="EE18" t="str">
        <f>"-0.0859"</f>
        <v>-0.0859</v>
      </c>
      <c r="EF18" t="str">
        <f>"-0.516***"</f>
        <v>-0.516***</v>
      </c>
      <c r="EG18" t="str">
        <f>"-0.741***"</f>
        <v>-0.741***</v>
      </c>
      <c r="EH18" t="str">
        <f>"-0.0491"</f>
        <v>-0.0491</v>
      </c>
      <c r="EI18" t="str">
        <f>"-0.452***"</f>
        <v>-0.452***</v>
      </c>
      <c r="EJ18" t="str">
        <f>"-0.870***"</f>
        <v>-0.870***</v>
      </c>
      <c r="EK18" t="str">
        <f>"-0.152"</f>
        <v>-0.152</v>
      </c>
      <c r="EL18" t="str">
        <f>"-0.594***"</f>
        <v>-0.594***</v>
      </c>
      <c r="EM18" t="str">
        <f>"-0.818***"</f>
        <v>-0.818***</v>
      </c>
      <c r="EN18" t="str">
        <f>"-0.122"</f>
        <v>-0.122</v>
      </c>
      <c r="EO18" t="str">
        <f>"-0.491***"</f>
        <v>-0.491***</v>
      </c>
      <c r="EP18" t="str">
        <f>"-0.745***"</f>
        <v>-0.745***</v>
      </c>
      <c r="EQ18" t="str">
        <f>"-0.0501"</f>
        <v>-0.0501</v>
      </c>
      <c r="ER18" t="str">
        <f>"-0.422***"</f>
        <v>-0.422***</v>
      </c>
      <c r="ES18" t="str">
        <f>"-0.773***"</f>
        <v>-0.773***</v>
      </c>
      <c r="ET18" t="str">
        <f>"-0.0960"</f>
        <v>-0.0960</v>
      </c>
      <c r="EU18" t="str">
        <f>"-0.490***"</f>
        <v>-0.490***</v>
      </c>
      <c r="EV18" t="str">
        <f>"-0.836***"</f>
        <v>-0.836***</v>
      </c>
      <c r="EW18" t="str">
        <f>"-0.120"</f>
        <v>-0.120</v>
      </c>
      <c r="EX18" t="str">
        <f>"-0.537***"</f>
        <v>-0.537***</v>
      </c>
      <c r="EY18" t="str">
        <f>"-0.772***"</f>
        <v>-0.772***</v>
      </c>
      <c r="EZ18" t="str">
        <f>"-0.0541"</f>
        <v>-0.0541</v>
      </c>
      <c r="FA18" t="str">
        <f>"-0.447***"</f>
        <v>-0.447***</v>
      </c>
      <c r="FB18" t="str">
        <f>"-0.804***"</f>
        <v>-0.804***</v>
      </c>
      <c r="FC18" t="str">
        <f>"-0.141"</f>
        <v>-0.141</v>
      </c>
      <c r="FD18" t="str">
        <f>"-0.523***"</f>
        <v>-0.523***</v>
      </c>
      <c r="FE18" t="str">
        <f>"-0.784***"</f>
        <v>-0.784***</v>
      </c>
      <c r="FF18" t="str">
        <f>"-0.0994"</f>
        <v>-0.0994</v>
      </c>
      <c r="FG18" t="str">
        <f>"-0.526***"</f>
        <v>-0.526***</v>
      </c>
      <c r="FH18" t="str">
        <f>"-0.787***"</f>
        <v>-0.787***</v>
      </c>
      <c r="FI18" t="str">
        <f>"-0.0895"</f>
        <v>-0.0895</v>
      </c>
      <c r="FJ18" t="str">
        <f>"-0.531***"</f>
        <v>-0.531***</v>
      </c>
      <c r="FK18" t="str">
        <f>"-0.772***"</f>
        <v>-0.772***</v>
      </c>
      <c r="FL18" t="str">
        <f>"-0.0910"</f>
        <v>-0.0910</v>
      </c>
      <c r="FM18" t="str">
        <f>"-0.503***"</f>
        <v>-0.503***</v>
      </c>
      <c r="FN18" t="str">
        <f>"-0.777***"</f>
        <v>-0.777***</v>
      </c>
      <c r="FO18" t="str">
        <f>"-0.0968"</f>
        <v>-0.0968</v>
      </c>
      <c r="FP18" t="str">
        <f>"-0.520***"</f>
        <v>-0.520***</v>
      </c>
      <c r="FQ18" t="str">
        <f>"-0.766***"</f>
        <v>-0.766***</v>
      </c>
      <c r="FR18" t="str">
        <f>"-0.0906"</f>
        <v>-0.0906</v>
      </c>
      <c r="FS18" t="str">
        <f>"-0.505***"</f>
        <v>-0.505***</v>
      </c>
      <c r="FT18" t="str">
        <f>"-0.773***"</f>
        <v>-0.773***</v>
      </c>
      <c r="FU18" t="str">
        <f>"-0.0941"</f>
        <v>-0.0941</v>
      </c>
      <c r="FV18" t="str">
        <f>"-0.511***"</f>
        <v>-0.511***</v>
      </c>
      <c r="FW18" t="str">
        <f>"-0.767***"</f>
        <v>-0.767***</v>
      </c>
      <c r="FX18" t="str">
        <f>"-0.0893"</f>
        <v>-0.0893</v>
      </c>
      <c r="FY18" t="str">
        <f>"-0.515***"</f>
        <v>-0.515***</v>
      </c>
      <c r="FZ18" t="str">
        <f>"-0.742***"</f>
        <v>-0.742***</v>
      </c>
      <c r="GA18" t="str">
        <f>"-0.0479"</f>
        <v>-0.0479</v>
      </c>
      <c r="GB18" t="str">
        <f>"-0.453***"</f>
        <v>-0.453***</v>
      </c>
      <c r="GC18" t="str">
        <f>"-0.869***"</f>
        <v>-0.869***</v>
      </c>
      <c r="GD18" t="str">
        <f>"-0.150"</f>
        <v>-0.150</v>
      </c>
      <c r="GE18" t="str">
        <f>"-0.593***"</f>
        <v>-0.593***</v>
      </c>
      <c r="GF18" t="str">
        <f>"-0.818***"</f>
        <v>-0.818***</v>
      </c>
      <c r="GG18" t="str">
        <f>"-0.121"</f>
        <v>-0.121</v>
      </c>
      <c r="GH18" t="str">
        <f>"-0.491***"</f>
        <v>-0.491***</v>
      </c>
      <c r="GI18" t="str">
        <f>"-0.745***"</f>
        <v>-0.745***</v>
      </c>
      <c r="GJ18" t="str">
        <f>"-0.0494"</f>
        <v>-0.0494</v>
      </c>
      <c r="GK18" t="str">
        <f>"-0.422***"</f>
        <v>-0.422***</v>
      </c>
      <c r="GL18" t="str">
        <f>"-0.775***"</f>
        <v>-0.775***</v>
      </c>
      <c r="GM18" t="str">
        <f>"-0.0966"</f>
        <v>-0.0966</v>
      </c>
      <c r="GN18" t="str">
        <f>"-0.490***"</f>
        <v>-0.490***</v>
      </c>
      <c r="GO18" t="str">
        <f>"-0.836***"</f>
        <v>-0.836***</v>
      </c>
      <c r="GP18" t="str">
        <f>"-0.118"</f>
        <v>-0.118</v>
      </c>
      <c r="GQ18" t="str">
        <f>"-0.537***"</f>
        <v>-0.537***</v>
      </c>
      <c r="GR18" t="str">
        <f>"-0.774***"</f>
        <v>-0.774***</v>
      </c>
      <c r="GS18" t="str">
        <f>"-0.0531"</f>
        <v>-0.0531</v>
      </c>
      <c r="GT18" t="str">
        <f>"-0.447***"</f>
        <v>-0.447***</v>
      </c>
      <c r="GU18" t="str">
        <f>"-0.804***"</f>
        <v>-0.804***</v>
      </c>
      <c r="GV18" t="str">
        <f>"-0.141"</f>
        <v>-0.141</v>
      </c>
      <c r="GW18" t="str">
        <f>"-0.523***"</f>
        <v>-0.523***</v>
      </c>
      <c r="GX18" t="str">
        <f>"-0.784***"</f>
        <v>-0.784***</v>
      </c>
      <c r="GY18" t="str">
        <f>"-0.0985"</f>
        <v>-0.0985</v>
      </c>
      <c r="GZ18" t="str">
        <f>"-0.526***"</f>
        <v>-0.526***</v>
      </c>
      <c r="HA18" t="str">
        <f>"-0.789***"</f>
        <v>-0.789***</v>
      </c>
      <c r="HB18" t="str">
        <f>"-0.0902"</f>
        <v>-0.0902</v>
      </c>
      <c r="HC18" t="str">
        <f>"-0.531***"</f>
        <v>-0.531***</v>
      </c>
      <c r="HD18" t="str">
        <f>"-0.773***"</f>
        <v>-0.773***</v>
      </c>
      <c r="HE18" t="str">
        <f>"-0.0904"</f>
        <v>-0.0904</v>
      </c>
      <c r="HF18" t="str">
        <f>"-0.503***"</f>
        <v>-0.503***</v>
      </c>
      <c r="HG18" t="str">
        <f>"-0.778***"</f>
        <v>-0.778***</v>
      </c>
      <c r="HH18" t="str">
        <f>"-0.0955"</f>
        <v>-0.0955</v>
      </c>
      <c r="HI18" t="str">
        <f>"-0.520***"</f>
        <v>-0.520***</v>
      </c>
      <c r="HJ18" t="str">
        <f>"-0.767***"</f>
        <v>-0.767***</v>
      </c>
      <c r="HK18" t="str">
        <f>"-0.0900"</f>
        <v>-0.0900</v>
      </c>
      <c r="HL18" t="str">
        <f>"-0.505***"</f>
        <v>-0.505***</v>
      </c>
      <c r="HM18" t="str">
        <f>"-0.774***"</f>
        <v>-0.774***</v>
      </c>
      <c r="HN18" t="str">
        <f>"-0.0940"</f>
        <v>-0.0940</v>
      </c>
      <c r="HO18" t="str">
        <f>"-0.511***"</f>
        <v>-0.511***</v>
      </c>
      <c r="HP18" t="str">
        <f>"-0.766***"</f>
        <v>-0.766***</v>
      </c>
      <c r="HQ18" t="str">
        <f>"-0.0889"</f>
        <v>-0.0889</v>
      </c>
      <c r="HR18" t="str">
        <f>"-0.515***"</f>
        <v>-0.515***</v>
      </c>
      <c r="HS18" t="str">
        <f>"-0.743***"</f>
        <v>-0.743***</v>
      </c>
      <c r="HT18" t="str">
        <f>"-0.0473"</f>
        <v>-0.0473</v>
      </c>
      <c r="HU18" t="str">
        <f>"-0.452***"</f>
        <v>-0.452***</v>
      </c>
      <c r="HV18" t="str">
        <f>"-0.870***"</f>
        <v>-0.870***</v>
      </c>
      <c r="HW18" t="str">
        <f>"-0.150"</f>
        <v>-0.150</v>
      </c>
      <c r="HX18" t="str">
        <f>"-0.591***"</f>
        <v>-0.591***</v>
      </c>
      <c r="HY18" t="str">
        <f>"-0.819***"</f>
        <v>-0.819***</v>
      </c>
      <c r="HZ18" t="str">
        <f>"-0.120"</f>
        <v>-0.120</v>
      </c>
      <c r="IA18" t="str">
        <f>"-0.490***"</f>
        <v>-0.490***</v>
      </c>
      <c r="IB18" t="str">
        <f>"-0.746***"</f>
        <v>-0.746***</v>
      </c>
      <c r="IC18" t="str">
        <f>"-0.0484"</f>
        <v>-0.0484</v>
      </c>
      <c r="ID18" t="str">
        <f>"-0.420***"</f>
        <v>-0.420***</v>
      </c>
      <c r="IE18" t="str">
        <f>"-0.776***"</f>
        <v>-0.776***</v>
      </c>
      <c r="IF18" t="str">
        <f>"-0.0943"</f>
        <v>-0.0943</v>
      </c>
      <c r="IG18" t="str">
        <f>"-0.490***"</f>
        <v>-0.490***</v>
      </c>
      <c r="IH18" t="str">
        <f>"-0.838***"</f>
        <v>-0.838***</v>
      </c>
      <c r="II18" t="str">
        <f>"-0.118"</f>
        <v>-0.118</v>
      </c>
      <c r="IJ18" t="str">
        <f>"-0.536***"</f>
        <v>-0.536***</v>
      </c>
      <c r="IK18" t="str">
        <f>"-0.775***"</f>
        <v>-0.775***</v>
      </c>
      <c r="IL18" t="str">
        <f>"-0.0528"</f>
        <v>-0.0528</v>
      </c>
      <c r="IM18" t="str">
        <f>"-0.446***"</f>
        <v>-0.446***</v>
      </c>
      <c r="IN18" t="str">
        <f>"-0.807***"</f>
        <v>-0.807***</v>
      </c>
      <c r="IO18" t="str">
        <f>"-0.143"</f>
        <v>-0.143</v>
      </c>
      <c r="IP18" t="str">
        <f>"-0.522***"</f>
        <v>-0.522***</v>
      </c>
      <c r="IQ18" t="str">
        <f>"-0.785***"</f>
        <v>-0.785***</v>
      </c>
      <c r="IR18" t="str">
        <f>"-0.0982"</f>
        <v>-0.0982</v>
      </c>
      <c r="IS18" t="str">
        <f>"-0.525***"</f>
        <v>-0.525***</v>
      </c>
      <c r="IT18" t="str">
        <f>"-0.789***"</f>
        <v>-0.789***</v>
      </c>
      <c r="IU18" t="str">
        <f>"-0.0882"</f>
        <v>-0.0882</v>
      </c>
      <c r="IV18" t="str">
        <f>"-0.531***"</f>
        <v>-0.531***</v>
      </c>
      <c r="IW18" t="str">
        <f>"-0.774***"</f>
        <v>-0.774***</v>
      </c>
      <c r="IX18" t="str">
        <f>"-0.0895"</f>
        <v>-0.0895</v>
      </c>
      <c r="IY18" t="str">
        <f>"-0.502***"</f>
        <v>-0.502***</v>
      </c>
      <c r="IZ18" t="str">
        <f>"-0.778***"</f>
        <v>-0.778***</v>
      </c>
      <c r="JA18" t="str">
        <f>"-0.0945"</f>
        <v>-0.0945</v>
      </c>
      <c r="JB18" t="str">
        <f>"-0.519***"</f>
        <v>-0.519***</v>
      </c>
      <c r="JC18" t="str">
        <f>"-0.768***"</f>
        <v>-0.768***</v>
      </c>
      <c r="JD18" t="str">
        <f>"-0.0886"</f>
        <v>-0.0886</v>
      </c>
      <c r="JE18" t="str">
        <f>"-0.504***"</f>
        <v>-0.504***</v>
      </c>
      <c r="JF18" t="str">
        <f>"-0.775***"</f>
        <v>-0.775***</v>
      </c>
      <c r="JG18" t="str">
        <f>"-0.0927"</f>
        <v>-0.0927</v>
      </c>
      <c r="JH18" t="str">
        <f>"-0.510***"</f>
        <v>-0.510***</v>
      </c>
      <c r="JI18" t="str">
        <f>"-0.767***"</f>
        <v>-0.767***</v>
      </c>
      <c r="JJ18" t="str">
        <f>"-0.0877"</f>
        <v>-0.0877</v>
      </c>
      <c r="JK18" t="str">
        <f>"-0.513***"</f>
        <v>-0.513***</v>
      </c>
    </row>
    <row r="19" spans="1:271" x14ac:dyDescent="0.3">
      <c r="A19" t="str">
        <f>""</f>
        <v/>
      </c>
      <c r="B19" t="str">
        <f>"(0.112)"</f>
        <v>(0.112)</v>
      </c>
      <c r="C19" t="str">
        <f>"(0.0845)"</f>
        <v>(0.0845)</v>
      </c>
      <c r="D19" t="str">
        <f>"(0.0465)"</f>
        <v>(0.0465)</v>
      </c>
      <c r="E19" t="str">
        <f>"(0.120)"</f>
        <v>(0.120)</v>
      </c>
      <c r="F19" t="str">
        <f>"(0.0900)"</f>
        <v>(0.0900)</v>
      </c>
      <c r="G19" t="str">
        <f>"(0.0497)"</f>
        <v>(0.0497)</v>
      </c>
      <c r="H19" t="str">
        <f>"(0.111)"</f>
        <v>(0.111)</v>
      </c>
      <c r="I19" t="str">
        <f>"(0.0837)"</f>
        <v>(0.0837)</v>
      </c>
      <c r="J19" t="str">
        <f>"(0.0464)"</f>
        <v>(0.0464)</v>
      </c>
      <c r="K19" t="str">
        <f>"(0.119)"</f>
        <v>(0.119)</v>
      </c>
      <c r="L19" t="str">
        <f>"(0.0901)"</f>
        <v>(0.0901)</v>
      </c>
      <c r="M19" t="str">
        <f>"(0.0493)"</f>
        <v>(0.0493)</v>
      </c>
      <c r="N19" t="str">
        <f>"(0.110)"</f>
        <v>(0.110)</v>
      </c>
      <c r="O19" t="str">
        <f>"(0.0829)"</f>
        <v>(0.0829)</v>
      </c>
      <c r="P19" t="str">
        <f>"(0.0459)"</f>
        <v>(0.0459)</v>
      </c>
      <c r="Q19" t="str">
        <f>"(0.113)"</f>
        <v>(0.113)</v>
      </c>
      <c r="R19" t="str">
        <f>"(0.0851)"</f>
        <v>(0.0851)</v>
      </c>
      <c r="S19" t="str">
        <f>"(0.0471)"</f>
        <v>(0.0471)</v>
      </c>
      <c r="T19" t="str">
        <f>"(0.112)"</f>
        <v>(0.112)</v>
      </c>
      <c r="U19" t="str">
        <f>"(0.0848)"</f>
        <v>(0.0848)</v>
      </c>
      <c r="V19" t="str">
        <f>"(0.0467)"</f>
        <v>(0.0467)</v>
      </c>
      <c r="W19" t="str">
        <f>"(0.112)"</f>
        <v>(0.112)</v>
      </c>
      <c r="X19" t="str">
        <f>"(0.0844)"</f>
        <v>(0.0844)</v>
      </c>
      <c r="Y19" t="str">
        <f>"(0.0466)"</f>
        <v>(0.0466)</v>
      </c>
      <c r="Z19" t="str">
        <f>"(0.110)"</f>
        <v>(0.110)</v>
      </c>
      <c r="AA19" t="str">
        <f>"(0.0828)"</f>
        <v>(0.0828)</v>
      </c>
      <c r="AB19" t="str">
        <f>"(0.0458)"</f>
        <v>(0.0458)</v>
      </c>
      <c r="AC19" t="str">
        <f>"(0.111)"</f>
        <v>(0.111)</v>
      </c>
      <c r="AD19" t="str">
        <f>"(0.0833)"</f>
        <v>(0.0833)</v>
      </c>
      <c r="AE19" t="str">
        <f>"(0.0461)"</f>
        <v>(0.0461)</v>
      </c>
      <c r="AF19" t="str">
        <f>"(0.110)"</f>
        <v>(0.110)</v>
      </c>
      <c r="AG19" t="str">
        <f>"(0.0829)"</f>
        <v>(0.0829)</v>
      </c>
      <c r="AH19" t="str">
        <f>"(0.0459)"</f>
        <v>(0.0459)</v>
      </c>
      <c r="AI19" t="str">
        <f>"(0.110)"</f>
        <v>(0.110)</v>
      </c>
      <c r="AJ19" t="str">
        <f>"(0.0827)"</f>
        <v>(0.0827)</v>
      </c>
      <c r="AK19" t="str">
        <f>"(0.0458)"</f>
        <v>(0.0458)</v>
      </c>
      <c r="AL19" t="str">
        <f>"(0.110)"</f>
        <v>(0.110)</v>
      </c>
      <c r="AM19" t="str">
        <f>"(0.0827)"</f>
        <v>(0.0827)</v>
      </c>
      <c r="AN19" t="str">
        <f>"(0.0457)"</f>
        <v>(0.0457)</v>
      </c>
      <c r="AO19" t="str">
        <f>"(0.110)"</f>
        <v>(0.110)</v>
      </c>
      <c r="AP19" t="str">
        <f>"(0.0827)"</f>
        <v>(0.0827)</v>
      </c>
      <c r="AQ19" t="str">
        <f>"(0.0458)"</f>
        <v>(0.0458)</v>
      </c>
      <c r="AR19" t="str">
        <f>"(0.110)"</f>
        <v>(0.110)</v>
      </c>
      <c r="AS19" t="str">
        <f>"(0.0827)"</f>
        <v>(0.0827)</v>
      </c>
      <c r="AT19" t="str">
        <f>"(0.0457)"</f>
        <v>(0.0457)</v>
      </c>
      <c r="AU19" t="str">
        <f>"(0.112)"</f>
        <v>(0.112)</v>
      </c>
      <c r="AV19" t="str">
        <f>"(0.0844)"</f>
        <v>(0.0844)</v>
      </c>
      <c r="AW19" t="str">
        <f>"(0.0465)"</f>
        <v>(0.0465)</v>
      </c>
      <c r="AX19" t="str">
        <f>"(0.120)"</f>
        <v>(0.120)</v>
      </c>
      <c r="AY19" t="str">
        <f>"(0.0900)"</f>
        <v>(0.0900)</v>
      </c>
      <c r="AZ19" t="str">
        <f>"(0.0497)"</f>
        <v>(0.0497)</v>
      </c>
      <c r="BA19" t="str">
        <f>"(0.111)"</f>
        <v>(0.111)</v>
      </c>
      <c r="BB19" t="str">
        <f>"(0.0838)"</f>
        <v>(0.0838)</v>
      </c>
      <c r="BC19" t="str">
        <f>"(0.0464)"</f>
        <v>(0.0464)</v>
      </c>
      <c r="BD19" t="str">
        <f>"(0.119)"</f>
        <v>(0.119)</v>
      </c>
      <c r="BE19" t="str">
        <f>"(0.0902)"</f>
        <v>(0.0902)</v>
      </c>
      <c r="BF19" t="str">
        <f>"(0.0493)"</f>
        <v>(0.0493)</v>
      </c>
      <c r="BG19" t="str">
        <f>"(0.110)"</f>
        <v>(0.110)</v>
      </c>
      <c r="BH19" t="str">
        <f>"(0.0829)"</f>
        <v>(0.0829)</v>
      </c>
      <c r="BI19" t="str">
        <f>"(0.0459)"</f>
        <v>(0.0459)</v>
      </c>
      <c r="BJ19" t="str">
        <f>"(0.113)"</f>
        <v>(0.113)</v>
      </c>
      <c r="BK19" t="str">
        <f>"(0.0851)"</f>
        <v>(0.0851)</v>
      </c>
      <c r="BL19" t="str">
        <f>"(0.0471)"</f>
        <v>(0.0471)</v>
      </c>
      <c r="BM19" t="str">
        <f>"(0.112)"</f>
        <v>(0.112)</v>
      </c>
      <c r="BN19" t="str">
        <f>"(0.0848)"</f>
        <v>(0.0848)</v>
      </c>
      <c r="BO19" t="str">
        <f>"(0.0467)"</f>
        <v>(0.0467)</v>
      </c>
      <c r="BP19" t="str">
        <f>"(0.112)"</f>
        <v>(0.112)</v>
      </c>
      <c r="BQ19" t="str">
        <f>"(0.0844)"</f>
        <v>(0.0844)</v>
      </c>
      <c r="BR19" t="str">
        <f>"(0.0466)"</f>
        <v>(0.0466)</v>
      </c>
      <c r="BS19" t="str">
        <f>"(0.110)"</f>
        <v>(0.110)</v>
      </c>
      <c r="BT19" t="str">
        <f>"(0.0828)"</f>
        <v>(0.0828)</v>
      </c>
      <c r="BU19" t="str">
        <f>"(0.0458)"</f>
        <v>(0.0458)</v>
      </c>
      <c r="BV19" t="str">
        <f>"(0.111)"</f>
        <v>(0.111)</v>
      </c>
      <c r="BW19" t="str">
        <f>"(0.0834)"</f>
        <v>(0.0834)</v>
      </c>
      <c r="BX19" t="str">
        <f>"(0.0462)"</f>
        <v>(0.0462)</v>
      </c>
      <c r="BY19" t="str">
        <f>"(0.110)"</f>
        <v>(0.110)</v>
      </c>
      <c r="BZ19" t="str">
        <f>"(0.0829)"</f>
        <v>(0.0829)</v>
      </c>
      <c r="CA19" t="str">
        <f>"(0.0459)"</f>
        <v>(0.0459)</v>
      </c>
      <c r="CB19" t="str">
        <f>"(0.110)"</f>
        <v>(0.110)</v>
      </c>
      <c r="CC19" t="str">
        <f>"(0.0827)"</f>
        <v>(0.0827)</v>
      </c>
      <c r="CD19" t="str">
        <f>"(0.0458)"</f>
        <v>(0.0458)</v>
      </c>
      <c r="CE19" t="str">
        <f>"(0.110)"</f>
        <v>(0.110)</v>
      </c>
      <c r="CF19" t="str">
        <f>"(0.0827)"</f>
        <v>(0.0827)</v>
      </c>
      <c r="CG19" t="str">
        <f>"(0.0457)"</f>
        <v>(0.0457)</v>
      </c>
      <c r="CH19" t="str">
        <f>"(0.110)"</f>
        <v>(0.110)</v>
      </c>
      <c r="CI19" t="str">
        <f>"(0.0827)"</f>
        <v>(0.0827)</v>
      </c>
      <c r="CJ19" t="str">
        <f>"(0.0458)"</f>
        <v>(0.0458)</v>
      </c>
      <c r="CK19" t="str">
        <f>"(0.110)"</f>
        <v>(0.110)</v>
      </c>
      <c r="CL19" t="str">
        <f>"(0.0827)"</f>
        <v>(0.0827)</v>
      </c>
      <c r="CM19" t="str">
        <f>"(0.0457)"</f>
        <v>(0.0457)</v>
      </c>
      <c r="CN19" t="str">
        <f>"(0.112)"</f>
        <v>(0.112)</v>
      </c>
      <c r="CO19" t="str">
        <f>"(0.0844)"</f>
        <v>(0.0844)</v>
      </c>
      <c r="CP19" t="str">
        <f>"(0.0465)"</f>
        <v>(0.0465)</v>
      </c>
      <c r="CQ19" t="str">
        <f>"(0.120)"</f>
        <v>(0.120)</v>
      </c>
      <c r="CR19" t="str">
        <f>"(0.0899)"</f>
        <v>(0.0899)</v>
      </c>
      <c r="CS19" t="str">
        <f>"(0.0497)"</f>
        <v>(0.0497)</v>
      </c>
      <c r="CT19" t="str">
        <f>"(0.111)"</f>
        <v>(0.111)</v>
      </c>
      <c r="CU19" t="str">
        <f>"(0.0837)"</f>
        <v>(0.0837)</v>
      </c>
      <c r="CV19" t="str">
        <f>"(0.0464)"</f>
        <v>(0.0464)</v>
      </c>
      <c r="CW19" t="str">
        <f>"(0.119)"</f>
        <v>(0.119)</v>
      </c>
      <c r="CX19" t="str">
        <f>"(0.0901)"</f>
        <v>(0.0901)</v>
      </c>
      <c r="CY19" t="str">
        <f>"(0.0493)"</f>
        <v>(0.0493)</v>
      </c>
      <c r="CZ19" t="str">
        <f>"(0.110)"</f>
        <v>(0.110)</v>
      </c>
      <c r="DA19" t="str">
        <f>"(0.0828)"</f>
        <v>(0.0828)</v>
      </c>
      <c r="DB19" t="str">
        <f>"(0.0459)"</f>
        <v>(0.0459)</v>
      </c>
      <c r="DC19" t="str">
        <f>"(0.113)"</f>
        <v>(0.113)</v>
      </c>
      <c r="DD19" t="str">
        <f>"(0.0850)"</f>
        <v>(0.0850)</v>
      </c>
      <c r="DE19" t="str">
        <f>"(0.0471)"</f>
        <v>(0.0471)</v>
      </c>
      <c r="DF19" t="str">
        <f>"(0.112)"</f>
        <v>(0.112)</v>
      </c>
      <c r="DG19" t="str">
        <f>"(0.0848)"</f>
        <v>(0.0848)</v>
      </c>
      <c r="DH19" t="str">
        <f>"(0.0467)"</f>
        <v>(0.0467)</v>
      </c>
      <c r="DI19" t="str">
        <f>"(0.112)"</f>
        <v>(0.112)</v>
      </c>
      <c r="DJ19" t="str">
        <f>"(0.0844)"</f>
        <v>(0.0844)</v>
      </c>
      <c r="DK19" t="str">
        <f>"(0.0466)"</f>
        <v>(0.0466)</v>
      </c>
      <c r="DL19" t="str">
        <f>"(0.110)"</f>
        <v>(0.110)</v>
      </c>
      <c r="DM19" t="str">
        <f>"(0.0827)"</f>
        <v>(0.0827)</v>
      </c>
      <c r="DN19" t="str">
        <f>"(0.0458)"</f>
        <v>(0.0458)</v>
      </c>
      <c r="DO19" t="str">
        <f>"(0.111)"</f>
        <v>(0.111)</v>
      </c>
      <c r="DP19" t="str">
        <f>"(0.0833)"</f>
        <v>(0.0833)</v>
      </c>
      <c r="DQ19" t="str">
        <f>"(0.0461)"</f>
        <v>(0.0461)</v>
      </c>
      <c r="DR19" t="str">
        <f>"(0.110)"</f>
        <v>(0.110)</v>
      </c>
      <c r="DS19" t="str">
        <f>"(0.0829)"</f>
        <v>(0.0829)</v>
      </c>
      <c r="DT19" t="str">
        <f>"(0.0459)"</f>
        <v>(0.0459)</v>
      </c>
      <c r="DU19" t="str">
        <f>"(0.110)"</f>
        <v>(0.110)</v>
      </c>
      <c r="DV19" t="str">
        <f>"(0.0827)"</f>
        <v>(0.0827)</v>
      </c>
      <c r="DW19" t="str">
        <f>"(0.0458)"</f>
        <v>(0.0458)</v>
      </c>
      <c r="DX19" t="str">
        <f>"(0.110)"</f>
        <v>(0.110)</v>
      </c>
      <c r="DY19" t="str">
        <f>"(0.0827)"</f>
        <v>(0.0827)</v>
      </c>
      <c r="DZ19" t="str">
        <f>"(0.0457)"</f>
        <v>(0.0457)</v>
      </c>
      <c r="EA19" t="str">
        <f>"(0.110)"</f>
        <v>(0.110)</v>
      </c>
      <c r="EB19" t="str">
        <f>"(0.0827)"</f>
        <v>(0.0827)</v>
      </c>
      <c r="EC19" t="str">
        <f>"(0.0458)"</f>
        <v>(0.0458)</v>
      </c>
      <c r="ED19" t="str">
        <f>"(0.110)"</f>
        <v>(0.110)</v>
      </c>
      <c r="EE19" t="str">
        <f>"(0.0827)"</f>
        <v>(0.0827)</v>
      </c>
      <c r="EF19" t="str">
        <f>"(0.0457)"</f>
        <v>(0.0457)</v>
      </c>
      <c r="EG19" t="str">
        <f>"(0.112)"</f>
        <v>(0.112)</v>
      </c>
      <c r="EH19" t="str">
        <f>"(0.0844)"</f>
        <v>(0.0844)</v>
      </c>
      <c r="EI19" t="str">
        <f>"(0.0465)"</f>
        <v>(0.0465)</v>
      </c>
      <c r="EJ19" t="str">
        <f>"(0.120)"</f>
        <v>(0.120)</v>
      </c>
      <c r="EK19" t="str">
        <f>"(0.0900)"</f>
        <v>(0.0900)</v>
      </c>
      <c r="EL19" t="str">
        <f>"(0.0497)"</f>
        <v>(0.0497)</v>
      </c>
      <c r="EM19" t="str">
        <f>"(0.111)"</f>
        <v>(0.111)</v>
      </c>
      <c r="EN19" t="str">
        <f>"(0.0838)"</f>
        <v>(0.0838)</v>
      </c>
      <c r="EO19" t="str">
        <f>"(0.0464)"</f>
        <v>(0.0464)</v>
      </c>
      <c r="EP19" t="str">
        <f>"(0.119)"</f>
        <v>(0.119)</v>
      </c>
      <c r="EQ19" t="str">
        <f>"(0.0901)"</f>
        <v>(0.0901)</v>
      </c>
      <c r="ER19" t="str">
        <f>"(0.0493)"</f>
        <v>(0.0493)</v>
      </c>
      <c r="ES19" t="str">
        <f>"(0.110)"</f>
        <v>(0.110)</v>
      </c>
      <c r="ET19" t="str">
        <f>"(0.0829)"</f>
        <v>(0.0829)</v>
      </c>
      <c r="EU19" t="str">
        <f>"(0.0459)"</f>
        <v>(0.0459)</v>
      </c>
      <c r="EV19" t="str">
        <f>"(0.113)"</f>
        <v>(0.113)</v>
      </c>
      <c r="EW19" t="str">
        <f>"(0.0851)"</f>
        <v>(0.0851)</v>
      </c>
      <c r="EX19" t="str">
        <f>"(0.0471)"</f>
        <v>(0.0471)</v>
      </c>
      <c r="EY19" t="str">
        <f>"(0.112)"</f>
        <v>(0.112)</v>
      </c>
      <c r="EZ19" t="str">
        <f>"(0.0848)"</f>
        <v>(0.0848)</v>
      </c>
      <c r="FA19" t="str">
        <f>"(0.0467)"</f>
        <v>(0.0467)</v>
      </c>
      <c r="FB19" t="str">
        <f>"(0.112)"</f>
        <v>(0.112)</v>
      </c>
      <c r="FC19" t="str">
        <f>"(0.0844)"</f>
        <v>(0.0844)</v>
      </c>
      <c r="FD19" t="str">
        <f>"(0.0466)"</f>
        <v>(0.0466)</v>
      </c>
      <c r="FE19" t="str">
        <f>"(0.110)"</f>
        <v>(0.110)</v>
      </c>
      <c r="FF19" t="str">
        <f>"(0.0828)"</f>
        <v>(0.0828)</v>
      </c>
      <c r="FG19" t="str">
        <f>"(0.0458)"</f>
        <v>(0.0458)</v>
      </c>
      <c r="FH19" t="str">
        <f>"(0.111)"</f>
        <v>(0.111)</v>
      </c>
      <c r="FI19" t="str">
        <f>"(0.0834)"</f>
        <v>(0.0834)</v>
      </c>
      <c r="FJ19" t="str">
        <f>"(0.0462)"</f>
        <v>(0.0462)</v>
      </c>
      <c r="FK19" t="str">
        <f>"(0.110)"</f>
        <v>(0.110)</v>
      </c>
      <c r="FL19" t="str">
        <f>"(0.0829)"</f>
        <v>(0.0829)</v>
      </c>
      <c r="FM19" t="str">
        <f>"(0.0459)"</f>
        <v>(0.0459)</v>
      </c>
      <c r="FN19" t="str">
        <f>"(0.110)"</f>
        <v>(0.110)</v>
      </c>
      <c r="FO19" t="str">
        <f>"(0.0827)"</f>
        <v>(0.0827)</v>
      </c>
      <c r="FP19" t="str">
        <f>"(0.0458)"</f>
        <v>(0.0458)</v>
      </c>
      <c r="FQ19" t="str">
        <f>"(0.110)"</f>
        <v>(0.110)</v>
      </c>
      <c r="FR19" t="str">
        <f>"(0.0827)"</f>
        <v>(0.0827)</v>
      </c>
      <c r="FS19" t="str">
        <f>"(0.0457)"</f>
        <v>(0.0457)</v>
      </c>
      <c r="FT19" t="str">
        <f>"(0.110)"</f>
        <v>(0.110)</v>
      </c>
      <c r="FU19" t="str">
        <f>"(0.0827)"</f>
        <v>(0.0827)</v>
      </c>
      <c r="FV19" t="str">
        <f>"(0.0458)"</f>
        <v>(0.0458)</v>
      </c>
      <c r="FW19" t="str">
        <f>"(0.110)"</f>
        <v>(0.110)</v>
      </c>
      <c r="FX19" t="str">
        <f>"(0.0827)"</f>
        <v>(0.0827)</v>
      </c>
      <c r="FY19" t="str">
        <f>"(0.0457)"</f>
        <v>(0.0457)</v>
      </c>
      <c r="FZ19" t="str">
        <f>"(0.112)"</f>
        <v>(0.112)</v>
      </c>
      <c r="GA19" t="str">
        <f>"(0.0845)"</f>
        <v>(0.0845)</v>
      </c>
      <c r="GB19" t="str">
        <f>"(0.0465)"</f>
        <v>(0.0465)</v>
      </c>
      <c r="GC19" t="str">
        <f>"(0.120)"</f>
        <v>(0.120)</v>
      </c>
      <c r="GD19" t="str">
        <f>"(0.0900)"</f>
        <v>(0.0900)</v>
      </c>
      <c r="GE19" t="str">
        <f>"(0.0497)"</f>
        <v>(0.0497)</v>
      </c>
      <c r="GF19" t="str">
        <f>"(0.111)"</f>
        <v>(0.111)</v>
      </c>
      <c r="GG19" t="str">
        <f>"(0.0838)"</f>
        <v>(0.0838)</v>
      </c>
      <c r="GH19" t="str">
        <f>"(0.0464)"</f>
        <v>(0.0464)</v>
      </c>
      <c r="GI19" t="str">
        <f>"(0.119)"</f>
        <v>(0.119)</v>
      </c>
      <c r="GJ19" t="str">
        <f>"(0.0901)"</f>
        <v>(0.0901)</v>
      </c>
      <c r="GK19" t="str">
        <f>"(0.0493)"</f>
        <v>(0.0493)</v>
      </c>
      <c r="GL19" t="str">
        <f>"(0.110)"</f>
        <v>(0.110)</v>
      </c>
      <c r="GM19" t="str">
        <f>"(0.0829)"</f>
        <v>(0.0829)</v>
      </c>
      <c r="GN19" t="str">
        <f>"(0.0459)"</f>
        <v>(0.0459)</v>
      </c>
      <c r="GO19" t="str">
        <f>"(0.113)"</f>
        <v>(0.113)</v>
      </c>
      <c r="GP19" t="str">
        <f>"(0.0851)"</f>
        <v>(0.0851)</v>
      </c>
      <c r="GQ19" t="str">
        <f>"(0.0471)"</f>
        <v>(0.0471)</v>
      </c>
      <c r="GR19" t="str">
        <f>"(0.112)"</f>
        <v>(0.112)</v>
      </c>
      <c r="GS19" t="str">
        <f>"(0.0848)"</f>
        <v>(0.0848)</v>
      </c>
      <c r="GT19" t="str">
        <f>"(0.0467)"</f>
        <v>(0.0467)</v>
      </c>
      <c r="GU19" t="str">
        <f>"(0.112)"</f>
        <v>(0.112)</v>
      </c>
      <c r="GV19" t="str">
        <f>"(0.0844)"</f>
        <v>(0.0844)</v>
      </c>
      <c r="GW19" t="str">
        <f>"(0.0466)"</f>
        <v>(0.0466)</v>
      </c>
      <c r="GX19" t="str">
        <f>"(0.110)"</f>
        <v>(0.110)</v>
      </c>
      <c r="GY19" t="str">
        <f>"(0.0828)"</f>
        <v>(0.0828)</v>
      </c>
      <c r="GZ19" t="str">
        <f>"(0.0458)"</f>
        <v>(0.0458)</v>
      </c>
      <c r="HA19" t="str">
        <f>"(0.111)"</f>
        <v>(0.111)</v>
      </c>
      <c r="HB19" t="str">
        <f>"(0.0834)"</f>
        <v>(0.0834)</v>
      </c>
      <c r="HC19" t="str">
        <f>"(0.0461)"</f>
        <v>(0.0461)</v>
      </c>
      <c r="HD19" t="str">
        <f>"(0.110)"</f>
        <v>(0.110)</v>
      </c>
      <c r="HE19" t="str">
        <f>"(0.0829)"</f>
        <v>(0.0829)</v>
      </c>
      <c r="HF19" t="str">
        <f>"(0.0459)"</f>
        <v>(0.0459)</v>
      </c>
      <c r="HG19" t="str">
        <f>"(0.110)"</f>
        <v>(0.110)</v>
      </c>
      <c r="HH19" t="str">
        <f>"(0.0827)"</f>
        <v>(0.0827)</v>
      </c>
      <c r="HI19" t="str">
        <f>"(0.0458)"</f>
        <v>(0.0458)</v>
      </c>
      <c r="HJ19" t="str">
        <f>"(0.110)"</f>
        <v>(0.110)</v>
      </c>
      <c r="HK19" t="str">
        <f>"(0.0827)"</f>
        <v>(0.0827)</v>
      </c>
      <c r="HL19" t="str">
        <f>"(0.0457)"</f>
        <v>(0.0457)</v>
      </c>
      <c r="HM19" t="str">
        <f>"(0.110)"</f>
        <v>(0.110)</v>
      </c>
      <c r="HN19" t="str">
        <f>"(0.0827)"</f>
        <v>(0.0827)</v>
      </c>
      <c r="HO19" t="str">
        <f>"(0.0458)"</f>
        <v>(0.0458)</v>
      </c>
      <c r="HP19" t="str">
        <f>"(0.110)"</f>
        <v>(0.110)</v>
      </c>
      <c r="HQ19" t="str">
        <f>"(0.0827)"</f>
        <v>(0.0827)</v>
      </c>
      <c r="HR19" t="str">
        <f>"(0.0457)"</f>
        <v>(0.0457)</v>
      </c>
      <c r="HS19" t="str">
        <f>"(0.112)"</f>
        <v>(0.112)</v>
      </c>
      <c r="HT19" t="str">
        <f>"(0.0844)"</f>
        <v>(0.0844)</v>
      </c>
      <c r="HU19" t="str">
        <f>"(0.0465)"</f>
        <v>(0.0465)</v>
      </c>
      <c r="HV19" t="str">
        <f>"(0.120)"</f>
        <v>(0.120)</v>
      </c>
      <c r="HW19" t="str">
        <f>"(0.0900)"</f>
        <v>(0.0900)</v>
      </c>
      <c r="HX19" t="str">
        <f>"(0.0497)"</f>
        <v>(0.0497)</v>
      </c>
      <c r="HY19" t="str">
        <f>"(0.111)"</f>
        <v>(0.111)</v>
      </c>
      <c r="HZ19" t="str">
        <f>"(0.0838)"</f>
        <v>(0.0838)</v>
      </c>
      <c r="IA19" t="str">
        <f>"(0.0464)"</f>
        <v>(0.0464)</v>
      </c>
      <c r="IB19" t="str">
        <f>"(0.119)"</f>
        <v>(0.119)</v>
      </c>
      <c r="IC19" t="str">
        <f>"(0.0901)"</f>
        <v>(0.0901)</v>
      </c>
      <c r="ID19" t="str">
        <f>"(0.0493)"</f>
        <v>(0.0493)</v>
      </c>
      <c r="IE19" t="str">
        <f>"(0.110)"</f>
        <v>(0.110)</v>
      </c>
      <c r="IF19" t="str">
        <f>"(0.0829)"</f>
        <v>(0.0829)</v>
      </c>
      <c r="IG19" t="str">
        <f>"(0.0459)"</f>
        <v>(0.0459)</v>
      </c>
      <c r="IH19" t="str">
        <f>"(0.113)"</f>
        <v>(0.113)</v>
      </c>
      <c r="II19" t="str">
        <f>"(0.0851)"</f>
        <v>(0.0851)</v>
      </c>
      <c r="IJ19" t="str">
        <f>"(0.0471)"</f>
        <v>(0.0471)</v>
      </c>
      <c r="IK19" t="str">
        <f>"(0.112)"</f>
        <v>(0.112)</v>
      </c>
      <c r="IL19" t="str">
        <f>"(0.0848)"</f>
        <v>(0.0848)</v>
      </c>
      <c r="IM19" t="str">
        <f>"(0.0467)"</f>
        <v>(0.0467)</v>
      </c>
      <c r="IN19" t="str">
        <f>"(0.112)"</f>
        <v>(0.112)</v>
      </c>
      <c r="IO19" t="str">
        <f>"(0.0844)"</f>
        <v>(0.0844)</v>
      </c>
      <c r="IP19" t="str">
        <f>"(0.0466)"</f>
        <v>(0.0466)</v>
      </c>
      <c r="IQ19" t="str">
        <f>"(0.110)"</f>
        <v>(0.110)</v>
      </c>
      <c r="IR19" t="str">
        <f>"(0.0828)"</f>
        <v>(0.0828)</v>
      </c>
      <c r="IS19" t="str">
        <f>"(0.0458)"</f>
        <v>(0.0458)</v>
      </c>
      <c r="IT19" t="str">
        <f>"(0.111)"</f>
        <v>(0.111)</v>
      </c>
      <c r="IU19" t="str">
        <f>"(0.0834)"</f>
        <v>(0.0834)</v>
      </c>
      <c r="IV19" t="str">
        <f>"(0.0461)"</f>
        <v>(0.0461)</v>
      </c>
      <c r="IW19" t="str">
        <f>"(0.110)"</f>
        <v>(0.110)</v>
      </c>
      <c r="IX19" t="str">
        <f>"(0.0829)"</f>
        <v>(0.0829)</v>
      </c>
      <c r="IY19" t="str">
        <f>"(0.0459)"</f>
        <v>(0.0459)</v>
      </c>
      <c r="IZ19" t="str">
        <f>"(0.110)"</f>
        <v>(0.110)</v>
      </c>
      <c r="JA19" t="str">
        <f>"(0.0827)"</f>
        <v>(0.0827)</v>
      </c>
      <c r="JB19" t="str">
        <f>"(0.0458)"</f>
        <v>(0.0458)</v>
      </c>
      <c r="JC19" t="str">
        <f>"(0.110)"</f>
        <v>(0.110)</v>
      </c>
      <c r="JD19" t="str">
        <f>"(0.0827)"</f>
        <v>(0.0827)</v>
      </c>
      <c r="JE19" t="str">
        <f>"(0.0457)"</f>
        <v>(0.0457)</v>
      </c>
      <c r="JF19" t="str">
        <f>"(0.110)"</f>
        <v>(0.110)</v>
      </c>
      <c r="JG19" t="str">
        <f>"(0.0827)"</f>
        <v>(0.0827)</v>
      </c>
      <c r="JH19" t="str">
        <f>"(0.0458)"</f>
        <v>(0.0458)</v>
      </c>
      <c r="JI19" t="str">
        <f>"(0.110)"</f>
        <v>(0.110)</v>
      </c>
      <c r="JJ19" t="str">
        <f>"(0.0827)"</f>
        <v>(0.0827)</v>
      </c>
      <c r="JK19" t="str">
        <f>"(0.0457)"</f>
        <v>(0.0457)</v>
      </c>
    </row>
    <row r="21" spans="1:271" x14ac:dyDescent="0.3">
      <c r="A21" t="str">
        <f>"AGE"</f>
        <v>AGE</v>
      </c>
      <c r="B21" t="str">
        <f>"-0.00426"</f>
        <v>-0.00426</v>
      </c>
      <c r="C21" t="str">
        <f>"0.0355**"</f>
        <v>0.0355**</v>
      </c>
      <c r="D21" t="str">
        <f>"-0.0714***"</f>
        <v>-0.0714***</v>
      </c>
      <c r="E21" t="str">
        <f>"-0.00366"</f>
        <v>-0.00366</v>
      </c>
      <c r="F21" t="str">
        <f>"0.0369**"</f>
        <v>0.0369**</v>
      </c>
      <c r="G21" t="str">
        <f>"-0.0691***"</f>
        <v>-0.0691***</v>
      </c>
      <c r="H21" t="str">
        <f>"-0.00127"</f>
        <v>-0.00127</v>
      </c>
      <c r="I21" t="str">
        <f>"0.0384**"</f>
        <v>0.0384**</v>
      </c>
      <c r="J21" t="str">
        <f>"-0.0692***"</f>
        <v>-0.0692***</v>
      </c>
      <c r="K21" t="str">
        <f>"-0.00290"</f>
        <v>-0.00290</v>
      </c>
      <c r="L21" t="str">
        <f>"0.0369**"</f>
        <v>0.0369**</v>
      </c>
      <c r="M21" t="str">
        <f>"-0.0693***"</f>
        <v>-0.0693***</v>
      </c>
      <c r="N21" t="str">
        <f>"-0.00219"</f>
        <v>-0.00219</v>
      </c>
      <c r="O21" t="str">
        <f>"0.0381**"</f>
        <v>0.0381**</v>
      </c>
      <c r="P21" t="str">
        <f>"-0.0711***"</f>
        <v>-0.0711***</v>
      </c>
      <c r="Q21" t="str">
        <f>"-0.00278"</f>
        <v>-0.00278</v>
      </c>
      <c r="R21" t="str">
        <f>"0.0374**"</f>
        <v>0.0374**</v>
      </c>
      <c r="S21" t="str">
        <f>"-0.0685***"</f>
        <v>-0.0685***</v>
      </c>
      <c r="T21" t="str">
        <f>"-0.00302"</f>
        <v>-0.00302</v>
      </c>
      <c r="U21" t="str">
        <f>"0.0391**"</f>
        <v>0.0391**</v>
      </c>
      <c r="V21" t="str">
        <f>"-0.0650***"</f>
        <v>-0.0650***</v>
      </c>
      <c r="W21" t="str">
        <f>"-0.00294"</f>
        <v>-0.00294</v>
      </c>
      <c r="X21" t="str">
        <f>"0.0370**"</f>
        <v>0.0370**</v>
      </c>
      <c r="Y21" t="str">
        <f>"-0.0685***"</f>
        <v>-0.0685***</v>
      </c>
      <c r="Z21" t="str">
        <f>"-0.00336"</f>
        <v>-0.00336</v>
      </c>
      <c r="AA21" t="str">
        <f>"0.0371**"</f>
        <v>0.0371**</v>
      </c>
      <c r="AB21" t="str">
        <f>"-0.0690***"</f>
        <v>-0.0690***</v>
      </c>
      <c r="AC21" t="str">
        <f>"-0.00338"</f>
        <v>-0.00338</v>
      </c>
      <c r="AD21" t="str">
        <f>"0.0373**"</f>
        <v>0.0373**</v>
      </c>
      <c r="AE21" t="str">
        <f>"-0.0689***"</f>
        <v>-0.0689***</v>
      </c>
      <c r="AF21" t="str">
        <f>"-0.00285"</f>
        <v>-0.00285</v>
      </c>
      <c r="AG21" t="str">
        <f>"0.0373**"</f>
        <v>0.0373**</v>
      </c>
      <c r="AH21" t="str">
        <f>"-0.0687***"</f>
        <v>-0.0687***</v>
      </c>
      <c r="AI21" t="str">
        <f>"-0.00348"</f>
        <v>-0.00348</v>
      </c>
      <c r="AJ21" t="str">
        <f>"0.0368**"</f>
        <v>0.0368**</v>
      </c>
      <c r="AK21" t="str">
        <f>"-0.0692***"</f>
        <v>-0.0692***</v>
      </c>
      <c r="AL21" t="str">
        <f>"-0.00368"</f>
        <v>-0.00368</v>
      </c>
      <c r="AM21" t="str">
        <f>"0.0367**"</f>
        <v>0.0367**</v>
      </c>
      <c r="AN21" t="str">
        <f>"-0.0705***"</f>
        <v>-0.0705***</v>
      </c>
      <c r="AO21" t="str">
        <f>"-0.00312"</f>
        <v>-0.00312</v>
      </c>
      <c r="AP21" t="str">
        <f>"0.0370**"</f>
        <v>0.0370**</v>
      </c>
      <c r="AQ21" t="str">
        <f>"-0.0685***"</f>
        <v>-0.0685***</v>
      </c>
      <c r="AR21" t="str">
        <f>"-0.00289"</f>
        <v>-0.00289</v>
      </c>
      <c r="AS21" t="str">
        <f>"0.0373**"</f>
        <v>0.0373**</v>
      </c>
      <c r="AT21" t="str">
        <f>"-0.0686***"</f>
        <v>-0.0686***</v>
      </c>
      <c r="AU21" t="str">
        <f>"-0.00432"</f>
        <v>-0.00432</v>
      </c>
      <c r="AV21" t="str">
        <f>"0.0353**"</f>
        <v>0.0353**</v>
      </c>
      <c r="AW21" t="str">
        <f>"-0.0716***"</f>
        <v>-0.0716***</v>
      </c>
      <c r="AX21" t="str">
        <f>"-0.00367"</f>
        <v>-0.00367</v>
      </c>
      <c r="AY21" t="str">
        <f>"0.0369**"</f>
        <v>0.0369**</v>
      </c>
      <c r="AZ21" t="str">
        <f>"-0.0693***"</f>
        <v>-0.0693***</v>
      </c>
      <c r="BA21" t="str">
        <f>"-0.00127"</f>
        <v>-0.00127</v>
      </c>
      <c r="BB21" t="str">
        <f>"0.0384**"</f>
        <v>0.0384**</v>
      </c>
      <c r="BC21" t="str">
        <f>"-0.0693***"</f>
        <v>-0.0693***</v>
      </c>
      <c r="BD21" t="str">
        <f>"-0.00296"</f>
        <v>-0.00296</v>
      </c>
      <c r="BE21" t="str">
        <f>"0.0369**"</f>
        <v>0.0369**</v>
      </c>
      <c r="BF21" t="str">
        <f>"-0.0696***"</f>
        <v>-0.0696***</v>
      </c>
      <c r="BG21" t="str">
        <f>"-0.00214"</f>
        <v>-0.00214</v>
      </c>
      <c r="BH21" t="str">
        <f>"0.0381**"</f>
        <v>0.0381**</v>
      </c>
      <c r="BI21" t="str">
        <f>"-0.0711***"</f>
        <v>-0.0711***</v>
      </c>
      <c r="BJ21" t="str">
        <f>"-0.00261"</f>
        <v>-0.00261</v>
      </c>
      <c r="BK21" t="str">
        <f>"0.0374**"</f>
        <v>0.0374**</v>
      </c>
      <c r="BL21" t="str">
        <f>"-0.0686***"</f>
        <v>-0.0686***</v>
      </c>
      <c r="BM21" t="str">
        <f>"-0.00300"</f>
        <v>-0.00300</v>
      </c>
      <c r="BN21" t="str">
        <f>"0.0390**"</f>
        <v>0.0390**</v>
      </c>
      <c r="BO21" t="str">
        <f>"-0.0653***"</f>
        <v>-0.0653***</v>
      </c>
      <c r="BP21" t="str">
        <f>"-0.00290"</f>
        <v>-0.00290</v>
      </c>
      <c r="BQ21" t="str">
        <f>"0.0372**"</f>
        <v>0.0372**</v>
      </c>
      <c r="BR21" t="str">
        <f>"-0.0687***"</f>
        <v>-0.0687***</v>
      </c>
      <c r="BS21" t="str">
        <f>"-0.00324"</f>
        <v>-0.00324</v>
      </c>
      <c r="BT21" t="str">
        <f>"0.0373**"</f>
        <v>0.0373**</v>
      </c>
      <c r="BU21" t="str">
        <f>"-0.0692***"</f>
        <v>-0.0692***</v>
      </c>
      <c r="BV21" t="str">
        <f>"-0.00319"</f>
        <v>-0.00319</v>
      </c>
      <c r="BW21" t="str">
        <f>"0.0374**"</f>
        <v>0.0374**</v>
      </c>
      <c r="BX21" t="str">
        <f>"-0.0690***"</f>
        <v>-0.0690***</v>
      </c>
      <c r="BY21" t="str">
        <f>"-0.00270"</f>
        <v>-0.00270</v>
      </c>
      <c r="BZ21" t="str">
        <f>"0.0373**"</f>
        <v>0.0373**</v>
      </c>
      <c r="CA21" t="str">
        <f>"-0.0688***"</f>
        <v>-0.0688***</v>
      </c>
      <c r="CB21" t="str">
        <f>"-0.00353"</f>
        <v>-0.00353</v>
      </c>
      <c r="CC21" t="str">
        <f>"0.0371**"</f>
        <v>0.0371**</v>
      </c>
      <c r="CD21" t="str">
        <f>"-0.0694***"</f>
        <v>-0.0694***</v>
      </c>
      <c r="CE21" t="str">
        <f>"-0.00364"</f>
        <v>-0.00364</v>
      </c>
      <c r="CF21" t="str">
        <f>"0.0368**"</f>
        <v>0.0368**</v>
      </c>
      <c r="CG21" t="str">
        <f>"-0.0707***"</f>
        <v>-0.0707***</v>
      </c>
      <c r="CH21" t="str">
        <f>"-0.00290"</f>
        <v>-0.00290</v>
      </c>
      <c r="CI21" t="str">
        <f>"0.0371**"</f>
        <v>0.0371**</v>
      </c>
      <c r="CJ21" t="str">
        <f>"-0.0688***"</f>
        <v>-0.0688***</v>
      </c>
      <c r="CK21" t="str">
        <f>"-0.00286"</f>
        <v>-0.00286</v>
      </c>
      <c r="CL21" t="str">
        <f>"0.0373**"</f>
        <v>0.0373**</v>
      </c>
      <c r="CM21" t="str">
        <f>"-0.0688***"</f>
        <v>-0.0688***</v>
      </c>
      <c r="CN21" t="str">
        <f>"-0.00431"</f>
        <v>-0.00431</v>
      </c>
      <c r="CO21" t="str">
        <f>"0.0354**"</f>
        <v>0.0354**</v>
      </c>
      <c r="CP21" t="str">
        <f>"-0.0716***"</f>
        <v>-0.0716***</v>
      </c>
      <c r="CQ21" t="str">
        <f>"-0.00348"</f>
        <v>-0.00348</v>
      </c>
      <c r="CR21" t="str">
        <f>"0.0371**"</f>
        <v>0.0371**</v>
      </c>
      <c r="CS21" t="str">
        <f>"-0.0693***"</f>
        <v>-0.0693***</v>
      </c>
      <c r="CT21" t="str">
        <f>"-0.00120"</f>
        <v>-0.00120</v>
      </c>
      <c r="CU21" t="str">
        <f>"0.0385**"</f>
        <v>0.0385**</v>
      </c>
      <c r="CV21" t="str">
        <f>"-0.0694***"</f>
        <v>-0.0694***</v>
      </c>
      <c r="CW21" t="str">
        <f>"-0.00308"</f>
        <v>-0.00308</v>
      </c>
      <c r="CX21" t="str">
        <f>"0.0369**"</f>
        <v>0.0369**</v>
      </c>
      <c r="CY21" t="str">
        <f>"-0.0695***"</f>
        <v>-0.0695***</v>
      </c>
      <c r="CZ21" t="str">
        <f>"-0.00198"</f>
        <v>-0.00198</v>
      </c>
      <c r="DA21" t="str">
        <f>"0.0382**"</f>
        <v>0.0382**</v>
      </c>
      <c r="DB21" t="str">
        <f>"-0.0712***"</f>
        <v>-0.0712***</v>
      </c>
      <c r="DC21" t="str">
        <f>"-0.00261"</f>
        <v>-0.00261</v>
      </c>
      <c r="DD21" t="str">
        <f>"0.0377**"</f>
        <v>0.0377**</v>
      </c>
      <c r="DE21" t="str">
        <f>"-0.0686***"</f>
        <v>-0.0686***</v>
      </c>
      <c r="DF21" t="str">
        <f>"-0.00316"</f>
        <v>-0.00316</v>
      </c>
      <c r="DG21" t="str">
        <f>"0.0390**"</f>
        <v>0.0390**</v>
      </c>
      <c r="DH21" t="str">
        <f>"-0.0653***"</f>
        <v>-0.0653***</v>
      </c>
      <c r="DI21" t="str">
        <f>"-0.00287"</f>
        <v>-0.00287</v>
      </c>
      <c r="DJ21" t="str">
        <f>"0.0374**"</f>
        <v>0.0374**</v>
      </c>
      <c r="DK21" t="str">
        <f>"-0.0687***"</f>
        <v>-0.0687***</v>
      </c>
      <c r="DL21" t="str">
        <f>"-0.00318"</f>
        <v>-0.00318</v>
      </c>
      <c r="DM21" t="str">
        <f>"0.0371**"</f>
        <v>0.0371**</v>
      </c>
      <c r="DN21" t="str">
        <f>"-0.0692***"</f>
        <v>-0.0692***</v>
      </c>
      <c r="DO21" t="str">
        <f>"-0.00328"</f>
        <v>-0.00328</v>
      </c>
      <c r="DP21" t="str">
        <f>"0.0374**"</f>
        <v>0.0374**</v>
      </c>
      <c r="DQ21" t="str">
        <f>"-0.0690***"</f>
        <v>-0.0690***</v>
      </c>
      <c r="DR21" t="str">
        <f>"-0.00268"</f>
        <v>-0.00268</v>
      </c>
      <c r="DS21" t="str">
        <f>"0.0373**"</f>
        <v>0.0373**</v>
      </c>
      <c r="DT21" t="str">
        <f>"-0.0689***"</f>
        <v>-0.0689***</v>
      </c>
      <c r="DU21" t="str">
        <f>"-0.00392"</f>
        <v>-0.00392</v>
      </c>
      <c r="DV21" t="str">
        <f>"0.0371**"</f>
        <v>0.0371**</v>
      </c>
      <c r="DW21" t="str">
        <f>"-0.0693***"</f>
        <v>-0.0693***</v>
      </c>
      <c r="DX21" t="str">
        <f>"-0.00412"</f>
        <v>-0.00412</v>
      </c>
      <c r="DY21" t="str">
        <f>"0.0368**"</f>
        <v>0.0368**</v>
      </c>
      <c r="DZ21" t="str">
        <f>"-0.0707***"</f>
        <v>-0.0707***</v>
      </c>
      <c r="EA21" t="str">
        <f>"-0.00308"</f>
        <v>-0.00308</v>
      </c>
      <c r="EB21" t="str">
        <f>"0.0371**"</f>
        <v>0.0371**</v>
      </c>
      <c r="EC21" t="str">
        <f>"-0.0688***"</f>
        <v>-0.0688***</v>
      </c>
      <c r="ED21" t="str">
        <f>"-0.00287"</f>
        <v>-0.00287</v>
      </c>
      <c r="EE21" t="str">
        <f>"0.0375**"</f>
        <v>0.0375**</v>
      </c>
      <c r="EF21" t="str">
        <f>"-0.0688***"</f>
        <v>-0.0688***</v>
      </c>
      <c r="EG21" t="str">
        <f>"-0.00408"</f>
        <v>-0.00408</v>
      </c>
      <c r="EH21" t="str">
        <f>"0.0353**"</f>
        <v>0.0353**</v>
      </c>
      <c r="EI21" t="str">
        <f>"-0.0717***"</f>
        <v>-0.0717***</v>
      </c>
      <c r="EJ21" t="str">
        <f>"-0.00357"</f>
        <v>-0.00357</v>
      </c>
      <c r="EK21" t="str">
        <f>"0.0368**"</f>
        <v>0.0368**</v>
      </c>
      <c r="EL21" t="str">
        <f>"-0.0693***"</f>
        <v>-0.0693***</v>
      </c>
      <c r="EM21" t="str">
        <f>"-0.00122"</f>
        <v>-0.00122</v>
      </c>
      <c r="EN21" t="str">
        <f>"0.0384**"</f>
        <v>0.0384**</v>
      </c>
      <c r="EO21" t="str">
        <f>"-0.0693***"</f>
        <v>-0.0693***</v>
      </c>
      <c r="EP21" t="str">
        <f>"-0.00284"</f>
        <v>-0.00284</v>
      </c>
      <c r="EQ21" t="str">
        <f>"0.0367**"</f>
        <v>0.0367**</v>
      </c>
      <c r="ER21" t="str">
        <f>"-0.0696***"</f>
        <v>-0.0696***</v>
      </c>
      <c r="ES21" t="str">
        <f>"-0.00199"</f>
        <v>-0.00199</v>
      </c>
      <c r="ET21" t="str">
        <f>"0.0380**"</f>
        <v>0.0380**</v>
      </c>
      <c r="EU21" t="str">
        <f>"-0.0712***"</f>
        <v>-0.0712***</v>
      </c>
      <c r="EV21" t="str">
        <f>"-0.00251"</f>
        <v>-0.00251</v>
      </c>
      <c r="EW21" t="str">
        <f>"0.0373**"</f>
        <v>0.0373**</v>
      </c>
      <c r="EX21" t="str">
        <f>"-0.0686***"</f>
        <v>-0.0686***</v>
      </c>
      <c r="EY21" t="str">
        <f>"-0.00284"</f>
        <v>-0.00284</v>
      </c>
      <c r="EZ21" t="str">
        <f>"0.0389**"</f>
        <v>0.0389**</v>
      </c>
      <c r="FA21" t="str">
        <f>"-0.0653***"</f>
        <v>-0.0653***</v>
      </c>
      <c r="FB21" t="str">
        <f>"-0.00274"</f>
        <v>-0.00274</v>
      </c>
      <c r="FC21" t="str">
        <f>"0.0373**"</f>
        <v>0.0373**</v>
      </c>
      <c r="FD21" t="str">
        <f>"-0.0687***"</f>
        <v>-0.0687***</v>
      </c>
      <c r="FE21" t="str">
        <f>"-0.00316"</f>
        <v>-0.00316</v>
      </c>
      <c r="FF21" t="str">
        <f>"0.0370**"</f>
        <v>0.0370**</v>
      </c>
      <c r="FG21" t="str">
        <f>"-0.0692***"</f>
        <v>-0.0692***</v>
      </c>
      <c r="FH21" t="str">
        <f>"-0.00302"</f>
        <v>-0.00302</v>
      </c>
      <c r="FI21" t="str">
        <f>"0.0373**"</f>
        <v>0.0373**</v>
      </c>
      <c r="FJ21" t="str">
        <f>"-0.0690***"</f>
        <v>-0.0690***</v>
      </c>
      <c r="FK21" t="str">
        <f>"-0.00258"</f>
        <v>-0.00258</v>
      </c>
      <c r="FL21" t="str">
        <f>"0.0372**"</f>
        <v>0.0372**</v>
      </c>
      <c r="FM21" t="str">
        <f>"-0.0688***"</f>
        <v>-0.0688***</v>
      </c>
      <c r="FN21" t="str">
        <f>"-0.00337"</f>
        <v>-0.00337</v>
      </c>
      <c r="FO21" t="str">
        <f>"0.0368**"</f>
        <v>0.0368**</v>
      </c>
      <c r="FP21" t="str">
        <f>"-0.0695***"</f>
        <v>-0.0695***</v>
      </c>
      <c r="FQ21" t="str">
        <f>"-0.00384"</f>
        <v>-0.00384</v>
      </c>
      <c r="FR21" t="str">
        <f>"0.0367**"</f>
        <v>0.0367**</v>
      </c>
      <c r="FS21" t="str">
        <f>"-0.0707***"</f>
        <v>-0.0707***</v>
      </c>
      <c r="FT21" t="str">
        <f>"-0.00278"</f>
        <v>-0.00278</v>
      </c>
      <c r="FU21" t="str">
        <f>"0.0371**"</f>
        <v>0.0371**</v>
      </c>
      <c r="FV21" t="str">
        <f>"-0.0687***"</f>
        <v>-0.0687***</v>
      </c>
      <c r="FW21" t="str">
        <f>"-0.00294"</f>
        <v>-0.00294</v>
      </c>
      <c r="FX21" t="str">
        <f>"0.0372**"</f>
        <v>0.0372**</v>
      </c>
      <c r="FY21" t="str">
        <f>"-0.0688***"</f>
        <v>-0.0688***</v>
      </c>
      <c r="FZ21" t="str">
        <f>"-0.00424"</f>
        <v>-0.00424</v>
      </c>
      <c r="GA21" t="str">
        <f>"0.0355**"</f>
        <v>0.0355**</v>
      </c>
      <c r="GB21" t="str">
        <f>"-0.0717***"</f>
        <v>-0.0717***</v>
      </c>
      <c r="GC21" t="str">
        <f>"-0.00364"</f>
        <v>-0.00364</v>
      </c>
      <c r="GD21" t="str">
        <f>"0.0368**"</f>
        <v>0.0368**</v>
      </c>
      <c r="GE21" t="str">
        <f>"-0.0693***"</f>
        <v>-0.0693***</v>
      </c>
      <c r="GF21" t="str">
        <f>"-0.00119"</f>
        <v>-0.00119</v>
      </c>
      <c r="GG21" t="str">
        <f>"0.0383**"</f>
        <v>0.0383**</v>
      </c>
      <c r="GH21" t="str">
        <f>"-0.0693***"</f>
        <v>-0.0693***</v>
      </c>
      <c r="GI21" t="str">
        <f>"-0.00286"</f>
        <v>-0.00286</v>
      </c>
      <c r="GJ21" t="str">
        <f>"0.0368**"</f>
        <v>0.0368**</v>
      </c>
      <c r="GK21" t="str">
        <f>"-0.0696***"</f>
        <v>-0.0696***</v>
      </c>
      <c r="GL21" t="str">
        <f>"-0.00189"</f>
        <v>-0.00189</v>
      </c>
      <c r="GM21" t="str">
        <f>"0.0380**"</f>
        <v>0.0380**</v>
      </c>
      <c r="GN21" t="str">
        <f>"-0.0712***"</f>
        <v>-0.0712***</v>
      </c>
      <c r="GO21" t="str">
        <f>"-0.00265"</f>
        <v>-0.00265</v>
      </c>
      <c r="GP21" t="str">
        <f>"0.0373**"</f>
        <v>0.0373**</v>
      </c>
      <c r="GQ21" t="str">
        <f>"-0.0686***"</f>
        <v>-0.0686***</v>
      </c>
      <c r="GR21" t="str">
        <f>"-0.00303"</f>
        <v>-0.00303</v>
      </c>
      <c r="GS21" t="str">
        <f>"0.0389**"</f>
        <v>0.0389**</v>
      </c>
      <c r="GT21" t="str">
        <f>"-0.0652***"</f>
        <v>-0.0652***</v>
      </c>
      <c r="GU21" t="str">
        <f>"-0.00280"</f>
        <v>-0.00280</v>
      </c>
      <c r="GV21" t="str">
        <f>"0.0373**"</f>
        <v>0.0373**</v>
      </c>
      <c r="GW21" t="str">
        <f>"-0.0687***"</f>
        <v>-0.0687***</v>
      </c>
      <c r="GX21" t="str">
        <f>"-0.00329"</f>
        <v>-0.00329</v>
      </c>
      <c r="GY21" t="str">
        <f>"0.0370**"</f>
        <v>0.0370**</v>
      </c>
      <c r="GZ21" t="str">
        <f>"-0.0692***"</f>
        <v>-0.0692***</v>
      </c>
      <c r="HA21" t="str">
        <f>"-0.00316"</f>
        <v>-0.00316</v>
      </c>
      <c r="HB21" t="str">
        <f>"0.0373**"</f>
        <v>0.0373**</v>
      </c>
      <c r="HC21" t="str">
        <f>"-0.0690***"</f>
        <v>-0.0690***</v>
      </c>
      <c r="HD21" t="str">
        <f>"-0.00275"</f>
        <v>-0.00275</v>
      </c>
      <c r="HE21" t="str">
        <f>"0.0372**"</f>
        <v>0.0372**</v>
      </c>
      <c r="HF21" t="str">
        <f>"-0.0688***"</f>
        <v>-0.0688***</v>
      </c>
      <c r="HG21" t="str">
        <f>"-0.00350"</f>
        <v>-0.00350</v>
      </c>
      <c r="HH21" t="str">
        <f>"0.0368**"</f>
        <v>0.0368**</v>
      </c>
      <c r="HI21" t="str">
        <f>"-0.0695***"</f>
        <v>-0.0695***</v>
      </c>
      <c r="HJ21" t="str">
        <f>"-0.00388"</f>
        <v>-0.00388</v>
      </c>
      <c r="HK21" t="str">
        <f>"0.0367**"</f>
        <v>0.0367**</v>
      </c>
      <c r="HL21" t="str">
        <f>"-0.0707***"</f>
        <v>-0.0707***</v>
      </c>
      <c r="HM21" t="str">
        <f>"-0.00299"</f>
        <v>-0.00299</v>
      </c>
      <c r="HN21" t="str">
        <f>"0.0371**"</f>
        <v>0.0371**</v>
      </c>
      <c r="HO21" t="str">
        <f>"-0.0687***"</f>
        <v>-0.0687***</v>
      </c>
      <c r="HP21" t="str">
        <f>"-0.00294"</f>
        <v>-0.00294</v>
      </c>
      <c r="HQ21" t="str">
        <f>"0.0372**"</f>
        <v>0.0372**</v>
      </c>
      <c r="HR21" t="str">
        <f>"-0.0688***"</f>
        <v>-0.0688***</v>
      </c>
      <c r="HS21" t="str">
        <f>"-0.00436"</f>
        <v>-0.00436</v>
      </c>
      <c r="HT21" t="str">
        <f>"0.0356**"</f>
        <v>0.0356**</v>
      </c>
      <c r="HU21" t="str">
        <f>"-0.0715***"</f>
        <v>-0.0715***</v>
      </c>
      <c r="HV21" t="str">
        <f>"-0.00375"</f>
        <v>-0.00375</v>
      </c>
      <c r="HW21" t="str">
        <f>"0.0369**"</f>
        <v>0.0369**</v>
      </c>
      <c r="HX21" t="str">
        <f>"-0.0691***"</f>
        <v>-0.0691***</v>
      </c>
      <c r="HY21" t="str">
        <f>"-0.00122"</f>
        <v>-0.00122</v>
      </c>
      <c r="HZ21" t="str">
        <f>"0.0384**"</f>
        <v>0.0384**</v>
      </c>
      <c r="IA21" t="str">
        <f>"-0.0692***"</f>
        <v>-0.0692***</v>
      </c>
      <c r="IB21" t="str">
        <f>"-0.00304"</f>
        <v>-0.00304</v>
      </c>
      <c r="IC21" t="str">
        <f>"0.0369**"</f>
        <v>0.0369**</v>
      </c>
      <c r="ID21" t="str">
        <f>"-0.0694***"</f>
        <v>-0.0694***</v>
      </c>
      <c r="IE21" t="str">
        <f>"-0.00197"</f>
        <v>-0.00197</v>
      </c>
      <c r="IF21" t="str">
        <f>"0.0381**"</f>
        <v>0.0381**</v>
      </c>
      <c r="IG21" t="str">
        <f>"-0.0711***"</f>
        <v>-0.0711***</v>
      </c>
      <c r="IH21" t="str">
        <f>"-0.00271"</f>
        <v>-0.00271</v>
      </c>
      <c r="II21" t="str">
        <f>"0.0375**"</f>
        <v>0.0375**</v>
      </c>
      <c r="IJ21" t="str">
        <f>"-0.0685***"</f>
        <v>-0.0685***</v>
      </c>
      <c r="IK21" t="str">
        <f>"-0.00314"</f>
        <v>-0.00314</v>
      </c>
      <c r="IL21" t="str">
        <f>"0.0390**"</f>
        <v>0.0390**</v>
      </c>
      <c r="IM21" t="str">
        <f>"-0.0652***"</f>
        <v>-0.0652***</v>
      </c>
      <c r="IN21" t="str">
        <f>"-0.00301"</f>
        <v>-0.00301</v>
      </c>
      <c r="IO21" t="str">
        <f>"0.0372**"</f>
        <v>0.0372**</v>
      </c>
      <c r="IP21" t="str">
        <f>"-0.0686***"</f>
        <v>-0.0686***</v>
      </c>
      <c r="IQ21" t="str">
        <f>"-0.00340"</f>
        <v>-0.00340</v>
      </c>
      <c r="IR21" t="str">
        <f>"0.0372**"</f>
        <v>0.0372**</v>
      </c>
      <c r="IS21" t="str">
        <f>"-0.0691***"</f>
        <v>-0.0691***</v>
      </c>
      <c r="IT21" t="str">
        <f>"-0.00321"</f>
        <v>-0.00321</v>
      </c>
      <c r="IU21" t="str">
        <f>"0.0374**"</f>
        <v>0.0374**</v>
      </c>
      <c r="IV21" t="str">
        <f>"-0.0689***"</f>
        <v>-0.0689***</v>
      </c>
      <c r="IW21" t="str">
        <f>"-0.00286"</f>
        <v>-0.00286</v>
      </c>
      <c r="IX21" t="str">
        <f>"0.0374**"</f>
        <v>0.0374**</v>
      </c>
      <c r="IY21" t="str">
        <f>"-0.0687***"</f>
        <v>-0.0687***</v>
      </c>
      <c r="IZ21" t="str">
        <f>"-0.00355"</f>
        <v>-0.00355</v>
      </c>
      <c r="JA21" t="str">
        <f>"0.0371**"</f>
        <v>0.0371**</v>
      </c>
      <c r="JB21" t="str">
        <f>"-0.0694***"</f>
        <v>-0.0694***</v>
      </c>
      <c r="JC21" t="str">
        <f>"-0.00406"</f>
        <v>-0.00406</v>
      </c>
      <c r="JD21" t="str">
        <f>"0.0368**"</f>
        <v>0.0368**</v>
      </c>
      <c r="JE21" t="str">
        <f>"-0.0705***"</f>
        <v>-0.0705***</v>
      </c>
      <c r="JF21" t="str">
        <f>"-0.00310"</f>
        <v>-0.00310</v>
      </c>
      <c r="JG21" t="str">
        <f>"0.0370**"</f>
        <v>0.0370**</v>
      </c>
      <c r="JH21" t="str">
        <f>"-0.0686***"</f>
        <v>-0.0686***</v>
      </c>
      <c r="JI21" t="str">
        <f>"-0.00309"</f>
        <v>-0.00309</v>
      </c>
      <c r="JJ21" t="str">
        <f>"0.0373**"</f>
        <v>0.0373**</v>
      </c>
      <c r="JK21" t="str">
        <f>"-0.0686***"</f>
        <v>-0.0686***</v>
      </c>
    </row>
    <row r="22" spans="1:271" x14ac:dyDescent="0.3">
      <c r="A22" t="str">
        <f>""</f>
        <v/>
      </c>
      <c r="B22" t="str">
        <f>"(0.0134)"</f>
        <v>(0.0134)</v>
      </c>
      <c r="C22" t="str">
        <f>"(0.0132)"</f>
        <v>(0.0132)</v>
      </c>
      <c r="D22" t="str">
        <f>"(0.00580)"</f>
        <v>(0.00580)</v>
      </c>
      <c r="E22" t="str">
        <f>"(0.0133)"</f>
        <v>(0.0133)</v>
      </c>
      <c r="F22" t="str">
        <f>"(0.0132)"</f>
        <v>(0.0132)</v>
      </c>
      <c r="G22" t="str">
        <f>"(0.00580)"</f>
        <v>(0.00580)</v>
      </c>
      <c r="H22" t="str">
        <f>"(0.0133)"</f>
        <v>(0.0133)</v>
      </c>
      <c r="I22" t="str">
        <f>"(0.0132)"</f>
        <v>(0.0132)</v>
      </c>
      <c r="J22" t="str">
        <f>"(0.00580)"</f>
        <v>(0.00580)</v>
      </c>
      <c r="K22" t="str">
        <f>"(0.0133)"</f>
        <v>(0.0133)</v>
      </c>
      <c r="L22" t="str">
        <f>"(0.0132)"</f>
        <v>(0.0132)</v>
      </c>
      <c r="M22" t="str">
        <f>"(0.00579)"</f>
        <v>(0.00579)</v>
      </c>
      <c r="N22" t="str">
        <f>"(0.0134)"</f>
        <v>(0.0134)</v>
      </c>
      <c r="O22" t="str">
        <f>"(0.0132)"</f>
        <v>(0.0132)</v>
      </c>
      <c r="P22" t="str">
        <f>"(0.00580)"</f>
        <v>(0.00580)</v>
      </c>
      <c r="Q22" t="str">
        <f>"(0.0133)"</f>
        <v>(0.0133)</v>
      </c>
      <c r="R22" t="str">
        <f>"(0.0132)"</f>
        <v>(0.0132)</v>
      </c>
      <c r="S22" t="str">
        <f>"(0.00580)"</f>
        <v>(0.00580)</v>
      </c>
      <c r="T22" t="str">
        <f>"(0.0134)"</f>
        <v>(0.0134)</v>
      </c>
      <c r="U22" t="str">
        <f>"(0.0132)"</f>
        <v>(0.0132)</v>
      </c>
      <c r="V22" t="str">
        <f>"(0.00581)"</f>
        <v>(0.00581)</v>
      </c>
      <c r="W22" t="str">
        <f>"(0.0133)"</f>
        <v>(0.0133)</v>
      </c>
      <c r="X22" t="str">
        <f>"(0.0132)"</f>
        <v>(0.0132)</v>
      </c>
      <c r="Y22" t="str">
        <f>"(0.00580)"</f>
        <v>(0.00580)</v>
      </c>
      <c r="Z22" t="str">
        <f>"(0.0133)"</f>
        <v>(0.0133)</v>
      </c>
      <c r="AA22" t="str">
        <f>"(0.0132)"</f>
        <v>(0.0132)</v>
      </c>
      <c r="AB22" t="str">
        <f>"(0.00579)"</f>
        <v>(0.00579)</v>
      </c>
      <c r="AC22" t="str">
        <f>"(0.0133)"</f>
        <v>(0.0133)</v>
      </c>
      <c r="AD22" t="str">
        <f>"(0.0132)"</f>
        <v>(0.0132)</v>
      </c>
      <c r="AE22" t="str">
        <f>"(0.00580)"</f>
        <v>(0.00580)</v>
      </c>
      <c r="AF22" t="str">
        <f>"(0.0133)"</f>
        <v>(0.0133)</v>
      </c>
      <c r="AG22" t="str">
        <f>"(0.0132)"</f>
        <v>(0.0132)</v>
      </c>
      <c r="AH22" t="str">
        <f>"(0.00580)"</f>
        <v>(0.00580)</v>
      </c>
      <c r="AI22" t="str">
        <f>"(0.0133)"</f>
        <v>(0.0133)</v>
      </c>
      <c r="AJ22" t="str">
        <f>"(0.0132)"</f>
        <v>(0.0132)</v>
      </c>
      <c r="AK22" t="str">
        <f>"(0.00580)"</f>
        <v>(0.00580)</v>
      </c>
      <c r="AL22" t="str">
        <f>"(0.0134)"</f>
        <v>(0.0134)</v>
      </c>
      <c r="AM22" t="str">
        <f>"(0.0132)"</f>
        <v>(0.0132)</v>
      </c>
      <c r="AN22" t="str">
        <f>"(0.00581)"</f>
        <v>(0.00581)</v>
      </c>
      <c r="AO22" t="str">
        <f>"(0.0133)"</f>
        <v>(0.0133)</v>
      </c>
      <c r="AP22" t="str">
        <f>"(0.0132)"</f>
        <v>(0.0132)</v>
      </c>
      <c r="AQ22" t="str">
        <f>"(0.00580)"</f>
        <v>(0.00580)</v>
      </c>
      <c r="AR22" t="str">
        <f>"(0.0133)"</f>
        <v>(0.0133)</v>
      </c>
      <c r="AS22" t="str">
        <f>"(0.0132)"</f>
        <v>(0.0132)</v>
      </c>
      <c r="AT22" t="str">
        <f>"(0.00580)"</f>
        <v>(0.00580)</v>
      </c>
      <c r="AU22" t="str">
        <f>"(0.0134)"</f>
        <v>(0.0134)</v>
      </c>
      <c r="AV22" t="str">
        <f>"(0.0132)"</f>
        <v>(0.0132)</v>
      </c>
      <c r="AW22" t="str">
        <f>"(0.00580)"</f>
        <v>(0.00580)</v>
      </c>
      <c r="AX22" t="str">
        <f>"(0.0133)"</f>
        <v>(0.0133)</v>
      </c>
      <c r="AY22" t="str">
        <f>"(0.0132)"</f>
        <v>(0.0132)</v>
      </c>
      <c r="AZ22" t="str">
        <f>"(0.00580)"</f>
        <v>(0.00580)</v>
      </c>
      <c r="BA22" t="str">
        <f>"(0.0133)"</f>
        <v>(0.0133)</v>
      </c>
      <c r="BB22" t="str">
        <f>"(0.0132)"</f>
        <v>(0.0132)</v>
      </c>
      <c r="BC22" t="str">
        <f>"(0.00580)"</f>
        <v>(0.00580)</v>
      </c>
      <c r="BD22" t="str">
        <f>"(0.0133)"</f>
        <v>(0.0133)</v>
      </c>
      <c r="BE22" t="str">
        <f>"(0.0132)"</f>
        <v>(0.0132)</v>
      </c>
      <c r="BF22" t="str">
        <f>"(0.00579)"</f>
        <v>(0.00579)</v>
      </c>
      <c r="BG22" t="str">
        <f>"(0.0134)"</f>
        <v>(0.0134)</v>
      </c>
      <c r="BH22" t="str">
        <f>"(0.0132)"</f>
        <v>(0.0132)</v>
      </c>
      <c r="BI22" t="str">
        <f>"(0.00580)"</f>
        <v>(0.00580)</v>
      </c>
      <c r="BJ22" t="str">
        <f>"(0.0133)"</f>
        <v>(0.0133)</v>
      </c>
      <c r="BK22" t="str">
        <f>"(0.0132)"</f>
        <v>(0.0132)</v>
      </c>
      <c r="BL22" t="str">
        <f>"(0.00580)"</f>
        <v>(0.00580)</v>
      </c>
      <c r="BM22" t="str">
        <f>"(0.0134)"</f>
        <v>(0.0134)</v>
      </c>
      <c r="BN22" t="str">
        <f>"(0.0132)"</f>
        <v>(0.0132)</v>
      </c>
      <c r="BO22" t="str">
        <f>"(0.00581)"</f>
        <v>(0.00581)</v>
      </c>
      <c r="BP22" t="str">
        <f>"(0.0133)"</f>
        <v>(0.0133)</v>
      </c>
      <c r="BQ22" t="str">
        <f>"(0.0132)"</f>
        <v>(0.0132)</v>
      </c>
      <c r="BR22" t="str">
        <f>"(0.00580)"</f>
        <v>(0.00580)</v>
      </c>
      <c r="BS22" t="str">
        <f>"(0.0133)"</f>
        <v>(0.0133)</v>
      </c>
      <c r="BT22" t="str">
        <f>"(0.0132)"</f>
        <v>(0.0132)</v>
      </c>
      <c r="BU22" t="str">
        <f>"(0.00579)"</f>
        <v>(0.00579)</v>
      </c>
      <c r="BV22" t="str">
        <f>"(0.0133)"</f>
        <v>(0.0133)</v>
      </c>
      <c r="BW22" t="str">
        <f>"(0.0132)"</f>
        <v>(0.0132)</v>
      </c>
      <c r="BX22" t="str">
        <f>"(0.00580)"</f>
        <v>(0.00580)</v>
      </c>
      <c r="BY22" t="str">
        <f>"(0.0133)"</f>
        <v>(0.0133)</v>
      </c>
      <c r="BZ22" t="str">
        <f>"(0.0132)"</f>
        <v>(0.0132)</v>
      </c>
      <c r="CA22" t="str">
        <f>"(0.00580)"</f>
        <v>(0.00580)</v>
      </c>
      <c r="CB22" t="str">
        <f>"(0.0133)"</f>
        <v>(0.0133)</v>
      </c>
      <c r="CC22" t="str">
        <f>"(0.0132)"</f>
        <v>(0.0132)</v>
      </c>
      <c r="CD22" t="str">
        <f>"(0.00580)"</f>
        <v>(0.00580)</v>
      </c>
      <c r="CE22" t="str">
        <f>"(0.0134)"</f>
        <v>(0.0134)</v>
      </c>
      <c r="CF22" t="str">
        <f>"(0.0132)"</f>
        <v>(0.0132)</v>
      </c>
      <c r="CG22" t="str">
        <f>"(0.00581)"</f>
        <v>(0.00581)</v>
      </c>
      <c r="CH22" t="str">
        <f>"(0.0133)"</f>
        <v>(0.0133)</v>
      </c>
      <c r="CI22" t="str">
        <f>"(0.0132)"</f>
        <v>(0.0132)</v>
      </c>
      <c r="CJ22" t="str">
        <f>"(0.00580)"</f>
        <v>(0.00580)</v>
      </c>
      <c r="CK22" t="str">
        <f>"(0.0133)"</f>
        <v>(0.0133)</v>
      </c>
      <c r="CL22" t="str">
        <f>"(0.0132)"</f>
        <v>(0.0132)</v>
      </c>
      <c r="CM22" t="str">
        <f>"(0.00580)"</f>
        <v>(0.00580)</v>
      </c>
      <c r="CN22" t="str">
        <f>"(0.0134)"</f>
        <v>(0.0134)</v>
      </c>
      <c r="CO22" t="str">
        <f>"(0.0132)"</f>
        <v>(0.0132)</v>
      </c>
      <c r="CP22" t="str">
        <f>"(0.00580)"</f>
        <v>(0.00580)</v>
      </c>
      <c r="CQ22" t="str">
        <f>"(0.0133)"</f>
        <v>(0.0133)</v>
      </c>
      <c r="CR22" t="str">
        <f>"(0.0132)"</f>
        <v>(0.0132)</v>
      </c>
      <c r="CS22" t="str">
        <f>"(0.00580)"</f>
        <v>(0.00580)</v>
      </c>
      <c r="CT22" t="str">
        <f>"(0.0133)"</f>
        <v>(0.0133)</v>
      </c>
      <c r="CU22" t="str">
        <f>"(0.0132)"</f>
        <v>(0.0132)</v>
      </c>
      <c r="CV22" t="str">
        <f>"(0.00580)"</f>
        <v>(0.00580)</v>
      </c>
      <c r="CW22" t="str">
        <f>"(0.0133)"</f>
        <v>(0.0133)</v>
      </c>
      <c r="CX22" t="str">
        <f>"(0.0132)"</f>
        <v>(0.0132)</v>
      </c>
      <c r="CY22" t="str">
        <f>"(0.00579)"</f>
        <v>(0.00579)</v>
      </c>
      <c r="CZ22" t="str">
        <f>"(0.0134)"</f>
        <v>(0.0134)</v>
      </c>
      <c r="DA22" t="str">
        <f>"(0.0132)"</f>
        <v>(0.0132)</v>
      </c>
      <c r="DB22" t="str">
        <f>"(0.00580)"</f>
        <v>(0.00580)</v>
      </c>
      <c r="DC22" t="str">
        <f>"(0.0133)"</f>
        <v>(0.0133)</v>
      </c>
      <c r="DD22" t="str">
        <f>"(0.0132)"</f>
        <v>(0.0132)</v>
      </c>
      <c r="DE22" t="str">
        <f>"(0.00580)"</f>
        <v>(0.00580)</v>
      </c>
      <c r="DF22" t="str">
        <f>"(0.0134)"</f>
        <v>(0.0134)</v>
      </c>
      <c r="DG22" t="str">
        <f>"(0.0132)"</f>
        <v>(0.0132)</v>
      </c>
      <c r="DH22" t="str">
        <f>"(0.00581)"</f>
        <v>(0.00581)</v>
      </c>
      <c r="DI22" t="str">
        <f>"(0.0133)"</f>
        <v>(0.0133)</v>
      </c>
      <c r="DJ22" t="str">
        <f>"(0.0132)"</f>
        <v>(0.0132)</v>
      </c>
      <c r="DK22" t="str">
        <f>"(0.00580)"</f>
        <v>(0.00580)</v>
      </c>
      <c r="DL22" t="str">
        <f>"(0.0133)"</f>
        <v>(0.0133)</v>
      </c>
      <c r="DM22" t="str">
        <f>"(0.0132)"</f>
        <v>(0.0132)</v>
      </c>
      <c r="DN22" t="str">
        <f>"(0.00579)"</f>
        <v>(0.00579)</v>
      </c>
      <c r="DO22" t="str">
        <f>"(0.0133)"</f>
        <v>(0.0133)</v>
      </c>
      <c r="DP22" t="str">
        <f>"(0.0132)"</f>
        <v>(0.0132)</v>
      </c>
      <c r="DQ22" t="str">
        <f>"(0.00580)"</f>
        <v>(0.00580)</v>
      </c>
      <c r="DR22" t="str">
        <f>"(0.0133)"</f>
        <v>(0.0133)</v>
      </c>
      <c r="DS22" t="str">
        <f>"(0.0132)"</f>
        <v>(0.0132)</v>
      </c>
      <c r="DT22" t="str">
        <f>"(0.00580)"</f>
        <v>(0.00580)</v>
      </c>
      <c r="DU22" t="str">
        <f>"(0.0133)"</f>
        <v>(0.0133)</v>
      </c>
      <c r="DV22" t="str">
        <f>"(0.0132)"</f>
        <v>(0.0132)</v>
      </c>
      <c r="DW22" t="str">
        <f>"(0.00580)"</f>
        <v>(0.00580)</v>
      </c>
      <c r="DX22" t="str">
        <f>"(0.0134)"</f>
        <v>(0.0134)</v>
      </c>
      <c r="DY22" t="str">
        <f>"(0.0132)"</f>
        <v>(0.0132)</v>
      </c>
      <c r="DZ22" t="str">
        <f>"(0.00581)"</f>
        <v>(0.00581)</v>
      </c>
      <c r="EA22" t="str">
        <f>"(0.0133)"</f>
        <v>(0.0133)</v>
      </c>
      <c r="EB22" t="str">
        <f>"(0.0132)"</f>
        <v>(0.0132)</v>
      </c>
      <c r="EC22" t="str">
        <f>"(0.00580)"</f>
        <v>(0.00580)</v>
      </c>
      <c r="ED22" t="str">
        <f>"(0.0133)"</f>
        <v>(0.0133)</v>
      </c>
      <c r="EE22" t="str">
        <f>"(0.0132)"</f>
        <v>(0.0132)</v>
      </c>
      <c r="EF22" t="str">
        <f>"(0.00580)"</f>
        <v>(0.00580)</v>
      </c>
      <c r="EG22" t="str">
        <f>"(0.0134)"</f>
        <v>(0.0134)</v>
      </c>
      <c r="EH22" t="str">
        <f>"(0.0132)"</f>
        <v>(0.0132)</v>
      </c>
      <c r="EI22" t="str">
        <f>"(0.00580)"</f>
        <v>(0.00580)</v>
      </c>
      <c r="EJ22" t="str">
        <f>"(0.0134)"</f>
        <v>(0.0134)</v>
      </c>
      <c r="EK22" t="str">
        <f>"(0.0132)"</f>
        <v>(0.0132)</v>
      </c>
      <c r="EL22" t="str">
        <f>"(0.00580)"</f>
        <v>(0.00580)</v>
      </c>
      <c r="EM22" t="str">
        <f>"(0.0134)"</f>
        <v>(0.0134)</v>
      </c>
      <c r="EN22" t="str">
        <f>"(0.0132)"</f>
        <v>(0.0132)</v>
      </c>
      <c r="EO22" t="str">
        <f>"(0.00580)"</f>
        <v>(0.00580)</v>
      </c>
      <c r="EP22" t="str">
        <f>"(0.0134)"</f>
        <v>(0.0134)</v>
      </c>
      <c r="EQ22" t="str">
        <f>"(0.0132)"</f>
        <v>(0.0132)</v>
      </c>
      <c r="ER22" t="str">
        <f>"(0.00579)"</f>
        <v>(0.00579)</v>
      </c>
      <c r="ES22" t="str">
        <f>"(0.0134)"</f>
        <v>(0.0134)</v>
      </c>
      <c r="ET22" t="str">
        <f>"(0.0132)"</f>
        <v>(0.0132)</v>
      </c>
      <c r="EU22" t="str">
        <f>"(0.00580)"</f>
        <v>(0.00580)</v>
      </c>
      <c r="EV22" t="str">
        <f>"(0.0133)"</f>
        <v>(0.0133)</v>
      </c>
      <c r="EW22" t="str">
        <f>"(0.0132)"</f>
        <v>(0.0132)</v>
      </c>
      <c r="EX22" t="str">
        <f>"(0.00580)"</f>
        <v>(0.00580)</v>
      </c>
      <c r="EY22" t="str">
        <f>"(0.0134)"</f>
        <v>(0.0134)</v>
      </c>
      <c r="EZ22" t="str">
        <f>"(0.0132)"</f>
        <v>(0.0132)</v>
      </c>
      <c r="FA22" t="str">
        <f>"(0.00581)"</f>
        <v>(0.00581)</v>
      </c>
      <c r="FB22" t="str">
        <f>"(0.0133)"</f>
        <v>(0.0133)</v>
      </c>
      <c r="FC22" t="str">
        <f>"(0.0132)"</f>
        <v>(0.0132)</v>
      </c>
      <c r="FD22" t="str">
        <f>"(0.00580)"</f>
        <v>(0.00580)</v>
      </c>
      <c r="FE22" t="str">
        <f>"(0.0133)"</f>
        <v>(0.0133)</v>
      </c>
      <c r="FF22" t="str">
        <f>"(0.0132)"</f>
        <v>(0.0132)</v>
      </c>
      <c r="FG22" t="str">
        <f>"(0.00579)"</f>
        <v>(0.00579)</v>
      </c>
      <c r="FH22" t="str">
        <f>"(0.0134)"</f>
        <v>(0.0134)</v>
      </c>
      <c r="FI22" t="str">
        <f>"(0.0132)"</f>
        <v>(0.0132)</v>
      </c>
      <c r="FJ22" t="str">
        <f>"(0.00580)"</f>
        <v>(0.00580)</v>
      </c>
      <c r="FK22" t="str">
        <f>"(0.0133)"</f>
        <v>(0.0133)</v>
      </c>
      <c r="FL22" t="str">
        <f>"(0.0132)"</f>
        <v>(0.0132)</v>
      </c>
      <c r="FM22" t="str">
        <f>"(0.00580)"</f>
        <v>(0.00580)</v>
      </c>
      <c r="FN22" t="str">
        <f>"(0.0133)"</f>
        <v>(0.0133)</v>
      </c>
      <c r="FO22" t="str">
        <f>"(0.0132)"</f>
        <v>(0.0132)</v>
      </c>
      <c r="FP22" t="str">
        <f>"(0.00580)"</f>
        <v>(0.00580)</v>
      </c>
      <c r="FQ22" t="str">
        <f>"(0.0134)"</f>
        <v>(0.0134)</v>
      </c>
      <c r="FR22" t="str">
        <f>"(0.0132)"</f>
        <v>(0.0132)</v>
      </c>
      <c r="FS22" t="str">
        <f>"(0.00581)"</f>
        <v>(0.00581)</v>
      </c>
      <c r="FT22" t="str">
        <f>"(0.0134)"</f>
        <v>(0.0134)</v>
      </c>
      <c r="FU22" t="str">
        <f>"(0.0132)"</f>
        <v>(0.0132)</v>
      </c>
      <c r="FV22" t="str">
        <f>"(0.00580)"</f>
        <v>(0.00580)</v>
      </c>
      <c r="FW22" t="str">
        <f>"(0.0133)"</f>
        <v>(0.0133)</v>
      </c>
      <c r="FX22" t="str">
        <f>"(0.0132)"</f>
        <v>(0.0132)</v>
      </c>
      <c r="FY22" t="str">
        <f>"(0.00580)"</f>
        <v>(0.00580)</v>
      </c>
      <c r="FZ22" t="str">
        <f>"(0.0134)"</f>
        <v>(0.0134)</v>
      </c>
      <c r="GA22" t="str">
        <f>"(0.0132)"</f>
        <v>(0.0132)</v>
      </c>
      <c r="GB22" t="str">
        <f>"(0.00580)"</f>
        <v>(0.00580)</v>
      </c>
      <c r="GC22" t="str">
        <f>"(0.0133)"</f>
        <v>(0.0133)</v>
      </c>
      <c r="GD22" t="str">
        <f>"(0.0132)"</f>
        <v>(0.0132)</v>
      </c>
      <c r="GE22" t="str">
        <f>"(0.00580)"</f>
        <v>(0.00580)</v>
      </c>
      <c r="GF22" t="str">
        <f>"(0.0133)"</f>
        <v>(0.0133)</v>
      </c>
      <c r="GG22" t="str">
        <f>"(0.0132)"</f>
        <v>(0.0132)</v>
      </c>
      <c r="GH22" t="str">
        <f>"(0.00580)"</f>
        <v>(0.00580)</v>
      </c>
      <c r="GI22" t="str">
        <f>"(0.0133)"</f>
        <v>(0.0133)</v>
      </c>
      <c r="GJ22" t="str">
        <f>"(0.0132)"</f>
        <v>(0.0132)</v>
      </c>
      <c r="GK22" t="str">
        <f>"(0.00579)"</f>
        <v>(0.00579)</v>
      </c>
      <c r="GL22" t="str">
        <f>"(0.0134)"</f>
        <v>(0.0134)</v>
      </c>
      <c r="GM22" t="str">
        <f>"(0.0132)"</f>
        <v>(0.0132)</v>
      </c>
      <c r="GN22" t="str">
        <f>"(0.00580)"</f>
        <v>(0.00580)</v>
      </c>
      <c r="GO22" t="str">
        <f>"(0.0133)"</f>
        <v>(0.0133)</v>
      </c>
      <c r="GP22" t="str">
        <f>"(0.0132)"</f>
        <v>(0.0132)</v>
      </c>
      <c r="GQ22" t="str">
        <f>"(0.00580)"</f>
        <v>(0.00580)</v>
      </c>
      <c r="GR22" t="str">
        <f>"(0.0134)"</f>
        <v>(0.0134)</v>
      </c>
      <c r="GS22" t="str">
        <f>"(0.0132)"</f>
        <v>(0.0132)</v>
      </c>
      <c r="GT22" t="str">
        <f>"(0.00581)"</f>
        <v>(0.00581)</v>
      </c>
      <c r="GU22" t="str">
        <f>"(0.0133)"</f>
        <v>(0.0133)</v>
      </c>
      <c r="GV22" t="str">
        <f>"(0.0132)"</f>
        <v>(0.0132)</v>
      </c>
      <c r="GW22" t="str">
        <f>"(0.00580)"</f>
        <v>(0.00580)</v>
      </c>
      <c r="GX22" t="str">
        <f>"(0.0133)"</f>
        <v>(0.0133)</v>
      </c>
      <c r="GY22" t="str">
        <f>"(0.0132)"</f>
        <v>(0.0132)</v>
      </c>
      <c r="GZ22" t="str">
        <f>"(0.00579)"</f>
        <v>(0.00579)</v>
      </c>
      <c r="HA22" t="str">
        <f>"(0.0134)"</f>
        <v>(0.0134)</v>
      </c>
      <c r="HB22" t="str">
        <f>"(0.0132)"</f>
        <v>(0.0132)</v>
      </c>
      <c r="HC22" t="str">
        <f>"(0.00580)"</f>
        <v>(0.00580)</v>
      </c>
      <c r="HD22" t="str">
        <f>"(0.0133)"</f>
        <v>(0.0133)</v>
      </c>
      <c r="HE22" t="str">
        <f>"(0.0132)"</f>
        <v>(0.0132)</v>
      </c>
      <c r="HF22" t="str">
        <f>"(0.00580)"</f>
        <v>(0.00580)</v>
      </c>
      <c r="HG22" t="str">
        <f>"(0.0133)"</f>
        <v>(0.0133)</v>
      </c>
      <c r="HH22" t="str">
        <f>"(0.0132)"</f>
        <v>(0.0132)</v>
      </c>
      <c r="HI22" t="str">
        <f>"(0.00580)"</f>
        <v>(0.00580)</v>
      </c>
      <c r="HJ22" t="str">
        <f>"(0.0134)"</f>
        <v>(0.0134)</v>
      </c>
      <c r="HK22" t="str">
        <f>"(0.0132)"</f>
        <v>(0.0132)</v>
      </c>
      <c r="HL22" t="str">
        <f>"(0.00581)"</f>
        <v>(0.00581)</v>
      </c>
      <c r="HM22" t="str">
        <f>"(0.0133)"</f>
        <v>(0.0133)</v>
      </c>
      <c r="HN22" t="str">
        <f>"(0.0132)"</f>
        <v>(0.0132)</v>
      </c>
      <c r="HO22" t="str">
        <f>"(0.00580)"</f>
        <v>(0.00580)</v>
      </c>
      <c r="HP22" t="str">
        <f>"(0.0133)"</f>
        <v>(0.0133)</v>
      </c>
      <c r="HQ22" t="str">
        <f>"(0.0132)"</f>
        <v>(0.0132)</v>
      </c>
      <c r="HR22" t="str">
        <f>"(0.00580)"</f>
        <v>(0.00580)</v>
      </c>
      <c r="HS22" t="str">
        <f>"(0.0134)"</f>
        <v>(0.0134)</v>
      </c>
      <c r="HT22" t="str">
        <f>"(0.0132)"</f>
        <v>(0.0132)</v>
      </c>
      <c r="HU22" t="str">
        <f>"(0.00580)"</f>
        <v>(0.00580)</v>
      </c>
      <c r="HV22" t="str">
        <f>"(0.0133)"</f>
        <v>(0.0133)</v>
      </c>
      <c r="HW22" t="str">
        <f>"(0.0132)"</f>
        <v>(0.0132)</v>
      </c>
      <c r="HX22" t="str">
        <f>"(0.00580)"</f>
        <v>(0.00580)</v>
      </c>
      <c r="HY22" t="str">
        <f>"(0.0133)"</f>
        <v>(0.0133)</v>
      </c>
      <c r="HZ22" t="str">
        <f>"(0.0132)"</f>
        <v>(0.0132)</v>
      </c>
      <c r="IA22" t="str">
        <f>"(0.00580)"</f>
        <v>(0.00580)</v>
      </c>
      <c r="IB22" t="str">
        <f>"(0.0133)"</f>
        <v>(0.0133)</v>
      </c>
      <c r="IC22" t="str">
        <f>"(0.0132)"</f>
        <v>(0.0132)</v>
      </c>
      <c r="ID22" t="str">
        <f>"(0.00579)"</f>
        <v>(0.00579)</v>
      </c>
      <c r="IE22" t="str">
        <f>"(0.0134)"</f>
        <v>(0.0134)</v>
      </c>
      <c r="IF22" t="str">
        <f>"(0.0132)"</f>
        <v>(0.0132)</v>
      </c>
      <c r="IG22" t="str">
        <f>"(0.00580)"</f>
        <v>(0.00580)</v>
      </c>
      <c r="IH22" t="str">
        <f>"(0.0133)"</f>
        <v>(0.0133)</v>
      </c>
      <c r="II22" t="str">
        <f>"(0.0132)"</f>
        <v>(0.0132)</v>
      </c>
      <c r="IJ22" t="str">
        <f>"(0.00580)"</f>
        <v>(0.00580)</v>
      </c>
      <c r="IK22" t="str">
        <f>"(0.0134)"</f>
        <v>(0.0134)</v>
      </c>
      <c r="IL22" t="str">
        <f>"(0.0132)"</f>
        <v>(0.0132)</v>
      </c>
      <c r="IM22" t="str">
        <f>"(0.00581)"</f>
        <v>(0.00581)</v>
      </c>
      <c r="IN22" t="str">
        <f>"(0.0133)"</f>
        <v>(0.0133)</v>
      </c>
      <c r="IO22" t="str">
        <f>"(0.0131)"</f>
        <v>(0.0131)</v>
      </c>
      <c r="IP22" t="str">
        <f>"(0.00580)"</f>
        <v>(0.00580)</v>
      </c>
      <c r="IQ22" t="str">
        <f>"(0.0133)"</f>
        <v>(0.0133)</v>
      </c>
      <c r="IR22" t="str">
        <f>"(0.0131)"</f>
        <v>(0.0131)</v>
      </c>
      <c r="IS22" t="str">
        <f>"(0.00579)"</f>
        <v>(0.00579)</v>
      </c>
      <c r="IT22" t="str">
        <f>"(0.0134)"</f>
        <v>(0.0134)</v>
      </c>
      <c r="IU22" t="str">
        <f>"(0.0132)"</f>
        <v>(0.0132)</v>
      </c>
      <c r="IV22" t="str">
        <f>"(0.00580)"</f>
        <v>(0.00580)</v>
      </c>
      <c r="IW22" t="str">
        <f>"(0.0133)"</f>
        <v>(0.0133)</v>
      </c>
      <c r="IX22" t="str">
        <f>"(0.0132)"</f>
        <v>(0.0132)</v>
      </c>
      <c r="IY22" t="str">
        <f>"(0.00580)"</f>
        <v>(0.00580)</v>
      </c>
      <c r="IZ22" t="str">
        <f>"(0.0133)"</f>
        <v>(0.0133)</v>
      </c>
      <c r="JA22" t="str">
        <f>"(0.0132)"</f>
        <v>(0.0132)</v>
      </c>
      <c r="JB22" t="str">
        <f>"(0.00580)"</f>
        <v>(0.00580)</v>
      </c>
      <c r="JC22" t="str">
        <f>"(0.0134)"</f>
        <v>(0.0134)</v>
      </c>
      <c r="JD22" t="str">
        <f>"(0.0132)"</f>
        <v>(0.0132)</v>
      </c>
      <c r="JE22" t="str">
        <f>"(0.00581)"</f>
        <v>(0.00581)</v>
      </c>
      <c r="JF22" t="str">
        <f>"(0.0133)"</f>
        <v>(0.0133)</v>
      </c>
      <c r="JG22" t="str">
        <f>"(0.0132)"</f>
        <v>(0.0132)</v>
      </c>
      <c r="JH22" t="str">
        <f>"(0.00580)"</f>
        <v>(0.00580)</v>
      </c>
      <c r="JI22" t="str">
        <f>"(0.0133)"</f>
        <v>(0.0133)</v>
      </c>
      <c r="JJ22" t="str">
        <f>"(0.0132)"</f>
        <v>(0.0132)</v>
      </c>
      <c r="JK22" t="str">
        <f>"(0.00580)"</f>
        <v>(0.00580)</v>
      </c>
    </row>
    <row r="24" spans="1:271" x14ac:dyDescent="0.3">
      <c r="A24" t="str">
        <f>"NonWhite"</f>
        <v>NonWhite</v>
      </c>
      <c r="B24" t="str">
        <f>"0.125"</f>
        <v>0.125</v>
      </c>
      <c r="C24" t="str">
        <f>"-0.289"</f>
        <v>-0.289</v>
      </c>
      <c r="D24" t="str">
        <f>"-0.109"</f>
        <v>-0.109</v>
      </c>
      <c r="E24" t="str">
        <f>"0.135"</f>
        <v>0.135</v>
      </c>
      <c r="F24" t="str">
        <f>"-0.270"</f>
        <v>-0.270</v>
      </c>
      <c r="G24" t="str">
        <f>"-0.0746"</f>
        <v>-0.0746</v>
      </c>
      <c r="H24" t="str">
        <f>"0.104"</f>
        <v>0.104</v>
      </c>
      <c r="I24" t="str">
        <f>"-0.290"</f>
        <v>-0.290</v>
      </c>
      <c r="J24" t="str">
        <f>"-0.0432"</f>
        <v>-0.0432</v>
      </c>
      <c r="K24" t="str">
        <f>"0.148"</f>
        <v>0.148</v>
      </c>
      <c r="L24" t="str">
        <f>"-0.262"</f>
        <v>-0.262</v>
      </c>
      <c r="M24" t="str">
        <f>"-0.0642"</f>
        <v>-0.0642</v>
      </c>
      <c r="N24" t="str">
        <f>"0.136"</f>
        <v>0.136</v>
      </c>
      <c r="O24" t="str">
        <f>"-0.270"</f>
        <v>-0.270</v>
      </c>
      <c r="P24" t="str">
        <f>"-0.0288"</f>
        <v>-0.0288</v>
      </c>
      <c r="Q24" t="str">
        <f>"0.101"</f>
        <v>0.101</v>
      </c>
      <c r="R24" t="str">
        <f>"-0.274"</f>
        <v>-0.274</v>
      </c>
      <c r="S24" t="str">
        <f>"-0.0757"</f>
        <v>-0.0757</v>
      </c>
      <c r="T24" t="str">
        <f>"0.148"</f>
        <v>0.148</v>
      </c>
      <c r="U24" t="str">
        <f>"-0.225"</f>
        <v>-0.225</v>
      </c>
      <c r="V24" t="str">
        <f>"0.00306"</f>
        <v>0.00306</v>
      </c>
      <c r="W24" t="str">
        <f>"0.155"</f>
        <v>0.155</v>
      </c>
      <c r="X24" t="str">
        <f>"-0.260"</f>
        <v>-0.260</v>
      </c>
      <c r="Y24" t="str">
        <f>"-0.0535"</f>
        <v>-0.0535</v>
      </c>
      <c r="Z24" t="str">
        <f>"0.113"</f>
        <v>0.113</v>
      </c>
      <c r="AA24" t="str">
        <f>"-0.281"</f>
        <v>-0.281</v>
      </c>
      <c r="AB24" t="str">
        <f>"-0.0923"</f>
        <v>-0.0923</v>
      </c>
      <c r="AC24" t="str">
        <f>"0.134"</f>
        <v>0.134</v>
      </c>
      <c r="AD24" t="str">
        <f>"-0.260"</f>
        <v>-0.260</v>
      </c>
      <c r="AE24" t="str">
        <f>"-0.0743"</f>
        <v>-0.0743</v>
      </c>
      <c r="AF24" t="str">
        <f>"0.126"</f>
        <v>0.126</v>
      </c>
      <c r="AG24" t="str">
        <f>"-0.256"</f>
        <v>-0.256</v>
      </c>
      <c r="AH24" t="str">
        <f>"-0.0374"</f>
        <v>-0.0374</v>
      </c>
      <c r="AI24" t="str">
        <f>"0.134"</f>
        <v>0.134</v>
      </c>
      <c r="AJ24" t="str">
        <f>"-0.272"</f>
        <v>-0.272</v>
      </c>
      <c r="AK24" t="str">
        <f>"-0.0776"</f>
        <v>-0.0776</v>
      </c>
      <c r="AL24" t="str">
        <f>"0.150"</f>
        <v>0.150</v>
      </c>
      <c r="AM24" t="str">
        <f>"-0.259"</f>
        <v>-0.259</v>
      </c>
      <c r="AN24" t="str">
        <f>"-0.0512"</f>
        <v>-0.0512</v>
      </c>
      <c r="AO24" t="str">
        <f>"0.155"</f>
        <v>0.155</v>
      </c>
      <c r="AP24" t="str">
        <f>"-0.255"</f>
        <v>-0.255</v>
      </c>
      <c r="AQ24" t="str">
        <f>"-0.0574"</f>
        <v>-0.0574</v>
      </c>
      <c r="AR24" t="str">
        <f>"0.142"</f>
        <v>0.142</v>
      </c>
      <c r="AS24" t="str">
        <f>"-0.266"</f>
        <v>-0.266</v>
      </c>
      <c r="AT24" t="str">
        <f>"-0.0483"</f>
        <v>-0.0483</v>
      </c>
      <c r="AU24" t="str">
        <f>"0.129"</f>
        <v>0.129</v>
      </c>
      <c r="AV24" t="str">
        <f>"-0.301"</f>
        <v>-0.301</v>
      </c>
      <c r="AW24" t="str">
        <f>"-0.108"</f>
        <v>-0.108</v>
      </c>
      <c r="AX24" t="str">
        <f>"0.148"</f>
        <v>0.148</v>
      </c>
      <c r="AY24" t="str">
        <f>"-0.268"</f>
        <v>-0.268</v>
      </c>
      <c r="AZ24" t="str">
        <f>"-0.0677"</f>
        <v>-0.0677</v>
      </c>
      <c r="BA24" t="str">
        <f>"0.128"</f>
        <v>0.128</v>
      </c>
      <c r="BB24" t="str">
        <f>"-0.292"</f>
        <v>-0.292</v>
      </c>
      <c r="BC24" t="str">
        <f>"-0.0348"</f>
        <v>-0.0348</v>
      </c>
      <c r="BD24" t="str">
        <f>"0.153"</f>
        <v>0.153</v>
      </c>
      <c r="BE24" t="str">
        <f>"-0.261"</f>
        <v>-0.261</v>
      </c>
      <c r="BF24" t="str">
        <f>"-0.0560"</f>
        <v>-0.0560</v>
      </c>
      <c r="BG24" t="str">
        <f>"0.154"</f>
        <v>0.154</v>
      </c>
      <c r="BH24" t="str">
        <f>"-0.268"</f>
        <v>-0.268</v>
      </c>
      <c r="BI24" t="str">
        <f>"-0.0206"</f>
        <v>-0.0206</v>
      </c>
      <c r="BJ24" t="str">
        <f>"0.126"</f>
        <v>0.126</v>
      </c>
      <c r="BK24" t="str">
        <f>"-0.267"</f>
        <v>-0.267</v>
      </c>
      <c r="BL24" t="str">
        <f>"-0.0612"</f>
        <v>-0.0612</v>
      </c>
      <c r="BM24" t="str">
        <f>"0.158"</f>
        <v>0.158</v>
      </c>
      <c r="BN24" t="str">
        <f>"-0.229"</f>
        <v>-0.229</v>
      </c>
      <c r="BO24" t="str">
        <f>"0.00431"</f>
        <v>0.00431</v>
      </c>
      <c r="BP24" t="str">
        <f>"0.166"</f>
        <v>0.166</v>
      </c>
      <c r="BQ24" t="str">
        <f>"-0.256"</f>
        <v>-0.256</v>
      </c>
      <c r="BR24" t="str">
        <f>"-0.0479"</f>
        <v>-0.0479</v>
      </c>
      <c r="BS24" t="str">
        <f>"0.133"</f>
        <v>0.133</v>
      </c>
      <c r="BT24" t="str">
        <f>"-0.280"</f>
        <v>-0.280</v>
      </c>
      <c r="BU24" t="str">
        <f>"-0.0897"</f>
        <v>-0.0897</v>
      </c>
      <c r="BV24" t="str">
        <f>"0.145"</f>
        <v>0.145</v>
      </c>
      <c r="BW24" t="str">
        <f>"-0.255"</f>
        <v>-0.255</v>
      </c>
      <c r="BX24" t="str">
        <f>"-0.0686"</f>
        <v>-0.0686</v>
      </c>
      <c r="BY24" t="str">
        <f>"0.155"</f>
        <v>0.155</v>
      </c>
      <c r="BZ24" t="str">
        <f>"-0.252"</f>
        <v>-0.252</v>
      </c>
      <c r="CA24" t="str">
        <f>"-0.0293"</f>
        <v>-0.0293</v>
      </c>
      <c r="CB24" t="str">
        <f>"0.140"</f>
        <v>0.140</v>
      </c>
      <c r="CC24" t="str">
        <f>"-0.269"</f>
        <v>-0.269</v>
      </c>
      <c r="CD24" t="str">
        <f>"-0.0673"</f>
        <v>-0.0673</v>
      </c>
      <c r="CE24" t="str">
        <f>"0.161"</f>
        <v>0.161</v>
      </c>
      <c r="CF24" t="str">
        <f>"-0.258"</f>
        <v>-0.258</v>
      </c>
      <c r="CG24" t="str">
        <f>"-0.0454"</f>
        <v>-0.0454</v>
      </c>
      <c r="CH24" t="str">
        <f>"0.157"</f>
        <v>0.157</v>
      </c>
      <c r="CI24" t="str">
        <f>"-0.252"</f>
        <v>-0.252</v>
      </c>
      <c r="CJ24" t="str">
        <f>"-0.0497"</f>
        <v>-0.0497</v>
      </c>
      <c r="CK24" t="str">
        <f>"0.148"</f>
        <v>0.148</v>
      </c>
      <c r="CL24" t="str">
        <f>"-0.264"</f>
        <v>-0.264</v>
      </c>
      <c r="CM24" t="str">
        <f>"-0.0418"</f>
        <v>-0.0418</v>
      </c>
      <c r="CN24" t="str">
        <f>"0.118"</f>
        <v>0.118</v>
      </c>
      <c r="CO24" t="str">
        <f>"-0.292"</f>
        <v>-0.292</v>
      </c>
      <c r="CP24" t="str">
        <f>"-0.113"</f>
        <v>-0.113</v>
      </c>
      <c r="CQ24" t="str">
        <f>"0.143"</f>
        <v>0.143</v>
      </c>
      <c r="CR24" t="str">
        <f>"-0.256"</f>
        <v>-0.256</v>
      </c>
      <c r="CS24" t="str">
        <f>"-0.0702"</f>
        <v>-0.0702</v>
      </c>
      <c r="CT24" t="str">
        <f>"0.116"</f>
        <v>0.116</v>
      </c>
      <c r="CU24" t="str">
        <f>"-0.283"</f>
        <v>-0.283</v>
      </c>
      <c r="CV24" t="str">
        <f>"-0.0405"</f>
        <v>-0.0405</v>
      </c>
      <c r="CW24" t="str">
        <f>"0.135"</f>
        <v>0.135</v>
      </c>
      <c r="CX24" t="str">
        <f>"-0.254"</f>
        <v>-0.254</v>
      </c>
      <c r="CY24" t="str">
        <f>"-0.0603"</f>
        <v>-0.0603</v>
      </c>
      <c r="CZ24" t="str">
        <f>"0.144"</f>
        <v>0.144</v>
      </c>
      <c r="DA24" t="str">
        <f>"-0.260"</f>
        <v>-0.260</v>
      </c>
      <c r="DB24" t="str">
        <f>"-0.0266"</f>
        <v>-0.0266</v>
      </c>
      <c r="DC24" t="str">
        <f>"0.116"</f>
        <v>0.116</v>
      </c>
      <c r="DD24" t="str">
        <f>"-0.260"</f>
        <v>-0.260</v>
      </c>
      <c r="DE24" t="str">
        <f>"-0.0675"</f>
        <v>-0.0675</v>
      </c>
      <c r="DF24" t="str">
        <f>"0.151"</f>
        <v>0.151</v>
      </c>
      <c r="DG24" t="str">
        <f>"-0.213"</f>
        <v>-0.213</v>
      </c>
      <c r="DH24" t="str">
        <f>"0.000234"</f>
        <v>0.000234</v>
      </c>
      <c r="DI24" t="str">
        <f>"0.156"</f>
        <v>0.156</v>
      </c>
      <c r="DJ24" t="str">
        <f>"-0.244"</f>
        <v>-0.244</v>
      </c>
      <c r="DK24" t="str">
        <f>"-0.0523"</f>
        <v>-0.0523</v>
      </c>
      <c r="DL24" t="str">
        <f>"0.126"</f>
        <v>0.126</v>
      </c>
      <c r="DM24" t="str">
        <f>"-0.283"</f>
        <v>-0.283</v>
      </c>
      <c r="DN24" t="str">
        <f>"-0.0950"</f>
        <v>-0.0950</v>
      </c>
      <c r="DO24" t="str">
        <f>"0.142"</f>
        <v>0.142</v>
      </c>
      <c r="DP24" t="str">
        <f>"-0.245"</f>
        <v>-0.245</v>
      </c>
      <c r="DQ24" t="str">
        <f>"-0.0738"</f>
        <v>-0.0738</v>
      </c>
      <c r="DR24" t="str">
        <f>"0.153"</f>
        <v>0.153</v>
      </c>
      <c r="DS24" t="str">
        <f>"-0.250"</f>
        <v>-0.250</v>
      </c>
      <c r="DT24" t="str">
        <f>"-0.0364"</f>
        <v>-0.0364</v>
      </c>
      <c r="DU24" t="str">
        <f>"0.129"</f>
        <v>0.129</v>
      </c>
      <c r="DV24" t="str">
        <f>"-0.268"</f>
        <v>-0.268</v>
      </c>
      <c r="DW24" t="str">
        <f>"-0.0728"</f>
        <v>-0.0728</v>
      </c>
      <c r="DX24" t="str">
        <f>"0.153"</f>
        <v>0.153</v>
      </c>
      <c r="DY24" t="str">
        <f>"-0.248"</f>
        <v>-0.248</v>
      </c>
      <c r="DZ24" t="str">
        <f>"-0.0494"</f>
        <v>-0.0494</v>
      </c>
      <c r="EA24" t="str">
        <f>"0.153"</f>
        <v>0.153</v>
      </c>
      <c r="EB24" t="str">
        <f>"-0.244"</f>
        <v>-0.244</v>
      </c>
      <c r="EC24" t="str">
        <f>"-0.0553"</f>
        <v>-0.0553</v>
      </c>
      <c r="ED24" t="str">
        <f>"0.142"</f>
        <v>0.142</v>
      </c>
      <c r="EE24" t="str">
        <f>"-0.256"</f>
        <v>-0.256</v>
      </c>
      <c r="EF24" t="str">
        <f>"-0.0477"</f>
        <v>-0.0477</v>
      </c>
      <c r="EG24" t="str">
        <f>"0.166"</f>
        <v>0.166</v>
      </c>
      <c r="EH24" t="str">
        <f>"-0.308"</f>
        <v>-0.308</v>
      </c>
      <c r="EI24" t="str">
        <f>"-0.111"</f>
        <v>-0.111</v>
      </c>
      <c r="EJ24" t="str">
        <f>"0.177"</f>
        <v>0.177</v>
      </c>
      <c r="EK24" t="str">
        <f>"-0.277"</f>
        <v>-0.277</v>
      </c>
      <c r="EL24" t="str">
        <f>"-0.0672"</f>
        <v>-0.0672</v>
      </c>
      <c r="EM24" t="str">
        <f>"0.158"</f>
        <v>0.158</v>
      </c>
      <c r="EN24" t="str">
        <f>"-0.298"</f>
        <v>-0.298</v>
      </c>
      <c r="EO24" t="str">
        <f>"-0.0367"</f>
        <v>-0.0367</v>
      </c>
      <c r="EP24" t="str">
        <f>"0.187"</f>
        <v>0.187</v>
      </c>
      <c r="EQ24" t="str">
        <f>"-0.275"</f>
        <v>-0.275</v>
      </c>
      <c r="ER24" t="str">
        <f>"-0.0623"</f>
        <v>-0.0623</v>
      </c>
      <c r="ES24" t="str">
        <f>"0.177"</f>
        <v>0.177</v>
      </c>
      <c r="ET24" t="str">
        <f>"-0.279"</f>
        <v>-0.279</v>
      </c>
      <c r="EU24" t="str">
        <f>"-0.0210"</f>
        <v>-0.0210</v>
      </c>
      <c r="EV24" t="str">
        <f>"0.148"</f>
        <v>0.148</v>
      </c>
      <c r="EW24" t="str">
        <f>"-0.282"</f>
        <v>-0.282</v>
      </c>
      <c r="EX24" t="str">
        <f>"-0.0679"</f>
        <v>-0.0679</v>
      </c>
      <c r="EY24" t="str">
        <f>"0.175"</f>
        <v>0.175</v>
      </c>
      <c r="EZ24" t="str">
        <f>"-0.232"</f>
        <v>-0.232</v>
      </c>
      <c r="FA24" t="str">
        <f>"0.00846"</f>
        <v>0.00846</v>
      </c>
      <c r="FB24" t="str">
        <f>"0.195"</f>
        <v>0.195</v>
      </c>
      <c r="FC24" t="str">
        <f>"-0.269"</f>
        <v>-0.269</v>
      </c>
      <c r="FD24" t="str">
        <f>"-0.0511"</f>
        <v>-0.0511</v>
      </c>
      <c r="FE24" t="str">
        <f>"0.167"</f>
        <v>0.167</v>
      </c>
      <c r="FF24" t="str">
        <f>"-0.294"</f>
        <v>-0.294</v>
      </c>
      <c r="FG24" t="str">
        <f>"-0.0937"</f>
        <v>-0.0937</v>
      </c>
      <c r="FH24" t="str">
        <f>"0.163"</f>
        <v>0.163</v>
      </c>
      <c r="FI24" t="str">
        <f>"-0.271"</f>
        <v>-0.271</v>
      </c>
      <c r="FJ24" t="str">
        <f>"-0.0726"</f>
        <v>-0.0726</v>
      </c>
      <c r="FK24" t="str">
        <f>"0.207"</f>
        <v>0.207</v>
      </c>
      <c r="FL24" t="str">
        <f>"-0.271"</f>
        <v>-0.271</v>
      </c>
      <c r="FM24" t="str">
        <f>"-0.0243"</f>
        <v>-0.0243</v>
      </c>
      <c r="FN24" t="str">
        <f>"0.168"</f>
        <v>0.168</v>
      </c>
      <c r="FO24" t="str">
        <f>"-0.271"</f>
        <v>-0.271</v>
      </c>
      <c r="FP24" t="str">
        <f>"-0.0771"</f>
        <v>-0.0771</v>
      </c>
      <c r="FQ24" t="str">
        <f>"0.197"</f>
        <v>0.197</v>
      </c>
      <c r="FR24" t="str">
        <f>"-0.267"</f>
        <v>-0.267</v>
      </c>
      <c r="FS24" t="str">
        <f>"-0.0467"</f>
        <v>-0.0467</v>
      </c>
      <c r="FT24" t="str">
        <f>"0.181"</f>
        <v>0.181</v>
      </c>
      <c r="FU24" t="str">
        <f>"-0.268"</f>
        <v>-0.268</v>
      </c>
      <c r="FV24" t="str">
        <f>"-0.0545"</f>
        <v>-0.0545</v>
      </c>
      <c r="FW24" t="str">
        <f>"0.185"</f>
        <v>0.185</v>
      </c>
      <c r="FX24" t="str">
        <f>"-0.275"</f>
        <v>-0.275</v>
      </c>
      <c r="FY24" t="str">
        <f>"-0.0432"</f>
        <v>-0.0432</v>
      </c>
      <c r="FZ24" t="str">
        <f>"0.143"</f>
        <v>0.143</v>
      </c>
      <c r="GA24" t="str">
        <f>"-0.294"</f>
        <v>-0.294</v>
      </c>
      <c r="GB24" t="str">
        <f>"-0.114"</f>
        <v>-0.114</v>
      </c>
      <c r="GC24" t="str">
        <f>"0.153"</f>
        <v>0.153</v>
      </c>
      <c r="GD24" t="str">
        <f>"-0.286"</f>
        <v>-0.286</v>
      </c>
      <c r="GE24" t="str">
        <f>"-0.0683"</f>
        <v>-0.0683</v>
      </c>
      <c r="GF24" t="str">
        <f>"0.117"</f>
        <v>0.117</v>
      </c>
      <c r="GG24" t="str">
        <f>"-0.306"</f>
        <v>-0.306</v>
      </c>
      <c r="GH24" t="str">
        <f>"-0.0398"</f>
        <v>-0.0398</v>
      </c>
      <c r="GI24" t="str">
        <f>"0.170"</f>
        <v>0.170</v>
      </c>
      <c r="GJ24" t="str">
        <f>"-0.277"</f>
        <v>-0.277</v>
      </c>
      <c r="GK24" t="str">
        <f>"-0.0601"</f>
        <v>-0.0601</v>
      </c>
      <c r="GL24" t="str">
        <f>"0.151"</f>
        <v>0.151</v>
      </c>
      <c r="GM24" t="str">
        <f>"-0.287"</f>
        <v>-0.287</v>
      </c>
      <c r="GN24" t="str">
        <f>"-0.0211"</f>
        <v>-0.0211</v>
      </c>
      <c r="GO24" t="str">
        <f>"0.118"</f>
        <v>0.118</v>
      </c>
      <c r="GP24" t="str">
        <f>"-0.301"</f>
        <v>-0.301</v>
      </c>
      <c r="GQ24" t="str">
        <f>"-0.0705"</f>
        <v>-0.0705</v>
      </c>
      <c r="GR24" t="str">
        <f>"0.159"</f>
        <v>0.159</v>
      </c>
      <c r="GS24" t="str">
        <f>"-0.250"</f>
        <v>-0.250</v>
      </c>
      <c r="GT24" t="str">
        <f>"0.0108"</f>
        <v>0.0108</v>
      </c>
      <c r="GU24" t="str">
        <f>"0.176"</f>
        <v>0.176</v>
      </c>
      <c r="GV24" t="str">
        <f>"-0.272"</f>
        <v>-0.272</v>
      </c>
      <c r="GW24" t="str">
        <f>"-0.0503"</f>
        <v>-0.0503</v>
      </c>
      <c r="GX24" t="str">
        <f>"0.139"</f>
        <v>0.139</v>
      </c>
      <c r="GY24" t="str">
        <f>"-0.301"</f>
        <v>-0.301</v>
      </c>
      <c r="GZ24" t="str">
        <f>"-0.0918"</f>
        <v>-0.0918</v>
      </c>
      <c r="HA24" t="str">
        <f>"0.133"</f>
        <v>0.133</v>
      </c>
      <c r="HB24" t="str">
        <f>"-0.281"</f>
        <v>-0.281</v>
      </c>
      <c r="HC24" t="str">
        <f>"-0.0713"</f>
        <v>-0.0713</v>
      </c>
      <c r="HD24" t="str">
        <f>"0.159"</f>
        <v>0.159</v>
      </c>
      <c r="HE24" t="str">
        <f>"-0.282"</f>
        <v>-0.282</v>
      </c>
      <c r="HF24" t="str">
        <f>"-0.0297"</f>
        <v>-0.0297</v>
      </c>
      <c r="HG24" t="str">
        <f>"0.146"</f>
        <v>0.146</v>
      </c>
      <c r="HH24" t="str">
        <f>"-0.276"</f>
        <v>-0.276</v>
      </c>
      <c r="HI24" t="str">
        <f>"-0.0815"</f>
        <v>-0.0815</v>
      </c>
      <c r="HJ24" t="str">
        <f>"0.173"</f>
        <v>0.173</v>
      </c>
      <c r="HK24" t="str">
        <f>"-0.273"</f>
        <v>-0.273</v>
      </c>
      <c r="HL24" t="str">
        <f>"-0.0474"</f>
        <v>-0.0474</v>
      </c>
      <c r="HM24" t="str">
        <f>"0.168"</f>
        <v>0.168</v>
      </c>
      <c r="HN24" t="str">
        <f>"-0.272"</f>
        <v>-0.272</v>
      </c>
      <c r="HO24" t="str">
        <f>"-0.0539"</f>
        <v>-0.0539</v>
      </c>
      <c r="HP24" t="str">
        <f>"0.164"</f>
        <v>0.164</v>
      </c>
      <c r="HQ24" t="str">
        <f>"-0.278"</f>
        <v>-0.278</v>
      </c>
      <c r="HR24" t="str">
        <f>"-0.0435"</f>
        <v>-0.0435</v>
      </c>
      <c r="HS24" t="str">
        <f>"0.132"</f>
        <v>0.132</v>
      </c>
      <c r="HT24" t="str">
        <f>"-0.294"</f>
        <v>-0.294</v>
      </c>
      <c r="HU24" t="str">
        <f>"-0.109"</f>
        <v>-0.109</v>
      </c>
      <c r="HV24" t="str">
        <f>"0.144"</f>
        <v>0.144</v>
      </c>
      <c r="HW24" t="str">
        <f>"-0.281"</f>
        <v>-0.281</v>
      </c>
      <c r="HX24" t="str">
        <f>"-0.0748"</f>
        <v>-0.0748</v>
      </c>
      <c r="HY24" t="str">
        <f>"0.111"</f>
        <v>0.111</v>
      </c>
      <c r="HZ24" t="str">
        <f>"-0.299"</f>
        <v>-0.299</v>
      </c>
      <c r="IA24" t="str">
        <f>"-0.0450"</f>
        <v>-0.0450</v>
      </c>
      <c r="IB24" t="str">
        <f>"0.158"</f>
        <v>0.158</v>
      </c>
      <c r="IC24" t="str">
        <f>"-0.276"</f>
        <v>-0.276</v>
      </c>
      <c r="ID24" t="str">
        <f>"-0.0661"</f>
        <v>-0.0661</v>
      </c>
      <c r="IE24" t="str">
        <f>"0.143"</f>
        <v>0.143</v>
      </c>
      <c r="IF24" t="str">
        <f>"-0.280"</f>
        <v>-0.280</v>
      </c>
      <c r="IG24" t="str">
        <f>"-0.0305"</f>
        <v>-0.0305</v>
      </c>
      <c r="IH24" t="str">
        <f>"0.119"</f>
        <v>0.119</v>
      </c>
      <c r="II24" t="str">
        <f>"-0.288"</f>
        <v>-0.288</v>
      </c>
      <c r="IJ24" t="str">
        <f>"-0.0798"</f>
        <v>-0.0798</v>
      </c>
      <c r="IK24" t="str">
        <f>"0.148"</f>
        <v>0.148</v>
      </c>
      <c r="IL24" t="str">
        <f>"-0.237"</f>
        <v>-0.237</v>
      </c>
      <c r="IM24" t="str">
        <f>"-0.00179"</f>
        <v>-0.00179</v>
      </c>
      <c r="IN24" t="str">
        <f>"0.164"</f>
        <v>0.164</v>
      </c>
      <c r="IO24" t="str">
        <f>"-0.268"</f>
        <v>-0.268</v>
      </c>
      <c r="IP24" t="str">
        <f>"-0.0558"</f>
        <v>-0.0558</v>
      </c>
      <c r="IQ24" t="str">
        <f>"0.127"</f>
        <v>0.127</v>
      </c>
      <c r="IR24" t="str">
        <f>"-0.287"</f>
        <v>-0.287</v>
      </c>
      <c r="IS24" t="str">
        <f>"-0.0972"</f>
        <v>-0.0972</v>
      </c>
      <c r="IT24" t="str">
        <f>"0.133"</f>
        <v>0.133</v>
      </c>
      <c r="IU24" t="str">
        <f>"-0.273"</f>
        <v>-0.273</v>
      </c>
      <c r="IV24" t="str">
        <f>"-0.0775"</f>
        <v>-0.0775</v>
      </c>
      <c r="IW24" t="str">
        <f>"0.139"</f>
        <v>0.139</v>
      </c>
      <c r="IX24" t="str">
        <f>"-0.273"</f>
        <v>-0.273</v>
      </c>
      <c r="IY24" t="str">
        <f>"-0.0399"</f>
        <v>-0.0399</v>
      </c>
      <c r="IZ24" t="str">
        <f>"0.140"</f>
        <v>0.140</v>
      </c>
      <c r="JA24" t="str">
        <f>"-0.280"</f>
        <v>-0.280</v>
      </c>
      <c r="JB24" t="str">
        <f>"-0.0846"</f>
        <v>-0.0846</v>
      </c>
      <c r="JC24" t="str">
        <f>"0.159"</f>
        <v>0.159</v>
      </c>
      <c r="JD24" t="str">
        <f>"-0.274"</f>
        <v>-0.274</v>
      </c>
      <c r="JE24" t="str">
        <f>"-0.0532"</f>
        <v>-0.0532</v>
      </c>
      <c r="JF24" t="str">
        <f>"0.159"</f>
        <v>0.159</v>
      </c>
      <c r="JG24" t="str">
        <f>"-0.262"</f>
        <v>-0.262</v>
      </c>
      <c r="JH24" t="str">
        <f>"-0.0593"</f>
        <v>-0.0593</v>
      </c>
      <c r="JI24" t="str">
        <f>"0.150"</f>
        <v>0.150</v>
      </c>
      <c r="JJ24" t="str">
        <f>"-0.276"</f>
        <v>-0.276</v>
      </c>
      <c r="JK24" t="str">
        <f>"-0.0507"</f>
        <v>-0.0507</v>
      </c>
    </row>
    <row r="25" spans="1:271" x14ac:dyDescent="0.3">
      <c r="A25" t="str">
        <f>""</f>
        <v/>
      </c>
      <c r="B25" t="str">
        <f>"(0.271)"</f>
        <v>(0.271)</v>
      </c>
      <c r="C25" t="str">
        <f>"(0.252)"</f>
        <v>(0.252)</v>
      </c>
      <c r="D25" t="str">
        <f>"(0.117)"</f>
        <v>(0.117)</v>
      </c>
      <c r="E25" t="str">
        <f>"(0.271)"</f>
        <v>(0.271)</v>
      </c>
      <c r="F25" t="str">
        <f>"(0.251)"</f>
        <v>(0.251)</v>
      </c>
      <c r="G25" t="str">
        <f>"(0.117)"</f>
        <v>(0.117)</v>
      </c>
      <c r="H25" t="str">
        <f>"(0.271)"</f>
        <v>(0.271)</v>
      </c>
      <c r="I25" t="str">
        <f>"(0.252)"</f>
        <v>(0.252)</v>
      </c>
      <c r="J25" t="str">
        <f>"(0.117)"</f>
        <v>(0.117)</v>
      </c>
      <c r="K25" t="str">
        <f>"(0.271)"</f>
        <v>(0.271)</v>
      </c>
      <c r="L25" t="str">
        <f>"(0.251)"</f>
        <v>(0.251)</v>
      </c>
      <c r="M25" t="str">
        <f>"(0.117)"</f>
        <v>(0.117)</v>
      </c>
      <c r="N25" t="str">
        <f>"(0.271)"</f>
        <v>(0.271)</v>
      </c>
      <c r="O25" t="str">
        <f>"(0.251)"</f>
        <v>(0.251)</v>
      </c>
      <c r="P25" t="str">
        <f>"(0.117)"</f>
        <v>(0.117)</v>
      </c>
      <c r="Q25" t="str">
        <f>"(0.272)"</f>
        <v>(0.272)</v>
      </c>
      <c r="R25" t="str">
        <f>"(0.252)"</f>
        <v>(0.252)</v>
      </c>
      <c r="S25" t="str">
        <f>"(0.117)"</f>
        <v>(0.117)</v>
      </c>
      <c r="T25" t="str">
        <f>"(0.271)"</f>
        <v>(0.271)</v>
      </c>
      <c r="U25" t="str">
        <f>"(0.252)"</f>
        <v>(0.252)</v>
      </c>
      <c r="V25" t="str">
        <f>"(0.117)"</f>
        <v>(0.117)</v>
      </c>
      <c r="W25" t="str">
        <f>"(0.271)"</f>
        <v>(0.271)</v>
      </c>
      <c r="X25" t="str">
        <f>"(0.251)"</f>
        <v>(0.251)</v>
      </c>
      <c r="Y25" t="str">
        <f>"(0.117)"</f>
        <v>(0.117)</v>
      </c>
      <c r="Z25" t="str">
        <f>"(0.272)"</f>
        <v>(0.272)</v>
      </c>
      <c r="AA25" t="str">
        <f>"(0.252)"</f>
        <v>(0.252)</v>
      </c>
      <c r="AB25" t="str">
        <f>"(0.117)"</f>
        <v>(0.117)</v>
      </c>
      <c r="AC25" t="str">
        <f>"(0.271)"</f>
        <v>(0.271)</v>
      </c>
      <c r="AD25" t="str">
        <f>"(0.251)"</f>
        <v>(0.251)</v>
      </c>
      <c r="AE25" t="str">
        <f>"(0.117)"</f>
        <v>(0.117)</v>
      </c>
      <c r="AF25" t="str">
        <f>"(0.273)"</f>
        <v>(0.273)</v>
      </c>
      <c r="AG25" t="str">
        <f>"(0.252)"</f>
        <v>(0.252)</v>
      </c>
      <c r="AH25" t="str">
        <f>"(0.117)"</f>
        <v>(0.117)</v>
      </c>
      <c r="AI25" t="str">
        <f>"(0.271)"</f>
        <v>(0.271)</v>
      </c>
      <c r="AJ25" t="str">
        <f>"(0.252)"</f>
        <v>(0.252)</v>
      </c>
      <c r="AK25" t="str">
        <f>"(0.117)"</f>
        <v>(0.117)</v>
      </c>
      <c r="AL25" t="str">
        <f>"(0.270)"</f>
        <v>(0.270)</v>
      </c>
      <c r="AM25" t="str">
        <f>"(0.251)"</f>
        <v>(0.251)</v>
      </c>
      <c r="AN25" t="str">
        <f>"(0.117)"</f>
        <v>(0.117)</v>
      </c>
      <c r="AO25" t="str">
        <f>"(0.271)"</f>
        <v>(0.271)</v>
      </c>
      <c r="AP25" t="str">
        <f>"(0.251)"</f>
        <v>(0.251)</v>
      </c>
      <c r="AQ25" t="str">
        <f>"(0.117)"</f>
        <v>(0.117)</v>
      </c>
      <c r="AR25" t="str">
        <f>"(0.271)"</f>
        <v>(0.271)</v>
      </c>
      <c r="AS25" t="str">
        <f>"(0.251)"</f>
        <v>(0.251)</v>
      </c>
      <c r="AT25" t="str">
        <f>"(0.117)"</f>
        <v>(0.117)</v>
      </c>
      <c r="AU25" t="str">
        <f>"(0.272)"</f>
        <v>(0.272)</v>
      </c>
      <c r="AV25" t="str">
        <f>"(0.252)"</f>
        <v>(0.252)</v>
      </c>
      <c r="AW25" t="str">
        <f>"(0.117)"</f>
        <v>(0.117)</v>
      </c>
      <c r="AX25" t="str">
        <f>"(0.271)"</f>
        <v>(0.271)</v>
      </c>
      <c r="AY25" t="str">
        <f>"(0.252)"</f>
        <v>(0.252)</v>
      </c>
      <c r="AZ25" t="str">
        <f>"(0.117)"</f>
        <v>(0.117)</v>
      </c>
      <c r="BA25" t="str">
        <f>"(0.272)"</f>
        <v>(0.272)</v>
      </c>
      <c r="BB25" t="str">
        <f>"(0.252)"</f>
        <v>(0.252)</v>
      </c>
      <c r="BC25" t="str">
        <f>"(0.117)"</f>
        <v>(0.117)</v>
      </c>
      <c r="BD25" t="str">
        <f>"(0.271)"</f>
        <v>(0.271)</v>
      </c>
      <c r="BE25" t="str">
        <f>"(0.252)"</f>
        <v>(0.252)</v>
      </c>
      <c r="BF25" t="str">
        <f>"(0.117)"</f>
        <v>(0.117)</v>
      </c>
      <c r="BG25" t="str">
        <f>"(0.271)"</f>
        <v>(0.271)</v>
      </c>
      <c r="BH25" t="str">
        <f>"(0.252)"</f>
        <v>(0.252)</v>
      </c>
      <c r="BI25" t="str">
        <f>"(0.117)"</f>
        <v>(0.117)</v>
      </c>
      <c r="BJ25" t="str">
        <f>"(0.272)"</f>
        <v>(0.272)</v>
      </c>
      <c r="BK25" t="str">
        <f>"(0.252)"</f>
        <v>(0.252)</v>
      </c>
      <c r="BL25" t="str">
        <f>"(0.117)"</f>
        <v>(0.117)</v>
      </c>
      <c r="BM25" t="str">
        <f>"(0.272)"</f>
        <v>(0.272)</v>
      </c>
      <c r="BN25" t="str">
        <f>"(0.252)"</f>
        <v>(0.252)</v>
      </c>
      <c r="BO25" t="str">
        <f>"(0.117)"</f>
        <v>(0.117)</v>
      </c>
      <c r="BP25" t="str">
        <f>"(0.271)"</f>
        <v>(0.271)</v>
      </c>
      <c r="BQ25" t="str">
        <f>"(0.252)"</f>
        <v>(0.252)</v>
      </c>
      <c r="BR25" t="str">
        <f>"(0.117)"</f>
        <v>(0.117)</v>
      </c>
      <c r="BS25" t="str">
        <f>"(0.272)"</f>
        <v>(0.272)</v>
      </c>
      <c r="BT25" t="str">
        <f>"(0.252)"</f>
        <v>(0.252)</v>
      </c>
      <c r="BU25" t="str">
        <f>"(0.117)"</f>
        <v>(0.117)</v>
      </c>
      <c r="BV25" t="str">
        <f>"(0.271)"</f>
        <v>(0.271)</v>
      </c>
      <c r="BW25" t="str">
        <f>"(0.252)"</f>
        <v>(0.252)</v>
      </c>
      <c r="BX25" t="str">
        <f>"(0.117)"</f>
        <v>(0.117)</v>
      </c>
      <c r="BY25" t="str">
        <f>"(0.273)"</f>
        <v>(0.273)</v>
      </c>
      <c r="BZ25" t="str">
        <f>"(0.253)"</f>
        <v>(0.253)</v>
      </c>
      <c r="CA25" t="str">
        <f>"(0.118)"</f>
        <v>(0.118)</v>
      </c>
      <c r="CB25" t="str">
        <f>"(0.271)"</f>
        <v>(0.271)</v>
      </c>
      <c r="CC25" t="str">
        <f>"(0.252)"</f>
        <v>(0.252)</v>
      </c>
      <c r="CD25" t="str">
        <f>"(0.117)"</f>
        <v>(0.117)</v>
      </c>
      <c r="CE25" t="str">
        <f>"(0.271)"</f>
        <v>(0.271)</v>
      </c>
      <c r="CF25" t="str">
        <f>"(0.251)"</f>
        <v>(0.251)</v>
      </c>
      <c r="CG25" t="str">
        <f>"(0.117)"</f>
        <v>(0.117)</v>
      </c>
      <c r="CH25" t="str">
        <f>"(0.271)"</f>
        <v>(0.271)</v>
      </c>
      <c r="CI25" t="str">
        <f>"(0.252)"</f>
        <v>(0.252)</v>
      </c>
      <c r="CJ25" t="str">
        <f>"(0.117)"</f>
        <v>(0.117)</v>
      </c>
      <c r="CK25" t="str">
        <f>"(0.271)"</f>
        <v>(0.271)</v>
      </c>
      <c r="CL25" t="str">
        <f>"(0.252)"</f>
        <v>(0.252)</v>
      </c>
      <c r="CM25" t="str">
        <f>"(0.117)"</f>
        <v>(0.117)</v>
      </c>
      <c r="CN25" t="str">
        <f>"(0.272)"</f>
        <v>(0.272)</v>
      </c>
      <c r="CO25" t="str">
        <f>"(0.252)"</f>
        <v>(0.252)</v>
      </c>
      <c r="CP25" t="str">
        <f>"(0.117)"</f>
        <v>(0.117)</v>
      </c>
      <c r="CQ25" t="str">
        <f>"(0.271)"</f>
        <v>(0.271)</v>
      </c>
      <c r="CR25" t="str">
        <f>"(0.251)"</f>
        <v>(0.251)</v>
      </c>
      <c r="CS25" t="str">
        <f>"(0.117)"</f>
        <v>(0.117)</v>
      </c>
      <c r="CT25" t="str">
        <f>"(0.271)"</f>
        <v>(0.271)</v>
      </c>
      <c r="CU25" t="str">
        <f>"(0.252)"</f>
        <v>(0.252)</v>
      </c>
      <c r="CV25" t="str">
        <f>"(0.117)"</f>
        <v>(0.117)</v>
      </c>
      <c r="CW25" t="str">
        <f>"(0.271)"</f>
        <v>(0.271)</v>
      </c>
      <c r="CX25" t="str">
        <f>"(0.251)"</f>
        <v>(0.251)</v>
      </c>
      <c r="CY25" t="str">
        <f>"(0.117)"</f>
        <v>(0.117)</v>
      </c>
      <c r="CZ25" t="str">
        <f>"(0.271)"</f>
        <v>(0.271)</v>
      </c>
      <c r="DA25" t="str">
        <f>"(0.251)"</f>
        <v>(0.251)</v>
      </c>
      <c r="DB25" t="str">
        <f>"(0.117)"</f>
        <v>(0.117)</v>
      </c>
      <c r="DC25" t="str">
        <f>"(0.272)"</f>
        <v>(0.272)</v>
      </c>
      <c r="DD25" t="str">
        <f>"(0.252)"</f>
        <v>(0.252)</v>
      </c>
      <c r="DE25" t="str">
        <f>"(0.117)"</f>
        <v>(0.117)</v>
      </c>
      <c r="DF25" t="str">
        <f>"(0.271)"</f>
        <v>(0.271)</v>
      </c>
      <c r="DG25" t="str">
        <f>"(0.251)"</f>
        <v>(0.251)</v>
      </c>
      <c r="DH25" t="str">
        <f>"(0.117)"</f>
        <v>(0.117)</v>
      </c>
      <c r="DI25" t="str">
        <f>"(0.271)"</f>
        <v>(0.271)</v>
      </c>
      <c r="DJ25" t="str">
        <f>"(0.251)"</f>
        <v>(0.251)</v>
      </c>
      <c r="DK25" t="str">
        <f>"(0.117)"</f>
        <v>(0.117)</v>
      </c>
      <c r="DL25" t="str">
        <f>"(0.272)"</f>
        <v>(0.272)</v>
      </c>
      <c r="DM25" t="str">
        <f>"(0.252)"</f>
        <v>(0.252)</v>
      </c>
      <c r="DN25" t="str">
        <f>"(0.117)"</f>
        <v>(0.117)</v>
      </c>
      <c r="DO25" t="str">
        <f>"(0.271)"</f>
        <v>(0.271)</v>
      </c>
      <c r="DP25" t="str">
        <f>"(0.251)"</f>
        <v>(0.251)</v>
      </c>
      <c r="DQ25" t="str">
        <f>"(0.117)"</f>
        <v>(0.117)</v>
      </c>
      <c r="DR25" t="str">
        <f>"(0.273)"</f>
        <v>(0.273)</v>
      </c>
      <c r="DS25" t="str">
        <f>"(0.252)"</f>
        <v>(0.252)</v>
      </c>
      <c r="DT25" t="str">
        <f>"(0.118)"</f>
        <v>(0.118)</v>
      </c>
      <c r="DU25" t="str">
        <f>"(0.271)"</f>
        <v>(0.271)</v>
      </c>
      <c r="DV25" t="str">
        <f>"(0.251)"</f>
        <v>(0.251)</v>
      </c>
      <c r="DW25" t="str">
        <f>"(0.117)"</f>
        <v>(0.117)</v>
      </c>
      <c r="DX25" t="str">
        <f>"(0.271)"</f>
        <v>(0.271)</v>
      </c>
      <c r="DY25" t="str">
        <f>"(0.251)"</f>
        <v>(0.251)</v>
      </c>
      <c r="DZ25" t="str">
        <f>"(0.117)"</f>
        <v>(0.117)</v>
      </c>
      <c r="EA25" t="str">
        <f>"(0.271)"</f>
        <v>(0.271)</v>
      </c>
      <c r="EB25" t="str">
        <f>"(0.251)"</f>
        <v>(0.251)</v>
      </c>
      <c r="EC25" t="str">
        <f>"(0.117)"</f>
        <v>(0.117)</v>
      </c>
      <c r="ED25" t="str">
        <f>"(0.271)"</f>
        <v>(0.271)</v>
      </c>
      <c r="EE25" t="str">
        <f>"(0.251)"</f>
        <v>(0.251)</v>
      </c>
      <c r="EF25" t="str">
        <f>"(0.117)"</f>
        <v>(0.117)</v>
      </c>
      <c r="EG25" t="str">
        <f>"(0.273)"</f>
        <v>(0.273)</v>
      </c>
      <c r="EH25" t="str">
        <f>"(0.253)"</f>
        <v>(0.253)</v>
      </c>
      <c r="EI25" t="str">
        <f>"(0.118)"</f>
        <v>(0.118)</v>
      </c>
      <c r="EJ25" t="str">
        <f>"(0.272)"</f>
        <v>(0.272)</v>
      </c>
      <c r="EK25" t="str">
        <f>"(0.252)"</f>
        <v>(0.252)</v>
      </c>
      <c r="EL25" t="str">
        <f>"(0.117)"</f>
        <v>(0.117)</v>
      </c>
      <c r="EM25" t="str">
        <f>"(0.273)"</f>
        <v>(0.273)</v>
      </c>
      <c r="EN25" t="str">
        <f>"(0.252)"</f>
        <v>(0.252)</v>
      </c>
      <c r="EO25" t="str">
        <f>"(0.117)"</f>
        <v>(0.117)</v>
      </c>
      <c r="EP25" t="str">
        <f>"(0.272)"</f>
        <v>(0.272)</v>
      </c>
      <c r="EQ25" t="str">
        <f>"(0.252)"</f>
        <v>(0.252)</v>
      </c>
      <c r="ER25" t="str">
        <f>"(0.117)"</f>
        <v>(0.117)</v>
      </c>
      <c r="ES25" t="str">
        <f>"(0.272)"</f>
        <v>(0.272)</v>
      </c>
      <c r="ET25" t="str">
        <f>"(0.252)"</f>
        <v>(0.252)</v>
      </c>
      <c r="EU25" t="str">
        <f>"(0.117)"</f>
        <v>(0.117)</v>
      </c>
      <c r="EV25" t="str">
        <f>"(0.273)"</f>
        <v>(0.273)</v>
      </c>
      <c r="EW25" t="str">
        <f>"(0.253)"</f>
        <v>(0.253)</v>
      </c>
      <c r="EX25" t="str">
        <f>"(0.118)"</f>
        <v>(0.118)</v>
      </c>
      <c r="EY25" t="str">
        <f>"(0.273)"</f>
        <v>(0.273)</v>
      </c>
      <c r="EZ25" t="str">
        <f>"(0.252)"</f>
        <v>(0.252)</v>
      </c>
      <c r="FA25" t="str">
        <f>"(0.117)"</f>
        <v>(0.117)</v>
      </c>
      <c r="FB25" t="str">
        <f>"(0.272)"</f>
        <v>(0.272)</v>
      </c>
      <c r="FC25" t="str">
        <f>"(0.252)"</f>
        <v>(0.252)</v>
      </c>
      <c r="FD25" t="str">
        <f>"(0.117)"</f>
        <v>(0.117)</v>
      </c>
      <c r="FE25" t="str">
        <f>"(0.273)"</f>
        <v>(0.273)</v>
      </c>
      <c r="FF25" t="str">
        <f>"(0.253)"</f>
        <v>(0.253)</v>
      </c>
      <c r="FG25" t="str">
        <f>"(0.118)"</f>
        <v>(0.118)</v>
      </c>
      <c r="FH25" t="str">
        <f>"(0.273)"</f>
        <v>(0.273)</v>
      </c>
      <c r="FI25" t="str">
        <f>"(0.252)"</f>
        <v>(0.252)</v>
      </c>
      <c r="FJ25" t="str">
        <f>"(0.117)"</f>
        <v>(0.117)</v>
      </c>
      <c r="FK25" t="str">
        <f>"(0.274)"</f>
        <v>(0.274)</v>
      </c>
      <c r="FL25" t="str">
        <f>"(0.254)"</f>
        <v>(0.254)</v>
      </c>
      <c r="FM25" t="str">
        <f>"(0.118)"</f>
        <v>(0.118)</v>
      </c>
      <c r="FN25" t="str">
        <f>"(0.272)"</f>
        <v>(0.272)</v>
      </c>
      <c r="FO25" t="str">
        <f>"(0.252)"</f>
        <v>(0.252)</v>
      </c>
      <c r="FP25" t="str">
        <f>"(0.117)"</f>
        <v>(0.117)</v>
      </c>
      <c r="FQ25" t="str">
        <f>"(0.272)"</f>
        <v>(0.272)</v>
      </c>
      <c r="FR25" t="str">
        <f>"(0.252)"</f>
        <v>(0.252)</v>
      </c>
      <c r="FS25" t="str">
        <f>"(0.117)"</f>
        <v>(0.117)</v>
      </c>
      <c r="FT25" t="str">
        <f>"(0.272)"</f>
        <v>(0.272)</v>
      </c>
      <c r="FU25" t="str">
        <f>"(0.252)"</f>
        <v>(0.252)</v>
      </c>
      <c r="FV25" t="str">
        <f>"(0.117)"</f>
        <v>(0.117)</v>
      </c>
      <c r="FW25" t="str">
        <f>"(0.272)"</f>
        <v>(0.272)</v>
      </c>
      <c r="FX25" t="str">
        <f>"(0.252)"</f>
        <v>(0.252)</v>
      </c>
      <c r="FY25" t="str">
        <f>"(0.117)"</f>
        <v>(0.117)</v>
      </c>
      <c r="FZ25" t="str">
        <f>"(0.272)"</f>
        <v>(0.272)</v>
      </c>
      <c r="GA25" t="str">
        <f>"(0.252)"</f>
        <v>(0.252)</v>
      </c>
      <c r="GB25" t="str">
        <f>"(0.118)"</f>
        <v>(0.118)</v>
      </c>
      <c r="GC25" t="str">
        <f>"(0.272)"</f>
        <v>(0.272)</v>
      </c>
      <c r="GD25" t="str">
        <f>"(0.252)"</f>
        <v>(0.252)</v>
      </c>
      <c r="GE25" t="str">
        <f>"(0.117)"</f>
        <v>(0.117)</v>
      </c>
      <c r="GF25" t="str">
        <f>"(0.272)"</f>
        <v>(0.272)</v>
      </c>
      <c r="GG25" t="str">
        <f>"(0.252)"</f>
        <v>(0.252)</v>
      </c>
      <c r="GH25" t="str">
        <f>"(0.117)"</f>
        <v>(0.117)</v>
      </c>
      <c r="GI25" t="str">
        <f>"(0.272)"</f>
        <v>(0.272)</v>
      </c>
      <c r="GJ25" t="str">
        <f>"(0.252)"</f>
        <v>(0.252)</v>
      </c>
      <c r="GK25" t="str">
        <f>"(0.117)"</f>
        <v>(0.117)</v>
      </c>
      <c r="GL25" t="str">
        <f>"(0.272)"</f>
        <v>(0.272)</v>
      </c>
      <c r="GM25" t="str">
        <f>"(0.252)"</f>
        <v>(0.252)</v>
      </c>
      <c r="GN25" t="str">
        <f>"(0.117)"</f>
        <v>(0.117)</v>
      </c>
      <c r="GO25" t="str">
        <f>"(0.273)"</f>
        <v>(0.273)</v>
      </c>
      <c r="GP25" t="str">
        <f>"(0.252)"</f>
        <v>(0.252)</v>
      </c>
      <c r="GQ25" t="str">
        <f>"(0.117)"</f>
        <v>(0.117)</v>
      </c>
      <c r="GR25" t="str">
        <f>"(0.272)"</f>
        <v>(0.272)</v>
      </c>
      <c r="GS25" t="str">
        <f>"(0.252)"</f>
        <v>(0.252)</v>
      </c>
      <c r="GT25" t="str">
        <f>"(0.117)"</f>
        <v>(0.117)</v>
      </c>
      <c r="GU25" t="str">
        <f>"(0.272)"</f>
        <v>(0.272)</v>
      </c>
      <c r="GV25" t="str">
        <f>"(0.252)"</f>
        <v>(0.252)</v>
      </c>
      <c r="GW25" t="str">
        <f>"(0.117)"</f>
        <v>(0.117)</v>
      </c>
      <c r="GX25" t="str">
        <f>"(0.272)"</f>
        <v>(0.272)</v>
      </c>
      <c r="GY25" t="str">
        <f>"(0.252)"</f>
        <v>(0.252)</v>
      </c>
      <c r="GZ25" t="str">
        <f>"(0.117)"</f>
        <v>(0.117)</v>
      </c>
      <c r="HA25" t="str">
        <f>"(0.272)"</f>
        <v>(0.272)</v>
      </c>
      <c r="HB25" t="str">
        <f>"(0.252)"</f>
        <v>(0.252)</v>
      </c>
      <c r="HC25" t="str">
        <f>"(0.117)"</f>
        <v>(0.117)</v>
      </c>
      <c r="HD25" t="str">
        <f>"(0.274)"</f>
        <v>(0.274)</v>
      </c>
      <c r="HE25" t="str">
        <f>"(0.253)"</f>
        <v>(0.253)</v>
      </c>
      <c r="HF25" t="str">
        <f>"(0.118)"</f>
        <v>(0.118)</v>
      </c>
      <c r="HG25" t="str">
        <f>"(0.272)"</f>
        <v>(0.272)</v>
      </c>
      <c r="HH25" t="str">
        <f>"(0.252)"</f>
        <v>(0.252)</v>
      </c>
      <c r="HI25" t="str">
        <f>"(0.117)"</f>
        <v>(0.117)</v>
      </c>
      <c r="HJ25" t="str">
        <f>"(0.271)"</f>
        <v>(0.271)</v>
      </c>
      <c r="HK25" t="str">
        <f>"(0.252)"</f>
        <v>(0.252)</v>
      </c>
      <c r="HL25" t="str">
        <f>"(0.117)"</f>
        <v>(0.117)</v>
      </c>
      <c r="HM25" t="str">
        <f>"(0.272)"</f>
        <v>(0.272)</v>
      </c>
      <c r="HN25" t="str">
        <f>"(0.252)"</f>
        <v>(0.252)</v>
      </c>
      <c r="HO25" t="str">
        <f>"(0.117)"</f>
        <v>(0.117)</v>
      </c>
      <c r="HP25" t="str">
        <f>"(0.272)"</f>
        <v>(0.272)</v>
      </c>
      <c r="HQ25" t="str">
        <f>"(0.252)"</f>
        <v>(0.252)</v>
      </c>
      <c r="HR25" t="str">
        <f>"(0.117)"</f>
        <v>(0.117)</v>
      </c>
      <c r="HS25" t="str">
        <f>"(0.272)"</f>
        <v>(0.272)</v>
      </c>
      <c r="HT25" t="str">
        <f>"(0.252)"</f>
        <v>(0.252)</v>
      </c>
      <c r="HU25" t="str">
        <f>"(0.117)"</f>
        <v>(0.117)</v>
      </c>
      <c r="HV25" t="str">
        <f>"(0.271)"</f>
        <v>(0.271)</v>
      </c>
      <c r="HW25" t="str">
        <f>"(0.252)"</f>
        <v>(0.252)</v>
      </c>
      <c r="HX25" t="str">
        <f>"(0.117)"</f>
        <v>(0.117)</v>
      </c>
      <c r="HY25" t="str">
        <f>"(0.272)"</f>
        <v>(0.272)</v>
      </c>
      <c r="HZ25" t="str">
        <f>"(0.252)"</f>
        <v>(0.252)</v>
      </c>
      <c r="IA25" t="str">
        <f>"(0.117)"</f>
        <v>(0.117)</v>
      </c>
      <c r="IB25" t="str">
        <f>"(0.271)"</f>
        <v>(0.271)</v>
      </c>
      <c r="IC25" t="str">
        <f>"(0.252)"</f>
        <v>(0.252)</v>
      </c>
      <c r="ID25" t="str">
        <f>"(0.117)"</f>
        <v>(0.117)</v>
      </c>
      <c r="IE25" t="str">
        <f>"(0.271)"</f>
        <v>(0.271)</v>
      </c>
      <c r="IF25" t="str">
        <f>"(0.252)"</f>
        <v>(0.252)</v>
      </c>
      <c r="IG25" t="str">
        <f>"(0.117)"</f>
        <v>(0.117)</v>
      </c>
      <c r="IH25" t="str">
        <f>"(0.272)"</f>
        <v>(0.272)</v>
      </c>
      <c r="II25" t="str">
        <f>"(0.252)"</f>
        <v>(0.252)</v>
      </c>
      <c r="IJ25" t="str">
        <f>"(0.117)"</f>
        <v>(0.117)</v>
      </c>
      <c r="IK25" t="str">
        <f>"(0.272)"</f>
        <v>(0.272)</v>
      </c>
      <c r="IL25" t="str">
        <f>"(0.252)"</f>
        <v>(0.252)</v>
      </c>
      <c r="IM25" t="str">
        <f>"(0.117)"</f>
        <v>(0.117)</v>
      </c>
      <c r="IN25" t="str">
        <f>"(0.271)"</f>
        <v>(0.271)</v>
      </c>
      <c r="IO25" t="str">
        <f>"(0.252)"</f>
        <v>(0.252)</v>
      </c>
      <c r="IP25" t="str">
        <f>"(0.117)"</f>
        <v>(0.117)</v>
      </c>
      <c r="IQ25" t="str">
        <f>"(0.272)"</f>
        <v>(0.272)</v>
      </c>
      <c r="IR25" t="str">
        <f>"(0.252)"</f>
        <v>(0.252)</v>
      </c>
      <c r="IS25" t="str">
        <f>"(0.117)"</f>
        <v>(0.117)</v>
      </c>
      <c r="IT25" t="str">
        <f>"(0.271)"</f>
        <v>(0.271)</v>
      </c>
      <c r="IU25" t="str">
        <f>"(0.252)"</f>
        <v>(0.252)</v>
      </c>
      <c r="IV25" t="str">
        <f>"(0.117)"</f>
        <v>(0.117)</v>
      </c>
      <c r="IW25" t="str">
        <f>"(0.273)"</f>
        <v>(0.273)</v>
      </c>
      <c r="IX25" t="str">
        <f>"(0.253)"</f>
        <v>(0.253)</v>
      </c>
      <c r="IY25" t="str">
        <f>"(0.118)"</f>
        <v>(0.118)</v>
      </c>
      <c r="IZ25" t="str">
        <f>"(0.271)"</f>
        <v>(0.271)</v>
      </c>
      <c r="JA25" t="str">
        <f>"(0.252)"</f>
        <v>(0.252)</v>
      </c>
      <c r="JB25" t="str">
        <f>"(0.117)"</f>
        <v>(0.117)</v>
      </c>
      <c r="JC25" t="str">
        <f>"(0.271)"</f>
        <v>(0.271)</v>
      </c>
      <c r="JD25" t="str">
        <f>"(0.252)"</f>
        <v>(0.252)</v>
      </c>
      <c r="JE25" t="str">
        <f>"(0.117)"</f>
        <v>(0.117)</v>
      </c>
      <c r="JF25" t="str">
        <f>"(0.271)"</f>
        <v>(0.271)</v>
      </c>
      <c r="JG25" t="str">
        <f>"(0.252)"</f>
        <v>(0.252)</v>
      </c>
      <c r="JH25" t="str">
        <f>"(0.117)"</f>
        <v>(0.117)</v>
      </c>
      <c r="JI25" t="str">
        <f>"(0.271)"</f>
        <v>(0.271)</v>
      </c>
      <c r="JJ25" t="str">
        <f>"(0.252)"</f>
        <v>(0.252)</v>
      </c>
      <c r="JK25" t="str">
        <f>"(0.117)"</f>
        <v>(0.117)</v>
      </c>
    </row>
    <row r="27" spans="1:271" x14ac:dyDescent="0.3">
      <c r="A27" t="str">
        <f>"householdsize"</f>
        <v>householdsize</v>
      </c>
      <c r="B27" t="str">
        <f>"-0.0396"</f>
        <v>-0.0396</v>
      </c>
      <c r="C27" t="str">
        <f>"0.00792"</f>
        <v>0.00792</v>
      </c>
      <c r="D27" t="str">
        <f>"-0.0496"</f>
        <v>-0.0496</v>
      </c>
      <c r="E27" t="str">
        <f>"-0.0361"</f>
        <v>-0.0361</v>
      </c>
      <c r="F27" t="str">
        <f>"0.0132"</f>
        <v>0.0132</v>
      </c>
      <c r="G27" t="str">
        <f>"-0.0452"</f>
        <v>-0.0452</v>
      </c>
      <c r="H27" t="str">
        <f>"-0.0393"</f>
        <v>-0.0393</v>
      </c>
      <c r="I27" t="str">
        <f>"0.0123"</f>
        <v>0.0123</v>
      </c>
      <c r="J27" t="str">
        <f>"-0.0488"</f>
        <v>-0.0488</v>
      </c>
      <c r="K27" t="str">
        <f>"-0.0386"</f>
        <v>-0.0386</v>
      </c>
      <c r="L27" t="str">
        <f>"0.0103"</f>
        <v>0.0103</v>
      </c>
      <c r="M27" t="str">
        <f>"-0.0490"</f>
        <v>-0.0490</v>
      </c>
      <c r="N27" t="str">
        <f>"-0.0395"</f>
        <v>-0.0395</v>
      </c>
      <c r="O27" t="str">
        <f>"0.0120"</f>
        <v>0.0120</v>
      </c>
      <c r="P27" t="str">
        <f>"-0.0500"</f>
        <v>-0.0500</v>
      </c>
      <c r="Q27" t="str">
        <f>"-0.0360"</f>
        <v>-0.0360</v>
      </c>
      <c r="R27" t="str">
        <f>"0.0123"</f>
        <v>0.0123</v>
      </c>
      <c r="S27" t="str">
        <f>"-0.0469"</f>
        <v>-0.0469</v>
      </c>
      <c r="T27" t="str">
        <f>"-0.0386"</f>
        <v>-0.0386</v>
      </c>
      <c r="U27" t="str">
        <f>"0.00912"</f>
        <v>0.00912</v>
      </c>
      <c r="V27" t="str">
        <f>"-0.0543*"</f>
        <v>-0.0543*</v>
      </c>
      <c r="W27" t="str">
        <f>"-0.0392"</f>
        <v>-0.0392</v>
      </c>
      <c r="X27" t="str">
        <f>"0.0115"</f>
        <v>0.0115</v>
      </c>
      <c r="Y27" t="str">
        <f>"-0.0478"</f>
        <v>-0.0478</v>
      </c>
      <c r="Z27" t="str">
        <f>"-0.0374"</f>
        <v>-0.0374</v>
      </c>
      <c r="AA27" t="str">
        <f>"0.0112"</f>
        <v>0.0112</v>
      </c>
      <c r="AB27" t="str">
        <f>"-0.0472"</f>
        <v>-0.0472</v>
      </c>
      <c r="AC27" t="str">
        <f>"-0.0384"</f>
        <v>-0.0384</v>
      </c>
      <c r="AD27" t="str">
        <f>"0.0111"</f>
        <v>0.0111</v>
      </c>
      <c r="AE27" t="str">
        <f>"-0.0477"</f>
        <v>-0.0477</v>
      </c>
      <c r="AF27" t="str">
        <f>"-0.0399"</f>
        <v>-0.0399</v>
      </c>
      <c r="AG27" t="str">
        <f>"0.0111"</f>
        <v>0.0111</v>
      </c>
      <c r="AH27" t="str">
        <f>"-0.0482"</f>
        <v>-0.0482</v>
      </c>
      <c r="AI27" t="str">
        <f>"-0.0381"</f>
        <v>-0.0381</v>
      </c>
      <c r="AJ27" t="str">
        <f>"0.0102"</f>
        <v>0.0102</v>
      </c>
      <c r="AK27" t="str">
        <f>"-0.0472"</f>
        <v>-0.0472</v>
      </c>
      <c r="AL27" t="str">
        <f>"-0.0349"</f>
        <v>-0.0349</v>
      </c>
      <c r="AM27" t="str">
        <f>"0.0114"</f>
        <v>0.0114</v>
      </c>
      <c r="AN27" t="str">
        <f>"-0.0455"</f>
        <v>-0.0455</v>
      </c>
      <c r="AO27" t="str">
        <f>"-0.0383"</f>
        <v>-0.0383</v>
      </c>
      <c r="AP27" t="str">
        <f>"0.0119"</f>
        <v>0.0119</v>
      </c>
      <c r="AQ27" t="str">
        <f>"-0.0482"</f>
        <v>-0.0482</v>
      </c>
      <c r="AR27" t="str">
        <f>"-0.0398"</f>
        <v>-0.0398</v>
      </c>
      <c r="AS27" t="str">
        <f>"0.0109"</f>
        <v>0.0109</v>
      </c>
      <c r="AT27" t="str">
        <f>"-0.0467"</f>
        <v>-0.0467</v>
      </c>
      <c r="AU27" t="str">
        <f>"-0.0394"</f>
        <v>-0.0394</v>
      </c>
      <c r="AV27" t="str">
        <f>"0.00833"</f>
        <v>0.00833</v>
      </c>
      <c r="AW27" t="str">
        <f>"-0.0494"</f>
        <v>-0.0494</v>
      </c>
      <c r="AX27" t="str">
        <f>"-0.0374"</f>
        <v>-0.0374</v>
      </c>
      <c r="AY27" t="str">
        <f>"0.0130"</f>
        <v>0.0130</v>
      </c>
      <c r="AZ27" t="str">
        <f>"-0.0446"</f>
        <v>-0.0446</v>
      </c>
      <c r="BA27" t="str">
        <f>"-0.0390"</f>
        <v>-0.0390</v>
      </c>
      <c r="BB27" t="str">
        <f>"0.0124"</f>
        <v>0.0124</v>
      </c>
      <c r="BC27" t="str">
        <f>"-0.0486"</f>
        <v>-0.0486</v>
      </c>
      <c r="BD27" t="str">
        <f>"-0.0392"</f>
        <v>-0.0392</v>
      </c>
      <c r="BE27" t="str">
        <f>"0.0101"</f>
        <v>0.0101</v>
      </c>
      <c r="BF27" t="str">
        <f>"-0.0495"</f>
        <v>-0.0495</v>
      </c>
      <c r="BG27" t="str">
        <f>"-0.0383"</f>
        <v>-0.0383</v>
      </c>
      <c r="BH27" t="str">
        <f>"0.0120"</f>
        <v>0.0120</v>
      </c>
      <c r="BI27" t="str">
        <f>"-0.0498"</f>
        <v>-0.0498</v>
      </c>
      <c r="BJ27" t="str">
        <f>"-0.0370"</f>
        <v>-0.0370</v>
      </c>
      <c r="BK27" t="str">
        <f>"0.0122"</f>
        <v>0.0122</v>
      </c>
      <c r="BL27" t="str">
        <f>"-0.0474"</f>
        <v>-0.0474</v>
      </c>
      <c r="BM27" t="str">
        <f>"-0.0389"</f>
        <v>-0.0389</v>
      </c>
      <c r="BN27" t="str">
        <f>"0.00987"</f>
        <v>0.00987</v>
      </c>
      <c r="BO27" t="str">
        <f>"-0.0532*"</f>
        <v>-0.0532*</v>
      </c>
      <c r="BP27" t="str">
        <f>"-0.0386"</f>
        <v>-0.0386</v>
      </c>
      <c r="BQ27" t="str">
        <f>"0.0119"</f>
        <v>0.0119</v>
      </c>
      <c r="BR27" t="str">
        <f>"-0.0479"</f>
        <v>-0.0479</v>
      </c>
      <c r="BS27" t="str">
        <f>"-0.0380"</f>
        <v>-0.0380</v>
      </c>
      <c r="BT27" t="str">
        <f>"0.0115"</f>
        <v>0.0115</v>
      </c>
      <c r="BU27" t="str">
        <f>"-0.0472"</f>
        <v>-0.0472</v>
      </c>
      <c r="BV27" t="str">
        <f>"-0.0388"</f>
        <v>-0.0388</v>
      </c>
      <c r="BW27" t="str">
        <f>"0.0112"</f>
        <v>0.0112</v>
      </c>
      <c r="BX27" t="str">
        <f>"-0.0478"</f>
        <v>-0.0478</v>
      </c>
      <c r="BY27" t="str">
        <f>"-0.0388"</f>
        <v>-0.0388</v>
      </c>
      <c r="BZ27" t="str">
        <f>"0.0112"</f>
        <v>0.0112</v>
      </c>
      <c r="CA27" t="str">
        <f>"-0.0479"</f>
        <v>-0.0479</v>
      </c>
      <c r="CB27" t="str">
        <f>"-0.0374"</f>
        <v>-0.0374</v>
      </c>
      <c r="CC27" t="str">
        <f>"0.00942"</f>
        <v>0.00942</v>
      </c>
      <c r="CD27" t="str">
        <f>"-0.0479"</f>
        <v>-0.0479</v>
      </c>
      <c r="CE27" t="str">
        <f>"-0.0363"</f>
        <v>-0.0363</v>
      </c>
      <c r="CF27" t="str">
        <f>"0.0112"</f>
        <v>0.0112</v>
      </c>
      <c r="CG27" t="str">
        <f>"-0.0454"</f>
        <v>-0.0454</v>
      </c>
      <c r="CH27" t="str">
        <f>"-0.0377"</f>
        <v>-0.0377</v>
      </c>
      <c r="CI27" t="str">
        <f>"0.0119"</f>
        <v>0.0119</v>
      </c>
      <c r="CJ27" t="str">
        <f>"-0.0486"</f>
        <v>-0.0486</v>
      </c>
      <c r="CK27" t="str">
        <f>"-0.0396"</f>
        <v>-0.0396</v>
      </c>
      <c r="CL27" t="str">
        <f>"0.0110"</f>
        <v>0.0110</v>
      </c>
      <c r="CM27" t="str">
        <f>"-0.0468"</f>
        <v>-0.0468</v>
      </c>
      <c r="CN27" t="str">
        <f>"-0.0400"</f>
        <v>-0.0400</v>
      </c>
      <c r="CO27" t="str">
        <f>"0.00963"</f>
        <v>0.00963</v>
      </c>
      <c r="CP27" t="str">
        <f>"-0.0497"</f>
        <v>-0.0497</v>
      </c>
      <c r="CQ27" t="str">
        <f>"-0.0381"</f>
        <v>-0.0381</v>
      </c>
      <c r="CR27" t="str">
        <f>"0.0141"</f>
        <v>0.0141</v>
      </c>
      <c r="CS27" t="str">
        <f>"-0.0456"</f>
        <v>-0.0456</v>
      </c>
      <c r="CT27" t="str">
        <f>"-0.0393"</f>
        <v>-0.0393</v>
      </c>
      <c r="CU27" t="str">
        <f>"0.0136"</f>
        <v>0.0136</v>
      </c>
      <c r="CV27" t="str">
        <f>"-0.0486"</f>
        <v>-0.0486</v>
      </c>
      <c r="CW27" t="str">
        <f>"-0.0398"</f>
        <v>-0.0398</v>
      </c>
      <c r="CX27" t="str">
        <f>"0.0109"</f>
        <v>0.0109</v>
      </c>
      <c r="CY27" t="str">
        <f>"-0.0493"</f>
        <v>-0.0493</v>
      </c>
      <c r="CZ27" t="str">
        <f>"-0.0386"</f>
        <v>-0.0386</v>
      </c>
      <c r="DA27" t="str">
        <f>"0.0133"</f>
        <v>0.0133</v>
      </c>
      <c r="DB27" t="str">
        <f>"-0.0500"</f>
        <v>-0.0500</v>
      </c>
      <c r="DC27" t="str">
        <f>"-0.0371"</f>
        <v>-0.0371</v>
      </c>
      <c r="DD27" t="str">
        <f>"0.0135"</f>
        <v>0.0135</v>
      </c>
      <c r="DE27" t="str">
        <f>"-0.0472"</f>
        <v>-0.0472</v>
      </c>
      <c r="DF27" t="str">
        <f>"-0.0390"</f>
        <v>-0.0390</v>
      </c>
      <c r="DG27" t="str">
        <f>"0.0106"</f>
        <v>0.0106</v>
      </c>
      <c r="DH27" t="str">
        <f>"-0.0535*"</f>
        <v>-0.0535*</v>
      </c>
      <c r="DI27" t="str">
        <f>"-0.0387"</f>
        <v>-0.0387</v>
      </c>
      <c r="DJ27" t="str">
        <f>"0.0133"</f>
        <v>0.0133</v>
      </c>
      <c r="DK27" t="str">
        <f>"-0.0481"</f>
        <v>-0.0481</v>
      </c>
      <c r="DL27" t="str">
        <f>"-0.0379"</f>
        <v>-0.0379</v>
      </c>
      <c r="DM27" t="str">
        <f>"0.0128"</f>
        <v>0.0128</v>
      </c>
      <c r="DN27" t="str">
        <f>"-0.0474"</f>
        <v>-0.0474</v>
      </c>
      <c r="DO27" t="str">
        <f>"-0.0387"</f>
        <v>-0.0387</v>
      </c>
      <c r="DP27" t="str">
        <f>"0.0123"</f>
        <v>0.0123</v>
      </c>
      <c r="DQ27" t="str">
        <f>"-0.0479"</f>
        <v>-0.0479</v>
      </c>
      <c r="DR27" t="str">
        <f>"-0.0389"</f>
        <v>-0.0389</v>
      </c>
      <c r="DS27" t="str">
        <f>"0.0124"</f>
        <v>0.0124</v>
      </c>
      <c r="DT27" t="str">
        <f>"-0.0480"</f>
        <v>-0.0480</v>
      </c>
      <c r="DU27" t="str">
        <f>"-0.0376"</f>
        <v>-0.0376</v>
      </c>
      <c r="DV27" t="str">
        <f>"0.0119"</f>
        <v>0.0119</v>
      </c>
      <c r="DW27" t="str">
        <f>"-0.0475"</f>
        <v>-0.0475</v>
      </c>
      <c r="DX27" t="str">
        <f>"-0.0373"</f>
        <v>-0.0373</v>
      </c>
      <c r="DY27" t="str">
        <f>"0.0127"</f>
        <v>0.0127</v>
      </c>
      <c r="DZ27" t="str">
        <f>"-0.0454"</f>
        <v>-0.0454</v>
      </c>
      <c r="EA27" t="str">
        <f>"-0.0385"</f>
        <v>-0.0385</v>
      </c>
      <c r="EB27" t="str">
        <f>"0.0128"</f>
        <v>0.0128</v>
      </c>
      <c r="EC27" t="str">
        <f>"-0.0489"</f>
        <v>-0.0489</v>
      </c>
      <c r="ED27" t="str">
        <f>"-0.0397"</f>
        <v>-0.0397</v>
      </c>
      <c r="EE27" t="str">
        <f>"0.0124"</f>
        <v>0.0124</v>
      </c>
      <c r="EF27" t="str">
        <f>"-0.0467"</f>
        <v>-0.0467</v>
      </c>
      <c r="EG27" t="str">
        <f>"-0.0389"</f>
        <v>-0.0389</v>
      </c>
      <c r="EH27" t="str">
        <f>"0.00795"</f>
        <v>0.00795</v>
      </c>
      <c r="EI27" t="str">
        <f>"-0.0493"</f>
        <v>-0.0493</v>
      </c>
      <c r="EJ27" t="str">
        <f>"-0.0358"</f>
        <v>-0.0358</v>
      </c>
      <c r="EK27" t="str">
        <f>"0.0136"</f>
        <v>0.0136</v>
      </c>
      <c r="EL27" t="str">
        <f>"-0.0456"</f>
        <v>-0.0456</v>
      </c>
      <c r="EM27" t="str">
        <f>"-0.0376"</f>
        <v>-0.0376</v>
      </c>
      <c r="EN27" t="str">
        <f>"0.0130"</f>
        <v>0.0130</v>
      </c>
      <c r="EO27" t="str">
        <f>"-0.0487"</f>
        <v>-0.0487</v>
      </c>
      <c r="EP27" t="str">
        <f>"-0.0382"</f>
        <v>-0.0382</v>
      </c>
      <c r="EQ27" t="str">
        <f>"0.0103"</f>
        <v>0.0103</v>
      </c>
      <c r="ER27" t="str">
        <f>"-0.0490"</f>
        <v>-0.0490</v>
      </c>
      <c r="ES27" t="str">
        <f>"-0.0381"</f>
        <v>-0.0381</v>
      </c>
      <c r="ET27" t="str">
        <f>"0.0127"</f>
        <v>0.0127</v>
      </c>
      <c r="EU27" t="str">
        <f>"-0.0497"</f>
        <v>-0.0497</v>
      </c>
      <c r="EV27" t="str">
        <f>"-0.0356"</f>
        <v>-0.0356</v>
      </c>
      <c r="EW27" t="str">
        <f>"0.0125"</f>
        <v>0.0125</v>
      </c>
      <c r="EX27" t="str">
        <f>"-0.0471"</f>
        <v>-0.0471</v>
      </c>
      <c r="EY27" t="str">
        <f>"-0.0365"</f>
        <v>-0.0365</v>
      </c>
      <c r="EZ27" t="str">
        <f>"0.00870"</f>
        <v>0.00870</v>
      </c>
      <c r="FA27" t="str">
        <f>"-0.0541*"</f>
        <v>-0.0541*</v>
      </c>
      <c r="FB27" t="str">
        <f>"-0.0374"</f>
        <v>-0.0374</v>
      </c>
      <c r="FC27" t="str">
        <f>"0.0117"</f>
        <v>0.0117</v>
      </c>
      <c r="FD27" t="str">
        <f>"-0.0481"</f>
        <v>-0.0481</v>
      </c>
      <c r="FE27" t="str">
        <f>"-0.0374"</f>
        <v>-0.0374</v>
      </c>
      <c r="FF27" t="str">
        <f>"0.0109"</f>
        <v>0.0109</v>
      </c>
      <c r="FG27" t="str">
        <f>"-0.0472"</f>
        <v>-0.0472</v>
      </c>
      <c r="FH27" t="str">
        <f>"-0.0373"</f>
        <v>-0.0373</v>
      </c>
      <c r="FI27" t="str">
        <f>"0.0110"</f>
        <v>0.0110</v>
      </c>
      <c r="FJ27" t="str">
        <f>"-0.0477"</f>
        <v>-0.0477</v>
      </c>
      <c r="FK27" t="str">
        <f>"-0.0377"</f>
        <v>-0.0377</v>
      </c>
      <c r="FL27" t="str">
        <f>"0.0111"</f>
        <v>0.0111</v>
      </c>
      <c r="FM27" t="str">
        <f>"-0.0477"</f>
        <v>-0.0477</v>
      </c>
      <c r="FN27" t="str">
        <f>"-0.0374"</f>
        <v>-0.0374</v>
      </c>
      <c r="FO27" t="str">
        <f>"0.0110"</f>
        <v>0.0110</v>
      </c>
      <c r="FP27" t="str">
        <f>"-0.0473"</f>
        <v>-0.0473</v>
      </c>
      <c r="FQ27" t="str">
        <f>"-0.0355"</f>
        <v>-0.0355</v>
      </c>
      <c r="FR27" t="str">
        <f>"0.0111"</f>
        <v>0.0111</v>
      </c>
      <c r="FS27" t="str">
        <f>"-0.0453"</f>
        <v>-0.0453</v>
      </c>
      <c r="FT27" t="str">
        <f>"-0.0362"</f>
        <v>-0.0362</v>
      </c>
      <c r="FU27" t="str">
        <f>"0.0120"</f>
        <v>0.0120</v>
      </c>
      <c r="FV27" t="str">
        <f>"-0.0483"</f>
        <v>-0.0483</v>
      </c>
      <c r="FW27" t="str">
        <f>"-0.0381"</f>
        <v>-0.0381</v>
      </c>
      <c r="FX27" t="str">
        <f>"0.0110"</f>
        <v>0.0110</v>
      </c>
      <c r="FY27" t="str">
        <f>"-0.0469"</f>
        <v>-0.0469</v>
      </c>
      <c r="FZ27" t="str">
        <f>"-0.0391"</f>
        <v>-0.0391</v>
      </c>
      <c r="GA27" t="str">
        <f>"0.00568"</f>
        <v>0.00568</v>
      </c>
      <c r="GB27" t="str">
        <f>"-0.0485"</f>
        <v>-0.0485</v>
      </c>
      <c r="GC27" t="str">
        <f>"-0.0358"</f>
        <v>-0.0358</v>
      </c>
      <c r="GD27" t="str">
        <f>"0.0132"</f>
        <v>0.0132</v>
      </c>
      <c r="GE27" t="str">
        <f>"-0.0454"</f>
        <v>-0.0454</v>
      </c>
      <c r="GF27" t="str">
        <f>"-0.0389"</f>
        <v>-0.0389</v>
      </c>
      <c r="GG27" t="str">
        <f>"0.0126"</f>
        <v>0.0126</v>
      </c>
      <c r="GH27" t="str">
        <f>"-0.0488"</f>
        <v>-0.0488</v>
      </c>
      <c r="GI27" t="str">
        <f>"-0.0386"</f>
        <v>-0.0386</v>
      </c>
      <c r="GJ27" t="str">
        <f>"0.0102"</f>
        <v>0.0102</v>
      </c>
      <c r="GK27" t="str">
        <f>"-0.0488"</f>
        <v>-0.0488</v>
      </c>
      <c r="GL27" t="str">
        <f>"-0.0395"</f>
        <v>-0.0395</v>
      </c>
      <c r="GM27" t="str">
        <f>"0.0116"</f>
        <v>0.0116</v>
      </c>
      <c r="GN27" t="str">
        <f>"-0.0496"</f>
        <v>-0.0496</v>
      </c>
      <c r="GO27" t="str">
        <f>"-0.0357"</f>
        <v>-0.0357</v>
      </c>
      <c r="GP27" t="str">
        <f>"0.0121"</f>
        <v>0.0121</v>
      </c>
      <c r="GQ27" t="str">
        <f>"-0.0470"</f>
        <v>-0.0470</v>
      </c>
      <c r="GR27" t="str">
        <f>"-0.0371"</f>
        <v>-0.0371</v>
      </c>
      <c r="GS27" t="str">
        <f>"0.0102"</f>
        <v>0.0102</v>
      </c>
      <c r="GT27" t="str">
        <f>"-0.0542*"</f>
        <v>-0.0542*</v>
      </c>
      <c r="GU27" t="str">
        <f>"-0.0377"</f>
        <v>-0.0377</v>
      </c>
      <c r="GV27" t="str">
        <f>"0.0117"</f>
        <v>0.0117</v>
      </c>
      <c r="GW27" t="str">
        <f>"-0.0480"</f>
        <v>-0.0480</v>
      </c>
      <c r="GX27" t="str">
        <f>"-0.0374"</f>
        <v>-0.0374</v>
      </c>
      <c r="GY27" t="str">
        <f>"0.0110"</f>
        <v>0.0110</v>
      </c>
      <c r="GZ27" t="str">
        <f>"-0.0471"</f>
        <v>-0.0471</v>
      </c>
      <c r="HA27" t="str">
        <f>"-0.0375"</f>
        <v>-0.0375</v>
      </c>
      <c r="HB27" t="str">
        <f>"0.0110"</f>
        <v>0.0110</v>
      </c>
      <c r="HC27" t="str">
        <f>"-0.0477"</f>
        <v>-0.0477</v>
      </c>
      <c r="HD27" t="str">
        <f>"-0.0384"</f>
        <v>-0.0384</v>
      </c>
      <c r="HE27" t="str">
        <f>"0.0111"</f>
        <v>0.0111</v>
      </c>
      <c r="HF27" t="str">
        <f>"-0.0478"</f>
        <v>-0.0478</v>
      </c>
      <c r="HG27" t="str">
        <f>"-0.0376"</f>
        <v>-0.0376</v>
      </c>
      <c r="HH27" t="str">
        <f>"0.0111"</f>
        <v>0.0111</v>
      </c>
      <c r="HI27" t="str">
        <f>"-0.0472"</f>
        <v>-0.0472</v>
      </c>
      <c r="HJ27" t="str">
        <f>"-0.0359"</f>
        <v>-0.0359</v>
      </c>
      <c r="HK27" t="str">
        <f>"0.0112"</f>
        <v>0.0112</v>
      </c>
      <c r="HL27" t="str">
        <f>"-0.0454"</f>
        <v>-0.0454</v>
      </c>
      <c r="HM27" t="str">
        <f>"-0.0376"</f>
        <v>-0.0376</v>
      </c>
      <c r="HN27" t="str">
        <f>"0.0121"</f>
        <v>0.0121</v>
      </c>
      <c r="HO27" t="str">
        <f>"-0.0482"</f>
        <v>-0.0482</v>
      </c>
      <c r="HP27" t="str">
        <f>"-0.0387"</f>
        <v>-0.0387</v>
      </c>
      <c r="HQ27" t="str">
        <f>"0.0109"</f>
        <v>0.0109</v>
      </c>
      <c r="HR27" t="str">
        <f>"-0.0468"</f>
        <v>-0.0468</v>
      </c>
      <c r="HS27" t="str">
        <f>"-0.0398"</f>
        <v>-0.0398</v>
      </c>
      <c r="HT27" t="str">
        <f>"0.00752"</f>
        <v>0.00752</v>
      </c>
      <c r="HU27" t="str">
        <f>"-0.0498"</f>
        <v>-0.0498</v>
      </c>
      <c r="HV27" t="str">
        <f>"-0.0365"</f>
        <v>-0.0365</v>
      </c>
      <c r="HW27" t="str">
        <f>"0.0130"</f>
        <v>0.0130</v>
      </c>
      <c r="HX27" t="str">
        <f>"-0.0451"</f>
        <v>-0.0451</v>
      </c>
      <c r="HY27" t="str">
        <f>"-0.0390"</f>
        <v>-0.0390</v>
      </c>
      <c r="HZ27" t="str">
        <f>"0.0121"</f>
        <v>0.0121</v>
      </c>
      <c r="IA27" t="str">
        <f>"-0.0484"</f>
        <v>-0.0484</v>
      </c>
      <c r="IB27" t="str">
        <f>"-0.0390"</f>
        <v>-0.0390</v>
      </c>
      <c r="IC27" t="str">
        <f>"0.00974"</f>
        <v>0.00974</v>
      </c>
      <c r="ID27" t="str">
        <f>"-0.0490"</f>
        <v>-0.0490</v>
      </c>
      <c r="IE27" t="str">
        <f>"-0.0388"</f>
        <v>-0.0388</v>
      </c>
      <c r="IF27" t="str">
        <f>"0.0118"</f>
        <v>0.0118</v>
      </c>
      <c r="IG27" t="str">
        <f>"-0.0497"</f>
        <v>-0.0497</v>
      </c>
      <c r="IH27" t="str">
        <f>"-0.0367"</f>
        <v>-0.0367</v>
      </c>
      <c r="II27" t="str">
        <f>"0.0123"</f>
        <v>0.0123</v>
      </c>
      <c r="IJ27" t="str">
        <f>"-0.0467"</f>
        <v>-0.0467</v>
      </c>
      <c r="IK27" t="str">
        <f>"-0.0379"</f>
        <v>-0.0379</v>
      </c>
      <c r="IL27" t="str">
        <f>"0.00904"</f>
        <v>0.00904</v>
      </c>
      <c r="IM27" t="str">
        <f>"-0.0534*"</f>
        <v>-0.0534*</v>
      </c>
      <c r="IN27" t="str">
        <f>"-0.0389"</f>
        <v>-0.0389</v>
      </c>
      <c r="IO27" t="str">
        <f>"0.0114"</f>
        <v>0.0114</v>
      </c>
      <c r="IP27" t="str">
        <f>"-0.0478"</f>
        <v>-0.0478</v>
      </c>
      <c r="IQ27" t="str">
        <f>"-0.0379"</f>
        <v>-0.0379</v>
      </c>
      <c r="IR27" t="str">
        <f>"0.0108"</f>
        <v>0.0108</v>
      </c>
      <c r="IS27" t="str">
        <f>"-0.0470"</f>
        <v>-0.0470</v>
      </c>
      <c r="IT27" t="str">
        <f>"-0.0376"</f>
        <v>-0.0376</v>
      </c>
      <c r="IU27" t="str">
        <f>"0.0110"</f>
        <v>0.0110</v>
      </c>
      <c r="IV27" t="str">
        <f>"-0.0474"</f>
        <v>-0.0474</v>
      </c>
      <c r="IW27" t="str">
        <f>"-0.0392"</f>
        <v>-0.0392</v>
      </c>
      <c r="IX27" t="str">
        <f>"0.0110"</f>
        <v>0.0110</v>
      </c>
      <c r="IY27" t="str">
        <f>"-0.0478"</f>
        <v>-0.0478</v>
      </c>
      <c r="IZ27" t="str">
        <f>"-0.0384"</f>
        <v>-0.0384</v>
      </c>
      <c r="JA27" t="str">
        <f>"0.0104"</f>
        <v>0.0104</v>
      </c>
      <c r="JB27" t="str">
        <f>"-0.0469"</f>
        <v>-0.0469</v>
      </c>
      <c r="JC27" t="str">
        <f>"-0.0370"</f>
        <v>-0.0370</v>
      </c>
      <c r="JD27" t="str">
        <f>"0.0121"</f>
        <v>0.0121</v>
      </c>
      <c r="JE27" t="str">
        <f>"-0.0452"</f>
        <v>-0.0452</v>
      </c>
      <c r="JF27" t="str">
        <f>"-0.0382"</f>
        <v>-0.0382</v>
      </c>
      <c r="JG27" t="str">
        <f>"0.0115"</f>
        <v>0.0115</v>
      </c>
      <c r="JH27" t="str">
        <f>"-0.0482"</f>
        <v>-0.0482</v>
      </c>
      <c r="JI27" t="str">
        <f>"-0.0390"</f>
        <v>-0.0390</v>
      </c>
      <c r="JJ27" t="str">
        <f>"0.0108"</f>
        <v>0.0108</v>
      </c>
      <c r="JK27" t="str">
        <f>"-0.0470"</f>
        <v>-0.0470</v>
      </c>
    </row>
    <row r="28" spans="1:271" x14ac:dyDescent="0.3">
      <c r="A28" t="str">
        <f>""</f>
        <v/>
      </c>
      <c r="B28" t="str">
        <f>"(0.0614)"</f>
        <v>(0.0614)</v>
      </c>
      <c r="C28" t="str">
        <f>"(0.0354)"</f>
        <v>(0.0354)</v>
      </c>
      <c r="D28" t="str">
        <f>"(0.0256)"</f>
        <v>(0.0256)</v>
      </c>
      <c r="E28" t="str">
        <f>"(0.0617)"</f>
        <v>(0.0617)</v>
      </c>
      <c r="F28" t="str">
        <f>"(0.0359)"</f>
        <v>(0.0359)</v>
      </c>
      <c r="G28" t="str">
        <f>"(0.0258)"</f>
        <v>(0.0258)</v>
      </c>
      <c r="H28" t="str">
        <f>"(0.0621)"</f>
        <v>(0.0621)</v>
      </c>
      <c r="I28" t="str">
        <f>"(0.0362)"</f>
        <v>(0.0362)</v>
      </c>
      <c r="J28" t="str">
        <f>"(0.0258)"</f>
        <v>(0.0258)</v>
      </c>
      <c r="K28" t="str">
        <f>"(0.0616)"</f>
        <v>(0.0616)</v>
      </c>
      <c r="L28" t="str">
        <f>"(0.0355)"</f>
        <v>(0.0355)</v>
      </c>
      <c r="M28" t="str">
        <f>"(0.0258)"</f>
        <v>(0.0258)</v>
      </c>
      <c r="N28" t="str">
        <f>"(0.0621)"</f>
        <v>(0.0621)</v>
      </c>
      <c r="O28" t="str">
        <f>"(0.0359)"</f>
        <v>(0.0359)</v>
      </c>
      <c r="P28" t="str">
        <f>"(0.0257)"</f>
        <v>(0.0257)</v>
      </c>
      <c r="Q28" t="str">
        <f>"(0.0615)"</f>
        <v>(0.0615)</v>
      </c>
      <c r="R28" t="str">
        <f>"(0.0358)"</f>
        <v>(0.0358)</v>
      </c>
      <c r="S28" t="str">
        <f>"(0.0258)"</f>
        <v>(0.0258)</v>
      </c>
      <c r="T28" t="str">
        <f>"(0.0616)"</f>
        <v>(0.0616)</v>
      </c>
      <c r="U28" t="str">
        <f>"(0.0364)"</f>
        <v>(0.0364)</v>
      </c>
      <c r="V28" t="str">
        <f>"(0.0260)"</f>
        <v>(0.0260)</v>
      </c>
      <c r="W28" t="str">
        <f>"(0.0616)"</f>
        <v>(0.0616)</v>
      </c>
      <c r="X28" t="str">
        <f>"(0.0358)"</f>
        <v>(0.0358)</v>
      </c>
      <c r="Y28" t="str">
        <f>"(0.0258)"</f>
        <v>(0.0258)</v>
      </c>
      <c r="Z28" t="str">
        <f>"(0.0613)"</f>
        <v>(0.0613)</v>
      </c>
      <c r="AA28" t="str">
        <f>"(0.0356)"</f>
        <v>(0.0356)</v>
      </c>
      <c r="AB28" t="str">
        <f>"(0.0257)"</f>
        <v>(0.0257)</v>
      </c>
      <c r="AC28" t="str">
        <f>"(0.0617)"</f>
        <v>(0.0617)</v>
      </c>
      <c r="AD28" t="str">
        <f>"(0.0357)"</f>
        <v>(0.0357)</v>
      </c>
      <c r="AE28" t="str">
        <f>"(0.0258)"</f>
        <v>(0.0258)</v>
      </c>
      <c r="AF28" t="str">
        <f>"(0.0618)"</f>
        <v>(0.0618)</v>
      </c>
      <c r="AG28" t="str">
        <f>"(0.0356)"</f>
        <v>(0.0356)</v>
      </c>
      <c r="AH28" t="str">
        <f>"(0.0258)"</f>
        <v>(0.0258)</v>
      </c>
      <c r="AI28" t="str">
        <f>"(0.0616)"</f>
        <v>(0.0616)</v>
      </c>
      <c r="AJ28" t="str">
        <f>"(0.0356)"</f>
        <v>(0.0356)</v>
      </c>
      <c r="AK28" t="str">
        <f>"(0.0258)"</f>
        <v>(0.0258)</v>
      </c>
      <c r="AL28" t="str">
        <f>"(0.0607)"</f>
        <v>(0.0607)</v>
      </c>
      <c r="AM28" t="str">
        <f>"(0.0358)"</f>
        <v>(0.0358)</v>
      </c>
      <c r="AN28" t="str">
        <f>"(0.0257)"</f>
        <v>(0.0257)</v>
      </c>
      <c r="AO28" t="str">
        <f>"(0.0616)"</f>
        <v>(0.0616)</v>
      </c>
      <c r="AP28" t="str">
        <f>"(0.0357)"</f>
        <v>(0.0357)</v>
      </c>
      <c r="AQ28" t="str">
        <f>"(0.0259)"</f>
        <v>(0.0259)</v>
      </c>
      <c r="AR28" t="str">
        <f>"(0.0618)"</f>
        <v>(0.0618)</v>
      </c>
      <c r="AS28" t="str">
        <f>"(0.0358)"</f>
        <v>(0.0358)</v>
      </c>
      <c r="AT28" t="str">
        <f>"(0.0258)"</f>
        <v>(0.0258)</v>
      </c>
      <c r="AU28" t="str">
        <f>"(0.0614)"</f>
        <v>(0.0614)</v>
      </c>
      <c r="AV28" t="str">
        <f>"(0.0352)"</f>
        <v>(0.0352)</v>
      </c>
      <c r="AW28" t="str">
        <f>"(0.0257)"</f>
        <v>(0.0257)</v>
      </c>
      <c r="AX28" t="str">
        <f>"(0.0619)"</f>
        <v>(0.0619)</v>
      </c>
      <c r="AY28" t="str">
        <f>"(0.0359)"</f>
        <v>(0.0359)</v>
      </c>
      <c r="AZ28" t="str">
        <f>"(0.0259)"</f>
        <v>(0.0259)</v>
      </c>
      <c r="BA28" t="str">
        <f>"(0.0620)"</f>
        <v>(0.0620)</v>
      </c>
      <c r="BB28" t="str">
        <f>"(0.0362)"</f>
        <v>(0.0362)</v>
      </c>
      <c r="BC28" t="str">
        <f>"(0.0259)"</f>
        <v>(0.0259)</v>
      </c>
      <c r="BD28" t="str">
        <f>"(0.0616)"</f>
        <v>(0.0616)</v>
      </c>
      <c r="BE28" t="str">
        <f>"(0.0355)"</f>
        <v>(0.0355)</v>
      </c>
      <c r="BF28" t="str">
        <f>"(0.0259)"</f>
        <v>(0.0259)</v>
      </c>
      <c r="BG28" t="str">
        <f>"(0.0617)"</f>
        <v>(0.0617)</v>
      </c>
      <c r="BH28" t="str">
        <f>"(0.0358)"</f>
        <v>(0.0358)</v>
      </c>
      <c r="BI28" t="str">
        <f>"(0.0258)"</f>
        <v>(0.0258)</v>
      </c>
      <c r="BJ28" t="str">
        <f>"(0.0617)"</f>
        <v>(0.0617)</v>
      </c>
      <c r="BK28" t="str">
        <f>"(0.0359)"</f>
        <v>(0.0359)</v>
      </c>
      <c r="BL28" t="str">
        <f>"(0.0259)"</f>
        <v>(0.0259)</v>
      </c>
      <c r="BM28" t="str">
        <f>"(0.0617)"</f>
        <v>(0.0617)</v>
      </c>
      <c r="BN28" t="str">
        <f>"(0.0363)"</f>
        <v>(0.0363)</v>
      </c>
      <c r="BO28" t="str">
        <f>"(0.0260)"</f>
        <v>(0.0260)</v>
      </c>
      <c r="BP28" t="str">
        <f>"(0.0616)"</f>
        <v>(0.0616)</v>
      </c>
      <c r="BQ28" t="str">
        <f>"(0.0356)"</f>
        <v>(0.0356)</v>
      </c>
      <c r="BR28" t="str">
        <f>"(0.0259)"</f>
        <v>(0.0259)</v>
      </c>
      <c r="BS28" t="str">
        <f>"(0.0616)"</f>
        <v>(0.0616)</v>
      </c>
      <c r="BT28" t="str">
        <f>"(0.0355)"</f>
        <v>(0.0355)</v>
      </c>
      <c r="BU28" t="str">
        <f>"(0.0258)"</f>
        <v>(0.0258)</v>
      </c>
      <c r="BV28" t="str">
        <f>"(0.0618)"</f>
        <v>(0.0618)</v>
      </c>
      <c r="BW28" t="str">
        <f>"(0.0355)"</f>
        <v>(0.0355)</v>
      </c>
      <c r="BX28" t="str">
        <f>"(0.0259)"</f>
        <v>(0.0259)</v>
      </c>
      <c r="BY28" t="str">
        <f>"(0.0617)"</f>
        <v>(0.0617)</v>
      </c>
      <c r="BZ28" t="str">
        <f>"(0.0356)"</f>
        <v>(0.0356)</v>
      </c>
      <c r="CA28" t="str">
        <f>"(0.0259)"</f>
        <v>(0.0259)</v>
      </c>
      <c r="CB28" t="str">
        <f>"(0.0616)"</f>
        <v>(0.0616)</v>
      </c>
      <c r="CC28" t="str">
        <f>"(0.0354)"</f>
        <v>(0.0354)</v>
      </c>
      <c r="CD28" t="str">
        <f>"(0.0259)"</f>
        <v>(0.0259)</v>
      </c>
      <c r="CE28" t="str">
        <f>"(0.0611)"</f>
        <v>(0.0611)</v>
      </c>
      <c r="CF28" t="str">
        <f>"(0.0356)"</f>
        <v>(0.0356)</v>
      </c>
      <c r="CG28" t="str">
        <f>"(0.0258)"</f>
        <v>(0.0258)</v>
      </c>
      <c r="CH28" t="str">
        <f>"(0.0618)"</f>
        <v>(0.0618)</v>
      </c>
      <c r="CI28" t="str">
        <f>"(0.0358)"</f>
        <v>(0.0358)</v>
      </c>
      <c r="CJ28" t="str">
        <f>"(0.0259)"</f>
        <v>(0.0259)</v>
      </c>
      <c r="CK28" t="str">
        <f>"(0.0620)"</f>
        <v>(0.0620)</v>
      </c>
      <c r="CL28" t="str">
        <f>"(0.0357)"</f>
        <v>(0.0357)</v>
      </c>
      <c r="CM28" t="str">
        <f>"(0.0258)"</f>
        <v>(0.0258)</v>
      </c>
      <c r="CN28" t="str">
        <f>"(0.0613)"</f>
        <v>(0.0613)</v>
      </c>
      <c r="CO28" t="str">
        <f>"(0.0350)"</f>
        <v>(0.0350)</v>
      </c>
      <c r="CP28" t="str">
        <f>"(0.0256)"</f>
        <v>(0.0256)</v>
      </c>
      <c r="CQ28" t="str">
        <f>"(0.0618)"</f>
        <v>(0.0618)</v>
      </c>
      <c r="CR28" t="str">
        <f>"(0.0357)"</f>
        <v>(0.0357)</v>
      </c>
      <c r="CS28" t="str">
        <f>"(0.0259)"</f>
        <v>(0.0259)</v>
      </c>
      <c r="CT28" t="str">
        <f>"(0.0619)"</f>
        <v>(0.0619)</v>
      </c>
      <c r="CU28" t="str">
        <f>"(0.0359)"</f>
        <v>(0.0359)</v>
      </c>
      <c r="CV28" t="str">
        <f>"(0.0259)"</f>
        <v>(0.0259)</v>
      </c>
      <c r="CW28" t="str">
        <f>"(0.0615)"</f>
        <v>(0.0615)</v>
      </c>
      <c r="CX28" t="str">
        <f>"(0.0352)"</f>
        <v>(0.0352)</v>
      </c>
      <c r="CY28" t="str">
        <f>"(0.0258)"</f>
        <v>(0.0258)</v>
      </c>
      <c r="CZ28" t="str">
        <f>"(0.0614)"</f>
        <v>(0.0614)</v>
      </c>
      <c r="DA28" t="str">
        <f>"(0.0356)"</f>
        <v>(0.0356)</v>
      </c>
      <c r="DB28" t="str">
        <f>"(0.0258)"</f>
        <v>(0.0258)</v>
      </c>
      <c r="DC28" t="str">
        <f>"(0.0616)"</f>
        <v>(0.0616)</v>
      </c>
      <c r="DD28" t="str">
        <f>"(0.0356)"</f>
        <v>(0.0356)</v>
      </c>
      <c r="DE28" t="str">
        <f>"(0.0259)"</f>
        <v>(0.0259)</v>
      </c>
      <c r="DF28" t="str">
        <f>"(0.0615)"</f>
        <v>(0.0615)</v>
      </c>
      <c r="DG28" t="str">
        <f>"(0.0360)"</f>
        <v>(0.0360)</v>
      </c>
      <c r="DH28" t="str">
        <f>"(0.0260)"</f>
        <v>(0.0260)</v>
      </c>
      <c r="DI28" t="str">
        <f>"(0.0615)"</f>
        <v>(0.0615)</v>
      </c>
      <c r="DJ28" t="str">
        <f>"(0.0353)"</f>
        <v>(0.0353)</v>
      </c>
      <c r="DK28" t="str">
        <f>"(0.0259)"</f>
        <v>(0.0259)</v>
      </c>
      <c r="DL28" t="str">
        <f>"(0.0614)"</f>
        <v>(0.0614)</v>
      </c>
      <c r="DM28" t="str">
        <f>"(0.0351)"</f>
        <v>(0.0351)</v>
      </c>
      <c r="DN28" t="str">
        <f>"(0.0257)"</f>
        <v>(0.0257)</v>
      </c>
      <c r="DO28" t="str">
        <f>"(0.0616)"</f>
        <v>(0.0616)</v>
      </c>
      <c r="DP28" t="str">
        <f>"(0.0353)"</f>
        <v>(0.0353)</v>
      </c>
      <c r="DQ28" t="str">
        <f>"(0.0259)"</f>
        <v>(0.0259)</v>
      </c>
      <c r="DR28" t="str">
        <f>"(0.0616)"</f>
        <v>(0.0616)</v>
      </c>
      <c r="DS28" t="str">
        <f>"(0.0354)"</f>
        <v>(0.0354)</v>
      </c>
      <c r="DT28" t="str">
        <f>"(0.0259)"</f>
        <v>(0.0259)</v>
      </c>
      <c r="DU28" t="str">
        <f>"(0.0616)"</f>
        <v>(0.0616)</v>
      </c>
      <c r="DV28" t="str">
        <f>"(0.0351)"</f>
        <v>(0.0351)</v>
      </c>
      <c r="DW28" t="str">
        <f>"(0.0258)"</f>
        <v>(0.0258)</v>
      </c>
      <c r="DX28" t="str">
        <f>"(0.0613)"</f>
        <v>(0.0613)</v>
      </c>
      <c r="DY28" t="str">
        <f>"(0.0354)"</f>
        <v>(0.0354)</v>
      </c>
      <c r="DZ28" t="str">
        <f>"(0.0257)"</f>
        <v>(0.0257)</v>
      </c>
      <c r="EA28" t="str">
        <f>"(0.0616)"</f>
        <v>(0.0616)</v>
      </c>
      <c r="EB28" t="str">
        <f>"(0.0355)"</f>
        <v>(0.0355)</v>
      </c>
      <c r="EC28" t="str">
        <f>"(0.0259)"</f>
        <v>(0.0259)</v>
      </c>
      <c r="ED28" t="str">
        <f>"(0.0618)"</f>
        <v>(0.0618)</v>
      </c>
      <c r="EE28" t="str">
        <f>"(0.0355)"</f>
        <v>(0.0355)</v>
      </c>
      <c r="EF28" t="str">
        <f>"(0.0258)"</f>
        <v>(0.0258)</v>
      </c>
      <c r="EG28" t="str">
        <f>"(0.0613)"</f>
        <v>(0.0613)</v>
      </c>
      <c r="EH28" t="str">
        <f>"(0.0354)"</f>
        <v>(0.0354)</v>
      </c>
      <c r="EI28" t="str">
        <f>"(0.0257)"</f>
        <v>(0.0257)</v>
      </c>
      <c r="EJ28" t="str">
        <f>"(0.0617)"</f>
        <v>(0.0617)</v>
      </c>
      <c r="EK28" t="str">
        <f>"(0.0363)"</f>
        <v>(0.0363)</v>
      </c>
      <c r="EL28" t="str">
        <f>"(0.0259)"</f>
        <v>(0.0259)</v>
      </c>
      <c r="EM28" t="str">
        <f>"(0.0620)"</f>
        <v>(0.0620)</v>
      </c>
      <c r="EN28" t="str">
        <f>"(0.0365)"</f>
        <v>(0.0365)</v>
      </c>
      <c r="EO28" t="str">
        <f>"(0.0259)"</f>
        <v>(0.0259)</v>
      </c>
      <c r="EP28" t="str">
        <f>"(0.0614)"</f>
        <v>(0.0614)</v>
      </c>
      <c r="EQ28" t="str">
        <f>"(0.0358)"</f>
        <v>(0.0358)</v>
      </c>
      <c r="ER28" t="str">
        <f>"(0.0258)"</f>
        <v>(0.0258)</v>
      </c>
      <c r="ES28" t="str">
        <f>"(0.0615)"</f>
        <v>(0.0615)</v>
      </c>
      <c r="ET28" t="str">
        <f>"(0.0362)"</f>
        <v>(0.0362)</v>
      </c>
      <c r="EU28" t="str">
        <f>"(0.0258)"</f>
        <v>(0.0258)</v>
      </c>
      <c r="EV28" t="str">
        <f>"(0.0615)"</f>
        <v>(0.0615)</v>
      </c>
      <c r="EW28" t="str">
        <f>"(0.0361)"</f>
        <v>(0.0361)</v>
      </c>
      <c r="EX28" t="str">
        <f>"(0.0259)"</f>
        <v>(0.0259)</v>
      </c>
      <c r="EY28" t="str">
        <f>"(0.0616)"</f>
        <v>(0.0616)</v>
      </c>
      <c r="EZ28" t="str">
        <f>"(0.0366)"</f>
        <v>(0.0366)</v>
      </c>
      <c r="FA28" t="str">
        <f>"(0.0260)"</f>
        <v>(0.0260)</v>
      </c>
      <c r="FB28" t="str">
        <f>"(0.0614)"</f>
        <v>(0.0614)</v>
      </c>
      <c r="FC28" t="str">
        <f>"(0.0357)"</f>
        <v>(0.0357)</v>
      </c>
      <c r="FD28" t="str">
        <f>"(0.0259)"</f>
        <v>(0.0259)</v>
      </c>
      <c r="FE28" t="str">
        <f>"(0.0613)"</f>
        <v>(0.0613)</v>
      </c>
      <c r="FF28" t="str">
        <f>"(0.0357)"</f>
        <v>(0.0357)</v>
      </c>
      <c r="FG28" t="str">
        <f>"(0.0258)"</f>
        <v>(0.0258)</v>
      </c>
      <c r="FH28" t="str">
        <f>"(0.0614)"</f>
        <v>(0.0614)</v>
      </c>
      <c r="FI28" t="str">
        <f>"(0.0358)"</f>
        <v>(0.0358)</v>
      </c>
      <c r="FJ28" t="str">
        <f>"(0.0259)"</f>
        <v>(0.0259)</v>
      </c>
      <c r="FK28" t="str">
        <f>"(0.0616)"</f>
        <v>(0.0616)</v>
      </c>
      <c r="FL28" t="str">
        <f>"(0.0358)"</f>
        <v>(0.0358)</v>
      </c>
      <c r="FM28" t="str">
        <f>"(0.0259)"</f>
        <v>(0.0259)</v>
      </c>
      <c r="FN28" t="str">
        <f>"(0.0615)"</f>
        <v>(0.0615)</v>
      </c>
      <c r="FO28" t="str">
        <f>"(0.0358)"</f>
        <v>(0.0358)</v>
      </c>
      <c r="FP28" t="str">
        <f>"(0.0259)"</f>
        <v>(0.0259)</v>
      </c>
      <c r="FQ28" t="str">
        <f>"(0.0612)"</f>
        <v>(0.0612)</v>
      </c>
      <c r="FR28" t="str">
        <f>"(0.0358)"</f>
        <v>(0.0358)</v>
      </c>
      <c r="FS28" t="str">
        <f>"(0.0258)"</f>
        <v>(0.0258)</v>
      </c>
      <c r="FT28" t="str">
        <f>"(0.0618)"</f>
        <v>(0.0618)</v>
      </c>
      <c r="FU28" t="str">
        <f>"(0.0360)"</f>
        <v>(0.0360)</v>
      </c>
      <c r="FV28" t="str">
        <f>"(0.0259)"</f>
        <v>(0.0259)</v>
      </c>
      <c r="FW28" t="str">
        <f>"(0.0617)"</f>
        <v>(0.0617)</v>
      </c>
      <c r="FX28" t="str">
        <f>"(0.0359)"</f>
        <v>(0.0359)</v>
      </c>
      <c r="FY28" t="str">
        <f>"(0.0258)"</f>
        <v>(0.0258)</v>
      </c>
      <c r="FZ28" t="str">
        <f>"(0.0614)"</f>
        <v>(0.0614)</v>
      </c>
      <c r="GA28" t="str">
        <f>"(0.0354)"</f>
        <v>(0.0354)</v>
      </c>
      <c r="GB28" t="str">
        <f>"(0.0257)"</f>
        <v>(0.0257)</v>
      </c>
      <c r="GC28" t="str">
        <f>"(0.0615)"</f>
        <v>(0.0615)</v>
      </c>
      <c r="GD28" t="str">
        <f>"(0.0361)"</f>
        <v>(0.0361)</v>
      </c>
      <c r="GE28" t="str">
        <f>"(0.0259)"</f>
        <v>(0.0259)</v>
      </c>
      <c r="GF28" t="str">
        <f>"(0.0617)"</f>
        <v>(0.0617)</v>
      </c>
      <c r="GG28" t="str">
        <f>"(0.0366)"</f>
        <v>(0.0366)</v>
      </c>
      <c r="GH28" t="str">
        <f>"(0.0259)"</f>
        <v>(0.0259)</v>
      </c>
      <c r="GI28" t="str">
        <f>"(0.0613)"</f>
        <v>(0.0613)</v>
      </c>
      <c r="GJ28" t="str">
        <f>"(0.0358)"</f>
        <v>(0.0358)</v>
      </c>
      <c r="GK28" t="str">
        <f>"(0.0258)"</f>
        <v>(0.0258)</v>
      </c>
      <c r="GL28" t="str">
        <f>"(0.0613)"</f>
        <v>(0.0613)</v>
      </c>
      <c r="GM28" t="str">
        <f>"(0.0361)"</f>
        <v>(0.0361)</v>
      </c>
      <c r="GN28" t="str">
        <f>"(0.0258)"</f>
        <v>(0.0258)</v>
      </c>
      <c r="GO28" t="str">
        <f>"(0.0614)"</f>
        <v>(0.0614)</v>
      </c>
      <c r="GP28" t="str">
        <f>"(0.0359)"</f>
        <v>(0.0359)</v>
      </c>
      <c r="GQ28" t="str">
        <f>"(0.0259)"</f>
        <v>(0.0259)</v>
      </c>
      <c r="GR28" t="str">
        <f>"(0.0616)"</f>
        <v>(0.0616)</v>
      </c>
      <c r="GS28" t="str">
        <f>"(0.0366)"</f>
        <v>(0.0366)</v>
      </c>
      <c r="GT28" t="str">
        <f>"(0.0260)"</f>
        <v>(0.0260)</v>
      </c>
      <c r="GU28" t="str">
        <f>"(0.0614)"</f>
        <v>(0.0614)</v>
      </c>
      <c r="GV28" t="str">
        <f>"(0.0358)"</f>
        <v>(0.0358)</v>
      </c>
      <c r="GW28" t="str">
        <f>"(0.0259)"</f>
        <v>(0.0259)</v>
      </c>
      <c r="GX28" t="str">
        <f>"(0.0613)"</f>
        <v>(0.0613)</v>
      </c>
      <c r="GY28" t="str">
        <f>"(0.0357)"</f>
        <v>(0.0357)</v>
      </c>
      <c r="GZ28" t="str">
        <f>"(0.0258)"</f>
        <v>(0.0258)</v>
      </c>
      <c r="HA28" t="str">
        <f>"(0.0613)"</f>
        <v>(0.0613)</v>
      </c>
      <c r="HB28" t="str">
        <f>"(0.0357)"</f>
        <v>(0.0357)</v>
      </c>
      <c r="HC28" t="str">
        <f>"(0.0259)"</f>
        <v>(0.0259)</v>
      </c>
      <c r="HD28" t="str">
        <f>"(0.0617)"</f>
        <v>(0.0617)</v>
      </c>
      <c r="HE28" t="str">
        <f>"(0.0358)"</f>
        <v>(0.0358)</v>
      </c>
      <c r="HF28" t="str">
        <f>"(0.0259)"</f>
        <v>(0.0259)</v>
      </c>
      <c r="HG28" t="str">
        <f>"(0.0615)"</f>
        <v>(0.0615)</v>
      </c>
      <c r="HH28" t="str">
        <f>"(0.0358)"</f>
        <v>(0.0358)</v>
      </c>
      <c r="HI28" t="str">
        <f>"(0.0258)"</f>
        <v>(0.0258)</v>
      </c>
      <c r="HJ28" t="str">
        <f>"(0.0613)"</f>
        <v>(0.0613)</v>
      </c>
      <c r="HK28" t="str">
        <f>"(0.0359)"</f>
        <v>(0.0359)</v>
      </c>
      <c r="HL28" t="str">
        <f>"(0.0258)"</f>
        <v>(0.0258)</v>
      </c>
      <c r="HM28" t="str">
        <f>"(0.0617)"</f>
        <v>(0.0617)</v>
      </c>
      <c r="HN28" t="str">
        <f>"(0.0361)"</f>
        <v>(0.0361)</v>
      </c>
      <c r="HO28" t="str">
        <f>"(0.0259)"</f>
        <v>(0.0259)</v>
      </c>
      <c r="HP28" t="str">
        <f>"(0.0617)"</f>
        <v>(0.0617)</v>
      </c>
      <c r="HQ28" t="str">
        <f>"(0.0360)"</f>
        <v>(0.0360)</v>
      </c>
      <c r="HR28" t="str">
        <f>"(0.0258)"</f>
        <v>(0.0258)</v>
      </c>
      <c r="HS28" t="str">
        <f>"(0.0616)"</f>
        <v>(0.0616)</v>
      </c>
      <c r="HT28" t="str">
        <f>"(0.0354)"</f>
        <v>(0.0354)</v>
      </c>
      <c r="HU28" t="str">
        <f>"(0.0257)"</f>
        <v>(0.0257)</v>
      </c>
      <c r="HV28" t="str">
        <f>"(0.0618)"</f>
        <v>(0.0618)</v>
      </c>
      <c r="HW28" t="str">
        <f>"(0.0358)"</f>
        <v>(0.0358)</v>
      </c>
      <c r="HX28" t="str">
        <f>"(0.0258)"</f>
        <v>(0.0258)</v>
      </c>
      <c r="HY28" t="str">
        <f>"(0.0621)"</f>
        <v>(0.0621)</v>
      </c>
      <c r="HZ28" t="str">
        <f>"(0.0360)"</f>
        <v>(0.0360)</v>
      </c>
      <c r="IA28" t="str">
        <f>"(0.0258)"</f>
        <v>(0.0258)</v>
      </c>
      <c r="IB28" t="str">
        <f>"(0.0618)"</f>
        <v>(0.0618)</v>
      </c>
      <c r="IC28" t="str">
        <f>"(0.0354)"</f>
        <v>(0.0354)</v>
      </c>
      <c r="ID28" t="str">
        <f>"(0.0257)"</f>
        <v>(0.0257)</v>
      </c>
      <c r="IE28" t="str">
        <f>"(0.0621)"</f>
        <v>(0.0621)</v>
      </c>
      <c r="IF28" t="str">
        <f>"(0.0357)"</f>
        <v>(0.0357)</v>
      </c>
      <c r="IG28" t="str">
        <f>"(0.0257)"</f>
        <v>(0.0257)</v>
      </c>
      <c r="IH28" t="str">
        <f>"(0.0617)"</f>
        <v>(0.0617)</v>
      </c>
      <c r="II28" t="str">
        <f>"(0.0357)"</f>
        <v>(0.0357)</v>
      </c>
      <c r="IJ28" t="str">
        <f>"(0.0258)"</f>
        <v>(0.0258)</v>
      </c>
      <c r="IK28" t="str">
        <f>"(0.0617)"</f>
        <v>(0.0617)</v>
      </c>
      <c r="IL28" t="str">
        <f>"(0.0363)"</f>
        <v>(0.0363)</v>
      </c>
      <c r="IM28" t="str">
        <f>"(0.0260)"</f>
        <v>(0.0260)</v>
      </c>
      <c r="IN28" t="str">
        <f>"(0.0617)"</f>
        <v>(0.0617)</v>
      </c>
      <c r="IO28" t="str">
        <f>"(0.0357)"</f>
        <v>(0.0357)</v>
      </c>
      <c r="IP28" t="str">
        <f>"(0.0258)"</f>
        <v>(0.0258)</v>
      </c>
      <c r="IQ28" t="str">
        <f>"(0.0615)"</f>
        <v>(0.0615)</v>
      </c>
      <c r="IR28" t="str">
        <f>"(0.0357)"</f>
        <v>(0.0357)</v>
      </c>
      <c r="IS28" t="str">
        <f>"(0.0257)"</f>
        <v>(0.0257)</v>
      </c>
      <c r="IT28" t="str">
        <f>"(0.0617)"</f>
        <v>(0.0617)</v>
      </c>
      <c r="IU28" t="str">
        <f>"(0.0356)"</f>
        <v>(0.0356)</v>
      </c>
      <c r="IV28" t="str">
        <f>"(0.0258)"</f>
        <v>(0.0258)</v>
      </c>
      <c r="IW28" t="str">
        <f>"(0.0618)"</f>
        <v>(0.0618)</v>
      </c>
      <c r="IX28" t="str">
        <f>"(0.0356)"</f>
        <v>(0.0356)</v>
      </c>
      <c r="IY28" t="str">
        <f>"(0.0258)"</f>
        <v>(0.0258)</v>
      </c>
      <c r="IZ28" t="str">
        <f>"(0.0617)"</f>
        <v>(0.0617)</v>
      </c>
      <c r="JA28" t="str">
        <f>"(0.0353)"</f>
        <v>(0.0353)</v>
      </c>
      <c r="JB28" t="str">
        <f>"(0.0258)"</f>
        <v>(0.0258)</v>
      </c>
      <c r="JC28" t="str">
        <f>"(0.0612)"</f>
        <v>(0.0612)</v>
      </c>
      <c r="JD28" t="str">
        <f>"(0.0358)"</f>
        <v>(0.0358)</v>
      </c>
      <c r="JE28" t="str">
        <f>"(0.0257)"</f>
        <v>(0.0257)</v>
      </c>
      <c r="JF28" t="str">
        <f>"(0.0618)"</f>
        <v>(0.0618)</v>
      </c>
      <c r="JG28" t="str">
        <f>"(0.0354)"</f>
        <v>(0.0354)</v>
      </c>
      <c r="JH28" t="str">
        <f>"(0.0259)"</f>
        <v>(0.0259)</v>
      </c>
      <c r="JI28" t="str">
        <f>"(0.0618)"</f>
        <v>(0.0618)</v>
      </c>
      <c r="JJ28" t="str">
        <f>"(0.0356)"</f>
        <v>(0.0356)</v>
      </c>
      <c r="JK28" t="str">
        <f>"(0.0258)"</f>
        <v>(0.0258)</v>
      </c>
    </row>
    <row r="30" spans="1:271" x14ac:dyDescent="0.3">
      <c r="A30" t="str">
        <f>"SESres"</f>
        <v>SESres</v>
      </c>
      <c r="B30" t="str">
        <f>"0.0882"</f>
        <v>0.0882</v>
      </c>
      <c r="C30" t="str">
        <f>"-0.194*"</f>
        <v>-0.194*</v>
      </c>
      <c r="D30" t="str">
        <f>"-0.171***"</f>
        <v>-0.171***</v>
      </c>
      <c r="E30" t="str">
        <f>"0.0732"</f>
        <v>0.0732</v>
      </c>
      <c r="F30" t="str">
        <f>"-0.205*"</f>
        <v>-0.205*</v>
      </c>
      <c r="G30" t="str">
        <f>"-0.185***"</f>
        <v>-0.185***</v>
      </c>
      <c r="H30" t="str">
        <f>"0.0759"</f>
        <v>0.0759</v>
      </c>
      <c r="I30" t="str">
        <f>"-0.202*"</f>
        <v>-0.202*</v>
      </c>
      <c r="J30" t="str">
        <f>"-0.170***"</f>
        <v>-0.170***</v>
      </c>
      <c r="K30" t="str">
        <f>"0.0892"</f>
        <v>0.0892</v>
      </c>
      <c r="L30" t="str">
        <f>"-0.189*"</f>
        <v>-0.189*</v>
      </c>
      <c r="M30" t="str">
        <f>"-0.168***"</f>
        <v>-0.168***</v>
      </c>
      <c r="N30" t="str">
        <f>"0.0851"</f>
        <v>0.0851</v>
      </c>
      <c r="O30" t="str">
        <f>"-0.196*"</f>
        <v>-0.196*</v>
      </c>
      <c r="P30" t="str">
        <f>"-0.163***"</f>
        <v>-0.163***</v>
      </c>
      <c r="Q30" t="str">
        <f>"0.0799"</f>
        <v>0.0799</v>
      </c>
      <c r="R30" t="str">
        <f>"-0.196*"</f>
        <v>-0.196*</v>
      </c>
      <c r="S30" t="str">
        <f>"-0.177***"</f>
        <v>-0.177***</v>
      </c>
      <c r="T30" t="str">
        <f>"0.0862"</f>
        <v>0.0862</v>
      </c>
      <c r="U30" t="str">
        <f>"-0.179*"</f>
        <v>-0.179*</v>
      </c>
      <c r="V30" t="str">
        <f>"-0.143**"</f>
        <v>-0.143**</v>
      </c>
      <c r="W30" t="str">
        <f>"0.0931"</f>
        <v>0.0931</v>
      </c>
      <c r="X30" t="str">
        <f>"-0.185*"</f>
        <v>-0.185*</v>
      </c>
      <c r="Y30" t="str">
        <f>"-0.172***"</f>
        <v>-0.172***</v>
      </c>
      <c r="Z30" t="str">
        <f>"0.0823"</f>
        <v>0.0823</v>
      </c>
      <c r="AA30" t="str">
        <f>"-0.197*"</f>
        <v>-0.197*</v>
      </c>
      <c r="AB30" t="str">
        <f>"-0.178***"</f>
        <v>-0.178***</v>
      </c>
      <c r="AC30" t="str">
        <f>"0.0832"</f>
        <v>0.0832</v>
      </c>
      <c r="AD30" t="str">
        <f>"-0.194*"</f>
        <v>-0.194*</v>
      </c>
      <c r="AE30" t="str">
        <f>"-0.174***"</f>
        <v>-0.174***</v>
      </c>
      <c r="AF30" t="str">
        <f>"0.0860"</f>
        <v>0.0860</v>
      </c>
      <c r="AG30" t="str">
        <f>"-0.193*"</f>
        <v>-0.193*</v>
      </c>
      <c r="AH30" t="str">
        <f>"-0.173***"</f>
        <v>-0.173***</v>
      </c>
      <c r="AI30" t="str">
        <f>"0.0863"</f>
        <v>0.0863</v>
      </c>
      <c r="AJ30" t="str">
        <f>"-0.193*"</f>
        <v>-0.193*</v>
      </c>
      <c r="AK30" t="str">
        <f>"-0.175***"</f>
        <v>-0.175***</v>
      </c>
      <c r="AL30" t="str">
        <f>"0.0876"</f>
        <v>0.0876</v>
      </c>
      <c r="AM30" t="str">
        <f>"-0.193*"</f>
        <v>-0.193*</v>
      </c>
      <c r="AN30" t="str">
        <f>"-0.173***"</f>
        <v>-0.173***</v>
      </c>
      <c r="AO30" t="str">
        <f>"0.0883"</f>
        <v>0.0883</v>
      </c>
      <c r="AP30" t="str">
        <f>"-0.194*"</f>
        <v>-0.194*</v>
      </c>
      <c r="AQ30" t="str">
        <f>"-0.173***"</f>
        <v>-0.173***</v>
      </c>
      <c r="AR30" t="str">
        <f>"0.0860"</f>
        <v>0.0860</v>
      </c>
      <c r="AS30" t="str">
        <f>"-0.195*"</f>
        <v>-0.195*</v>
      </c>
      <c r="AT30" t="str">
        <f>"-0.172***"</f>
        <v>-0.172***</v>
      </c>
      <c r="AU30" t="str">
        <f>"0.0882"</f>
        <v>0.0882</v>
      </c>
      <c r="AV30" t="str">
        <f>"-0.192*"</f>
        <v>-0.192*</v>
      </c>
      <c r="AW30" t="str">
        <f>"-0.173***"</f>
        <v>-0.173***</v>
      </c>
      <c r="AX30" t="str">
        <f>"0.0738"</f>
        <v>0.0738</v>
      </c>
      <c r="AY30" t="str">
        <f>"-0.204*"</f>
        <v>-0.204*</v>
      </c>
      <c r="AZ30" t="str">
        <f>"-0.189***"</f>
        <v>-0.189***</v>
      </c>
      <c r="BA30" t="str">
        <f>"0.0775"</f>
        <v>0.0775</v>
      </c>
      <c r="BB30" t="str">
        <f>"-0.202*"</f>
        <v>-0.202*</v>
      </c>
      <c r="BC30" t="str">
        <f>"-0.173***"</f>
        <v>-0.173***</v>
      </c>
      <c r="BD30" t="str">
        <f>"0.0896"</f>
        <v>0.0896</v>
      </c>
      <c r="BE30" t="str">
        <f>"-0.188*"</f>
        <v>-0.188*</v>
      </c>
      <c r="BF30" t="str">
        <f>"-0.172***"</f>
        <v>-0.172***</v>
      </c>
      <c r="BG30" t="str">
        <f>"0.0864"</f>
        <v>0.0864</v>
      </c>
      <c r="BH30" t="str">
        <f>"-0.195*"</f>
        <v>-0.195*</v>
      </c>
      <c r="BI30" t="str">
        <f>"-0.165***"</f>
        <v>-0.165***</v>
      </c>
      <c r="BJ30" t="str">
        <f>"0.0819"</f>
        <v>0.0819</v>
      </c>
      <c r="BK30" t="str">
        <f>"-0.195*"</f>
        <v>-0.195*</v>
      </c>
      <c r="BL30" t="str">
        <f>"-0.178***"</f>
        <v>-0.178***</v>
      </c>
      <c r="BM30" t="str">
        <f>"0.0856"</f>
        <v>0.0856</v>
      </c>
      <c r="BN30" t="str">
        <f>"-0.178*"</f>
        <v>-0.178*</v>
      </c>
      <c r="BO30" t="str">
        <f>"-0.147**"</f>
        <v>-0.147**</v>
      </c>
      <c r="BP30" t="str">
        <f>"0.0916"</f>
        <v>0.0916</v>
      </c>
      <c r="BQ30" t="str">
        <f>"-0.185*"</f>
        <v>-0.185*</v>
      </c>
      <c r="BR30" t="str">
        <f>"-0.175***"</f>
        <v>-0.175***</v>
      </c>
      <c r="BS30" t="str">
        <f>"0.0834"</f>
        <v>0.0834</v>
      </c>
      <c r="BT30" t="str">
        <f>"-0.197*"</f>
        <v>-0.197*</v>
      </c>
      <c r="BU30" t="str">
        <f>"-0.181***"</f>
        <v>-0.181***</v>
      </c>
      <c r="BV30" t="str">
        <f>"0.0871"</f>
        <v>0.0871</v>
      </c>
      <c r="BW30" t="str">
        <f>"-0.192*"</f>
        <v>-0.192*</v>
      </c>
      <c r="BX30" t="str">
        <f>"-0.177***"</f>
        <v>-0.177***</v>
      </c>
      <c r="BY30" t="str">
        <f>"0.0868"</f>
        <v>0.0868</v>
      </c>
      <c r="BZ30" t="str">
        <f>"-0.192*"</f>
        <v>-0.192*</v>
      </c>
      <c r="CA30" t="str">
        <f>"-0.176***"</f>
        <v>-0.176***</v>
      </c>
      <c r="CB30" t="str">
        <f>"0.0855"</f>
        <v>0.0855</v>
      </c>
      <c r="CC30" t="str">
        <f>"-0.191*"</f>
        <v>-0.191*</v>
      </c>
      <c r="CD30" t="str">
        <f>"-0.178***"</f>
        <v>-0.178***</v>
      </c>
      <c r="CE30" t="str">
        <f>"0.0872"</f>
        <v>0.0872</v>
      </c>
      <c r="CF30" t="str">
        <f>"-0.192*"</f>
        <v>-0.192*</v>
      </c>
      <c r="CG30" t="str">
        <f>"-0.176***"</f>
        <v>-0.176***</v>
      </c>
      <c r="CH30" t="str">
        <f>"0.0866"</f>
        <v>0.0866</v>
      </c>
      <c r="CI30" t="str">
        <f>"-0.193*"</f>
        <v>-0.193*</v>
      </c>
      <c r="CJ30" t="str">
        <f>"-0.176***"</f>
        <v>-0.176***</v>
      </c>
      <c r="CK30" t="str">
        <f>"0.0859"</f>
        <v>0.0859</v>
      </c>
      <c r="CL30" t="str">
        <f>"-0.193*"</f>
        <v>-0.193*</v>
      </c>
      <c r="CM30" t="str">
        <f>"-0.176***"</f>
        <v>-0.176***</v>
      </c>
      <c r="CN30" t="str">
        <f>"0.0886"</f>
        <v>0.0886</v>
      </c>
      <c r="CO30" t="str">
        <f>"-0.193*"</f>
        <v>-0.193*</v>
      </c>
      <c r="CP30" t="str">
        <f>"-0.173***"</f>
        <v>-0.173***</v>
      </c>
      <c r="CQ30" t="str">
        <f>"0.0756"</f>
        <v>0.0756</v>
      </c>
      <c r="CR30" t="str">
        <f>"-0.204*"</f>
        <v>-0.204*</v>
      </c>
      <c r="CS30" t="str">
        <f>"-0.187***"</f>
        <v>-0.187***</v>
      </c>
      <c r="CT30" t="str">
        <f>"0.0777"</f>
        <v>0.0777</v>
      </c>
      <c r="CU30" t="str">
        <f>"-0.202*"</f>
        <v>-0.202*</v>
      </c>
      <c r="CV30" t="str">
        <f>"-0.173***"</f>
        <v>-0.173***</v>
      </c>
      <c r="CW30" t="str">
        <f>"0.0906"</f>
        <v>0.0906</v>
      </c>
      <c r="CX30" t="str">
        <f>"-0.188*"</f>
        <v>-0.188*</v>
      </c>
      <c r="CY30" t="str">
        <f>"-0.171***"</f>
        <v>-0.171***</v>
      </c>
      <c r="CZ30" t="str">
        <f>"0.0873"</f>
        <v>0.0873</v>
      </c>
      <c r="DA30" t="str">
        <f>"-0.196*"</f>
        <v>-0.196*</v>
      </c>
      <c r="DB30" t="str">
        <f>"-0.166***"</f>
        <v>-0.166***</v>
      </c>
      <c r="DC30" t="str">
        <f>"0.0821"</f>
        <v>0.0821</v>
      </c>
      <c r="DD30" t="str">
        <f>"-0.196*"</f>
        <v>-0.196*</v>
      </c>
      <c r="DE30" t="str">
        <f>"-0.178***"</f>
        <v>-0.178***</v>
      </c>
      <c r="DF30" t="str">
        <f>"0.0860"</f>
        <v>0.0860</v>
      </c>
      <c r="DG30" t="str">
        <f>"-0.179*"</f>
        <v>-0.179*</v>
      </c>
      <c r="DH30" t="str">
        <f>"-0.147**"</f>
        <v>-0.147**</v>
      </c>
      <c r="DI30" t="str">
        <f>"0.0913"</f>
        <v>0.0913</v>
      </c>
      <c r="DJ30" t="str">
        <f>"-0.186*"</f>
        <v>-0.186*</v>
      </c>
      <c r="DK30" t="str">
        <f>"-0.174***"</f>
        <v>-0.174***</v>
      </c>
      <c r="DL30" t="str">
        <f>"0.0839"</f>
        <v>0.0839</v>
      </c>
      <c r="DM30" t="str">
        <f>"-0.198*"</f>
        <v>-0.198*</v>
      </c>
      <c r="DN30" t="str">
        <f>"-0.181***"</f>
        <v>-0.181***</v>
      </c>
      <c r="DO30" t="str">
        <f>"0.0878"</f>
        <v>0.0878</v>
      </c>
      <c r="DP30" t="str">
        <f>"-0.193*"</f>
        <v>-0.193*</v>
      </c>
      <c r="DQ30" t="str">
        <f>"-0.177***"</f>
        <v>-0.177***</v>
      </c>
      <c r="DR30" t="str">
        <f>"0.0867"</f>
        <v>0.0867</v>
      </c>
      <c r="DS30" t="str">
        <f>"-0.193*"</f>
        <v>-0.193*</v>
      </c>
      <c r="DT30" t="str">
        <f>"-0.176***"</f>
        <v>-0.176***</v>
      </c>
      <c r="DU30" t="str">
        <f>"0.0823"</f>
        <v>0.0823</v>
      </c>
      <c r="DV30" t="str">
        <f>"-0.194*"</f>
        <v>-0.194*</v>
      </c>
      <c r="DW30" t="str">
        <f>"-0.177***"</f>
        <v>-0.177***</v>
      </c>
      <c r="DX30" t="str">
        <f>"0.0879"</f>
        <v>0.0879</v>
      </c>
      <c r="DY30" t="str">
        <f>"-0.193*"</f>
        <v>-0.193*</v>
      </c>
      <c r="DZ30" t="str">
        <f>"-0.176***"</f>
        <v>-0.176***</v>
      </c>
      <c r="EA30" t="str">
        <f>"0.0875"</f>
        <v>0.0875</v>
      </c>
      <c r="EB30" t="str">
        <f>"-0.194*"</f>
        <v>-0.194*</v>
      </c>
      <c r="EC30" t="str">
        <f>"-0.176***"</f>
        <v>-0.176***</v>
      </c>
      <c r="ED30" t="str">
        <f>"0.0860"</f>
        <v>0.0860</v>
      </c>
      <c r="EE30" t="str">
        <f>"-0.193*"</f>
        <v>-0.193*</v>
      </c>
      <c r="EF30" t="str">
        <f>"-0.176***"</f>
        <v>-0.176***</v>
      </c>
      <c r="EG30" t="str">
        <f>"0.0894"</f>
        <v>0.0894</v>
      </c>
      <c r="EH30" t="str">
        <f>"-0.192*"</f>
        <v>-0.192*</v>
      </c>
      <c r="EI30" t="str">
        <f>"-0.173***"</f>
        <v>-0.173***</v>
      </c>
      <c r="EJ30" t="str">
        <f>"0.0759"</f>
        <v>0.0759</v>
      </c>
      <c r="EK30" t="str">
        <f>"-0.204*"</f>
        <v>-0.204*</v>
      </c>
      <c r="EL30" t="str">
        <f>"-0.187***"</f>
        <v>-0.187***</v>
      </c>
      <c r="EM30" t="str">
        <f>"0.0790"</f>
        <v>0.0790</v>
      </c>
      <c r="EN30" t="str">
        <f>"-0.202*"</f>
        <v>-0.202*</v>
      </c>
      <c r="EO30" t="str">
        <f>"-0.172***"</f>
        <v>-0.172***</v>
      </c>
      <c r="EP30" t="str">
        <f>"0.0906"</f>
        <v>0.0906</v>
      </c>
      <c r="EQ30" t="str">
        <f>"-0.187*"</f>
        <v>-0.187*</v>
      </c>
      <c r="ER30" t="str">
        <f>"-0.170***"</f>
        <v>-0.170***</v>
      </c>
      <c r="ES30" t="str">
        <f>"0.0874"</f>
        <v>0.0874</v>
      </c>
      <c r="ET30" t="str">
        <f>"-0.196*"</f>
        <v>-0.196*</v>
      </c>
      <c r="EU30" t="str">
        <f>"-0.166***"</f>
        <v>-0.166***</v>
      </c>
      <c r="EV30" t="str">
        <f>"0.0835"</f>
        <v>0.0835</v>
      </c>
      <c r="EW30" t="str">
        <f>"-0.196*"</f>
        <v>-0.196*</v>
      </c>
      <c r="EX30" t="str">
        <f>"-0.179***"</f>
        <v>-0.179***</v>
      </c>
      <c r="EY30" t="str">
        <f>"0.0869"</f>
        <v>0.0869</v>
      </c>
      <c r="EZ30" t="str">
        <f>"-0.178*"</f>
        <v>-0.178*</v>
      </c>
      <c r="FA30" t="str">
        <f>"-0.146**"</f>
        <v>-0.146**</v>
      </c>
      <c r="FB30" t="str">
        <f>"0.0930"</f>
        <v>0.0930</v>
      </c>
      <c r="FC30" t="str">
        <f>"-0.186*"</f>
        <v>-0.186*</v>
      </c>
      <c r="FD30" t="str">
        <f>"-0.174***"</f>
        <v>-0.174***</v>
      </c>
      <c r="FE30" t="str">
        <f>"0.0853"</f>
        <v>0.0853</v>
      </c>
      <c r="FF30" t="str">
        <f>"-0.197*"</f>
        <v>-0.197*</v>
      </c>
      <c r="FG30" t="str">
        <f>"-0.181***"</f>
        <v>-0.181***</v>
      </c>
      <c r="FH30" t="str">
        <f>"0.0880"</f>
        <v>0.0880</v>
      </c>
      <c r="FI30" t="str">
        <f>"-0.193*"</f>
        <v>-0.193*</v>
      </c>
      <c r="FJ30" t="str">
        <f>"-0.177***"</f>
        <v>-0.177***</v>
      </c>
      <c r="FK30" t="str">
        <f>"0.0901"</f>
        <v>0.0901</v>
      </c>
      <c r="FL30" t="str">
        <f>"-0.193*"</f>
        <v>-0.193*</v>
      </c>
      <c r="FM30" t="str">
        <f>"-0.175***"</f>
        <v>-0.175***</v>
      </c>
      <c r="FN30" t="str">
        <f>"0.0880"</f>
        <v>0.0880</v>
      </c>
      <c r="FO30" t="str">
        <f>"-0.193*"</f>
        <v>-0.193*</v>
      </c>
      <c r="FP30" t="str">
        <f>"-0.179***"</f>
        <v>-0.179***</v>
      </c>
      <c r="FQ30" t="str">
        <f>"0.0887"</f>
        <v>0.0887</v>
      </c>
      <c r="FR30" t="str">
        <f>"-0.193*"</f>
        <v>-0.193*</v>
      </c>
      <c r="FS30" t="str">
        <f>"-0.176***"</f>
        <v>-0.176***</v>
      </c>
      <c r="FT30" t="str">
        <f>"0.0877"</f>
        <v>0.0877</v>
      </c>
      <c r="FU30" t="str">
        <f>"-0.194*"</f>
        <v>-0.194*</v>
      </c>
      <c r="FV30" t="str">
        <f>"-0.176***"</f>
        <v>-0.176***</v>
      </c>
      <c r="FW30" t="str">
        <f>"0.0836"</f>
        <v>0.0836</v>
      </c>
      <c r="FX30" t="str">
        <f>"-0.194*"</f>
        <v>-0.194*</v>
      </c>
      <c r="FY30" t="str">
        <f>"-0.176***"</f>
        <v>-0.176***</v>
      </c>
      <c r="FZ30" t="str">
        <f>"0.0867"</f>
        <v>0.0867</v>
      </c>
      <c r="GA30" t="str">
        <f>"-0.191*"</f>
        <v>-0.191*</v>
      </c>
      <c r="GB30" t="str">
        <f>"-0.173***"</f>
        <v>-0.173***</v>
      </c>
      <c r="GC30" t="str">
        <f>"0.0719"</f>
        <v>0.0719</v>
      </c>
      <c r="GD30" t="str">
        <f>"-0.203*"</f>
        <v>-0.203*</v>
      </c>
      <c r="GE30" t="str">
        <f>"-0.187***"</f>
        <v>-0.187***</v>
      </c>
      <c r="GF30" t="str">
        <f>"0.0742"</f>
        <v>0.0742</v>
      </c>
      <c r="GG30" t="str">
        <f>"-0.200*"</f>
        <v>-0.200*</v>
      </c>
      <c r="GH30" t="str">
        <f>"-0.173***"</f>
        <v>-0.173***</v>
      </c>
      <c r="GI30" t="str">
        <f>"0.0871"</f>
        <v>0.0871</v>
      </c>
      <c r="GJ30" t="str">
        <f>"-0.186*"</f>
        <v>-0.186*</v>
      </c>
      <c r="GK30" t="str">
        <f>"-0.171***"</f>
        <v>-0.171***</v>
      </c>
      <c r="GL30" t="str">
        <f>"0.0841"</f>
        <v>0.0841</v>
      </c>
      <c r="GM30" t="str">
        <f>"-0.194*"</f>
        <v>-0.194*</v>
      </c>
      <c r="GN30" t="str">
        <f>"-0.166***"</f>
        <v>-0.166***</v>
      </c>
      <c r="GO30" t="str">
        <f>"0.0793"</f>
        <v>0.0793</v>
      </c>
      <c r="GP30" t="str">
        <f>"-0.196*"</f>
        <v>-0.196*</v>
      </c>
      <c r="GQ30" t="str">
        <f>"-0.179***"</f>
        <v>-0.179***</v>
      </c>
      <c r="GR30" t="str">
        <f>"0.0841"</f>
        <v>0.0841</v>
      </c>
      <c r="GS30" t="str">
        <f>"-0.177*"</f>
        <v>-0.177*</v>
      </c>
      <c r="GT30" t="str">
        <f>"-0.146**"</f>
        <v>-0.146**</v>
      </c>
      <c r="GU30" t="str">
        <f>"0.0885"</f>
        <v>0.0885</v>
      </c>
      <c r="GV30" t="str">
        <f>"-0.185*"</f>
        <v>-0.185*</v>
      </c>
      <c r="GW30" t="str">
        <f>"-0.174***"</f>
        <v>-0.174***</v>
      </c>
      <c r="GX30" t="str">
        <f>"0.0825"</f>
        <v>0.0825</v>
      </c>
      <c r="GY30" t="str">
        <f>"-0.195*"</f>
        <v>-0.195*</v>
      </c>
      <c r="GZ30" t="str">
        <f>"-0.181***"</f>
        <v>-0.181***</v>
      </c>
      <c r="HA30" t="str">
        <f>"0.0820"</f>
        <v>0.0820</v>
      </c>
      <c r="HB30" t="str">
        <f>"-0.193*"</f>
        <v>-0.193*</v>
      </c>
      <c r="HC30" t="str">
        <f>"-0.177***"</f>
        <v>-0.177***</v>
      </c>
      <c r="HD30" t="str">
        <f>"0.0856"</f>
        <v>0.0856</v>
      </c>
      <c r="HE30" t="str">
        <f>"-0.192*"</f>
        <v>-0.192*</v>
      </c>
      <c r="HF30" t="str">
        <f>"-0.175***"</f>
        <v>-0.175***</v>
      </c>
      <c r="HG30" t="str">
        <f>"0.0845"</f>
        <v>0.0845</v>
      </c>
      <c r="HH30" t="str">
        <f>"-0.192*"</f>
        <v>-0.192*</v>
      </c>
      <c r="HI30" t="str">
        <f>"-0.179***"</f>
        <v>-0.179***</v>
      </c>
      <c r="HJ30" t="str">
        <f>"0.0880"</f>
        <v>0.0880</v>
      </c>
      <c r="HK30" t="str">
        <f>"-0.191*"</f>
        <v>-0.191*</v>
      </c>
      <c r="HL30" t="str">
        <f>"-0.176***"</f>
        <v>-0.176***</v>
      </c>
      <c r="HM30" t="str">
        <f>"0.0861"</f>
        <v>0.0861</v>
      </c>
      <c r="HN30" t="str">
        <f>"-0.192*"</f>
        <v>-0.192*</v>
      </c>
      <c r="HO30" t="str">
        <f>"-0.176***"</f>
        <v>-0.176***</v>
      </c>
      <c r="HP30" t="str">
        <f>"0.0838"</f>
        <v>0.0838</v>
      </c>
      <c r="HQ30" t="str">
        <f>"-0.192*"</f>
        <v>-0.192*</v>
      </c>
      <c r="HR30" t="str">
        <f>"-0.176***"</f>
        <v>-0.176***</v>
      </c>
      <c r="HS30" t="str">
        <f>"0.0857"</f>
        <v>0.0857</v>
      </c>
      <c r="HT30" t="str">
        <f>"-0.190*"</f>
        <v>-0.190*</v>
      </c>
      <c r="HU30" t="str">
        <f>"-0.172***"</f>
        <v>-0.172***</v>
      </c>
      <c r="HV30" t="str">
        <f>"0.0716"</f>
        <v>0.0716</v>
      </c>
      <c r="HW30" t="str">
        <f>"-0.200*"</f>
        <v>-0.200*</v>
      </c>
      <c r="HX30" t="str">
        <f>"-0.185***"</f>
        <v>-0.185***</v>
      </c>
      <c r="HY30" t="str">
        <f>"0.0744"</f>
        <v>0.0744</v>
      </c>
      <c r="HZ30" t="str">
        <f>"-0.197*"</f>
        <v>-0.197*</v>
      </c>
      <c r="IA30" t="str">
        <f>"-0.171***"</f>
        <v>-0.171***</v>
      </c>
      <c r="IB30" t="str">
        <f>"0.0861"</f>
        <v>0.0861</v>
      </c>
      <c r="IC30" t="str">
        <f>"-0.183*"</f>
        <v>-0.183*</v>
      </c>
      <c r="ID30" t="str">
        <f>"-0.169***"</f>
        <v>-0.169***</v>
      </c>
      <c r="IE30" t="str">
        <f>"0.0830"</f>
        <v>0.0830</v>
      </c>
      <c r="IF30" t="str">
        <f>"-0.191*"</f>
        <v>-0.191*</v>
      </c>
      <c r="IG30" t="str">
        <f>"-0.164***"</f>
        <v>-0.164***</v>
      </c>
      <c r="IH30" t="str">
        <f>"0.0798"</f>
        <v>0.0798</v>
      </c>
      <c r="II30" t="str">
        <f>"-0.192*"</f>
        <v>-0.192*</v>
      </c>
      <c r="IJ30" t="str">
        <f>"-0.177***"</f>
        <v>-0.177***</v>
      </c>
      <c r="IK30" t="str">
        <f>"0.0832"</f>
        <v>0.0832</v>
      </c>
      <c r="IL30" t="str">
        <f>"-0.175*"</f>
        <v>-0.175*</v>
      </c>
      <c r="IM30" t="str">
        <f>"-0.145**"</f>
        <v>-0.145**</v>
      </c>
      <c r="IN30" t="str">
        <f>"0.0901"</f>
        <v>0.0901</v>
      </c>
      <c r="IO30" t="str">
        <f>"-0.180*"</f>
        <v>-0.180*</v>
      </c>
      <c r="IP30" t="str">
        <f>"-0.173***"</f>
        <v>-0.173***</v>
      </c>
      <c r="IQ30" t="str">
        <f>"0.0814"</f>
        <v>0.0814</v>
      </c>
      <c r="IR30" t="str">
        <f>"-0.193*"</f>
        <v>-0.193*</v>
      </c>
      <c r="IS30" t="str">
        <f>"-0.179***"</f>
        <v>-0.179***</v>
      </c>
      <c r="IT30" t="str">
        <f>"0.0832"</f>
        <v>0.0832</v>
      </c>
      <c r="IU30" t="str">
        <f>"-0.189*"</f>
        <v>-0.189*</v>
      </c>
      <c r="IV30" t="str">
        <f>"-0.175***"</f>
        <v>-0.175***</v>
      </c>
      <c r="IW30" t="str">
        <f>"0.0844"</f>
        <v>0.0844</v>
      </c>
      <c r="IX30" t="str">
        <f>"-0.189*"</f>
        <v>-0.189*</v>
      </c>
      <c r="IY30" t="str">
        <f>"-0.174***"</f>
        <v>-0.174***</v>
      </c>
      <c r="IZ30" t="str">
        <f>"0.0845"</f>
        <v>0.0845</v>
      </c>
      <c r="JA30" t="str">
        <f>"-0.190*"</f>
        <v>-0.190*</v>
      </c>
      <c r="JB30" t="str">
        <f>"-0.176***"</f>
        <v>-0.176***</v>
      </c>
      <c r="JC30" t="str">
        <f>"0.0876"</f>
        <v>0.0876</v>
      </c>
      <c r="JD30" t="str">
        <f>"-0.189*"</f>
        <v>-0.189*</v>
      </c>
      <c r="JE30" t="str">
        <f>"-0.174***"</f>
        <v>-0.174***</v>
      </c>
      <c r="JF30" t="str">
        <f>"0.0856"</f>
        <v>0.0856</v>
      </c>
      <c r="JG30" t="str">
        <f>"-0.190*"</f>
        <v>-0.190*</v>
      </c>
      <c r="JH30" t="str">
        <f>"-0.174***"</f>
        <v>-0.174***</v>
      </c>
      <c r="JI30" t="str">
        <f>"0.0819"</f>
        <v>0.0819</v>
      </c>
      <c r="JJ30" t="str">
        <f>"-0.190*"</f>
        <v>-0.190*</v>
      </c>
      <c r="JK30" t="str">
        <f>"-0.173***"</f>
        <v>-0.173***</v>
      </c>
    </row>
    <row r="31" spans="1:271" x14ac:dyDescent="0.3">
      <c r="A31" t="str">
        <f>""</f>
        <v/>
      </c>
      <c r="B31" t="str">
        <f>"(0.103)"</f>
        <v>(0.103)</v>
      </c>
      <c r="C31" t="str">
        <f>"(0.0860)"</f>
        <v>(0.0860)</v>
      </c>
      <c r="D31" t="str">
        <f>"(0.0454)"</f>
        <v>(0.0454)</v>
      </c>
      <c r="E31" t="str">
        <f>"(0.103)"</f>
        <v>(0.103)</v>
      </c>
      <c r="F31" t="str">
        <f>"(0.0864)"</f>
        <v>(0.0864)</v>
      </c>
      <c r="G31" t="str">
        <f>"(0.0455)"</f>
        <v>(0.0455)</v>
      </c>
      <c r="H31" t="str">
        <f>"(0.103)"</f>
        <v>(0.103)</v>
      </c>
      <c r="I31" t="str">
        <f>"(0.0862)"</f>
        <v>(0.0862)</v>
      </c>
      <c r="J31" t="str">
        <f>"(0.0455)"</f>
        <v>(0.0455)</v>
      </c>
      <c r="K31" t="str">
        <f>"(0.103)"</f>
        <v>(0.103)</v>
      </c>
      <c r="L31" t="str">
        <f>"(0.0863)"</f>
        <v>(0.0863)</v>
      </c>
      <c r="M31" t="str">
        <f>"(0.0455)"</f>
        <v>(0.0455)</v>
      </c>
      <c r="N31" t="str">
        <f>"(0.103)"</f>
        <v>(0.103)</v>
      </c>
      <c r="O31" t="str">
        <f>"(0.0862)"</f>
        <v>(0.0862)</v>
      </c>
      <c r="P31" t="str">
        <f>"(0.0456)"</f>
        <v>(0.0456)</v>
      </c>
      <c r="Q31" t="str">
        <f>"(0.103)"</f>
        <v>(0.103)</v>
      </c>
      <c r="R31" t="str">
        <f>"(0.0862)"</f>
        <v>(0.0862)</v>
      </c>
      <c r="S31" t="str">
        <f>"(0.0455)"</f>
        <v>(0.0455)</v>
      </c>
      <c r="T31" t="str">
        <f>"(0.103)"</f>
        <v>(0.103)</v>
      </c>
      <c r="U31" t="str">
        <f>"(0.0865)"</f>
        <v>(0.0865)</v>
      </c>
      <c r="V31" t="str">
        <f>"(0.0457)"</f>
        <v>(0.0457)</v>
      </c>
      <c r="W31" t="str">
        <f>"(0.103)"</f>
        <v>(0.103)</v>
      </c>
      <c r="X31" t="str">
        <f>"(0.0862)"</f>
        <v>(0.0862)</v>
      </c>
      <c r="Y31" t="str">
        <f>"(0.0455)"</f>
        <v>(0.0455)</v>
      </c>
      <c r="Z31" t="str">
        <f>"(0.103)"</f>
        <v>(0.103)</v>
      </c>
      <c r="AA31" t="str">
        <f>"(0.0862)"</f>
        <v>(0.0862)</v>
      </c>
      <c r="AB31" t="str">
        <f>"(0.0455)"</f>
        <v>(0.0455)</v>
      </c>
      <c r="AC31" t="str">
        <f>"(0.103)"</f>
        <v>(0.103)</v>
      </c>
      <c r="AD31" t="str">
        <f>"(0.0862)"</f>
        <v>(0.0862)</v>
      </c>
      <c r="AE31" t="str">
        <f>"(0.0455)"</f>
        <v>(0.0455)</v>
      </c>
      <c r="AF31" t="str">
        <f>"(0.103)"</f>
        <v>(0.103)</v>
      </c>
      <c r="AG31" t="str">
        <f>"(0.0862)"</f>
        <v>(0.0862)</v>
      </c>
      <c r="AH31" t="str">
        <f>"(0.0455)"</f>
        <v>(0.0455)</v>
      </c>
      <c r="AI31" t="str">
        <f>"(0.103)"</f>
        <v>(0.103)</v>
      </c>
      <c r="AJ31" t="str">
        <f>"(0.0862)"</f>
        <v>(0.0862)</v>
      </c>
      <c r="AK31" t="str">
        <f>"(0.0455)"</f>
        <v>(0.0455)</v>
      </c>
      <c r="AL31" t="str">
        <f>"(0.103)"</f>
        <v>(0.103)</v>
      </c>
      <c r="AM31" t="str">
        <f>"(0.0861)"</f>
        <v>(0.0861)</v>
      </c>
      <c r="AN31" t="str">
        <f>"(0.0454)"</f>
        <v>(0.0454)</v>
      </c>
      <c r="AO31" t="str">
        <f>"(0.103)"</f>
        <v>(0.103)</v>
      </c>
      <c r="AP31" t="str">
        <f>"(0.0862)"</f>
        <v>(0.0862)</v>
      </c>
      <c r="AQ31" t="str">
        <f>"(0.0455)"</f>
        <v>(0.0455)</v>
      </c>
      <c r="AR31" t="str">
        <f>"(0.103)"</f>
        <v>(0.103)</v>
      </c>
      <c r="AS31" t="str">
        <f>"(0.0862)"</f>
        <v>(0.0862)</v>
      </c>
      <c r="AT31" t="str">
        <f>"(0.0455)"</f>
        <v>(0.0455)</v>
      </c>
      <c r="AU31" t="str">
        <f>"(0.103)"</f>
        <v>(0.103)</v>
      </c>
      <c r="AV31" t="str">
        <f>"(0.0860)"</f>
        <v>(0.0860)</v>
      </c>
      <c r="AW31" t="str">
        <f>"(0.0454)"</f>
        <v>(0.0454)</v>
      </c>
      <c r="AX31" t="str">
        <f>"(0.103)"</f>
        <v>(0.103)</v>
      </c>
      <c r="AY31" t="str">
        <f>"(0.0864)"</f>
        <v>(0.0864)</v>
      </c>
      <c r="AZ31" t="str">
        <f>"(0.0455)"</f>
        <v>(0.0455)</v>
      </c>
      <c r="BA31" t="str">
        <f>"(0.103)"</f>
        <v>(0.103)</v>
      </c>
      <c r="BB31" t="str">
        <f>"(0.0861)"</f>
        <v>(0.0861)</v>
      </c>
      <c r="BC31" t="str">
        <f>"(0.0455)"</f>
        <v>(0.0455)</v>
      </c>
      <c r="BD31" t="str">
        <f>"(0.103)"</f>
        <v>(0.103)</v>
      </c>
      <c r="BE31" t="str">
        <f>"(0.0862)"</f>
        <v>(0.0862)</v>
      </c>
      <c r="BF31" t="str">
        <f>"(0.0455)"</f>
        <v>(0.0455)</v>
      </c>
      <c r="BG31" t="str">
        <f>"(0.103)"</f>
        <v>(0.103)</v>
      </c>
      <c r="BH31" t="str">
        <f>"(0.0861)"</f>
        <v>(0.0861)</v>
      </c>
      <c r="BI31" t="str">
        <f>"(0.0456)"</f>
        <v>(0.0456)</v>
      </c>
      <c r="BJ31" t="str">
        <f>"(0.103)"</f>
        <v>(0.103)</v>
      </c>
      <c r="BK31" t="str">
        <f>"(0.0861)"</f>
        <v>(0.0861)</v>
      </c>
      <c r="BL31" t="str">
        <f>"(0.0455)"</f>
        <v>(0.0455)</v>
      </c>
      <c r="BM31" t="str">
        <f>"(0.103)"</f>
        <v>(0.103)</v>
      </c>
      <c r="BN31" t="str">
        <f>"(0.0864)"</f>
        <v>(0.0864)</v>
      </c>
      <c r="BO31" t="str">
        <f>"(0.0457)"</f>
        <v>(0.0457)</v>
      </c>
      <c r="BP31" t="str">
        <f>"(0.103)"</f>
        <v>(0.103)</v>
      </c>
      <c r="BQ31" t="str">
        <f>"(0.0861)"</f>
        <v>(0.0861)</v>
      </c>
      <c r="BR31" t="str">
        <f>"(0.0455)"</f>
        <v>(0.0455)</v>
      </c>
      <c r="BS31" t="str">
        <f>"(0.103)"</f>
        <v>(0.103)</v>
      </c>
      <c r="BT31" t="str">
        <f>"(0.0860)"</f>
        <v>(0.0860)</v>
      </c>
      <c r="BU31" t="str">
        <f>"(0.0454)"</f>
        <v>(0.0454)</v>
      </c>
      <c r="BV31" t="str">
        <f>"(0.103)"</f>
        <v>(0.103)</v>
      </c>
      <c r="BW31" t="str">
        <f>"(0.0861)"</f>
        <v>(0.0861)</v>
      </c>
      <c r="BX31" t="str">
        <f>"(0.0454)"</f>
        <v>(0.0454)</v>
      </c>
      <c r="BY31" t="str">
        <f>"(0.103)"</f>
        <v>(0.103)</v>
      </c>
      <c r="BZ31" t="str">
        <f>"(0.0861)"</f>
        <v>(0.0861)</v>
      </c>
      <c r="CA31" t="str">
        <f>"(0.0455)"</f>
        <v>(0.0455)</v>
      </c>
      <c r="CB31" t="str">
        <f>"(0.103)"</f>
        <v>(0.103)</v>
      </c>
      <c r="CC31" t="str">
        <f>"(0.0861)"</f>
        <v>(0.0861)</v>
      </c>
      <c r="CD31" t="str">
        <f>"(0.0455)"</f>
        <v>(0.0455)</v>
      </c>
      <c r="CE31" t="str">
        <f>"(0.103)"</f>
        <v>(0.103)</v>
      </c>
      <c r="CF31" t="str">
        <f>"(0.0860)"</f>
        <v>(0.0860)</v>
      </c>
      <c r="CG31" t="str">
        <f>"(0.0454)"</f>
        <v>(0.0454)</v>
      </c>
      <c r="CH31" t="str">
        <f>"(0.103)"</f>
        <v>(0.103)</v>
      </c>
      <c r="CI31" t="str">
        <f>"(0.0861)"</f>
        <v>(0.0861)</v>
      </c>
      <c r="CJ31" t="str">
        <f>"(0.0455)"</f>
        <v>(0.0455)</v>
      </c>
      <c r="CK31" t="str">
        <f>"(0.103)"</f>
        <v>(0.103)</v>
      </c>
      <c r="CL31" t="str">
        <f>"(0.0861)"</f>
        <v>(0.0861)</v>
      </c>
      <c r="CM31" t="str">
        <f>"(0.0455)"</f>
        <v>(0.0455)</v>
      </c>
      <c r="CN31" t="str">
        <f>"(0.103)"</f>
        <v>(0.103)</v>
      </c>
      <c r="CO31" t="str">
        <f>"(0.0862)"</f>
        <v>(0.0862)</v>
      </c>
      <c r="CP31" t="str">
        <f>"(0.0454)"</f>
        <v>(0.0454)</v>
      </c>
      <c r="CQ31" t="str">
        <f>"(0.103)"</f>
        <v>(0.103)</v>
      </c>
      <c r="CR31" t="str">
        <f>"(0.0865)"</f>
        <v>(0.0865)</v>
      </c>
      <c r="CS31" t="str">
        <f>"(0.0455)"</f>
        <v>(0.0455)</v>
      </c>
      <c r="CT31" t="str">
        <f>"(0.103)"</f>
        <v>(0.103)</v>
      </c>
      <c r="CU31" t="str">
        <f>"(0.0863)"</f>
        <v>(0.0863)</v>
      </c>
      <c r="CV31" t="str">
        <f>"(0.0455)"</f>
        <v>(0.0455)</v>
      </c>
      <c r="CW31" t="str">
        <f>"(0.103)"</f>
        <v>(0.103)</v>
      </c>
      <c r="CX31" t="str">
        <f>"(0.0864)"</f>
        <v>(0.0864)</v>
      </c>
      <c r="CY31" t="str">
        <f>"(0.0455)"</f>
        <v>(0.0455)</v>
      </c>
      <c r="CZ31" t="str">
        <f>"(0.103)"</f>
        <v>(0.103)</v>
      </c>
      <c r="DA31" t="str">
        <f>"(0.0863)"</f>
        <v>(0.0863)</v>
      </c>
      <c r="DB31" t="str">
        <f>"(0.0456)"</f>
        <v>(0.0456)</v>
      </c>
      <c r="DC31" t="str">
        <f>"(0.103)"</f>
        <v>(0.103)</v>
      </c>
      <c r="DD31" t="str">
        <f>"(0.0863)"</f>
        <v>(0.0863)</v>
      </c>
      <c r="DE31" t="str">
        <f>"(0.0455)"</f>
        <v>(0.0455)</v>
      </c>
      <c r="DF31" t="str">
        <f>"(0.103)"</f>
        <v>(0.103)</v>
      </c>
      <c r="DG31" t="str">
        <f>"(0.0866)"</f>
        <v>(0.0866)</v>
      </c>
      <c r="DH31" t="str">
        <f>"(0.0457)"</f>
        <v>(0.0457)</v>
      </c>
      <c r="DI31" t="str">
        <f>"(0.103)"</f>
        <v>(0.103)</v>
      </c>
      <c r="DJ31" t="str">
        <f>"(0.0863)"</f>
        <v>(0.0863)</v>
      </c>
      <c r="DK31" t="str">
        <f>"(0.0455)"</f>
        <v>(0.0455)</v>
      </c>
      <c r="DL31" t="str">
        <f>"(0.103)"</f>
        <v>(0.103)</v>
      </c>
      <c r="DM31" t="str">
        <f>"(0.0862)"</f>
        <v>(0.0862)</v>
      </c>
      <c r="DN31" t="str">
        <f>"(0.0454)"</f>
        <v>(0.0454)</v>
      </c>
      <c r="DO31" t="str">
        <f>"(0.103)"</f>
        <v>(0.103)</v>
      </c>
      <c r="DP31" t="str">
        <f>"(0.0863)"</f>
        <v>(0.0863)</v>
      </c>
      <c r="DQ31" t="str">
        <f>"(0.0454)"</f>
        <v>(0.0454)</v>
      </c>
      <c r="DR31" t="str">
        <f>"(0.103)"</f>
        <v>(0.103)</v>
      </c>
      <c r="DS31" t="str">
        <f>"(0.0863)"</f>
        <v>(0.0863)</v>
      </c>
      <c r="DT31" t="str">
        <f>"(0.0455)"</f>
        <v>(0.0455)</v>
      </c>
      <c r="DU31" t="str">
        <f>"(0.103)"</f>
        <v>(0.103)</v>
      </c>
      <c r="DV31" t="str">
        <f>"(0.0863)"</f>
        <v>(0.0863)</v>
      </c>
      <c r="DW31" t="str">
        <f>"(0.0455)"</f>
        <v>(0.0455)</v>
      </c>
      <c r="DX31" t="str">
        <f>"(0.103)"</f>
        <v>(0.103)</v>
      </c>
      <c r="DY31" t="str">
        <f>"(0.0862)"</f>
        <v>(0.0862)</v>
      </c>
      <c r="DZ31" t="str">
        <f>"(0.0454)"</f>
        <v>(0.0454)</v>
      </c>
      <c r="EA31" t="str">
        <f>"(0.103)"</f>
        <v>(0.103)</v>
      </c>
      <c r="EB31" t="str">
        <f>"(0.0863)"</f>
        <v>(0.0863)</v>
      </c>
      <c r="EC31" t="str">
        <f>"(0.0455)"</f>
        <v>(0.0455)</v>
      </c>
      <c r="ED31" t="str">
        <f>"(0.103)"</f>
        <v>(0.103)</v>
      </c>
      <c r="EE31" t="str">
        <f>"(0.0863)"</f>
        <v>(0.0863)</v>
      </c>
      <c r="EF31" t="str">
        <f>"(0.0455)"</f>
        <v>(0.0455)</v>
      </c>
      <c r="EG31" t="str">
        <f>"(0.103)"</f>
        <v>(0.103)</v>
      </c>
      <c r="EH31" t="str">
        <f>"(0.0859)"</f>
        <v>(0.0859)</v>
      </c>
      <c r="EI31" t="str">
        <f>"(0.0454)"</f>
        <v>(0.0454)</v>
      </c>
      <c r="EJ31" t="str">
        <f>"(0.103)"</f>
        <v>(0.103)</v>
      </c>
      <c r="EK31" t="str">
        <f>"(0.0863)"</f>
        <v>(0.0863)</v>
      </c>
      <c r="EL31" t="str">
        <f>"(0.0455)"</f>
        <v>(0.0455)</v>
      </c>
      <c r="EM31" t="str">
        <f>"(0.103)"</f>
        <v>(0.103)</v>
      </c>
      <c r="EN31" t="str">
        <f>"(0.0860)"</f>
        <v>(0.0860)</v>
      </c>
      <c r="EO31" t="str">
        <f>"(0.0455)"</f>
        <v>(0.0455)</v>
      </c>
      <c r="EP31" t="str">
        <f>"(0.103)"</f>
        <v>(0.103)</v>
      </c>
      <c r="EQ31" t="str">
        <f>"(0.0862)"</f>
        <v>(0.0862)</v>
      </c>
      <c r="ER31" t="str">
        <f>"(0.0455)"</f>
        <v>(0.0455)</v>
      </c>
      <c r="ES31" t="str">
        <f>"(0.103)"</f>
        <v>(0.103)</v>
      </c>
      <c r="ET31" t="str">
        <f>"(0.0860)"</f>
        <v>(0.0860)</v>
      </c>
      <c r="EU31" t="str">
        <f>"(0.0456)"</f>
        <v>(0.0456)</v>
      </c>
      <c r="EV31" t="str">
        <f>"(0.103)"</f>
        <v>(0.103)</v>
      </c>
      <c r="EW31" t="str">
        <f>"(0.0860)"</f>
        <v>(0.0860)</v>
      </c>
      <c r="EX31" t="str">
        <f>"(0.0455)"</f>
        <v>(0.0455)</v>
      </c>
      <c r="EY31" t="str">
        <f>"(0.103)"</f>
        <v>(0.103)</v>
      </c>
      <c r="EZ31" t="str">
        <f>"(0.0863)"</f>
        <v>(0.0863)</v>
      </c>
      <c r="FA31" t="str">
        <f>"(0.0457)"</f>
        <v>(0.0457)</v>
      </c>
      <c r="FB31" t="str">
        <f>"(0.103)"</f>
        <v>(0.103)</v>
      </c>
      <c r="FC31" t="str">
        <f>"(0.0860)"</f>
        <v>(0.0860)</v>
      </c>
      <c r="FD31" t="str">
        <f>"(0.0455)"</f>
        <v>(0.0455)</v>
      </c>
      <c r="FE31" t="str">
        <f>"(0.103)"</f>
        <v>(0.103)</v>
      </c>
      <c r="FF31" t="str">
        <f>"(0.0860)"</f>
        <v>(0.0860)</v>
      </c>
      <c r="FG31" t="str">
        <f>"(0.0454)"</f>
        <v>(0.0454)</v>
      </c>
      <c r="FH31" t="str">
        <f>"(0.103)"</f>
        <v>(0.103)</v>
      </c>
      <c r="FI31" t="str">
        <f>"(0.0860)"</f>
        <v>(0.0860)</v>
      </c>
      <c r="FJ31" t="str">
        <f>"(0.0454)"</f>
        <v>(0.0454)</v>
      </c>
      <c r="FK31" t="str">
        <f>"(0.103)"</f>
        <v>(0.103)</v>
      </c>
      <c r="FL31" t="str">
        <f>"(0.0860)"</f>
        <v>(0.0860)</v>
      </c>
      <c r="FM31" t="str">
        <f>"(0.0455)"</f>
        <v>(0.0455)</v>
      </c>
      <c r="FN31" t="str">
        <f>"(0.103)"</f>
        <v>(0.103)</v>
      </c>
      <c r="FO31" t="str">
        <f>"(0.0860)"</f>
        <v>(0.0860)</v>
      </c>
      <c r="FP31" t="str">
        <f>"(0.0455)"</f>
        <v>(0.0455)</v>
      </c>
      <c r="FQ31" t="str">
        <f>"(0.103)"</f>
        <v>(0.103)</v>
      </c>
      <c r="FR31" t="str">
        <f>"(0.0860)"</f>
        <v>(0.0860)</v>
      </c>
      <c r="FS31" t="str">
        <f>"(0.0454)"</f>
        <v>(0.0454)</v>
      </c>
      <c r="FT31" t="str">
        <f>"(0.103)"</f>
        <v>(0.103)</v>
      </c>
      <c r="FU31" t="str">
        <f>"(0.0860)"</f>
        <v>(0.0860)</v>
      </c>
      <c r="FV31" t="str">
        <f>"(0.0455)"</f>
        <v>(0.0455)</v>
      </c>
      <c r="FW31" t="str">
        <f>"(0.103)"</f>
        <v>(0.103)</v>
      </c>
      <c r="FX31" t="str">
        <f>"(0.0860)"</f>
        <v>(0.0860)</v>
      </c>
      <c r="FY31" t="str">
        <f>"(0.0455)"</f>
        <v>(0.0455)</v>
      </c>
      <c r="FZ31" t="str">
        <f>"(0.103)"</f>
        <v>(0.103)</v>
      </c>
      <c r="GA31" t="str">
        <f>"(0.0859)"</f>
        <v>(0.0859)</v>
      </c>
      <c r="GB31" t="str">
        <f>"(0.0454)"</f>
        <v>(0.0454)</v>
      </c>
      <c r="GC31" t="str">
        <f>"(0.103)"</f>
        <v>(0.103)</v>
      </c>
      <c r="GD31" t="str">
        <f>"(0.0863)"</f>
        <v>(0.0863)</v>
      </c>
      <c r="GE31" t="str">
        <f>"(0.0455)"</f>
        <v>(0.0455)</v>
      </c>
      <c r="GF31" t="str">
        <f>"(0.103)"</f>
        <v>(0.103)</v>
      </c>
      <c r="GG31" t="str">
        <f>"(0.0860)"</f>
        <v>(0.0860)</v>
      </c>
      <c r="GH31" t="str">
        <f>"(0.0455)"</f>
        <v>(0.0455)</v>
      </c>
      <c r="GI31" t="str">
        <f>"(0.103)"</f>
        <v>(0.103)</v>
      </c>
      <c r="GJ31" t="str">
        <f>"(0.0862)"</f>
        <v>(0.0862)</v>
      </c>
      <c r="GK31" t="str">
        <f>"(0.0455)"</f>
        <v>(0.0455)</v>
      </c>
      <c r="GL31" t="str">
        <f>"(0.103)"</f>
        <v>(0.103)</v>
      </c>
      <c r="GM31" t="str">
        <f>"(0.0860)"</f>
        <v>(0.0860)</v>
      </c>
      <c r="GN31" t="str">
        <f>"(0.0456)"</f>
        <v>(0.0456)</v>
      </c>
      <c r="GO31" t="str">
        <f>"(0.103)"</f>
        <v>(0.103)</v>
      </c>
      <c r="GP31" t="str">
        <f>"(0.0860)"</f>
        <v>(0.0860)</v>
      </c>
      <c r="GQ31" t="str">
        <f>"(0.0455)"</f>
        <v>(0.0455)</v>
      </c>
      <c r="GR31" t="str">
        <f>"(0.103)"</f>
        <v>(0.103)</v>
      </c>
      <c r="GS31" t="str">
        <f>"(0.0863)"</f>
        <v>(0.0863)</v>
      </c>
      <c r="GT31" t="str">
        <f>"(0.0457)"</f>
        <v>(0.0457)</v>
      </c>
      <c r="GU31" t="str">
        <f>"(0.103)"</f>
        <v>(0.103)</v>
      </c>
      <c r="GV31" t="str">
        <f>"(0.0861)"</f>
        <v>(0.0861)</v>
      </c>
      <c r="GW31" t="str">
        <f>"(0.0455)"</f>
        <v>(0.0455)</v>
      </c>
      <c r="GX31" t="str">
        <f>"(0.103)"</f>
        <v>(0.103)</v>
      </c>
      <c r="GY31" t="str">
        <f>"(0.0860)"</f>
        <v>(0.0860)</v>
      </c>
      <c r="GZ31" t="str">
        <f>"(0.0454)"</f>
        <v>(0.0454)</v>
      </c>
      <c r="HA31" t="str">
        <f>"(0.103)"</f>
        <v>(0.103)</v>
      </c>
      <c r="HB31" t="str">
        <f>"(0.0860)"</f>
        <v>(0.0860)</v>
      </c>
      <c r="HC31" t="str">
        <f>"(0.0454)"</f>
        <v>(0.0454)</v>
      </c>
      <c r="HD31" t="str">
        <f>"(0.103)"</f>
        <v>(0.103)</v>
      </c>
      <c r="HE31" t="str">
        <f>"(0.0860)"</f>
        <v>(0.0860)</v>
      </c>
      <c r="HF31" t="str">
        <f>"(0.0455)"</f>
        <v>(0.0455)</v>
      </c>
      <c r="HG31" t="str">
        <f>"(0.103)"</f>
        <v>(0.103)</v>
      </c>
      <c r="HH31" t="str">
        <f>"(0.0860)"</f>
        <v>(0.0860)</v>
      </c>
      <c r="HI31" t="str">
        <f>"(0.0455)"</f>
        <v>(0.0455)</v>
      </c>
      <c r="HJ31" t="str">
        <f>"(0.103)"</f>
        <v>(0.103)</v>
      </c>
      <c r="HK31" t="str">
        <f>"(0.0860)"</f>
        <v>(0.0860)</v>
      </c>
      <c r="HL31" t="str">
        <f>"(0.0454)"</f>
        <v>(0.0454)</v>
      </c>
      <c r="HM31" t="str">
        <f>"(0.103)"</f>
        <v>(0.103)</v>
      </c>
      <c r="HN31" t="str">
        <f>"(0.0860)"</f>
        <v>(0.0860)</v>
      </c>
      <c r="HO31" t="str">
        <f>"(0.0455)"</f>
        <v>(0.0455)</v>
      </c>
      <c r="HP31" t="str">
        <f>"(0.103)"</f>
        <v>(0.103)</v>
      </c>
      <c r="HQ31" t="str">
        <f>"(0.0860)"</f>
        <v>(0.0860)</v>
      </c>
      <c r="HR31" t="str">
        <f>"(0.0455)"</f>
        <v>(0.0455)</v>
      </c>
      <c r="HS31" t="str">
        <f>"(0.103)"</f>
        <v>(0.103)</v>
      </c>
      <c r="HT31" t="str">
        <f>"(0.0860)"</f>
        <v>(0.0860)</v>
      </c>
      <c r="HU31" t="str">
        <f>"(0.0454)"</f>
        <v>(0.0454)</v>
      </c>
      <c r="HV31" t="str">
        <f>"(0.103)"</f>
        <v>(0.103)</v>
      </c>
      <c r="HW31" t="str">
        <f>"(0.0864)"</f>
        <v>(0.0864)</v>
      </c>
      <c r="HX31" t="str">
        <f>"(0.0455)"</f>
        <v>(0.0455)</v>
      </c>
      <c r="HY31" t="str">
        <f>"(0.103)"</f>
        <v>(0.103)</v>
      </c>
      <c r="HZ31" t="str">
        <f>"(0.0861)"</f>
        <v>(0.0861)</v>
      </c>
      <c r="IA31" t="str">
        <f>"(0.0455)"</f>
        <v>(0.0455)</v>
      </c>
      <c r="IB31" t="str">
        <f>"(0.103)"</f>
        <v>(0.103)</v>
      </c>
      <c r="IC31" t="str">
        <f>"(0.0862)"</f>
        <v>(0.0862)</v>
      </c>
      <c r="ID31" t="str">
        <f>"(0.0455)"</f>
        <v>(0.0455)</v>
      </c>
      <c r="IE31" t="str">
        <f>"(0.103)"</f>
        <v>(0.103)</v>
      </c>
      <c r="IF31" t="str">
        <f>"(0.0862)"</f>
        <v>(0.0862)</v>
      </c>
      <c r="IG31" t="str">
        <f>"(0.0456)"</f>
        <v>(0.0456)</v>
      </c>
      <c r="IH31" t="str">
        <f>"(0.103)"</f>
        <v>(0.103)</v>
      </c>
      <c r="II31" t="str">
        <f>"(0.0861)"</f>
        <v>(0.0861)</v>
      </c>
      <c r="IJ31" t="str">
        <f>"(0.0455)"</f>
        <v>(0.0455)</v>
      </c>
      <c r="IK31" t="str">
        <f>"(0.103)"</f>
        <v>(0.103)</v>
      </c>
      <c r="IL31" t="str">
        <f>"(0.0864)"</f>
        <v>(0.0864)</v>
      </c>
      <c r="IM31" t="str">
        <f>"(0.0457)"</f>
        <v>(0.0457)</v>
      </c>
      <c r="IN31" t="str">
        <f>"(0.103)"</f>
        <v>(0.103)</v>
      </c>
      <c r="IO31" t="str">
        <f>"(0.0862)"</f>
        <v>(0.0862)</v>
      </c>
      <c r="IP31" t="str">
        <f>"(0.0455)"</f>
        <v>(0.0455)</v>
      </c>
      <c r="IQ31" t="str">
        <f>"(0.103)"</f>
        <v>(0.103)</v>
      </c>
      <c r="IR31" t="str">
        <f>"(0.0861)"</f>
        <v>(0.0861)</v>
      </c>
      <c r="IS31" t="str">
        <f>"(0.0454)"</f>
        <v>(0.0454)</v>
      </c>
      <c r="IT31" t="str">
        <f>"(0.103)"</f>
        <v>(0.103)</v>
      </c>
      <c r="IU31" t="str">
        <f>"(0.0861)"</f>
        <v>(0.0861)</v>
      </c>
      <c r="IV31" t="str">
        <f>"(0.0454)"</f>
        <v>(0.0454)</v>
      </c>
      <c r="IW31" t="str">
        <f>"(0.103)"</f>
        <v>(0.103)</v>
      </c>
      <c r="IX31" t="str">
        <f>"(0.0861)"</f>
        <v>(0.0861)</v>
      </c>
      <c r="IY31" t="str">
        <f>"(0.0455)"</f>
        <v>(0.0455)</v>
      </c>
      <c r="IZ31" t="str">
        <f>"(0.103)"</f>
        <v>(0.103)</v>
      </c>
      <c r="JA31" t="str">
        <f>"(0.0861)"</f>
        <v>(0.0861)</v>
      </c>
      <c r="JB31" t="str">
        <f>"(0.0455)"</f>
        <v>(0.0455)</v>
      </c>
      <c r="JC31" t="str">
        <f>"(0.103)"</f>
        <v>(0.103)</v>
      </c>
      <c r="JD31" t="str">
        <f>"(0.0860)"</f>
        <v>(0.0860)</v>
      </c>
      <c r="JE31" t="str">
        <f>"(0.0454)"</f>
        <v>(0.0454)</v>
      </c>
      <c r="JF31" t="str">
        <f>"(0.103)"</f>
        <v>(0.103)</v>
      </c>
      <c r="JG31" t="str">
        <f>"(0.0861)"</f>
        <v>(0.0861)</v>
      </c>
      <c r="JH31" t="str">
        <f>"(0.0455)"</f>
        <v>(0.0455)</v>
      </c>
      <c r="JI31" t="str">
        <f>"(0.103)"</f>
        <v>(0.103)</v>
      </c>
      <c r="JJ31" t="str">
        <f>"(0.0861)"</f>
        <v>(0.0861)</v>
      </c>
      <c r="JK31" t="str">
        <f>"(0.0455)"</f>
        <v>(0.0455)</v>
      </c>
    </row>
    <row r="33" spans="1:271" x14ac:dyDescent="0.3">
      <c r="A33" t="str">
        <f>"ztownsend"</f>
        <v>ztownsend</v>
      </c>
      <c r="B33" t="str">
        <f>"0.0113"</f>
        <v>0.0113</v>
      </c>
      <c r="C33" t="str">
        <f>"0.124**"</f>
        <v>0.124**</v>
      </c>
      <c r="D33" t="str">
        <f>"0.0991***"</f>
        <v>0.0991***</v>
      </c>
      <c r="E33" t="str">
        <f>"0.0166"</f>
        <v>0.0166</v>
      </c>
      <c r="F33" t="str">
        <f>"0.129**"</f>
        <v>0.129**</v>
      </c>
      <c r="G33" t="str">
        <f>"0.110***"</f>
        <v>0.110***</v>
      </c>
      <c r="H33" t="str">
        <f>"0.0149"</f>
        <v>0.0149</v>
      </c>
      <c r="I33" t="str">
        <f>"0.129**"</f>
        <v>0.129**</v>
      </c>
      <c r="J33" t="str">
        <f>"0.108***"</f>
        <v>0.108***</v>
      </c>
      <c r="K33" t="str">
        <f>"0.0164"</f>
        <v>0.0164</v>
      </c>
      <c r="L33" t="str">
        <f>"0.128**"</f>
        <v>0.128**</v>
      </c>
      <c r="M33" t="str">
        <f>"0.106***"</f>
        <v>0.106***</v>
      </c>
      <c r="N33" t="str">
        <f>"0.0180"</f>
        <v>0.0180</v>
      </c>
      <c r="O33" t="str">
        <f>"0.130**"</f>
        <v>0.130**</v>
      </c>
      <c r="P33" t="str">
        <f>"0.104***"</f>
        <v>0.104***</v>
      </c>
      <c r="Q33" t="str">
        <f>"0.0132"</f>
        <v>0.0132</v>
      </c>
      <c r="R33" t="str">
        <f>"0.129**"</f>
        <v>0.129**</v>
      </c>
      <c r="S33" t="str">
        <f>"0.107***"</f>
        <v>0.107***</v>
      </c>
      <c r="T33" t="str">
        <f>"0.0169"</f>
        <v>0.0169</v>
      </c>
      <c r="U33" t="str">
        <f>"0.122**"</f>
        <v>0.122**</v>
      </c>
      <c r="V33" t="str">
        <f>"0.0959***"</f>
        <v>0.0959***</v>
      </c>
      <c r="W33" t="str">
        <f>"0.0137"</f>
        <v>0.0137</v>
      </c>
      <c r="X33" t="str">
        <f>"0.127**"</f>
        <v>0.127**</v>
      </c>
      <c r="Y33" t="str">
        <f>"0.107***"</f>
        <v>0.107***</v>
      </c>
      <c r="Z33" t="str">
        <f>"0.0109"</f>
        <v>0.0109</v>
      </c>
      <c r="AA33" t="str">
        <f>"0.128**"</f>
        <v>0.128**</v>
      </c>
      <c r="AB33" t="str">
        <f>"0.106***"</f>
        <v>0.106***</v>
      </c>
      <c r="AC33" t="str">
        <f>"0.0142"</f>
        <v>0.0142</v>
      </c>
      <c r="AD33" t="str">
        <f>"0.129**"</f>
        <v>0.129**</v>
      </c>
      <c r="AE33" t="str">
        <f>"0.108***"</f>
        <v>0.108***</v>
      </c>
      <c r="AF33" t="str">
        <f>"0.0162"</f>
        <v>0.0162</v>
      </c>
      <c r="AG33" t="str">
        <f>"0.129**"</f>
        <v>0.129**</v>
      </c>
      <c r="AH33" t="str">
        <f>"0.108***"</f>
        <v>0.108***</v>
      </c>
      <c r="AI33" t="str">
        <f>"0.0107"</f>
        <v>0.0107</v>
      </c>
      <c r="AJ33" t="str">
        <f>"0.126**"</f>
        <v>0.126**</v>
      </c>
      <c r="AK33" t="str">
        <f>"0.104***"</f>
        <v>0.104***</v>
      </c>
      <c r="AL33" t="str">
        <f>"0.0112"</f>
        <v>0.0112</v>
      </c>
      <c r="AM33" t="str">
        <f>"0.128**"</f>
        <v>0.128**</v>
      </c>
      <c r="AN33" t="str">
        <f>"0.105***"</f>
        <v>0.105***</v>
      </c>
      <c r="AO33" t="str">
        <f>"0.0163"</f>
        <v>0.0163</v>
      </c>
      <c r="AP33" t="str">
        <f>"0.128**"</f>
        <v>0.128**</v>
      </c>
      <c r="AQ33" t="str">
        <f>"0.108***"</f>
        <v>0.108***</v>
      </c>
      <c r="AR33" t="str">
        <f>"0.0140"</f>
        <v>0.0140</v>
      </c>
      <c r="AS33" t="str">
        <f>"0.127**"</f>
        <v>0.127**</v>
      </c>
      <c r="AT33" t="str">
        <f>"0.109***"</f>
        <v>0.109***</v>
      </c>
      <c r="AU33" t="str">
        <f>"0.0187"</f>
        <v>0.0187</v>
      </c>
      <c r="AV33" t="str">
        <f>"0.120**"</f>
        <v>0.120**</v>
      </c>
      <c r="AW33" t="str">
        <f>"0.109***"</f>
        <v>0.109***</v>
      </c>
      <c r="AX33" t="str">
        <f>"0.0253"</f>
        <v>0.0253</v>
      </c>
      <c r="AY33" t="str">
        <f>"0.128**"</f>
        <v>0.128**</v>
      </c>
      <c r="AZ33" t="str">
        <f>"0.121***"</f>
        <v>0.121***</v>
      </c>
      <c r="BA33" t="str">
        <f>"0.0240"</f>
        <v>0.0240</v>
      </c>
      <c r="BB33" t="str">
        <f>"0.128**"</f>
        <v>0.128**</v>
      </c>
      <c r="BC33" t="str">
        <f>"0.120***"</f>
        <v>0.120***</v>
      </c>
      <c r="BD33" t="str">
        <f>"0.0241"</f>
        <v>0.0241</v>
      </c>
      <c r="BE33" t="str">
        <f>"0.126**"</f>
        <v>0.126**</v>
      </c>
      <c r="BF33" t="str">
        <f>"0.117***"</f>
        <v>0.117***</v>
      </c>
      <c r="BG33" t="str">
        <f>"0.0256"</f>
        <v>0.0256</v>
      </c>
      <c r="BH33" t="str">
        <f>"0.128**"</f>
        <v>0.128**</v>
      </c>
      <c r="BI33" t="str">
        <f>"0.116***"</f>
        <v>0.116***</v>
      </c>
      <c r="BJ33" t="str">
        <f>"0.0222"</f>
        <v>0.0222</v>
      </c>
      <c r="BK33" t="str">
        <f>"0.127**"</f>
        <v>0.127**</v>
      </c>
      <c r="BL33" t="str">
        <f>"0.120***"</f>
        <v>0.120***</v>
      </c>
      <c r="BM33" t="str">
        <f>"0.0252"</f>
        <v>0.0252</v>
      </c>
      <c r="BN33" t="str">
        <f>"0.121**"</f>
        <v>0.121**</v>
      </c>
      <c r="BO33" t="str">
        <f>"0.108***"</f>
        <v>0.108***</v>
      </c>
      <c r="BP33" t="str">
        <f>"0.0218"</f>
        <v>0.0218</v>
      </c>
      <c r="BQ33" t="str">
        <f>"0.126**"</f>
        <v>0.126**</v>
      </c>
      <c r="BR33" t="str">
        <f>"0.119***"</f>
        <v>0.119***</v>
      </c>
      <c r="BS33" t="str">
        <f>"0.0207"</f>
        <v>0.0207</v>
      </c>
      <c r="BT33" t="str">
        <f>"0.124**"</f>
        <v>0.124**</v>
      </c>
      <c r="BU33" t="str">
        <f>"0.117***"</f>
        <v>0.117***</v>
      </c>
      <c r="BV33" t="str">
        <f>"0.0235"</f>
        <v>0.0235</v>
      </c>
      <c r="BW33" t="str">
        <f>"0.127**"</f>
        <v>0.127**</v>
      </c>
      <c r="BX33" t="str">
        <f>"0.120***"</f>
        <v>0.120***</v>
      </c>
      <c r="BY33" t="str">
        <f>"0.0245"</f>
        <v>0.0245</v>
      </c>
      <c r="BZ33" t="str">
        <f>"0.127**"</f>
        <v>0.127**</v>
      </c>
      <c r="CA33" t="str">
        <f>"0.120***"</f>
        <v>0.120***</v>
      </c>
      <c r="CB33" t="str">
        <f>"0.0194"</f>
        <v>0.0194</v>
      </c>
      <c r="CC33" t="str">
        <f>"0.123**"</f>
        <v>0.123**</v>
      </c>
      <c r="CD33" t="str">
        <f>"0.116***"</f>
        <v>0.116***</v>
      </c>
      <c r="CE33" t="str">
        <f>"0.0191"</f>
        <v>0.0191</v>
      </c>
      <c r="CF33" t="str">
        <f>"0.126**"</f>
        <v>0.126**</v>
      </c>
      <c r="CG33" t="str">
        <f>"0.117***"</f>
        <v>0.117***</v>
      </c>
      <c r="CH33" t="str">
        <f>"0.0250"</f>
        <v>0.0250</v>
      </c>
      <c r="CI33" t="str">
        <f>"0.126**"</f>
        <v>0.126**</v>
      </c>
      <c r="CJ33" t="str">
        <f>"0.120***"</f>
        <v>0.120***</v>
      </c>
      <c r="CK33" t="str">
        <f>"0.0215"</f>
        <v>0.0215</v>
      </c>
      <c r="CL33" t="str">
        <f>"0.126**"</f>
        <v>0.126**</v>
      </c>
      <c r="CM33" t="str">
        <f>"0.122***"</f>
        <v>0.122***</v>
      </c>
      <c r="CN33" t="str">
        <f>"0.0101"</f>
        <v>0.0101</v>
      </c>
      <c r="CO33" t="str">
        <f>"0.132**"</f>
        <v>0.132**</v>
      </c>
      <c r="CP33" t="str">
        <f>"0.105***"</f>
        <v>0.105***</v>
      </c>
      <c r="CQ33" t="str">
        <f>"0.0184"</f>
        <v>0.0184</v>
      </c>
      <c r="CR33" t="str">
        <f>"0.142***"</f>
        <v>0.142***</v>
      </c>
      <c r="CS33" t="str">
        <f>"0.118***"</f>
        <v>0.118***</v>
      </c>
      <c r="CT33" t="str">
        <f>"0.0171"</f>
        <v>0.0171</v>
      </c>
      <c r="CU33" t="str">
        <f>"0.142***"</f>
        <v>0.142***</v>
      </c>
      <c r="CV33" t="str">
        <f>"0.117***"</f>
        <v>0.117***</v>
      </c>
      <c r="CW33" t="str">
        <f>"0.0185"</f>
        <v>0.0185</v>
      </c>
      <c r="CX33" t="str">
        <f>"0.139***"</f>
        <v>0.139***</v>
      </c>
      <c r="CY33" t="str">
        <f>"0.114***"</f>
        <v>0.114***</v>
      </c>
      <c r="CZ33" t="str">
        <f>"0.0191"</f>
        <v>0.0191</v>
      </c>
      <c r="DA33" t="str">
        <f>"0.142***"</f>
        <v>0.142***</v>
      </c>
      <c r="DB33" t="str">
        <f>"0.112***"</f>
        <v>0.112***</v>
      </c>
      <c r="DC33" t="str">
        <f>"0.0150"</f>
        <v>0.0150</v>
      </c>
      <c r="DD33" t="str">
        <f>"0.141***"</f>
        <v>0.141***</v>
      </c>
      <c r="DE33" t="str">
        <f>"0.117***"</f>
        <v>0.117***</v>
      </c>
      <c r="DF33" t="str">
        <f>"0.0185"</f>
        <v>0.0185</v>
      </c>
      <c r="DG33" t="str">
        <f>"0.134**"</f>
        <v>0.134**</v>
      </c>
      <c r="DH33" t="str">
        <f>"0.104***"</f>
        <v>0.104***</v>
      </c>
      <c r="DI33" t="str">
        <f>"0.0141"</f>
        <v>0.0141</v>
      </c>
      <c r="DJ33" t="str">
        <f>"0.139***"</f>
        <v>0.139***</v>
      </c>
      <c r="DK33" t="str">
        <f>"0.116***"</f>
        <v>0.116***</v>
      </c>
      <c r="DL33" t="str">
        <f>"0.0137"</f>
        <v>0.0137</v>
      </c>
      <c r="DM33" t="str">
        <f>"0.137***"</f>
        <v>0.137***</v>
      </c>
      <c r="DN33" t="str">
        <f>"0.114***"</f>
        <v>0.114***</v>
      </c>
      <c r="DO33" t="str">
        <f>"0.0168"</f>
        <v>0.0168</v>
      </c>
      <c r="DP33" t="str">
        <f>"0.141***"</f>
        <v>0.141***</v>
      </c>
      <c r="DQ33" t="str">
        <f>"0.117***"</f>
        <v>0.117***</v>
      </c>
      <c r="DR33" t="str">
        <f>"0.0183"</f>
        <v>0.0183</v>
      </c>
      <c r="DS33" t="str">
        <f>"0.140***"</f>
        <v>0.140***</v>
      </c>
      <c r="DT33" t="str">
        <f>"0.116***"</f>
        <v>0.116***</v>
      </c>
      <c r="DU33" t="str">
        <f>"0.0107"</f>
        <v>0.0107</v>
      </c>
      <c r="DV33" t="str">
        <f>"0.137***"</f>
        <v>0.137***</v>
      </c>
      <c r="DW33" t="str">
        <f>"0.113***"</f>
        <v>0.113***</v>
      </c>
      <c r="DX33" t="str">
        <f>"0.0141"</f>
        <v>0.0141</v>
      </c>
      <c r="DY33" t="str">
        <f>"0.139***"</f>
        <v>0.139***</v>
      </c>
      <c r="DZ33" t="str">
        <f>"0.113***"</f>
        <v>0.113***</v>
      </c>
      <c r="EA33" t="str">
        <f>"0.0162"</f>
        <v>0.0162</v>
      </c>
      <c r="EB33" t="str">
        <f>"0.139***"</f>
        <v>0.139***</v>
      </c>
      <c r="EC33" t="str">
        <f>"0.117***"</f>
        <v>0.117***</v>
      </c>
      <c r="ED33" t="str">
        <f>"0.0138"</f>
        <v>0.0138</v>
      </c>
      <c r="EE33" t="str">
        <f>"0.138***"</f>
        <v>0.138***</v>
      </c>
      <c r="EF33" t="str">
        <f>"0.119***"</f>
        <v>0.119***</v>
      </c>
      <c r="EG33" t="str">
        <f>"0.0387"</f>
        <v>0.0387</v>
      </c>
      <c r="EH33" t="str">
        <f>"0.111**"</f>
        <v>0.111**</v>
      </c>
      <c r="EI33" t="str">
        <f>"0.108***"</f>
        <v>0.108***</v>
      </c>
      <c r="EJ33" t="str">
        <f>"0.0438"</f>
        <v>0.0438</v>
      </c>
      <c r="EK33" t="str">
        <f>"0.118**"</f>
        <v>0.118**</v>
      </c>
      <c r="EL33" t="str">
        <f>"0.119***"</f>
        <v>0.119***</v>
      </c>
      <c r="EM33" t="str">
        <f>"0.0425"</f>
        <v>0.0425</v>
      </c>
      <c r="EN33" t="str">
        <f>"0.118**"</f>
        <v>0.118**</v>
      </c>
      <c r="EO33" t="str">
        <f>"0.118***"</f>
        <v>0.118***</v>
      </c>
      <c r="EP33" t="str">
        <f>"0.0425"</f>
        <v>0.0425</v>
      </c>
      <c r="EQ33" t="str">
        <f>"0.116**"</f>
        <v>0.116**</v>
      </c>
      <c r="ER33" t="str">
        <f>"0.115***"</f>
        <v>0.115***</v>
      </c>
      <c r="ES33" t="str">
        <f>"0.0439"</f>
        <v>0.0439</v>
      </c>
      <c r="ET33" t="str">
        <f>"0.118**"</f>
        <v>0.118**</v>
      </c>
      <c r="EU33" t="str">
        <f>"0.114***"</f>
        <v>0.114***</v>
      </c>
      <c r="EV33" t="str">
        <f>"0.0405"</f>
        <v>0.0405</v>
      </c>
      <c r="EW33" t="str">
        <f>"0.117**"</f>
        <v>0.117**</v>
      </c>
      <c r="EX33" t="str">
        <f>"0.117***"</f>
        <v>0.117***</v>
      </c>
      <c r="EY33" t="str">
        <f>"0.0439"</f>
        <v>0.0439</v>
      </c>
      <c r="EZ33" t="str">
        <f>"0.111**"</f>
        <v>0.111**</v>
      </c>
      <c r="FA33" t="str">
        <f>"0.106***"</f>
        <v>0.106***</v>
      </c>
      <c r="FB33" t="str">
        <f>"0.0403"</f>
        <v>0.0403</v>
      </c>
      <c r="FC33" t="str">
        <f>"0.116**"</f>
        <v>0.116**</v>
      </c>
      <c r="FD33" t="str">
        <f>"0.117***"</f>
        <v>0.117***</v>
      </c>
      <c r="FE33" t="str">
        <f>"0.0404"</f>
        <v>0.0404</v>
      </c>
      <c r="FF33" t="str">
        <f>"0.115**"</f>
        <v>0.115**</v>
      </c>
      <c r="FG33" t="str">
        <f>"0.115***"</f>
        <v>0.115***</v>
      </c>
      <c r="FH33" t="str">
        <f>"0.0416"</f>
        <v>0.0416</v>
      </c>
      <c r="FI33" t="str">
        <f>"0.117**"</f>
        <v>0.117**</v>
      </c>
      <c r="FJ33" t="str">
        <f>"0.118***"</f>
        <v>0.118***</v>
      </c>
      <c r="FK33" t="str">
        <f>"0.0438"</f>
        <v>0.0438</v>
      </c>
      <c r="FL33" t="str">
        <f>"0.117**"</f>
        <v>0.117**</v>
      </c>
      <c r="FM33" t="str">
        <f>"0.119***"</f>
        <v>0.119***</v>
      </c>
      <c r="FN33" t="str">
        <f>"0.0377"</f>
        <v>0.0377</v>
      </c>
      <c r="FO33" t="str">
        <f>"0.115**"</f>
        <v>0.115**</v>
      </c>
      <c r="FP33" t="str">
        <f>"0.114***"</f>
        <v>0.114***</v>
      </c>
      <c r="FQ33" t="str">
        <f>"0.0417"</f>
        <v>0.0417</v>
      </c>
      <c r="FR33" t="str">
        <f>"0.116**"</f>
        <v>0.116**</v>
      </c>
      <c r="FS33" t="str">
        <f>"0.115***"</f>
        <v>0.115***</v>
      </c>
      <c r="FT33" t="str">
        <f>"0.0427"</f>
        <v>0.0427</v>
      </c>
      <c r="FU33" t="str">
        <f>"0.117**"</f>
        <v>0.117**</v>
      </c>
      <c r="FV33" t="str">
        <f>"0.118***"</f>
        <v>0.118***</v>
      </c>
      <c r="FW33" t="str">
        <f>"0.0423"</f>
        <v>0.0423</v>
      </c>
      <c r="FX33" t="str">
        <f>"0.116**"</f>
        <v>0.116**</v>
      </c>
      <c r="FY33" t="str">
        <f>"0.120***"</f>
        <v>0.120***</v>
      </c>
      <c r="FZ33" t="str">
        <f>"0.0297"</f>
        <v>0.0297</v>
      </c>
      <c r="GA33" t="str">
        <f>"0.105*"</f>
        <v>0.105*</v>
      </c>
      <c r="GB33" t="str">
        <f>"0.108***"</f>
        <v>0.108***</v>
      </c>
      <c r="GC33" t="str">
        <f>"0.0346"</f>
        <v>0.0346</v>
      </c>
      <c r="GD33" t="str">
        <f>"0.111*"</f>
        <v>0.111*</v>
      </c>
      <c r="GE33" t="str">
        <f>"0.120***"</f>
        <v>0.120***</v>
      </c>
      <c r="GF33" t="str">
        <f>"0.0326"</f>
        <v>0.0326</v>
      </c>
      <c r="GG33" t="str">
        <f>"0.111*"</f>
        <v>0.111*</v>
      </c>
      <c r="GH33" t="str">
        <f>"0.119***"</f>
        <v>0.119***</v>
      </c>
      <c r="GI33" t="str">
        <f>"0.0343"</f>
        <v>0.0343</v>
      </c>
      <c r="GJ33" t="str">
        <f>"0.109*"</f>
        <v>0.109*</v>
      </c>
      <c r="GK33" t="str">
        <f>"0.115***"</f>
        <v>0.115***</v>
      </c>
      <c r="GL33" t="str">
        <f>"0.0359"</f>
        <v>0.0359</v>
      </c>
      <c r="GM33" t="str">
        <f>"0.111*"</f>
        <v>0.111*</v>
      </c>
      <c r="GN33" t="str">
        <f>"0.115***"</f>
        <v>0.115***</v>
      </c>
      <c r="GO33" t="str">
        <f>"0.0313"</f>
        <v>0.0313</v>
      </c>
      <c r="GP33" t="str">
        <f>"0.109*"</f>
        <v>0.109*</v>
      </c>
      <c r="GQ33" t="str">
        <f>"0.118***"</f>
        <v>0.118***</v>
      </c>
      <c r="GR33" t="str">
        <f>"0.0354"</f>
        <v>0.0354</v>
      </c>
      <c r="GS33" t="str">
        <f>"0.105*"</f>
        <v>0.105*</v>
      </c>
      <c r="GT33" t="str">
        <f>"0.107***"</f>
        <v>0.107***</v>
      </c>
      <c r="GU33" t="str">
        <f>"0.0318"</f>
        <v>0.0318</v>
      </c>
      <c r="GV33" t="str">
        <f>"0.109*"</f>
        <v>0.109*</v>
      </c>
      <c r="GW33" t="str">
        <f>"0.118***"</f>
        <v>0.118***</v>
      </c>
      <c r="GX33" t="str">
        <f>"0.0313"</f>
        <v>0.0313</v>
      </c>
      <c r="GY33" t="str">
        <f>"0.108*"</f>
        <v>0.108*</v>
      </c>
      <c r="GZ33" t="str">
        <f>"0.115***"</f>
        <v>0.115***</v>
      </c>
      <c r="HA33" t="str">
        <f>"0.0325"</f>
        <v>0.0325</v>
      </c>
      <c r="HB33" t="str">
        <f>"0.110*"</f>
        <v>0.110*</v>
      </c>
      <c r="HC33" t="str">
        <f>"0.118***"</f>
        <v>0.118***</v>
      </c>
      <c r="HD33" t="str">
        <f>"0.0344"</f>
        <v>0.0344</v>
      </c>
      <c r="HE33" t="str">
        <f>"0.110*"</f>
        <v>0.110*</v>
      </c>
      <c r="HF33" t="str">
        <f>"0.119***"</f>
        <v>0.119***</v>
      </c>
      <c r="HG33" t="str">
        <f>"0.0287"</f>
        <v>0.0287</v>
      </c>
      <c r="HH33" t="str">
        <f>"0.108*"</f>
        <v>0.108*</v>
      </c>
      <c r="HI33" t="str">
        <f>"0.114***"</f>
        <v>0.114***</v>
      </c>
      <c r="HJ33" t="str">
        <f>"0.0322"</f>
        <v>0.0322</v>
      </c>
      <c r="HK33" t="str">
        <f>"0.109*"</f>
        <v>0.109*</v>
      </c>
      <c r="HL33" t="str">
        <f>"0.116***"</f>
        <v>0.116***</v>
      </c>
      <c r="HM33" t="str">
        <f>"0.0343"</f>
        <v>0.0343</v>
      </c>
      <c r="HN33" t="str">
        <f>"0.110*"</f>
        <v>0.110*</v>
      </c>
      <c r="HO33" t="str">
        <f>"0.119***"</f>
        <v>0.119***</v>
      </c>
      <c r="HP33" t="str">
        <f>"0.0335"</f>
        <v>0.0335</v>
      </c>
      <c r="HQ33" t="str">
        <f>"0.109*"</f>
        <v>0.109*</v>
      </c>
      <c r="HR33" t="str">
        <f>"0.120***"</f>
        <v>0.120***</v>
      </c>
      <c r="HS33" t="str">
        <f>"0.0216"</f>
        <v>0.0216</v>
      </c>
      <c r="HT33" t="str">
        <f>"0.107*"</f>
        <v>0.107*</v>
      </c>
      <c r="HU33" t="str">
        <f>"0.102***"</f>
        <v>0.102***</v>
      </c>
      <c r="HV33" t="str">
        <f>"0.0266"</f>
        <v>0.0266</v>
      </c>
      <c r="HW33" t="str">
        <f>"0.112**"</f>
        <v>0.112**</v>
      </c>
      <c r="HX33" t="str">
        <f>"0.112***"</f>
        <v>0.112***</v>
      </c>
      <c r="HY33" t="str">
        <f>"0.0244"</f>
        <v>0.0244</v>
      </c>
      <c r="HZ33" t="str">
        <f>"0.112**"</f>
        <v>0.112**</v>
      </c>
      <c r="IA33" t="str">
        <f>"0.111***"</f>
        <v>0.111***</v>
      </c>
      <c r="IB33" t="str">
        <f>"0.0262"</f>
        <v>0.0262</v>
      </c>
      <c r="IC33" t="str">
        <f>"0.110*"</f>
        <v>0.110*</v>
      </c>
      <c r="ID33" t="str">
        <f>"0.108***"</f>
        <v>0.108***</v>
      </c>
      <c r="IE33" t="str">
        <f>"0.0270"</f>
        <v>0.0270</v>
      </c>
      <c r="IF33" t="str">
        <f>"0.112**"</f>
        <v>0.112**</v>
      </c>
      <c r="IG33" t="str">
        <f>"0.107***"</f>
        <v>0.107***</v>
      </c>
      <c r="IH33" t="str">
        <f>"0.0237"</f>
        <v>0.0237</v>
      </c>
      <c r="II33" t="str">
        <f>"0.111*"</f>
        <v>0.111*</v>
      </c>
      <c r="IJ33" t="str">
        <f>"0.110***"</f>
        <v>0.110***</v>
      </c>
      <c r="IK33" t="str">
        <f>"0.0270"</f>
        <v>0.0270</v>
      </c>
      <c r="IL33" t="str">
        <f>"0.105*"</f>
        <v>0.105*</v>
      </c>
      <c r="IM33" t="str">
        <f>"0.0993***"</f>
        <v>0.0993***</v>
      </c>
      <c r="IN33" t="str">
        <f>"0.0241"</f>
        <v>0.0241</v>
      </c>
      <c r="IO33" t="str">
        <f>"0.110*"</f>
        <v>0.110*</v>
      </c>
      <c r="IP33" t="str">
        <f>"0.110***"</f>
        <v>0.110***</v>
      </c>
      <c r="IQ33" t="str">
        <f>"0.0231"</f>
        <v>0.0231</v>
      </c>
      <c r="IR33" t="str">
        <f>"0.110*"</f>
        <v>0.110*</v>
      </c>
      <c r="IS33" t="str">
        <f>"0.108***"</f>
        <v>0.108***</v>
      </c>
      <c r="IT33" t="str">
        <f>"0.0251"</f>
        <v>0.0251</v>
      </c>
      <c r="IU33" t="str">
        <f>"0.111*"</f>
        <v>0.111*</v>
      </c>
      <c r="IV33" t="str">
        <f>"0.111***"</f>
        <v>0.111***</v>
      </c>
      <c r="IW33" t="str">
        <f>"0.0261"</f>
        <v>0.0261</v>
      </c>
      <c r="IX33" t="str">
        <f>"0.111*"</f>
        <v>0.111*</v>
      </c>
      <c r="IY33" t="str">
        <f>"0.111***"</f>
        <v>0.111***</v>
      </c>
      <c r="IZ33" t="str">
        <f>"0.0210"</f>
        <v>0.0210</v>
      </c>
      <c r="JA33" t="str">
        <f>"0.109*"</f>
        <v>0.109*</v>
      </c>
      <c r="JB33" t="str">
        <f>"0.106***"</f>
        <v>0.106***</v>
      </c>
      <c r="JC33" t="str">
        <f>"0.0227"</f>
        <v>0.0227</v>
      </c>
      <c r="JD33" t="str">
        <f>"0.110*"</f>
        <v>0.110*</v>
      </c>
      <c r="JE33" t="str">
        <f>"0.107***"</f>
        <v>0.107***</v>
      </c>
      <c r="JF33" t="str">
        <f>"0.0260"</f>
        <v>0.0260</v>
      </c>
      <c r="JG33" t="str">
        <f>"0.110*"</f>
        <v>0.110*</v>
      </c>
      <c r="JH33" t="str">
        <f>"0.111***"</f>
        <v>0.111***</v>
      </c>
      <c r="JI33" t="str">
        <f>"0.0263"</f>
        <v>0.0263</v>
      </c>
      <c r="JJ33" t="str">
        <f>"0.110*"</f>
        <v>0.110*</v>
      </c>
      <c r="JK33" t="str">
        <f>"0.111***"</f>
        <v>0.111***</v>
      </c>
    </row>
    <row r="34" spans="1:271" x14ac:dyDescent="0.3">
      <c r="A34" t="str">
        <f>""</f>
        <v/>
      </c>
      <c r="B34" t="str">
        <f>"(0.0571)"</f>
        <v>(0.0571)</v>
      </c>
      <c r="C34" t="str">
        <f>"(0.0434)"</f>
        <v>(0.0434)</v>
      </c>
      <c r="D34" t="str">
        <f>"(0.0229)"</f>
        <v>(0.0229)</v>
      </c>
      <c r="E34" t="str">
        <f>"(0.0570)"</f>
        <v>(0.0570)</v>
      </c>
      <c r="F34" t="str">
        <f>"(0.0433)"</f>
        <v>(0.0433)</v>
      </c>
      <c r="G34" t="str">
        <f>"(0.0229)"</f>
        <v>(0.0229)</v>
      </c>
      <c r="H34" t="str">
        <f>"(0.0571)"</f>
        <v>(0.0571)</v>
      </c>
      <c r="I34" t="str">
        <f>"(0.0434)"</f>
        <v>(0.0434)</v>
      </c>
      <c r="J34" t="str">
        <f>"(0.0229)"</f>
        <v>(0.0229)</v>
      </c>
      <c r="K34" t="str">
        <f>"(0.0570)"</f>
        <v>(0.0570)</v>
      </c>
      <c r="L34" t="str">
        <f>"(0.0433)"</f>
        <v>(0.0433)</v>
      </c>
      <c r="M34" t="str">
        <f>"(0.0229)"</f>
        <v>(0.0229)</v>
      </c>
      <c r="N34" t="str">
        <f>"(0.0570)"</f>
        <v>(0.0570)</v>
      </c>
      <c r="O34" t="str">
        <f>"(0.0434)"</f>
        <v>(0.0434)</v>
      </c>
      <c r="P34" t="str">
        <f>"(0.0229)"</f>
        <v>(0.0229)</v>
      </c>
      <c r="Q34" t="str">
        <f>"(0.0570)"</f>
        <v>(0.0570)</v>
      </c>
      <c r="R34" t="str">
        <f>"(0.0433)"</f>
        <v>(0.0433)</v>
      </c>
      <c r="S34" t="str">
        <f>"(0.0229)"</f>
        <v>(0.0229)</v>
      </c>
      <c r="T34" t="str">
        <f>"(0.0571)"</f>
        <v>(0.0571)</v>
      </c>
      <c r="U34" t="str">
        <f>"(0.0436)"</f>
        <v>(0.0436)</v>
      </c>
      <c r="V34" t="str">
        <f>"(0.0230)"</f>
        <v>(0.0230)</v>
      </c>
      <c r="W34" t="str">
        <f>"(0.0570)"</f>
        <v>(0.0570)</v>
      </c>
      <c r="X34" t="str">
        <f>"(0.0434)"</f>
        <v>(0.0434)</v>
      </c>
      <c r="Y34" t="str">
        <f>"(0.0229)"</f>
        <v>(0.0229)</v>
      </c>
      <c r="Z34" t="str">
        <f>"(0.0570)"</f>
        <v>(0.0570)</v>
      </c>
      <c r="AA34" t="str">
        <f>"(0.0433)"</f>
        <v>(0.0433)</v>
      </c>
      <c r="AB34" t="str">
        <f>"(0.0229)"</f>
        <v>(0.0229)</v>
      </c>
      <c r="AC34" t="str">
        <f>"(0.0569)"</f>
        <v>(0.0569)</v>
      </c>
      <c r="AD34" t="str">
        <f>"(0.0433)"</f>
        <v>(0.0433)</v>
      </c>
      <c r="AE34" t="str">
        <f>"(0.0229)"</f>
        <v>(0.0229)</v>
      </c>
      <c r="AF34" t="str">
        <f>"(0.0570)"</f>
        <v>(0.0570)</v>
      </c>
      <c r="AG34" t="str">
        <f>"(0.0433)"</f>
        <v>(0.0433)</v>
      </c>
      <c r="AH34" t="str">
        <f>"(0.0229)"</f>
        <v>(0.0229)</v>
      </c>
      <c r="AI34" t="str">
        <f>"(0.0571)"</f>
        <v>(0.0571)</v>
      </c>
      <c r="AJ34" t="str">
        <f>"(0.0434)"</f>
        <v>(0.0434)</v>
      </c>
      <c r="AK34" t="str">
        <f>"(0.0229)"</f>
        <v>(0.0229)</v>
      </c>
      <c r="AL34" t="str">
        <f>"(0.0572)"</f>
        <v>(0.0572)</v>
      </c>
      <c r="AM34" t="str">
        <f>"(0.0433)"</f>
        <v>(0.0433)</v>
      </c>
      <c r="AN34" t="str">
        <f>"(0.0229)"</f>
        <v>(0.0229)</v>
      </c>
      <c r="AO34" t="str">
        <f>"(0.0570)"</f>
        <v>(0.0570)</v>
      </c>
      <c r="AP34" t="str">
        <f>"(0.0433)"</f>
        <v>(0.0433)</v>
      </c>
      <c r="AQ34" t="str">
        <f>"(0.0229)"</f>
        <v>(0.0229)</v>
      </c>
      <c r="AR34" t="str">
        <f>"(0.0570)"</f>
        <v>(0.0570)</v>
      </c>
      <c r="AS34" t="str">
        <f>"(0.0433)"</f>
        <v>(0.0433)</v>
      </c>
      <c r="AT34" t="str">
        <f>"(0.0229)"</f>
        <v>(0.0229)</v>
      </c>
      <c r="AU34" t="str">
        <f>"(0.0549)"</f>
        <v>(0.0549)</v>
      </c>
      <c r="AV34" t="str">
        <f>"(0.0417)"</f>
        <v>(0.0417)</v>
      </c>
      <c r="AW34" t="str">
        <f>"(0.0220)"</f>
        <v>(0.0220)</v>
      </c>
      <c r="AX34" t="str">
        <f>"(0.0548)"</f>
        <v>(0.0548)</v>
      </c>
      <c r="AY34" t="str">
        <f>"(0.0416)"</f>
        <v>(0.0416)</v>
      </c>
      <c r="AZ34" t="str">
        <f>"(0.0220)"</f>
        <v>(0.0220)</v>
      </c>
      <c r="BA34" t="str">
        <f>"(0.0548)"</f>
        <v>(0.0548)</v>
      </c>
      <c r="BB34" t="str">
        <f>"(0.0416)"</f>
        <v>(0.0416)</v>
      </c>
      <c r="BC34" t="str">
        <f>"(0.0220)"</f>
        <v>(0.0220)</v>
      </c>
      <c r="BD34" t="str">
        <f>"(0.0548)"</f>
        <v>(0.0548)</v>
      </c>
      <c r="BE34" t="str">
        <f>"(0.0416)"</f>
        <v>(0.0416)</v>
      </c>
      <c r="BF34" t="str">
        <f>"(0.0220)"</f>
        <v>(0.0220)</v>
      </c>
      <c r="BG34" t="str">
        <f>"(0.0548)"</f>
        <v>(0.0548)</v>
      </c>
      <c r="BH34" t="str">
        <f>"(0.0416)"</f>
        <v>(0.0416)</v>
      </c>
      <c r="BI34" t="str">
        <f>"(0.0220)"</f>
        <v>(0.0220)</v>
      </c>
      <c r="BJ34" t="str">
        <f>"(0.0548)"</f>
        <v>(0.0548)</v>
      </c>
      <c r="BK34" t="str">
        <f>"(0.0416)"</f>
        <v>(0.0416)</v>
      </c>
      <c r="BL34" t="str">
        <f>"(0.0220)"</f>
        <v>(0.0220)</v>
      </c>
      <c r="BM34" t="str">
        <f>"(0.0549)"</f>
        <v>(0.0549)</v>
      </c>
      <c r="BN34" t="str">
        <f>"(0.0418)"</f>
        <v>(0.0418)</v>
      </c>
      <c r="BO34" t="str">
        <f>"(0.0221)"</f>
        <v>(0.0221)</v>
      </c>
      <c r="BP34" t="str">
        <f>"(0.0548)"</f>
        <v>(0.0548)</v>
      </c>
      <c r="BQ34" t="str">
        <f>"(0.0416)"</f>
        <v>(0.0416)</v>
      </c>
      <c r="BR34" t="str">
        <f>"(0.0220)"</f>
        <v>(0.0220)</v>
      </c>
      <c r="BS34" t="str">
        <f>"(0.0547)"</f>
        <v>(0.0547)</v>
      </c>
      <c r="BT34" t="str">
        <f>"(0.0416)"</f>
        <v>(0.0416)</v>
      </c>
      <c r="BU34" t="str">
        <f>"(0.0220)"</f>
        <v>(0.0220)</v>
      </c>
      <c r="BV34" t="str">
        <f>"(0.0548)"</f>
        <v>(0.0548)</v>
      </c>
      <c r="BW34" t="str">
        <f>"(0.0416)"</f>
        <v>(0.0416)</v>
      </c>
      <c r="BX34" t="str">
        <f>"(0.0220)"</f>
        <v>(0.0220)</v>
      </c>
      <c r="BY34" t="str">
        <f>"(0.0548)"</f>
        <v>(0.0548)</v>
      </c>
      <c r="BZ34" t="str">
        <f>"(0.0416)"</f>
        <v>(0.0416)</v>
      </c>
      <c r="CA34" t="str">
        <f>"(0.0220)"</f>
        <v>(0.0220)</v>
      </c>
      <c r="CB34" t="str">
        <f>"(0.0548)"</f>
        <v>(0.0548)</v>
      </c>
      <c r="CC34" t="str">
        <f>"(0.0416)"</f>
        <v>(0.0416)</v>
      </c>
      <c r="CD34" t="str">
        <f>"(0.0220)"</f>
        <v>(0.0220)</v>
      </c>
      <c r="CE34" t="str">
        <f>"(0.0549)"</f>
        <v>(0.0549)</v>
      </c>
      <c r="CF34" t="str">
        <f>"(0.0416)"</f>
        <v>(0.0416)</v>
      </c>
      <c r="CG34" t="str">
        <f>"(0.0220)"</f>
        <v>(0.0220)</v>
      </c>
      <c r="CH34" t="str">
        <f>"(0.0548)"</f>
        <v>(0.0548)</v>
      </c>
      <c r="CI34" t="str">
        <f>"(0.0416)"</f>
        <v>(0.0416)</v>
      </c>
      <c r="CJ34" t="str">
        <f>"(0.0220)"</f>
        <v>(0.0220)</v>
      </c>
      <c r="CK34" t="str">
        <f>"(0.0547)"</f>
        <v>(0.0547)</v>
      </c>
      <c r="CL34" t="str">
        <f>"(0.0416)"</f>
        <v>(0.0416)</v>
      </c>
      <c r="CM34" t="str">
        <f>"(0.0220)"</f>
        <v>(0.0220)</v>
      </c>
      <c r="CN34" t="str">
        <f>"(0.0545)"</f>
        <v>(0.0545)</v>
      </c>
      <c r="CO34" t="str">
        <f>"(0.0414)"</f>
        <v>(0.0414)</v>
      </c>
      <c r="CP34" t="str">
        <f>"(0.0219)"</f>
        <v>(0.0219)</v>
      </c>
      <c r="CQ34" t="str">
        <f>"(0.0543)"</f>
        <v>(0.0543)</v>
      </c>
      <c r="CR34" t="str">
        <f>"(0.0413)"</f>
        <v>(0.0413)</v>
      </c>
      <c r="CS34" t="str">
        <f>"(0.0218)"</f>
        <v>(0.0218)</v>
      </c>
      <c r="CT34" t="str">
        <f>"(0.0544)"</f>
        <v>(0.0544)</v>
      </c>
      <c r="CU34" t="str">
        <f>"(0.0413)"</f>
        <v>(0.0413)</v>
      </c>
      <c r="CV34" t="str">
        <f>"(0.0218)"</f>
        <v>(0.0218)</v>
      </c>
      <c r="CW34" t="str">
        <f>"(0.0543)"</f>
        <v>(0.0543)</v>
      </c>
      <c r="CX34" t="str">
        <f>"(0.0413)"</f>
        <v>(0.0413)</v>
      </c>
      <c r="CY34" t="str">
        <f>"(0.0218)"</f>
        <v>(0.0218)</v>
      </c>
      <c r="CZ34" t="str">
        <f>"(0.0544)"</f>
        <v>(0.0544)</v>
      </c>
      <c r="DA34" t="str">
        <f>"(0.0413)"</f>
        <v>(0.0413)</v>
      </c>
      <c r="DB34" t="str">
        <f>"(0.0218)"</f>
        <v>(0.0218)</v>
      </c>
      <c r="DC34" t="str">
        <f>"(0.0543)"</f>
        <v>(0.0543)</v>
      </c>
      <c r="DD34" t="str">
        <f>"(0.0413)"</f>
        <v>(0.0413)</v>
      </c>
      <c r="DE34" t="str">
        <f>"(0.0218)"</f>
        <v>(0.0218)</v>
      </c>
      <c r="DF34" t="str">
        <f>"(0.0545)"</f>
        <v>(0.0545)</v>
      </c>
      <c r="DG34" t="str">
        <f>"(0.0415)"</f>
        <v>(0.0415)</v>
      </c>
      <c r="DH34" t="str">
        <f>"(0.0219)"</f>
        <v>(0.0219)</v>
      </c>
      <c r="DI34" t="str">
        <f>"(0.0544)"</f>
        <v>(0.0544)</v>
      </c>
      <c r="DJ34" t="str">
        <f>"(0.0413)"</f>
        <v>(0.0413)</v>
      </c>
      <c r="DK34" t="str">
        <f>"(0.0218)"</f>
        <v>(0.0218)</v>
      </c>
      <c r="DL34" t="str">
        <f>"(0.0543)"</f>
        <v>(0.0543)</v>
      </c>
      <c r="DM34" t="str">
        <f>"(0.0413)"</f>
        <v>(0.0413)</v>
      </c>
      <c r="DN34" t="str">
        <f>"(0.0218)"</f>
        <v>(0.0218)</v>
      </c>
      <c r="DO34" t="str">
        <f>"(0.0543)"</f>
        <v>(0.0543)</v>
      </c>
      <c r="DP34" t="str">
        <f>"(0.0413)"</f>
        <v>(0.0413)</v>
      </c>
      <c r="DQ34" t="str">
        <f>"(0.0218)"</f>
        <v>(0.0218)</v>
      </c>
      <c r="DR34" t="str">
        <f>"(0.0543)"</f>
        <v>(0.0543)</v>
      </c>
      <c r="DS34" t="str">
        <f>"(0.0413)"</f>
        <v>(0.0413)</v>
      </c>
      <c r="DT34" t="str">
        <f>"(0.0218)"</f>
        <v>(0.0218)</v>
      </c>
      <c r="DU34" t="str">
        <f>"(0.0543)"</f>
        <v>(0.0543)</v>
      </c>
      <c r="DV34" t="str">
        <f>"(0.0413)"</f>
        <v>(0.0413)</v>
      </c>
      <c r="DW34" t="str">
        <f>"(0.0218)"</f>
        <v>(0.0218)</v>
      </c>
      <c r="DX34" t="str">
        <f>"(0.0544)"</f>
        <v>(0.0544)</v>
      </c>
      <c r="DY34" t="str">
        <f>"(0.0413)"</f>
        <v>(0.0413)</v>
      </c>
      <c r="DZ34" t="str">
        <f>"(0.0219)"</f>
        <v>(0.0219)</v>
      </c>
      <c r="EA34" t="str">
        <f>"(0.0543)"</f>
        <v>(0.0543)</v>
      </c>
      <c r="EB34" t="str">
        <f>"(0.0413)"</f>
        <v>(0.0413)</v>
      </c>
      <c r="EC34" t="str">
        <f>"(0.0218)"</f>
        <v>(0.0218)</v>
      </c>
      <c r="ED34" t="str">
        <f>"(0.0543)"</f>
        <v>(0.0543)</v>
      </c>
      <c r="EE34" t="str">
        <f>"(0.0413)"</f>
        <v>(0.0413)</v>
      </c>
      <c r="EF34" t="str">
        <f>"(0.0218)"</f>
        <v>(0.0218)</v>
      </c>
      <c r="EG34" t="str">
        <f>"(0.0563)"</f>
        <v>(0.0563)</v>
      </c>
      <c r="EH34" t="str">
        <f>"(0.0427)"</f>
        <v>(0.0427)</v>
      </c>
      <c r="EI34" t="str">
        <f>"(0.0226)"</f>
        <v>(0.0226)</v>
      </c>
      <c r="EJ34" t="str">
        <f>"(0.0562)"</f>
        <v>(0.0562)</v>
      </c>
      <c r="EK34" t="str">
        <f>"(0.0427)"</f>
        <v>(0.0427)</v>
      </c>
      <c r="EL34" t="str">
        <f>"(0.0226)"</f>
        <v>(0.0226)</v>
      </c>
      <c r="EM34" t="str">
        <f>"(0.0563)"</f>
        <v>(0.0563)</v>
      </c>
      <c r="EN34" t="str">
        <f>"(0.0427)"</f>
        <v>(0.0427)</v>
      </c>
      <c r="EO34" t="str">
        <f>"(0.0226)"</f>
        <v>(0.0226)</v>
      </c>
      <c r="EP34" t="str">
        <f>"(0.0562)"</f>
        <v>(0.0562)</v>
      </c>
      <c r="EQ34" t="str">
        <f>"(0.0427)"</f>
        <v>(0.0427)</v>
      </c>
      <c r="ER34" t="str">
        <f>"(0.0226)"</f>
        <v>(0.0226)</v>
      </c>
      <c r="ES34" t="str">
        <f>"(0.0562)"</f>
        <v>(0.0562)</v>
      </c>
      <c r="ET34" t="str">
        <f>"(0.0427)"</f>
        <v>(0.0427)</v>
      </c>
      <c r="EU34" t="str">
        <f>"(0.0226)"</f>
        <v>(0.0226)</v>
      </c>
      <c r="EV34" t="str">
        <f>"(0.0562)"</f>
        <v>(0.0562)</v>
      </c>
      <c r="EW34" t="str">
        <f>"(0.0427)"</f>
        <v>(0.0427)</v>
      </c>
      <c r="EX34" t="str">
        <f>"(0.0226)"</f>
        <v>(0.0226)</v>
      </c>
      <c r="EY34" t="str">
        <f>"(0.0563)"</f>
        <v>(0.0563)</v>
      </c>
      <c r="EZ34" t="str">
        <f>"(0.0429)"</f>
        <v>(0.0429)</v>
      </c>
      <c r="FA34" t="str">
        <f>"(0.0227)"</f>
        <v>(0.0227)</v>
      </c>
      <c r="FB34" t="str">
        <f>"(0.0563)"</f>
        <v>(0.0563)</v>
      </c>
      <c r="FC34" t="str">
        <f>"(0.0427)"</f>
        <v>(0.0427)</v>
      </c>
      <c r="FD34" t="str">
        <f>"(0.0226)"</f>
        <v>(0.0226)</v>
      </c>
      <c r="FE34" t="str">
        <f>"(0.0562)"</f>
        <v>(0.0562)</v>
      </c>
      <c r="FF34" t="str">
        <f>"(0.0427)"</f>
        <v>(0.0427)</v>
      </c>
      <c r="FG34" t="str">
        <f>"(0.0226)"</f>
        <v>(0.0226)</v>
      </c>
      <c r="FH34" t="str">
        <f>"(0.0562)"</f>
        <v>(0.0562)</v>
      </c>
      <c r="FI34" t="str">
        <f>"(0.0427)"</f>
        <v>(0.0427)</v>
      </c>
      <c r="FJ34" t="str">
        <f>"(0.0226)"</f>
        <v>(0.0226)</v>
      </c>
      <c r="FK34" t="str">
        <f>"(0.0563)"</f>
        <v>(0.0563)</v>
      </c>
      <c r="FL34" t="str">
        <f>"(0.0427)"</f>
        <v>(0.0427)</v>
      </c>
      <c r="FM34" t="str">
        <f>"(0.0226)"</f>
        <v>(0.0226)</v>
      </c>
      <c r="FN34" t="str">
        <f>"(0.0563)"</f>
        <v>(0.0563)</v>
      </c>
      <c r="FO34" t="str">
        <f>"(0.0427)"</f>
        <v>(0.0427)</v>
      </c>
      <c r="FP34" t="str">
        <f>"(0.0226)"</f>
        <v>(0.0226)</v>
      </c>
      <c r="FQ34" t="str">
        <f>"(0.0563)"</f>
        <v>(0.0563)</v>
      </c>
      <c r="FR34" t="str">
        <f>"(0.0427)"</f>
        <v>(0.0427)</v>
      </c>
      <c r="FS34" t="str">
        <f>"(0.0226)"</f>
        <v>(0.0226)</v>
      </c>
      <c r="FT34" t="str">
        <f>"(0.0562)"</f>
        <v>(0.0562)</v>
      </c>
      <c r="FU34" t="str">
        <f>"(0.0427)"</f>
        <v>(0.0427)</v>
      </c>
      <c r="FV34" t="str">
        <f>"(0.0226)"</f>
        <v>(0.0226)</v>
      </c>
      <c r="FW34" t="str">
        <f>"(0.0563)"</f>
        <v>(0.0563)</v>
      </c>
      <c r="FX34" t="str">
        <f>"(0.0427)"</f>
        <v>(0.0427)</v>
      </c>
      <c r="FY34" t="str">
        <f>"(0.0226)"</f>
        <v>(0.0226)</v>
      </c>
      <c r="FZ34" t="str">
        <f>"(0.0575)"</f>
        <v>(0.0575)</v>
      </c>
      <c r="GA34" t="str">
        <f>"(0.0437)"</f>
        <v>(0.0437)</v>
      </c>
      <c r="GB34" t="str">
        <f>"(0.0231)"</f>
        <v>(0.0231)</v>
      </c>
      <c r="GC34" t="str">
        <f>"(0.0574)"</f>
        <v>(0.0574)</v>
      </c>
      <c r="GD34" t="str">
        <f>"(0.0436)"</f>
        <v>(0.0436)</v>
      </c>
      <c r="GE34" t="str">
        <f>"(0.0231)"</f>
        <v>(0.0231)</v>
      </c>
      <c r="GF34" t="str">
        <f>"(0.0575)"</f>
        <v>(0.0575)</v>
      </c>
      <c r="GG34" t="str">
        <f>"(0.0437)"</f>
        <v>(0.0437)</v>
      </c>
      <c r="GH34" t="str">
        <f>"(0.0230)"</f>
        <v>(0.0230)</v>
      </c>
      <c r="GI34" t="str">
        <f>"(0.0574)"</f>
        <v>(0.0574)</v>
      </c>
      <c r="GJ34" t="str">
        <f>"(0.0436)"</f>
        <v>(0.0436)</v>
      </c>
      <c r="GK34" t="str">
        <f>"(0.0231)"</f>
        <v>(0.0231)</v>
      </c>
      <c r="GL34" t="str">
        <f>"(0.0574)"</f>
        <v>(0.0574)</v>
      </c>
      <c r="GM34" t="str">
        <f>"(0.0436)"</f>
        <v>(0.0436)</v>
      </c>
      <c r="GN34" t="str">
        <f>"(0.0230)"</f>
        <v>(0.0230)</v>
      </c>
      <c r="GO34" t="str">
        <f>"(0.0574)"</f>
        <v>(0.0574)</v>
      </c>
      <c r="GP34" t="str">
        <f>"(0.0436)"</f>
        <v>(0.0436)</v>
      </c>
      <c r="GQ34" t="str">
        <f>"(0.0230)"</f>
        <v>(0.0230)</v>
      </c>
      <c r="GR34" t="str">
        <f>"(0.0574)"</f>
        <v>(0.0574)</v>
      </c>
      <c r="GS34" t="str">
        <f>"(0.0438)"</f>
        <v>(0.0438)</v>
      </c>
      <c r="GT34" t="str">
        <f>"(0.0232)"</f>
        <v>(0.0232)</v>
      </c>
      <c r="GU34" t="str">
        <f>"(0.0575)"</f>
        <v>(0.0575)</v>
      </c>
      <c r="GV34" t="str">
        <f>"(0.0437)"</f>
        <v>(0.0437)</v>
      </c>
      <c r="GW34" t="str">
        <f>"(0.0231)"</f>
        <v>(0.0231)</v>
      </c>
      <c r="GX34" t="str">
        <f>"(0.0574)"</f>
        <v>(0.0574)</v>
      </c>
      <c r="GY34" t="str">
        <f>"(0.0436)"</f>
        <v>(0.0436)</v>
      </c>
      <c r="GZ34" t="str">
        <f>"(0.0231)"</f>
        <v>(0.0231)</v>
      </c>
      <c r="HA34" t="str">
        <f>"(0.0573)"</f>
        <v>(0.0573)</v>
      </c>
      <c r="HB34" t="str">
        <f>"(0.0436)"</f>
        <v>(0.0436)</v>
      </c>
      <c r="HC34" t="str">
        <f>"(0.0230)"</f>
        <v>(0.0230)</v>
      </c>
      <c r="HD34" t="str">
        <f>"(0.0574)"</f>
        <v>(0.0574)</v>
      </c>
      <c r="HE34" t="str">
        <f>"(0.0436)"</f>
        <v>(0.0436)</v>
      </c>
      <c r="HF34" t="str">
        <f>"(0.0230)"</f>
        <v>(0.0230)</v>
      </c>
      <c r="HG34" t="str">
        <f>"(0.0575)"</f>
        <v>(0.0575)</v>
      </c>
      <c r="HH34" t="str">
        <f>"(0.0437)"</f>
        <v>(0.0437)</v>
      </c>
      <c r="HI34" t="str">
        <f>"(0.0231)"</f>
        <v>(0.0231)</v>
      </c>
      <c r="HJ34" t="str">
        <f>"(0.0575)"</f>
        <v>(0.0575)</v>
      </c>
      <c r="HK34" t="str">
        <f>"(0.0436)"</f>
        <v>(0.0436)</v>
      </c>
      <c r="HL34" t="str">
        <f>"(0.0231)"</f>
        <v>(0.0231)</v>
      </c>
      <c r="HM34" t="str">
        <f>"(0.0574)"</f>
        <v>(0.0574)</v>
      </c>
      <c r="HN34" t="str">
        <f>"(0.0436)"</f>
        <v>(0.0436)</v>
      </c>
      <c r="HO34" t="str">
        <f>"(0.0230)"</f>
        <v>(0.0230)</v>
      </c>
      <c r="HP34" t="str">
        <f>"(0.0575)"</f>
        <v>(0.0575)</v>
      </c>
      <c r="HQ34" t="str">
        <f>"(0.0437)"</f>
        <v>(0.0437)</v>
      </c>
      <c r="HR34" t="str">
        <f>"(0.0231)"</f>
        <v>(0.0231)</v>
      </c>
      <c r="HS34" t="str">
        <f>"(0.0571)"</f>
        <v>(0.0571)</v>
      </c>
      <c r="HT34" t="str">
        <f>"(0.0434)"</f>
        <v>(0.0434)</v>
      </c>
      <c r="HU34" t="str">
        <f>"(0.0229)"</f>
        <v>(0.0229)</v>
      </c>
      <c r="HV34" t="str">
        <f>"(0.0570)"</f>
        <v>(0.0570)</v>
      </c>
      <c r="HW34" t="str">
        <f>"(0.0433)"</f>
        <v>(0.0433)</v>
      </c>
      <c r="HX34" t="str">
        <f>"(0.0229)"</f>
        <v>(0.0229)</v>
      </c>
      <c r="HY34" t="str">
        <f>"(0.0571)"</f>
        <v>(0.0571)</v>
      </c>
      <c r="HZ34" t="str">
        <f>"(0.0433)"</f>
        <v>(0.0433)</v>
      </c>
      <c r="IA34" t="str">
        <f>"(0.0229)"</f>
        <v>(0.0229)</v>
      </c>
      <c r="IB34" t="str">
        <f>"(0.0570)"</f>
        <v>(0.0570)</v>
      </c>
      <c r="IC34" t="str">
        <f>"(0.0433)"</f>
        <v>(0.0433)</v>
      </c>
      <c r="ID34" t="str">
        <f>"(0.0229)"</f>
        <v>(0.0229)</v>
      </c>
      <c r="IE34" t="str">
        <f>"(0.0571)"</f>
        <v>(0.0571)</v>
      </c>
      <c r="IF34" t="str">
        <f>"(0.0433)"</f>
        <v>(0.0433)</v>
      </c>
      <c r="IG34" t="str">
        <f>"(0.0229)"</f>
        <v>(0.0229)</v>
      </c>
      <c r="IH34" t="str">
        <f>"(0.0571)"</f>
        <v>(0.0571)</v>
      </c>
      <c r="II34" t="str">
        <f>"(0.0433)"</f>
        <v>(0.0433)</v>
      </c>
      <c r="IJ34" t="str">
        <f>"(0.0229)"</f>
        <v>(0.0229)</v>
      </c>
      <c r="IK34" t="str">
        <f>"(0.0571)"</f>
        <v>(0.0571)</v>
      </c>
      <c r="IL34" t="str">
        <f>"(0.0435)"</f>
        <v>(0.0435)</v>
      </c>
      <c r="IM34" t="str">
        <f>"(0.0230)"</f>
        <v>(0.0230)</v>
      </c>
      <c r="IN34" t="str">
        <f>"(0.0571)"</f>
        <v>(0.0571)</v>
      </c>
      <c r="IO34" t="str">
        <f>"(0.0434)"</f>
        <v>(0.0434)</v>
      </c>
      <c r="IP34" t="str">
        <f>"(0.0229)"</f>
        <v>(0.0229)</v>
      </c>
      <c r="IQ34" t="str">
        <f>"(0.0570)"</f>
        <v>(0.0570)</v>
      </c>
      <c r="IR34" t="str">
        <f>"(0.0433)"</f>
        <v>(0.0433)</v>
      </c>
      <c r="IS34" t="str">
        <f>"(0.0229)"</f>
        <v>(0.0229)</v>
      </c>
      <c r="IT34" t="str">
        <f>"(0.0570)"</f>
        <v>(0.0570)</v>
      </c>
      <c r="IU34" t="str">
        <f>"(0.0433)"</f>
        <v>(0.0433)</v>
      </c>
      <c r="IV34" t="str">
        <f>"(0.0229)"</f>
        <v>(0.0229)</v>
      </c>
      <c r="IW34" t="str">
        <f>"(0.0570)"</f>
        <v>(0.0570)</v>
      </c>
      <c r="IX34" t="str">
        <f>"(0.0433)"</f>
        <v>(0.0433)</v>
      </c>
      <c r="IY34" t="str">
        <f>"(0.0229)"</f>
        <v>(0.0229)</v>
      </c>
      <c r="IZ34" t="str">
        <f>"(0.0571)"</f>
        <v>(0.0571)</v>
      </c>
      <c r="JA34" t="str">
        <f>"(0.0433)"</f>
        <v>(0.0433)</v>
      </c>
      <c r="JB34" t="str">
        <f>"(0.0229)"</f>
        <v>(0.0229)</v>
      </c>
      <c r="JC34" t="str">
        <f>"(0.0572)"</f>
        <v>(0.0572)</v>
      </c>
      <c r="JD34" t="str">
        <f>"(0.0433)"</f>
        <v>(0.0433)</v>
      </c>
      <c r="JE34" t="str">
        <f>"(0.0229)"</f>
        <v>(0.0229)</v>
      </c>
      <c r="JF34" t="str">
        <f>"(0.0570)"</f>
        <v>(0.0570)</v>
      </c>
      <c r="JG34" t="str">
        <f>"(0.0433)"</f>
        <v>(0.0433)</v>
      </c>
      <c r="JH34" t="str">
        <f>"(0.0229)"</f>
        <v>(0.0229)</v>
      </c>
      <c r="JI34" t="str">
        <f>"(0.0571)"</f>
        <v>(0.0571)</v>
      </c>
      <c r="JJ34" t="str">
        <f>"(0.0433)"</f>
        <v>(0.0433)</v>
      </c>
      <c r="JK34" t="str">
        <f>"(0.0229)"</f>
        <v>(0.0229)</v>
      </c>
    </row>
    <row r="36" spans="1:271" x14ac:dyDescent="0.3">
      <c r="A36" t="str">
        <f>"comorbid"</f>
        <v>comorbid</v>
      </c>
      <c r="B36" t="str">
        <f>"0.0693**"</f>
        <v>0.0693**</v>
      </c>
      <c r="C36" t="str">
        <f>"0.0524**"</f>
        <v>0.0524**</v>
      </c>
      <c r="D36" t="str">
        <f>"0.0625***"</f>
        <v>0.0625***</v>
      </c>
      <c r="E36" t="str">
        <f>"0.0821**"</f>
        <v>0.0821**</v>
      </c>
      <c r="F36" t="str">
        <f>"0.0646***"</f>
        <v>0.0646***</v>
      </c>
      <c r="G36" t="str">
        <f>"0.0798***"</f>
        <v>0.0798***</v>
      </c>
      <c r="H36" t="str">
        <f>"0.0831***"</f>
        <v>0.0831***</v>
      </c>
      <c r="I36" t="str">
        <f>"0.0654***"</f>
        <v>0.0654***</v>
      </c>
      <c r="J36" t="str">
        <f>"0.0705***"</f>
        <v>0.0705***</v>
      </c>
      <c r="K36" t="str">
        <f>"0.0740**"</f>
        <v>0.0740**</v>
      </c>
      <c r="L36" t="str">
        <f>"0.0585**"</f>
        <v>0.0585**</v>
      </c>
      <c r="M36" t="str">
        <f>"0.0694***"</f>
        <v>0.0694***</v>
      </c>
      <c r="N36" t="str">
        <f>"0.0770**"</f>
        <v>0.0770**</v>
      </c>
      <c r="O36" t="str">
        <f>"0.0626**"</f>
        <v>0.0626**</v>
      </c>
      <c r="P36" t="str">
        <f>"0.0656***"</f>
        <v>0.0656***</v>
      </c>
      <c r="Q36" t="str">
        <f>"0.0830***"</f>
        <v>0.0830***</v>
      </c>
      <c r="R36" t="str">
        <f>"0.0635***"</f>
        <v>0.0635***</v>
      </c>
      <c r="S36" t="str">
        <f>"0.0771***"</f>
        <v>0.0771***</v>
      </c>
      <c r="T36" t="str">
        <f>"0.0751**"</f>
        <v>0.0751**</v>
      </c>
      <c r="U36" t="str">
        <f>"0.0609**"</f>
        <v>0.0609**</v>
      </c>
      <c r="V36" t="str">
        <f>"0.0754***"</f>
        <v>0.0754***</v>
      </c>
      <c r="W36" t="str">
        <f>"0.0754**"</f>
        <v>0.0754**</v>
      </c>
      <c r="X36" t="str">
        <f>"0.0606**"</f>
        <v>0.0606**</v>
      </c>
      <c r="Y36" t="str">
        <f>"0.0739***"</f>
        <v>0.0739***</v>
      </c>
      <c r="Z36" t="str">
        <f>"0.0744**"</f>
        <v>0.0744**</v>
      </c>
      <c r="AA36" t="str">
        <f>"0.0596**"</f>
        <v>0.0596**</v>
      </c>
      <c r="AB36" t="str">
        <f>"0.0731***"</f>
        <v>0.0731***</v>
      </c>
      <c r="AC36" t="str">
        <f>"0.0763**"</f>
        <v>0.0763**</v>
      </c>
      <c r="AD36" t="str">
        <f>"0.0601**"</f>
        <v>0.0601**</v>
      </c>
      <c r="AE36" t="str">
        <f>"0.0759***"</f>
        <v>0.0759***</v>
      </c>
      <c r="AF36" t="str">
        <f>"0.0762**"</f>
        <v>0.0762**</v>
      </c>
      <c r="AG36" t="str">
        <f>"0.0600**"</f>
        <v>0.0600**</v>
      </c>
      <c r="AH36" t="str">
        <f>"0.0724***"</f>
        <v>0.0724***</v>
      </c>
      <c r="AI36" t="str">
        <f>"0.0768**"</f>
        <v>0.0768**</v>
      </c>
      <c r="AJ36" t="str">
        <f>"0.0615**"</f>
        <v>0.0615**</v>
      </c>
      <c r="AK36" t="str">
        <f>"0.0757***"</f>
        <v>0.0757***</v>
      </c>
      <c r="AL36" t="str">
        <f>"0.0737**"</f>
        <v>0.0737**</v>
      </c>
      <c r="AM36" t="str">
        <f>"0.0606**"</f>
        <v>0.0606**</v>
      </c>
      <c r="AN36" t="str">
        <f>"0.0747***"</f>
        <v>0.0747***</v>
      </c>
      <c r="AO36" t="str">
        <f>"0.0758**"</f>
        <v>0.0758**</v>
      </c>
      <c r="AP36" t="str">
        <f>"0.0610**"</f>
        <v>0.0610**</v>
      </c>
      <c r="AQ36" t="str">
        <f>"0.0738***"</f>
        <v>0.0738***</v>
      </c>
      <c r="AR36" t="str">
        <f>"0.0758**"</f>
        <v>0.0758**</v>
      </c>
      <c r="AS36" t="str">
        <f>"0.0606**"</f>
        <v>0.0606**</v>
      </c>
      <c r="AT36" t="str">
        <f>"0.0735***"</f>
        <v>0.0735***</v>
      </c>
      <c r="AU36" t="str">
        <f>"0.0692**"</f>
        <v>0.0692**</v>
      </c>
      <c r="AV36" t="str">
        <f>"0.0527**"</f>
        <v>0.0527**</v>
      </c>
      <c r="AW36" t="str">
        <f>"0.0626***"</f>
        <v>0.0626***</v>
      </c>
      <c r="AX36" t="str">
        <f>"0.0817**"</f>
        <v>0.0817**</v>
      </c>
      <c r="AY36" t="str">
        <f>"0.0645***"</f>
        <v>0.0645***</v>
      </c>
      <c r="AZ36" t="str">
        <f>"0.0798***"</f>
        <v>0.0798***</v>
      </c>
      <c r="BA36" t="str">
        <f>"0.0829***"</f>
        <v>0.0829***</v>
      </c>
      <c r="BB36" t="str">
        <f>"0.0655***"</f>
        <v>0.0655***</v>
      </c>
      <c r="BC36" t="str">
        <f>"0.0706***"</f>
        <v>0.0706***</v>
      </c>
      <c r="BD36" t="str">
        <f>"0.0744**"</f>
        <v>0.0744**</v>
      </c>
      <c r="BE36" t="str">
        <f>"0.0585**"</f>
        <v>0.0585**</v>
      </c>
      <c r="BF36" t="str">
        <f>"0.0694***"</f>
        <v>0.0694***</v>
      </c>
      <c r="BG36" t="str">
        <f>"0.0771**"</f>
        <v>0.0771**</v>
      </c>
      <c r="BH36" t="str">
        <f>"0.0625**"</f>
        <v>0.0625**</v>
      </c>
      <c r="BI36" t="str">
        <f>"0.0656***"</f>
        <v>0.0656***</v>
      </c>
      <c r="BJ36" t="str">
        <f>"0.0827***"</f>
        <v>0.0827***</v>
      </c>
      <c r="BK36" t="str">
        <f>"0.0634***"</f>
        <v>0.0634***</v>
      </c>
      <c r="BL36" t="str">
        <f>"0.0768***"</f>
        <v>0.0768***</v>
      </c>
      <c r="BM36" t="str">
        <f>"0.0750**"</f>
        <v>0.0750**</v>
      </c>
      <c r="BN36" t="str">
        <f>"0.0610**"</f>
        <v>0.0610**</v>
      </c>
      <c r="BO36" t="str">
        <f>"0.0756***"</f>
        <v>0.0756***</v>
      </c>
      <c r="BP36" t="str">
        <f>"0.0756**"</f>
        <v>0.0756**</v>
      </c>
      <c r="BQ36" t="str">
        <f>"0.0607**"</f>
        <v>0.0607**</v>
      </c>
      <c r="BR36" t="str">
        <f>"0.0739***"</f>
        <v>0.0739***</v>
      </c>
      <c r="BS36" t="str">
        <f>"0.0740**"</f>
        <v>0.0740**</v>
      </c>
      <c r="BT36" t="str">
        <f>"0.0595**"</f>
        <v>0.0595**</v>
      </c>
      <c r="BU36" t="str">
        <f>"0.0733***"</f>
        <v>0.0733***</v>
      </c>
      <c r="BV36" t="str">
        <f>"0.0767**"</f>
        <v>0.0767**</v>
      </c>
      <c r="BW36" t="str">
        <f>"0.0600**"</f>
        <v>0.0600**</v>
      </c>
      <c r="BX36" t="str">
        <f>"0.0759***"</f>
        <v>0.0759***</v>
      </c>
      <c r="BY36" t="str">
        <f>"0.0758**"</f>
        <v>0.0758**</v>
      </c>
      <c r="BZ36" t="str">
        <f>"0.0599**"</f>
        <v>0.0599**</v>
      </c>
      <c r="CA36" t="str">
        <f>"0.0722***"</f>
        <v>0.0722***</v>
      </c>
      <c r="CB36" t="str">
        <f>"0.0767**"</f>
        <v>0.0767**</v>
      </c>
      <c r="CC36" t="str">
        <f>"0.0616**"</f>
        <v>0.0616**</v>
      </c>
      <c r="CD36" t="str">
        <f>"0.0757***"</f>
        <v>0.0757***</v>
      </c>
      <c r="CE36" t="str">
        <f>"0.0753**"</f>
        <v>0.0753**</v>
      </c>
      <c r="CF36" t="str">
        <f>"0.0604**"</f>
        <v>0.0604**</v>
      </c>
      <c r="CG36" t="str">
        <f>"0.0747***"</f>
        <v>0.0747***</v>
      </c>
      <c r="CH36" t="str">
        <f>"0.0760**"</f>
        <v>0.0760**</v>
      </c>
      <c r="CI36" t="str">
        <f>"0.0611**"</f>
        <v>0.0611**</v>
      </c>
      <c r="CJ36" t="str">
        <f>"0.0738***"</f>
        <v>0.0738***</v>
      </c>
      <c r="CK36" t="str">
        <f>"0.0760**"</f>
        <v>0.0760**</v>
      </c>
      <c r="CL36" t="str">
        <f>"0.0605**"</f>
        <v>0.0605**</v>
      </c>
      <c r="CM36" t="str">
        <f>"0.0735***"</f>
        <v>0.0735***</v>
      </c>
      <c r="CN36" t="str">
        <f>"0.0694**"</f>
        <v>0.0694**</v>
      </c>
      <c r="CO36" t="str">
        <f>"0.0518**"</f>
        <v>0.0518**</v>
      </c>
      <c r="CP36" t="str">
        <f>"0.0628***"</f>
        <v>0.0628***</v>
      </c>
      <c r="CQ36" t="str">
        <f>"0.0822**"</f>
        <v>0.0822**</v>
      </c>
      <c r="CR36" t="str">
        <f>"0.0639***"</f>
        <v>0.0639***</v>
      </c>
      <c r="CS36" t="str">
        <f>"0.0798***"</f>
        <v>0.0798***</v>
      </c>
      <c r="CT36" t="str">
        <f>"0.0832***"</f>
        <v>0.0832***</v>
      </c>
      <c r="CU36" t="str">
        <f>"0.0647***"</f>
        <v>0.0647***</v>
      </c>
      <c r="CV36" t="str">
        <f>"0.0706***"</f>
        <v>0.0706***</v>
      </c>
      <c r="CW36" t="str">
        <f>"0.0741**"</f>
        <v>0.0741**</v>
      </c>
      <c r="CX36" t="str">
        <f>"0.0577**"</f>
        <v>0.0577**</v>
      </c>
      <c r="CY36" t="str">
        <f>"0.0696***"</f>
        <v>0.0696***</v>
      </c>
      <c r="CZ36" t="str">
        <f>"0.0771**"</f>
        <v>0.0771**</v>
      </c>
      <c r="DA36" t="str">
        <f>"0.0617**"</f>
        <v>0.0617**</v>
      </c>
      <c r="DB36" t="str">
        <f>"0.0657***"</f>
        <v>0.0657***</v>
      </c>
      <c r="DC36" t="str">
        <f>"0.0828***"</f>
        <v>0.0828***</v>
      </c>
      <c r="DD36" t="str">
        <f>"0.0633**"</f>
        <v>0.0633**</v>
      </c>
      <c r="DE36" t="str">
        <f>"0.0771***"</f>
        <v>0.0771***</v>
      </c>
      <c r="DF36" t="str">
        <f>"0.0750**"</f>
        <v>0.0750**</v>
      </c>
      <c r="DG36" t="str">
        <f>"0.0599**"</f>
        <v>0.0599**</v>
      </c>
      <c r="DH36" t="str">
        <f>"0.0756***"</f>
        <v>0.0756***</v>
      </c>
      <c r="DI36" t="str">
        <f>"0.0754**"</f>
        <v>0.0754**</v>
      </c>
      <c r="DJ36" t="str">
        <f>"0.0600**"</f>
        <v>0.0600**</v>
      </c>
      <c r="DK36" t="str">
        <f>"0.0742***"</f>
        <v>0.0742***</v>
      </c>
      <c r="DL36" t="str">
        <f>"0.0742**"</f>
        <v>0.0742**</v>
      </c>
      <c r="DM36" t="str">
        <f>"0.0592**"</f>
        <v>0.0592**</v>
      </c>
      <c r="DN36" t="str">
        <f>"0.0733***"</f>
        <v>0.0733***</v>
      </c>
      <c r="DO36" t="str">
        <f>"0.0769**"</f>
        <v>0.0769**</v>
      </c>
      <c r="DP36" t="str">
        <f>"0.0594**"</f>
        <v>0.0594**</v>
      </c>
      <c r="DQ36" t="str">
        <f>"0.0759***"</f>
        <v>0.0759***</v>
      </c>
      <c r="DR36" t="str">
        <f>"0.0758**"</f>
        <v>0.0758**</v>
      </c>
      <c r="DS36" t="str">
        <f>"0.0593**"</f>
        <v>0.0593**</v>
      </c>
      <c r="DT36" t="str">
        <f>"0.0723***"</f>
        <v>0.0723***</v>
      </c>
      <c r="DU36" t="str">
        <f>"0.0755**"</f>
        <v>0.0755**</v>
      </c>
      <c r="DV36" t="str">
        <f>"0.0614**"</f>
        <v>0.0614**</v>
      </c>
      <c r="DW36" t="str">
        <f>"0.0760***"</f>
        <v>0.0760***</v>
      </c>
      <c r="DX36" t="str">
        <f>"0.0755**"</f>
        <v>0.0755**</v>
      </c>
      <c r="DY36" t="str">
        <f>"0.0595**"</f>
        <v>0.0595**</v>
      </c>
      <c r="DZ36" t="str">
        <f>"0.0747***"</f>
        <v>0.0747***</v>
      </c>
      <c r="EA36" t="str">
        <f>"0.0762**"</f>
        <v>0.0762**</v>
      </c>
      <c r="EB36" t="str">
        <f>"0.0604**"</f>
        <v>0.0604**</v>
      </c>
      <c r="EC36" t="str">
        <f>"0.0740***"</f>
        <v>0.0740***</v>
      </c>
      <c r="ED36" t="str">
        <f>"0.0758**"</f>
        <v>0.0758**</v>
      </c>
      <c r="EE36" t="str">
        <f>"0.0596**"</f>
        <v>0.0596**</v>
      </c>
      <c r="EF36" t="str">
        <f>"0.0736***"</f>
        <v>0.0736***</v>
      </c>
      <c r="EG36" t="str">
        <f>"0.0687**"</f>
        <v>0.0687**</v>
      </c>
      <c r="EH36" t="str">
        <f>"0.0528**"</f>
        <v>0.0528**</v>
      </c>
      <c r="EI36" t="str">
        <f>"0.0626***"</f>
        <v>0.0626***</v>
      </c>
      <c r="EJ36" t="str">
        <f>"0.0818**"</f>
        <v>0.0818**</v>
      </c>
      <c r="EK36" t="str">
        <f>"0.0650***"</f>
        <v>0.0650***</v>
      </c>
      <c r="EL36" t="str">
        <f>"0.0798***"</f>
        <v>0.0798***</v>
      </c>
      <c r="EM36" t="str">
        <f>"0.0829***"</f>
        <v>0.0829***</v>
      </c>
      <c r="EN36" t="str">
        <f>"0.0657***"</f>
        <v>0.0657***</v>
      </c>
      <c r="EO36" t="str">
        <f>"0.0705***"</f>
        <v>0.0705***</v>
      </c>
      <c r="EP36" t="str">
        <f>"0.0739**"</f>
        <v>0.0739**</v>
      </c>
      <c r="EQ36" t="str">
        <f>"0.0588**"</f>
        <v>0.0588**</v>
      </c>
      <c r="ER36" t="str">
        <f>"0.0697***"</f>
        <v>0.0697***</v>
      </c>
      <c r="ES36" t="str">
        <f>"0.0768**"</f>
        <v>0.0768**</v>
      </c>
      <c r="ET36" t="str">
        <f>"0.0627**"</f>
        <v>0.0627**</v>
      </c>
      <c r="EU36" t="str">
        <f>"0.0656***"</f>
        <v>0.0656***</v>
      </c>
      <c r="EV36" t="str">
        <f>"0.0824***"</f>
        <v>0.0824***</v>
      </c>
      <c r="EW36" t="str">
        <f>"0.0638***"</f>
        <v>0.0638***</v>
      </c>
      <c r="EX36" t="str">
        <f>"0.0770***"</f>
        <v>0.0770***</v>
      </c>
      <c r="EY36" t="str">
        <f>"0.0746**"</f>
        <v>0.0746**</v>
      </c>
      <c r="EZ36" t="str">
        <f>"0.0612**"</f>
        <v>0.0612**</v>
      </c>
      <c r="FA36" t="str">
        <f>"0.0758***"</f>
        <v>0.0758***</v>
      </c>
      <c r="FB36" t="str">
        <f>"0.0752**"</f>
        <v>0.0752**</v>
      </c>
      <c r="FC36" t="str">
        <f>"0.0606**"</f>
        <v>0.0606**</v>
      </c>
      <c r="FD36" t="str">
        <f>"0.0740***"</f>
        <v>0.0740***</v>
      </c>
      <c r="FE36" t="str">
        <f>"0.0738**"</f>
        <v>0.0738**</v>
      </c>
      <c r="FF36" t="str">
        <f>"0.0601**"</f>
        <v>0.0601**</v>
      </c>
      <c r="FG36" t="str">
        <f>"0.0732***"</f>
        <v>0.0732***</v>
      </c>
      <c r="FH36" t="str">
        <f>"0.0764**"</f>
        <v>0.0764**</v>
      </c>
      <c r="FI36" t="str">
        <f>"0.0602**"</f>
        <v>0.0602**</v>
      </c>
      <c r="FJ36" t="str">
        <f>"0.0759***"</f>
        <v>0.0759***</v>
      </c>
      <c r="FK36" t="str">
        <f>"0.0753**"</f>
        <v>0.0753**</v>
      </c>
      <c r="FL36" t="str">
        <f>"0.0603**"</f>
        <v>0.0603**</v>
      </c>
      <c r="FM36" t="str">
        <f>"0.0720***"</f>
        <v>0.0720***</v>
      </c>
      <c r="FN36" t="str">
        <f>"0.0765**"</f>
        <v>0.0765**</v>
      </c>
      <c r="FO36" t="str">
        <f>"0.0619**"</f>
        <v>0.0619**</v>
      </c>
      <c r="FP36" t="str">
        <f>"0.0757***"</f>
        <v>0.0757***</v>
      </c>
      <c r="FQ36" t="str">
        <f>"0.0747**"</f>
        <v>0.0747**</v>
      </c>
      <c r="FR36" t="str">
        <f>"0.0605**"</f>
        <v>0.0605**</v>
      </c>
      <c r="FS36" t="str">
        <f>"0.0747***"</f>
        <v>0.0747***</v>
      </c>
      <c r="FT36" t="str">
        <f>"0.0751**"</f>
        <v>0.0751**</v>
      </c>
      <c r="FU36" t="str">
        <f>"0.0612**"</f>
        <v>0.0612**</v>
      </c>
      <c r="FV36" t="str">
        <f>"0.0738***"</f>
        <v>0.0738***</v>
      </c>
      <c r="FW36" t="str">
        <f>"0.0759**"</f>
        <v>0.0759**</v>
      </c>
      <c r="FX36" t="str">
        <f>"0.0606**"</f>
        <v>0.0606**</v>
      </c>
      <c r="FY36" t="str">
        <f>"0.0736***"</f>
        <v>0.0736***</v>
      </c>
      <c r="FZ36" t="str">
        <f>"0.0694**"</f>
        <v>0.0694**</v>
      </c>
      <c r="GA36" t="str">
        <f>"0.0526**"</f>
        <v>0.0526**</v>
      </c>
      <c r="GB36" t="str">
        <f>"0.0625***"</f>
        <v>0.0625***</v>
      </c>
      <c r="GC36" t="str">
        <f>"0.0821**"</f>
        <v>0.0821**</v>
      </c>
      <c r="GD36" t="str">
        <f>"0.0646***"</f>
        <v>0.0646***</v>
      </c>
      <c r="GE36" t="str">
        <f>"0.0797***"</f>
        <v>0.0797***</v>
      </c>
      <c r="GF36" t="str">
        <f>"0.0830***"</f>
        <v>0.0830***</v>
      </c>
      <c r="GG36" t="str">
        <f>"0.0655***"</f>
        <v>0.0655***</v>
      </c>
      <c r="GH36" t="str">
        <f>"0.0704***"</f>
        <v>0.0704***</v>
      </c>
      <c r="GI36" t="str">
        <f>"0.0741**"</f>
        <v>0.0741**</v>
      </c>
      <c r="GJ36" t="str">
        <f>"0.0585**"</f>
        <v>0.0585**</v>
      </c>
      <c r="GK36" t="str">
        <f>"0.0697***"</f>
        <v>0.0697***</v>
      </c>
      <c r="GL36" t="str">
        <f>"0.0771**"</f>
        <v>0.0771**</v>
      </c>
      <c r="GM36" t="str">
        <f>"0.0625**"</f>
        <v>0.0625**</v>
      </c>
      <c r="GN36" t="str">
        <f>"0.0657***"</f>
        <v>0.0657***</v>
      </c>
      <c r="GO36" t="str">
        <f>"0.0828***"</f>
        <v>0.0828***</v>
      </c>
      <c r="GP36" t="str">
        <f>"0.0637***"</f>
        <v>0.0637***</v>
      </c>
      <c r="GQ36" t="str">
        <f>"0.0770***"</f>
        <v>0.0770***</v>
      </c>
      <c r="GR36" t="str">
        <f>"0.0753**"</f>
        <v>0.0753**</v>
      </c>
      <c r="GS36" t="str">
        <f>"0.0608**"</f>
        <v>0.0608**</v>
      </c>
      <c r="GT36" t="str">
        <f>"0.0757***"</f>
        <v>0.0757***</v>
      </c>
      <c r="GU36" t="str">
        <f>"0.0756**"</f>
        <v>0.0756**</v>
      </c>
      <c r="GV36" t="str">
        <f>"0.0604**"</f>
        <v>0.0604**</v>
      </c>
      <c r="GW36" t="str">
        <f>"0.0740***"</f>
        <v>0.0740***</v>
      </c>
      <c r="GX36" t="str">
        <f>"0.0743**"</f>
        <v>0.0743**</v>
      </c>
      <c r="GY36" t="str">
        <f>"0.0598**"</f>
        <v>0.0598**</v>
      </c>
      <c r="GZ36" t="str">
        <f>"0.0732***"</f>
        <v>0.0732***</v>
      </c>
      <c r="HA36" t="str">
        <f>"0.0769**"</f>
        <v>0.0769**</v>
      </c>
      <c r="HB36" t="str">
        <f>"0.0599**"</f>
        <v>0.0599**</v>
      </c>
      <c r="HC36" t="str">
        <f>"0.0759***"</f>
        <v>0.0759***</v>
      </c>
      <c r="HD36" t="str">
        <f>"0.0761**"</f>
        <v>0.0761**</v>
      </c>
      <c r="HE36" t="str">
        <f>"0.0602**"</f>
        <v>0.0602**</v>
      </c>
      <c r="HF36" t="str">
        <f>"0.0721***"</f>
        <v>0.0721***</v>
      </c>
      <c r="HG36" t="str">
        <f>"0.0768**"</f>
        <v>0.0768**</v>
      </c>
      <c r="HH36" t="str">
        <f>"0.0618**"</f>
        <v>0.0618**</v>
      </c>
      <c r="HI36" t="str">
        <f>"0.0755***"</f>
        <v>0.0755***</v>
      </c>
      <c r="HJ36" t="str">
        <f>"0.0750**"</f>
        <v>0.0750**</v>
      </c>
      <c r="HK36" t="str">
        <f>"0.0602**"</f>
        <v>0.0602**</v>
      </c>
      <c r="HL36" t="str">
        <f>"0.0747***"</f>
        <v>0.0747***</v>
      </c>
      <c r="HM36" t="str">
        <f>"0.0761**"</f>
        <v>0.0761**</v>
      </c>
      <c r="HN36" t="str">
        <f>"0.0609**"</f>
        <v>0.0609**</v>
      </c>
      <c r="HO36" t="str">
        <f>"0.0738***"</f>
        <v>0.0738***</v>
      </c>
      <c r="HP36" t="str">
        <f>"0.0757**"</f>
        <v>0.0757**</v>
      </c>
      <c r="HQ36" t="str">
        <f>"0.0603**"</f>
        <v>0.0603**</v>
      </c>
      <c r="HR36" t="str">
        <f>"0.0735***"</f>
        <v>0.0735***</v>
      </c>
      <c r="HS36" t="str">
        <f>"0.0694**"</f>
        <v>0.0694**</v>
      </c>
      <c r="HT36" t="str">
        <f>"0.0522**"</f>
        <v>0.0522**</v>
      </c>
      <c r="HU36" t="str">
        <f>"0.0625***"</f>
        <v>0.0625***</v>
      </c>
      <c r="HV36" t="str">
        <f>"0.0822**"</f>
        <v>0.0822**</v>
      </c>
      <c r="HW36" t="str">
        <f>"0.0641***"</f>
        <v>0.0641***</v>
      </c>
      <c r="HX36" t="str">
        <f>"0.0797***"</f>
        <v>0.0797***</v>
      </c>
      <c r="HY36" t="str">
        <f>"0.0829***"</f>
        <v>0.0829***</v>
      </c>
      <c r="HZ36" t="str">
        <f>"0.0652***"</f>
        <v>0.0652***</v>
      </c>
      <c r="IA36" t="str">
        <f>"0.0703***"</f>
        <v>0.0703***</v>
      </c>
      <c r="IB36" t="str">
        <f>"0.0744**"</f>
        <v>0.0744**</v>
      </c>
      <c r="IC36" t="str">
        <f>"0.0583**"</f>
        <v>0.0583**</v>
      </c>
      <c r="ID36" t="str">
        <f>"0.0694***"</f>
        <v>0.0694***</v>
      </c>
      <c r="IE36" t="str">
        <f>"0.0764**"</f>
        <v>0.0764**</v>
      </c>
      <c r="IF36" t="str">
        <f>"0.0625**"</f>
        <v>0.0625**</v>
      </c>
      <c r="IG36" t="str">
        <f>"0.0654***"</f>
        <v>0.0654***</v>
      </c>
      <c r="IH36" t="str">
        <f>"0.0829***"</f>
        <v>0.0829***</v>
      </c>
      <c r="II36" t="str">
        <f>"0.0633**"</f>
        <v>0.0633**</v>
      </c>
      <c r="IJ36" t="str">
        <f>"0.0770***"</f>
        <v>0.0770***</v>
      </c>
      <c r="IK36" t="str">
        <f>"0.0755**"</f>
        <v>0.0755**</v>
      </c>
      <c r="IL36" t="str">
        <f>"0.0604**"</f>
        <v>0.0604**</v>
      </c>
      <c r="IM36" t="str">
        <f>"0.0754***"</f>
        <v>0.0754***</v>
      </c>
      <c r="IN36" t="str">
        <f>"0.0757**"</f>
        <v>0.0757**</v>
      </c>
      <c r="IO36" t="str">
        <f>"0.0603**"</f>
        <v>0.0603**</v>
      </c>
      <c r="IP36" t="str">
        <f>"0.0738***"</f>
        <v>0.0738***</v>
      </c>
      <c r="IQ36" t="str">
        <f>"0.0743**"</f>
        <v>0.0743**</v>
      </c>
      <c r="IR36" t="str">
        <f>"0.0590**"</f>
        <v>0.0590**</v>
      </c>
      <c r="IS36" t="str">
        <f>"0.0731***"</f>
        <v>0.0731***</v>
      </c>
      <c r="IT36" t="str">
        <f>"0.0770**"</f>
        <v>0.0770**</v>
      </c>
      <c r="IU36" t="str">
        <f>"0.0598**"</f>
        <v>0.0598**</v>
      </c>
      <c r="IV36" t="str">
        <f>"0.0758***"</f>
        <v>0.0758***</v>
      </c>
      <c r="IW36" t="str">
        <f>"0.0762**"</f>
        <v>0.0762**</v>
      </c>
      <c r="IX36" t="str">
        <f>"0.0599**"</f>
        <v>0.0599**</v>
      </c>
      <c r="IY36" t="str">
        <f>"0.0721***"</f>
        <v>0.0721***</v>
      </c>
      <c r="IZ36" t="str">
        <f>"0.0769**"</f>
        <v>0.0769**</v>
      </c>
      <c r="JA36" t="str">
        <f>"0.0613**"</f>
        <v>0.0613**</v>
      </c>
      <c r="JB36" t="str">
        <f>"0.0755***"</f>
        <v>0.0755***</v>
      </c>
      <c r="JC36" t="str">
        <f>"0.0748**"</f>
        <v>0.0748**</v>
      </c>
      <c r="JD36" t="str">
        <f>"0.0605**"</f>
        <v>0.0605**</v>
      </c>
      <c r="JE36" t="str">
        <f>"0.0746***"</f>
        <v>0.0746***</v>
      </c>
      <c r="JF36" t="str">
        <f>"0.0761**"</f>
        <v>0.0761**</v>
      </c>
      <c r="JG36" t="str">
        <f>"0.0606**"</f>
        <v>0.0606**</v>
      </c>
      <c r="JH36" t="str">
        <f>"0.0737***"</f>
        <v>0.0737***</v>
      </c>
      <c r="JI36" t="str">
        <f>"0.0757**"</f>
        <v>0.0757**</v>
      </c>
      <c r="JJ36" t="str">
        <f>"0.0601**"</f>
        <v>0.0601**</v>
      </c>
      <c r="JK36" t="str">
        <f>"0.0735***"</f>
        <v>0.0735***</v>
      </c>
    </row>
    <row r="37" spans="1:271" x14ac:dyDescent="0.3">
      <c r="A37" t="str">
        <f>""</f>
        <v/>
      </c>
      <c r="B37" t="str">
        <f>"(0.0254)"</f>
        <v>(0.0254)</v>
      </c>
      <c r="C37" t="str">
        <f>"(0.0195)"</f>
        <v>(0.0195)</v>
      </c>
      <c r="D37" t="str">
        <f>"(0.0102)"</f>
        <v>(0.0102)</v>
      </c>
      <c r="E37" t="str">
        <f>"(0.0250)"</f>
        <v>(0.0250)</v>
      </c>
      <c r="F37" t="str">
        <f>"(0.0193)"</f>
        <v>(0.0193)</v>
      </c>
      <c r="G37" t="str">
        <f>"(0.0101)"</f>
        <v>(0.0101)</v>
      </c>
      <c r="H37" t="str">
        <f>"(0.0249)"</f>
        <v>(0.0249)</v>
      </c>
      <c r="I37" t="str">
        <f>"(0.0192)"</f>
        <v>(0.0192)</v>
      </c>
      <c r="J37" t="str">
        <f>"(0.0101)"</f>
        <v>(0.0101)</v>
      </c>
      <c r="K37" t="str">
        <f>"(0.0250)"</f>
        <v>(0.0250)</v>
      </c>
      <c r="L37" t="str">
        <f>"(0.0192)"</f>
        <v>(0.0192)</v>
      </c>
      <c r="M37" t="str">
        <f>"(0.0100)"</f>
        <v>(0.0100)</v>
      </c>
      <c r="N37" t="str">
        <f>"(0.0251)"</f>
        <v>(0.0251)</v>
      </c>
      <c r="O37" t="str">
        <f>"(0.0193)"</f>
        <v>(0.0193)</v>
      </c>
      <c r="P37" t="str">
        <f>"(0.0102)"</f>
        <v>(0.0102)</v>
      </c>
      <c r="Q37" t="str">
        <f>"(0.0250)"</f>
        <v>(0.0250)</v>
      </c>
      <c r="R37" t="str">
        <f>"(0.0193)"</f>
        <v>(0.0193)</v>
      </c>
      <c r="S37" t="str">
        <f>"(0.0101)"</f>
        <v>(0.0101)</v>
      </c>
      <c r="T37" t="str">
        <f>"(0.0249)"</f>
        <v>(0.0249)</v>
      </c>
      <c r="U37" t="str">
        <f>"(0.0191)"</f>
        <v>(0.0191)</v>
      </c>
      <c r="V37" t="str">
        <f>"(0.0100)"</f>
        <v>(0.0100)</v>
      </c>
      <c r="W37" t="str">
        <f>"(0.0249)"</f>
        <v>(0.0249)</v>
      </c>
      <c r="X37" t="str">
        <f>"(0.0191)"</f>
        <v>(0.0191)</v>
      </c>
      <c r="Y37" t="str">
        <f>"(0.0100)"</f>
        <v>(0.0100)</v>
      </c>
      <c r="Z37" t="str">
        <f>"(0.0250)"</f>
        <v>(0.0250)</v>
      </c>
      <c r="AA37" t="str">
        <f>"(0.0192)"</f>
        <v>(0.0192)</v>
      </c>
      <c r="AB37" t="str">
        <f>"(0.0100)"</f>
        <v>(0.0100)</v>
      </c>
      <c r="AC37" t="str">
        <f>"(0.0250)"</f>
        <v>(0.0250)</v>
      </c>
      <c r="AD37" t="str">
        <f>"(0.0192)"</f>
        <v>(0.0192)</v>
      </c>
      <c r="AE37" t="str">
        <f>"(0.0100)"</f>
        <v>(0.0100)</v>
      </c>
      <c r="AF37" t="str">
        <f>"(0.0250)"</f>
        <v>(0.0250)</v>
      </c>
      <c r="AG37" t="str">
        <f>"(0.0192)"</f>
        <v>(0.0192)</v>
      </c>
      <c r="AH37" t="str">
        <f>"(0.0101)"</f>
        <v>(0.0101)</v>
      </c>
      <c r="AI37" t="str">
        <f>"(0.0250)"</f>
        <v>(0.0250)</v>
      </c>
      <c r="AJ37" t="str">
        <f>"(0.0192)"</f>
        <v>(0.0192)</v>
      </c>
      <c r="AK37" t="str">
        <f>"(0.0100)"</f>
        <v>(0.0100)</v>
      </c>
      <c r="AL37" t="str">
        <f>"(0.0250)"</f>
        <v>(0.0250)</v>
      </c>
      <c r="AM37" t="str">
        <f>"(0.0192)"</f>
        <v>(0.0192)</v>
      </c>
      <c r="AN37" t="str">
        <f>"(0.0100)"</f>
        <v>(0.0100)</v>
      </c>
      <c r="AO37" t="str">
        <f>"(0.0249)"</f>
        <v>(0.0249)</v>
      </c>
      <c r="AP37" t="str">
        <f>"(0.0192)"</f>
        <v>(0.0192)</v>
      </c>
      <c r="AQ37" t="str">
        <f>"(0.0100)"</f>
        <v>(0.0100)</v>
      </c>
      <c r="AR37" t="str">
        <f>"(0.0249)"</f>
        <v>(0.0249)</v>
      </c>
      <c r="AS37" t="str">
        <f>"(0.0192)"</f>
        <v>(0.0192)</v>
      </c>
      <c r="AT37" t="str">
        <f>"(0.0100)"</f>
        <v>(0.0100)</v>
      </c>
      <c r="AU37" t="str">
        <f>"(0.0254)"</f>
        <v>(0.0254)</v>
      </c>
      <c r="AV37" t="str">
        <f>"(0.0195)"</f>
        <v>(0.0195)</v>
      </c>
      <c r="AW37" t="str">
        <f>"(0.0102)"</f>
        <v>(0.0102)</v>
      </c>
      <c r="AX37" t="str">
        <f>"(0.0250)"</f>
        <v>(0.0250)</v>
      </c>
      <c r="AY37" t="str">
        <f>"(0.0193)"</f>
        <v>(0.0193)</v>
      </c>
      <c r="AZ37" t="str">
        <f>"(0.0101)"</f>
        <v>(0.0101)</v>
      </c>
      <c r="BA37" t="str">
        <f>"(0.0249)"</f>
        <v>(0.0249)</v>
      </c>
      <c r="BB37" t="str">
        <f>"(0.0192)"</f>
        <v>(0.0192)</v>
      </c>
      <c r="BC37" t="str">
        <f>"(0.0101)"</f>
        <v>(0.0101)</v>
      </c>
      <c r="BD37" t="str">
        <f>"(0.0250)"</f>
        <v>(0.0250)</v>
      </c>
      <c r="BE37" t="str">
        <f>"(0.0192)"</f>
        <v>(0.0192)</v>
      </c>
      <c r="BF37" t="str">
        <f>"(0.0101)"</f>
        <v>(0.0101)</v>
      </c>
      <c r="BG37" t="str">
        <f>"(0.0251)"</f>
        <v>(0.0251)</v>
      </c>
      <c r="BH37" t="str">
        <f>"(0.0193)"</f>
        <v>(0.0193)</v>
      </c>
      <c r="BI37" t="str">
        <f>"(0.0102)"</f>
        <v>(0.0102)</v>
      </c>
      <c r="BJ37" t="str">
        <f>"(0.0249)"</f>
        <v>(0.0249)</v>
      </c>
      <c r="BK37" t="str">
        <f>"(0.0193)"</f>
        <v>(0.0193)</v>
      </c>
      <c r="BL37" t="str">
        <f>"(0.0101)"</f>
        <v>(0.0101)</v>
      </c>
      <c r="BM37" t="str">
        <f>"(0.0249)"</f>
        <v>(0.0249)</v>
      </c>
      <c r="BN37" t="str">
        <f>"(0.0192)"</f>
        <v>(0.0192)</v>
      </c>
      <c r="BO37" t="str">
        <f>"(0.0100)"</f>
        <v>(0.0100)</v>
      </c>
      <c r="BP37" t="str">
        <f>"(0.0249)"</f>
        <v>(0.0249)</v>
      </c>
      <c r="BQ37" t="str">
        <f>"(0.0192)"</f>
        <v>(0.0192)</v>
      </c>
      <c r="BR37" t="str">
        <f>"(0.0100)"</f>
        <v>(0.0100)</v>
      </c>
      <c r="BS37" t="str">
        <f>"(0.0250)"</f>
        <v>(0.0250)</v>
      </c>
      <c r="BT37" t="str">
        <f>"(0.0192)"</f>
        <v>(0.0192)</v>
      </c>
      <c r="BU37" t="str">
        <f>"(0.0100)"</f>
        <v>(0.0100)</v>
      </c>
      <c r="BV37" t="str">
        <f>"(0.0249)"</f>
        <v>(0.0249)</v>
      </c>
      <c r="BW37" t="str">
        <f>"(0.0192)"</f>
        <v>(0.0192)</v>
      </c>
      <c r="BX37" t="str">
        <f>"(0.0100)"</f>
        <v>(0.0100)</v>
      </c>
      <c r="BY37" t="str">
        <f>"(0.0250)"</f>
        <v>(0.0250)</v>
      </c>
      <c r="BZ37" t="str">
        <f>"(0.0192)"</f>
        <v>(0.0192)</v>
      </c>
      <c r="CA37" t="str">
        <f>"(0.0101)"</f>
        <v>(0.0101)</v>
      </c>
      <c r="CB37" t="str">
        <f>"(0.0250)"</f>
        <v>(0.0250)</v>
      </c>
      <c r="CC37" t="str">
        <f>"(0.0192)"</f>
        <v>(0.0192)</v>
      </c>
      <c r="CD37" t="str">
        <f>"(0.0100)"</f>
        <v>(0.0100)</v>
      </c>
      <c r="CE37" t="str">
        <f>"(0.0250)"</f>
        <v>(0.0250)</v>
      </c>
      <c r="CF37" t="str">
        <f>"(0.0192)"</f>
        <v>(0.0192)</v>
      </c>
      <c r="CG37" t="str">
        <f>"(0.0100)"</f>
        <v>(0.0100)</v>
      </c>
      <c r="CH37" t="str">
        <f>"(0.0250)"</f>
        <v>(0.0250)</v>
      </c>
      <c r="CI37" t="str">
        <f>"(0.0192)"</f>
        <v>(0.0192)</v>
      </c>
      <c r="CJ37" t="str">
        <f>"(0.0100)"</f>
        <v>(0.0100)</v>
      </c>
      <c r="CK37" t="str">
        <f>"(0.0249)"</f>
        <v>(0.0249)</v>
      </c>
      <c r="CL37" t="str">
        <f>"(0.0192)"</f>
        <v>(0.0192)</v>
      </c>
      <c r="CM37" t="str">
        <f>"(0.0100)"</f>
        <v>(0.0100)</v>
      </c>
      <c r="CN37" t="str">
        <f>"(0.0254)"</f>
        <v>(0.0254)</v>
      </c>
      <c r="CO37" t="str">
        <f>"(0.0196)"</f>
        <v>(0.0196)</v>
      </c>
      <c r="CP37" t="str">
        <f>"(0.0102)"</f>
        <v>(0.0102)</v>
      </c>
      <c r="CQ37" t="str">
        <f>"(0.0250)"</f>
        <v>(0.0250)</v>
      </c>
      <c r="CR37" t="str">
        <f>"(0.0193)"</f>
        <v>(0.0193)</v>
      </c>
      <c r="CS37" t="str">
        <f>"(0.0101)"</f>
        <v>(0.0101)</v>
      </c>
      <c r="CT37" t="str">
        <f>"(0.0249)"</f>
        <v>(0.0249)</v>
      </c>
      <c r="CU37" t="str">
        <f>"(0.0193)"</f>
        <v>(0.0193)</v>
      </c>
      <c r="CV37" t="str">
        <f>"(0.0101)"</f>
        <v>(0.0101)</v>
      </c>
      <c r="CW37" t="str">
        <f>"(0.0250)"</f>
        <v>(0.0250)</v>
      </c>
      <c r="CX37" t="str">
        <f>"(0.0192)"</f>
        <v>(0.0192)</v>
      </c>
      <c r="CY37" t="str">
        <f>"(0.0101)"</f>
        <v>(0.0101)</v>
      </c>
      <c r="CZ37" t="str">
        <f>"(0.0250)"</f>
        <v>(0.0250)</v>
      </c>
      <c r="DA37" t="str">
        <f>"(0.0193)"</f>
        <v>(0.0193)</v>
      </c>
      <c r="DB37" t="str">
        <f>"(0.0102)"</f>
        <v>(0.0102)</v>
      </c>
      <c r="DC37" t="str">
        <f>"(0.0249)"</f>
        <v>(0.0249)</v>
      </c>
      <c r="DD37" t="str">
        <f>"(0.0193)"</f>
        <v>(0.0193)</v>
      </c>
      <c r="DE37" t="str">
        <f>"(0.0101)"</f>
        <v>(0.0101)</v>
      </c>
      <c r="DF37" t="str">
        <f>"(0.0249)"</f>
        <v>(0.0249)</v>
      </c>
      <c r="DG37" t="str">
        <f>"(0.0192)"</f>
        <v>(0.0192)</v>
      </c>
      <c r="DH37" t="str">
        <f>"(0.0100)"</f>
        <v>(0.0100)</v>
      </c>
      <c r="DI37" t="str">
        <f>"(0.0249)"</f>
        <v>(0.0249)</v>
      </c>
      <c r="DJ37" t="str">
        <f>"(0.0192)"</f>
        <v>(0.0192)</v>
      </c>
      <c r="DK37" t="str">
        <f>"(0.0100)"</f>
        <v>(0.0100)</v>
      </c>
      <c r="DL37" t="str">
        <f>"(0.0250)"</f>
        <v>(0.0250)</v>
      </c>
      <c r="DM37" t="str">
        <f>"(0.0192)"</f>
        <v>(0.0192)</v>
      </c>
      <c r="DN37" t="str">
        <f>"(0.0100)"</f>
        <v>(0.0100)</v>
      </c>
      <c r="DO37" t="str">
        <f>"(0.0249)"</f>
        <v>(0.0249)</v>
      </c>
      <c r="DP37" t="str">
        <f>"(0.0192)"</f>
        <v>(0.0192)</v>
      </c>
      <c r="DQ37" t="str">
        <f>"(0.0100)"</f>
        <v>(0.0100)</v>
      </c>
      <c r="DR37" t="str">
        <f>"(0.0250)"</f>
        <v>(0.0250)</v>
      </c>
      <c r="DS37" t="str">
        <f>"(0.0192)"</f>
        <v>(0.0192)</v>
      </c>
      <c r="DT37" t="str">
        <f>"(0.0101)"</f>
        <v>(0.0101)</v>
      </c>
      <c r="DU37" t="str">
        <f>"(0.0250)"</f>
        <v>(0.0250)</v>
      </c>
      <c r="DV37" t="str">
        <f>"(0.0192)"</f>
        <v>(0.0192)</v>
      </c>
      <c r="DW37" t="str">
        <f>"(0.0100)"</f>
        <v>(0.0100)</v>
      </c>
      <c r="DX37" t="str">
        <f>"(0.0250)"</f>
        <v>(0.0250)</v>
      </c>
      <c r="DY37" t="str">
        <f>"(0.0192)"</f>
        <v>(0.0192)</v>
      </c>
      <c r="DZ37" t="str">
        <f>"(0.0100)"</f>
        <v>(0.0100)</v>
      </c>
      <c r="EA37" t="str">
        <f>"(0.0250)"</f>
        <v>(0.0250)</v>
      </c>
      <c r="EB37" t="str">
        <f>"(0.0192)"</f>
        <v>(0.0192)</v>
      </c>
      <c r="EC37" t="str">
        <f>"(0.0100)"</f>
        <v>(0.0100)</v>
      </c>
      <c r="ED37" t="str">
        <f>"(0.0249)"</f>
        <v>(0.0249)</v>
      </c>
      <c r="EE37" t="str">
        <f>"(0.0192)"</f>
        <v>(0.0192)</v>
      </c>
      <c r="EF37" t="str">
        <f>"(0.0100)"</f>
        <v>(0.0100)</v>
      </c>
      <c r="EG37" t="str">
        <f>"(0.0255)"</f>
        <v>(0.0255)</v>
      </c>
      <c r="EH37" t="str">
        <f>"(0.0195)"</f>
        <v>(0.0195)</v>
      </c>
      <c r="EI37" t="str">
        <f>"(0.0102)"</f>
        <v>(0.0102)</v>
      </c>
      <c r="EJ37" t="str">
        <f>"(0.0250)"</f>
        <v>(0.0250)</v>
      </c>
      <c r="EK37" t="str">
        <f>"(0.0193)"</f>
        <v>(0.0193)</v>
      </c>
      <c r="EL37" t="str">
        <f>"(0.0101)"</f>
        <v>(0.0101)</v>
      </c>
      <c r="EM37" t="str">
        <f>"(0.0249)"</f>
        <v>(0.0249)</v>
      </c>
      <c r="EN37" t="str">
        <f>"(0.0192)"</f>
        <v>(0.0192)</v>
      </c>
      <c r="EO37" t="str">
        <f>"(0.0101)"</f>
        <v>(0.0101)</v>
      </c>
      <c r="EP37" t="str">
        <f>"(0.0251)"</f>
        <v>(0.0251)</v>
      </c>
      <c r="EQ37" t="str">
        <f>"(0.0192)"</f>
        <v>(0.0192)</v>
      </c>
      <c r="ER37" t="str">
        <f>"(0.0100)"</f>
        <v>(0.0100)</v>
      </c>
      <c r="ES37" t="str">
        <f>"(0.0251)"</f>
        <v>(0.0251)</v>
      </c>
      <c r="ET37" t="str">
        <f>"(0.0193)"</f>
        <v>(0.0193)</v>
      </c>
      <c r="EU37" t="str">
        <f>"(0.0102)"</f>
        <v>(0.0102)</v>
      </c>
      <c r="EV37" t="str">
        <f>"(0.0250)"</f>
        <v>(0.0250)</v>
      </c>
      <c r="EW37" t="str">
        <f>"(0.0193)"</f>
        <v>(0.0193)</v>
      </c>
      <c r="EX37" t="str">
        <f>"(0.0101)"</f>
        <v>(0.0101)</v>
      </c>
      <c r="EY37" t="str">
        <f>"(0.0250)"</f>
        <v>(0.0250)</v>
      </c>
      <c r="EZ37" t="str">
        <f>"(0.0191)"</f>
        <v>(0.0191)</v>
      </c>
      <c r="FA37" t="str">
        <f>"(0.0100)"</f>
        <v>(0.0100)</v>
      </c>
      <c r="FB37" t="str">
        <f>"(0.0249)"</f>
        <v>(0.0249)</v>
      </c>
      <c r="FC37" t="str">
        <f>"(0.0191)"</f>
        <v>(0.0191)</v>
      </c>
      <c r="FD37" t="str">
        <f>"(0.0100)"</f>
        <v>(0.0100)</v>
      </c>
      <c r="FE37" t="str">
        <f>"(0.0250)"</f>
        <v>(0.0250)</v>
      </c>
      <c r="FF37" t="str">
        <f>"(0.0192)"</f>
        <v>(0.0192)</v>
      </c>
      <c r="FG37" t="str">
        <f>"(0.0100)"</f>
        <v>(0.0100)</v>
      </c>
      <c r="FH37" t="str">
        <f>"(0.0250)"</f>
        <v>(0.0250)</v>
      </c>
      <c r="FI37" t="str">
        <f>"(0.0192)"</f>
        <v>(0.0192)</v>
      </c>
      <c r="FJ37" t="str">
        <f>"(0.0100)"</f>
        <v>(0.0100)</v>
      </c>
      <c r="FK37" t="str">
        <f>"(0.0250)"</f>
        <v>(0.0250)</v>
      </c>
      <c r="FL37" t="str">
        <f>"(0.0192)"</f>
        <v>(0.0192)</v>
      </c>
      <c r="FM37" t="str">
        <f>"(0.0101)"</f>
        <v>(0.0101)</v>
      </c>
      <c r="FN37" t="str">
        <f>"(0.0250)"</f>
        <v>(0.0250)</v>
      </c>
      <c r="FO37" t="str">
        <f>"(0.0192)"</f>
        <v>(0.0192)</v>
      </c>
      <c r="FP37" t="str">
        <f>"(0.0100)"</f>
        <v>(0.0100)</v>
      </c>
      <c r="FQ37" t="str">
        <f>"(0.0250)"</f>
        <v>(0.0250)</v>
      </c>
      <c r="FR37" t="str">
        <f>"(0.0191)"</f>
        <v>(0.0191)</v>
      </c>
      <c r="FS37" t="str">
        <f>"(0.0100)"</f>
        <v>(0.0100)</v>
      </c>
      <c r="FT37" t="str">
        <f>"(0.0250)"</f>
        <v>(0.0250)</v>
      </c>
      <c r="FU37" t="str">
        <f>"(0.0192)"</f>
        <v>(0.0192)</v>
      </c>
      <c r="FV37" t="str">
        <f>"(0.0100)"</f>
        <v>(0.0100)</v>
      </c>
      <c r="FW37" t="str">
        <f>"(0.0250)"</f>
        <v>(0.0250)</v>
      </c>
      <c r="FX37" t="str">
        <f>"(0.0191)"</f>
        <v>(0.0191)</v>
      </c>
      <c r="FY37" t="str">
        <f>"(0.0100)"</f>
        <v>(0.0100)</v>
      </c>
      <c r="FZ37" t="str">
        <f>"(0.0254)"</f>
        <v>(0.0254)</v>
      </c>
      <c r="GA37" t="str">
        <f>"(0.0195)"</f>
        <v>(0.0195)</v>
      </c>
      <c r="GB37" t="str">
        <f>"(0.0102)"</f>
        <v>(0.0102)</v>
      </c>
      <c r="GC37" t="str">
        <f>"(0.0250)"</f>
        <v>(0.0250)</v>
      </c>
      <c r="GD37" t="str">
        <f>"(0.0193)"</f>
        <v>(0.0193)</v>
      </c>
      <c r="GE37" t="str">
        <f>"(0.0101)"</f>
        <v>(0.0101)</v>
      </c>
      <c r="GF37" t="str">
        <f>"(0.0249)"</f>
        <v>(0.0249)</v>
      </c>
      <c r="GG37" t="str">
        <f>"(0.0192)"</f>
        <v>(0.0192)</v>
      </c>
      <c r="GH37" t="str">
        <f>"(0.0101)"</f>
        <v>(0.0101)</v>
      </c>
      <c r="GI37" t="str">
        <f>"(0.0250)"</f>
        <v>(0.0250)</v>
      </c>
      <c r="GJ37" t="str">
        <f>"(0.0192)"</f>
        <v>(0.0192)</v>
      </c>
      <c r="GK37" t="str">
        <f>"(0.0100)"</f>
        <v>(0.0100)</v>
      </c>
      <c r="GL37" t="str">
        <f>"(0.0251)"</f>
        <v>(0.0251)</v>
      </c>
      <c r="GM37" t="str">
        <f>"(0.0193)"</f>
        <v>(0.0193)</v>
      </c>
      <c r="GN37" t="str">
        <f>"(0.0102)"</f>
        <v>(0.0102)</v>
      </c>
      <c r="GO37" t="str">
        <f>"(0.0250)"</f>
        <v>(0.0250)</v>
      </c>
      <c r="GP37" t="str">
        <f>"(0.0193)"</f>
        <v>(0.0193)</v>
      </c>
      <c r="GQ37" t="str">
        <f>"(0.0101)"</f>
        <v>(0.0101)</v>
      </c>
      <c r="GR37" t="str">
        <f>"(0.0250)"</f>
        <v>(0.0250)</v>
      </c>
      <c r="GS37" t="str">
        <f>"(0.0191)"</f>
        <v>(0.0191)</v>
      </c>
      <c r="GT37" t="str">
        <f>"(0.0100)"</f>
        <v>(0.0100)</v>
      </c>
      <c r="GU37" t="str">
        <f>"(0.0249)"</f>
        <v>(0.0249)</v>
      </c>
      <c r="GV37" t="str">
        <f>"(0.0191)"</f>
        <v>(0.0191)</v>
      </c>
      <c r="GW37" t="str">
        <f>"(0.0100)"</f>
        <v>(0.0100)</v>
      </c>
      <c r="GX37" t="str">
        <f>"(0.0250)"</f>
        <v>(0.0250)</v>
      </c>
      <c r="GY37" t="str">
        <f>"(0.0192)"</f>
        <v>(0.0192)</v>
      </c>
      <c r="GZ37" t="str">
        <f>"(0.0100)"</f>
        <v>(0.0100)</v>
      </c>
      <c r="HA37" t="str">
        <f>"(0.0250)"</f>
        <v>(0.0250)</v>
      </c>
      <c r="HB37" t="str">
        <f>"(0.0192)"</f>
        <v>(0.0192)</v>
      </c>
      <c r="HC37" t="str">
        <f>"(0.0100)"</f>
        <v>(0.0100)</v>
      </c>
      <c r="HD37" t="str">
        <f>"(0.0250)"</f>
        <v>(0.0250)</v>
      </c>
      <c r="HE37" t="str">
        <f>"(0.0192)"</f>
        <v>(0.0192)</v>
      </c>
      <c r="HF37" t="str">
        <f>"(0.0101)"</f>
        <v>(0.0101)</v>
      </c>
      <c r="HG37" t="str">
        <f>"(0.0250)"</f>
        <v>(0.0250)</v>
      </c>
      <c r="HH37" t="str">
        <f>"(0.0192)"</f>
        <v>(0.0192)</v>
      </c>
      <c r="HI37" t="str">
        <f>"(0.0101)"</f>
        <v>(0.0101)</v>
      </c>
      <c r="HJ37" t="str">
        <f>"(0.0250)"</f>
        <v>(0.0250)</v>
      </c>
      <c r="HK37" t="str">
        <f>"(0.0192)"</f>
        <v>(0.0192)</v>
      </c>
      <c r="HL37" t="str">
        <f>"(0.0100)"</f>
        <v>(0.0100)</v>
      </c>
      <c r="HM37" t="str">
        <f>"(0.0250)"</f>
        <v>(0.0250)</v>
      </c>
      <c r="HN37" t="str">
        <f>"(0.0192)"</f>
        <v>(0.0192)</v>
      </c>
      <c r="HO37" t="str">
        <f>"(0.0100)"</f>
        <v>(0.0100)</v>
      </c>
      <c r="HP37" t="str">
        <f>"(0.0249)"</f>
        <v>(0.0249)</v>
      </c>
      <c r="HQ37" t="str">
        <f>"(0.0191)"</f>
        <v>(0.0191)</v>
      </c>
      <c r="HR37" t="str">
        <f>"(0.0100)"</f>
        <v>(0.0100)</v>
      </c>
      <c r="HS37" t="str">
        <f>"(0.0254)"</f>
        <v>(0.0254)</v>
      </c>
      <c r="HT37" t="str">
        <f>"(0.0195)"</f>
        <v>(0.0195)</v>
      </c>
      <c r="HU37" t="str">
        <f>"(0.0102)"</f>
        <v>(0.0102)</v>
      </c>
      <c r="HV37" t="str">
        <f>"(0.0250)"</f>
        <v>(0.0250)</v>
      </c>
      <c r="HW37" t="str">
        <f>"(0.0193)"</f>
        <v>(0.0193)</v>
      </c>
      <c r="HX37" t="str">
        <f>"(0.0101)"</f>
        <v>(0.0101)</v>
      </c>
      <c r="HY37" t="str">
        <f>"(0.0249)"</f>
        <v>(0.0249)</v>
      </c>
      <c r="HZ37" t="str">
        <f>"(0.0192)"</f>
        <v>(0.0192)</v>
      </c>
      <c r="IA37" t="str">
        <f>"(0.0101)"</f>
        <v>(0.0101)</v>
      </c>
      <c r="IB37" t="str">
        <f>"(0.0250)"</f>
        <v>(0.0250)</v>
      </c>
      <c r="IC37" t="str">
        <f>"(0.0192)"</f>
        <v>(0.0192)</v>
      </c>
      <c r="ID37" t="str">
        <f>"(0.0100)"</f>
        <v>(0.0100)</v>
      </c>
      <c r="IE37" t="str">
        <f>"(0.0251)"</f>
        <v>(0.0251)</v>
      </c>
      <c r="IF37" t="str">
        <f>"(0.0193)"</f>
        <v>(0.0193)</v>
      </c>
      <c r="IG37" t="str">
        <f>"(0.0102)"</f>
        <v>(0.0102)</v>
      </c>
      <c r="IH37" t="str">
        <f>"(0.0249)"</f>
        <v>(0.0249)</v>
      </c>
      <c r="II37" t="str">
        <f>"(0.0193)"</f>
        <v>(0.0193)</v>
      </c>
      <c r="IJ37" t="str">
        <f>"(0.0101)"</f>
        <v>(0.0101)</v>
      </c>
      <c r="IK37" t="str">
        <f>"(0.0250)"</f>
        <v>(0.0250)</v>
      </c>
      <c r="IL37" t="str">
        <f>"(0.0191)"</f>
        <v>(0.0191)</v>
      </c>
      <c r="IM37" t="str">
        <f>"(0.0100)"</f>
        <v>(0.0100)</v>
      </c>
      <c r="IN37" t="str">
        <f>"(0.0249)"</f>
        <v>(0.0249)</v>
      </c>
      <c r="IO37" t="str">
        <f>"(0.0191)"</f>
        <v>(0.0191)</v>
      </c>
      <c r="IP37" t="str">
        <f>"(0.0100)"</f>
        <v>(0.0100)</v>
      </c>
      <c r="IQ37" t="str">
        <f>"(0.0250)"</f>
        <v>(0.0250)</v>
      </c>
      <c r="IR37" t="str">
        <f>"(0.0191)"</f>
        <v>(0.0191)</v>
      </c>
      <c r="IS37" t="str">
        <f>"(0.0100)"</f>
        <v>(0.0100)</v>
      </c>
      <c r="IT37" t="str">
        <f>"(0.0249)"</f>
        <v>(0.0249)</v>
      </c>
      <c r="IU37" t="str">
        <f>"(0.0192)"</f>
        <v>(0.0192)</v>
      </c>
      <c r="IV37" t="str">
        <f>"(0.0100)"</f>
        <v>(0.0100)</v>
      </c>
      <c r="IW37" t="str">
        <f>"(0.0250)"</f>
        <v>(0.0250)</v>
      </c>
      <c r="IX37" t="str">
        <f>"(0.0192)"</f>
        <v>(0.0192)</v>
      </c>
      <c r="IY37" t="str">
        <f>"(0.0101)"</f>
        <v>(0.0101)</v>
      </c>
      <c r="IZ37" t="str">
        <f>"(0.0250)"</f>
        <v>(0.0250)</v>
      </c>
      <c r="JA37" t="str">
        <f>"(0.0192)"</f>
        <v>(0.0192)</v>
      </c>
      <c r="JB37" t="str">
        <f>"(0.0100)"</f>
        <v>(0.0100)</v>
      </c>
      <c r="JC37" t="str">
        <f>"(0.0250)"</f>
        <v>(0.0250)</v>
      </c>
      <c r="JD37" t="str">
        <f>"(0.0191)"</f>
        <v>(0.0191)</v>
      </c>
      <c r="JE37" t="str">
        <f>"(0.0100)"</f>
        <v>(0.0100)</v>
      </c>
      <c r="JF37" t="str">
        <f>"(0.0250)"</f>
        <v>(0.0250)</v>
      </c>
      <c r="JG37" t="str">
        <f>"(0.0191)"</f>
        <v>(0.0191)</v>
      </c>
      <c r="JH37" t="str">
        <f>"(0.0100)"</f>
        <v>(0.0100)</v>
      </c>
      <c r="JI37" t="str">
        <f>"(0.0249)"</f>
        <v>(0.0249)</v>
      </c>
      <c r="JJ37" t="str">
        <f>"(0.0191)"</f>
        <v>(0.0191)</v>
      </c>
      <c r="JK37" t="str">
        <f>"(0.0100)"</f>
        <v>(0.0100)</v>
      </c>
    </row>
    <row r="39" spans="1:271" x14ac:dyDescent="0.3">
      <c r="A39" t="str">
        <f>"srhbr"</f>
        <v>srhbr</v>
      </c>
      <c r="B39" t="str">
        <f>"0.337***"</f>
        <v>0.337***</v>
      </c>
      <c r="C39" t="str">
        <f>"0.378***"</f>
        <v>0.378***</v>
      </c>
      <c r="D39" t="str">
        <f>"0.472***"</f>
        <v>0.472***</v>
      </c>
      <c r="E39" t="str">
        <f>"0.356***"</f>
        <v>0.356***</v>
      </c>
      <c r="F39" t="str">
        <f>"0.396***"</f>
        <v>0.396***</v>
      </c>
      <c r="G39" t="str">
        <f>"0.498***"</f>
        <v>0.498***</v>
      </c>
      <c r="H39" t="str">
        <f>"0.366***"</f>
        <v>0.366***</v>
      </c>
      <c r="I39" t="str">
        <f>"0.401***"</f>
        <v>0.401***</v>
      </c>
      <c r="J39" t="str">
        <f>"0.486***"</f>
        <v>0.486***</v>
      </c>
      <c r="K39" t="str">
        <f>"0.343***"</f>
        <v>0.343***</v>
      </c>
      <c r="L39" t="str">
        <f>"0.384***"</f>
        <v>0.384***</v>
      </c>
      <c r="M39" t="str">
        <f>"0.477***"</f>
        <v>0.477***</v>
      </c>
      <c r="N39" t="str">
        <f>"0.355***"</f>
        <v>0.355***</v>
      </c>
      <c r="O39" t="str">
        <f>"0.396***"</f>
        <v>0.396***</v>
      </c>
      <c r="P39" t="str">
        <f>"0.474***"</f>
        <v>0.474***</v>
      </c>
      <c r="Q39" t="str">
        <f>"0.356***"</f>
        <v>0.356***</v>
      </c>
      <c r="R39" t="str">
        <f>"0.394***"</f>
        <v>0.394***</v>
      </c>
      <c r="S39" t="str">
        <f>"0.495***"</f>
        <v>0.495***</v>
      </c>
      <c r="T39" t="str">
        <f>"0.348***"</f>
        <v>0.348***</v>
      </c>
      <c r="U39" t="str">
        <f>"0.388***"</f>
        <v>0.388***</v>
      </c>
      <c r="V39" t="str">
        <f>"0.486***"</f>
        <v>0.486***</v>
      </c>
      <c r="W39" t="str">
        <f>"0.347***"</f>
        <v>0.347***</v>
      </c>
      <c r="X39" t="str">
        <f>"0.389***"</f>
        <v>0.389***</v>
      </c>
      <c r="Y39" t="str">
        <f>"0.492***"</f>
        <v>0.492***</v>
      </c>
      <c r="Z39" t="str">
        <f>"0.343***"</f>
        <v>0.343***</v>
      </c>
      <c r="AA39" t="str">
        <f>"0.386***"</f>
        <v>0.386***</v>
      </c>
      <c r="AB39" t="str">
        <f>"0.486***"</f>
        <v>0.486***</v>
      </c>
      <c r="AC39" t="str">
        <f>"0.352***"</f>
        <v>0.352***</v>
      </c>
      <c r="AD39" t="str">
        <f>"0.391***"</f>
        <v>0.391***</v>
      </c>
      <c r="AE39" t="str">
        <f>"0.494***"</f>
        <v>0.494***</v>
      </c>
      <c r="AF39" t="str">
        <f>"0.349***"</f>
        <v>0.349***</v>
      </c>
      <c r="AG39" t="str">
        <f>"0.391***"</f>
        <v>0.391***</v>
      </c>
      <c r="AH39" t="str">
        <f>"0.491***"</f>
        <v>0.491***</v>
      </c>
      <c r="AI39" t="str">
        <f>"0.348***"</f>
        <v>0.348***</v>
      </c>
      <c r="AJ39" t="str">
        <f>"0.391***"</f>
        <v>0.391***</v>
      </c>
      <c r="AK39" t="str">
        <f>"0.492***"</f>
        <v>0.492***</v>
      </c>
      <c r="AL39" t="str">
        <f>"0.345***"</f>
        <v>0.345***</v>
      </c>
      <c r="AM39" t="str">
        <f>"0.390***"</f>
        <v>0.390***</v>
      </c>
      <c r="AN39" t="str">
        <f>"0.487***"</f>
        <v>0.487***</v>
      </c>
      <c r="AO39" t="str">
        <f>"0.350***"</f>
        <v>0.350***</v>
      </c>
      <c r="AP39" t="str">
        <f>"0.392***"</f>
        <v>0.392***</v>
      </c>
      <c r="AQ39" t="str">
        <f>"0.492***"</f>
        <v>0.492***</v>
      </c>
      <c r="AR39" t="str">
        <f>"0.347***"</f>
        <v>0.347***</v>
      </c>
      <c r="AS39" t="str">
        <f>"0.390***"</f>
        <v>0.390***</v>
      </c>
      <c r="AT39" t="str">
        <f>"0.493***"</f>
        <v>0.493***</v>
      </c>
      <c r="AU39" t="str">
        <f>"0.337***"</f>
        <v>0.337***</v>
      </c>
      <c r="AV39" t="str">
        <f>"0.376***"</f>
        <v>0.376***</v>
      </c>
      <c r="AW39" t="str">
        <f>"0.472***"</f>
        <v>0.472***</v>
      </c>
      <c r="AX39" t="str">
        <f>"0.357***"</f>
        <v>0.357***</v>
      </c>
      <c r="AY39" t="str">
        <f>"0.396***"</f>
        <v>0.396***</v>
      </c>
      <c r="AZ39" t="str">
        <f>"0.498***"</f>
        <v>0.498***</v>
      </c>
      <c r="BA39" t="str">
        <f>"0.366***"</f>
        <v>0.366***</v>
      </c>
      <c r="BB39" t="str">
        <f>"0.401***"</f>
        <v>0.401***</v>
      </c>
      <c r="BC39" t="str">
        <f>"0.486***"</f>
        <v>0.486***</v>
      </c>
      <c r="BD39" t="str">
        <f>"0.343***"</f>
        <v>0.343***</v>
      </c>
      <c r="BE39" t="str">
        <f>"0.383***"</f>
        <v>0.383***</v>
      </c>
      <c r="BF39" t="str">
        <f>"0.476***"</f>
        <v>0.476***</v>
      </c>
      <c r="BG39" t="str">
        <f>"0.354***"</f>
        <v>0.354***</v>
      </c>
      <c r="BH39" t="str">
        <f>"0.397***"</f>
        <v>0.397***</v>
      </c>
      <c r="BI39" t="str">
        <f>"0.474***"</f>
        <v>0.474***</v>
      </c>
      <c r="BJ39" t="str">
        <f>"0.356***"</f>
        <v>0.356***</v>
      </c>
      <c r="BK39" t="str">
        <f>"0.394***"</f>
        <v>0.394***</v>
      </c>
      <c r="BL39" t="str">
        <f>"0.495***"</f>
        <v>0.495***</v>
      </c>
      <c r="BM39" t="str">
        <f>"0.348***"</f>
        <v>0.348***</v>
      </c>
      <c r="BN39" t="str">
        <f>"0.387***"</f>
        <v>0.387***</v>
      </c>
      <c r="BO39" t="str">
        <f>"0.486***"</f>
        <v>0.486***</v>
      </c>
      <c r="BP39" t="str">
        <f>"0.346***"</f>
        <v>0.346***</v>
      </c>
      <c r="BQ39" t="str">
        <f>"0.388***"</f>
        <v>0.388***</v>
      </c>
      <c r="BR39" t="str">
        <f>"0.492***"</f>
        <v>0.492***</v>
      </c>
      <c r="BS39" t="str">
        <f>"0.344***"</f>
        <v>0.344***</v>
      </c>
      <c r="BT39" t="str">
        <f>"0.388***"</f>
        <v>0.388***</v>
      </c>
      <c r="BU39" t="str">
        <f>"0.486***"</f>
        <v>0.486***</v>
      </c>
      <c r="BV39" t="str">
        <f>"0.350***"</f>
        <v>0.350***</v>
      </c>
      <c r="BW39" t="str">
        <f>"0.391***"</f>
        <v>0.391***</v>
      </c>
      <c r="BX39" t="str">
        <f>"0.493***"</f>
        <v>0.493***</v>
      </c>
      <c r="BY39" t="str">
        <f>"0.349***"</f>
        <v>0.349***</v>
      </c>
      <c r="BZ39" t="str">
        <f>"0.391***"</f>
        <v>0.391***</v>
      </c>
      <c r="CA39" t="str">
        <f>"0.491***"</f>
        <v>0.491***</v>
      </c>
      <c r="CB39" t="str">
        <f>"0.347***"</f>
        <v>0.347***</v>
      </c>
      <c r="CC39" t="str">
        <f>"0.393***"</f>
        <v>0.393***</v>
      </c>
      <c r="CD39" t="str">
        <f>"0.493***"</f>
        <v>0.493***</v>
      </c>
      <c r="CE39" t="str">
        <f>"0.347***"</f>
        <v>0.347***</v>
      </c>
      <c r="CF39" t="str">
        <f>"0.390***"</f>
        <v>0.390***</v>
      </c>
      <c r="CG39" t="str">
        <f>"0.486***"</f>
        <v>0.486***</v>
      </c>
      <c r="CH39" t="str">
        <f>"0.351***"</f>
        <v>0.351***</v>
      </c>
      <c r="CI39" t="str">
        <f>"0.392***"</f>
        <v>0.392***</v>
      </c>
      <c r="CJ39" t="str">
        <f>"0.492***"</f>
        <v>0.492***</v>
      </c>
      <c r="CK39" t="str">
        <f>"0.347***"</f>
        <v>0.347***</v>
      </c>
      <c r="CL39" t="str">
        <f>"0.390***"</f>
        <v>0.390***</v>
      </c>
      <c r="CM39" t="str">
        <f>"0.493***"</f>
        <v>0.493***</v>
      </c>
      <c r="CN39" t="str">
        <f>"0.337***"</f>
        <v>0.337***</v>
      </c>
      <c r="CO39" t="str">
        <f>"0.375***"</f>
        <v>0.375***</v>
      </c>
      <c r="CP39" t="str">
        <f>"0.472***"</f>
        <v>0.472***</v>
      </c>
      <c r="CQ39" t="str">
        <f>"0.356***"</f>
        <v>0.356***</v>
      </c>
      <c r="CR39" t="str">
        <f>"0.395***"</f>
        <v>0.395***</v>
      </c>
      <c r="CS39" t="str">
        <f>"0.498***"</f>
        <v>0.498***</v>
      </c>
      <c r="CT39" t="str">
        <f>"0.366***"</f>
        <v>0.366***</v>
      </c>
      <c r="CU39" t="str">
        <f>"0.400***"</f>
        <v>0.400***</v>
      </c>
      <c r="CV39" t="str">
        <f>"0.486***"</f>
        <v>0.486***</v>
      </c>
      <c r="CW39" t="str">
        <f>"0.342***"</f>
        <v>0.342***</v>
      </c>
      <c r="CX39" t="str">
        <f>"0.383***"</f>
        <v>0.383***</v>
      </c>
      <c r="CY39" t="str">
        <f>"0.476***"</f>
        <v>0.476***</v>
      </c>
      <c r="CZ39" t="str">
        <f>"0.356***"</f>
        <v>0.356***</v>
      </c>
      <c r="DA39" t="str">
        <f>"0.396***"</f>
        <v>0.396***</v>
      </c>
      <c r="DB39" t="str">
        <f>"0.473***"</f>
        <v>0.473***</v>
      </c>
      <c r="DC39" t="str">
        <f>"0.356***"</f>
        <v>0.356***</v>
      </c>
      <c r="DD39" t="str">
        <f>"0.393***"</f>
        <v>0.393***</v>
      </c>
      <c r="DE39" t="str">
        <f>"0.495***"</f>
        <v>0.495***</v>
      </c>
      <c r="DF39" t="str">
        <f>"0.349***"</f>
        <v>0.349***</v>
      </c>
      <c r="DG39" t="str">
        <f>"0.387***"</f>
        <v>0.387***</v>
      </c>
      <c r="DH39" t="str">
        <f>"0.486***"</f>
        <v>0.486***</v>
      </c>
      <c r="DI39" t="str">
        <f>"0.347***"</f>
        <v>0.347***</v>
      </c>
      <c r="DJ39" t="str">
        <f>"0.387***"</f>
        <v>0.387***</v>
      </c>
      <c r="DK39" t="str">
        <f>"0.491***"</f>
        <v>0.491***</v>
      </c>
      <c r="DL39" t="str">
        <f>"0.343***"</f>
        <v>0.343***</v>
      </c>
      <c r="DM39" t="str">
        <f>"0.385***"</f>
        <v>0.385***</v>
      </c>
      <c r="DN39" t="str">
        <f>"0.486***"</f>
        <v>0.486***</v>
      </c>
      <c r="DO39" t="str">
        <f>"0.351***"</f>
        <v>0.351***</v>
      </c>
      <c r="DP39" t="str">
        <f>"0.390***"</f>
        <v>0.390***</v>
      </c>
      <c r="DQ39" t="str">
        <f>"0.494***"</f>
        <v>0.494***</v>
      </c>
      <c r="DR39" t="str">
        <f>"0.349***"</f>
        <v>0.349***</v>
      </c>
      <c r="DS39" t="str">
        <f>"0.390***"</f>
        <v>0.390***</v>
      </c>
      <c r="DT39" t="str">
        <f>"0.491***"</f>
        <v>0.491***</v>
      </c>
      <c r="DU39" t="str">
        <f>"0.348***"</f>
        <v>0.348***</v>
      </c>
      <c r="DV39" t="str">
        <f>"0.390***"</f>
        <v>0.390***</v>
      </c>
      <c r="DW39" t="str">
        <f>"0.492***"</f>
        <v>0.492***</v>
      </c>
      <c r="DX39" t="str">
        <f>"0.344***"</f>
        <v>0.344***</v>
      </c>
      <c r="DY39" t="str">
        <f>"0.389***"</f>
        <v>0.389***</v>
      </c>
      <c r="DZ39" t="str">
        <f>"0.487***"</f>
        <v>0.487***</v>
      </c>
      <c r="EA39" t="str">
        <f>"0.349***"</f>
        <v>0.349***</v>
      </c>
      <c r="EB39" t="str">
        <f>"0.391***"</f>
        <v>0.391***</v>
      </c>
      <c r="EC39" t="str">
        <f>"0.492***"</f>
        <v>0.492***</v>
      </c>
      <c r="ED39" t="str">
        <f>"0.347***"</f>
        <v>0.347***</v>
      </c>
      <c r="EE39" t="str">
        <f>"0.390***"</f>
        <v>0.390***</v>
      </c>
      <c r="EF39" t="str">
        <f>"0.492***"</f>
        <v>0.492***</v>
      </c>
      <c r="EG39" t="str">
        <f>"0.338***"</f>
        <v>0.338***</v>
      </c>
      <c r="EH39" t="str">
        <f>"0.376***"</f>
        <v>0.376***</v>
      </c>
      <c r="EI39" t="str">
        <f>"0.472***"</f>
        <v>0.472***</v>
      </c>
      <c r="EJ39" t="str">
        <f>"0.358***"</f>
        <v>0.358***</v>
      </c>
      <c r="EK39" t="str">
        <f>"0.396***"</f>
        <v>0.396***</v>
      </c>
      <c r="EL39" t="str">
        <f>"0.498***"</f>
        <v>0.498***</v>
      </c>
      <c r="EM39" t="str">
        <f>"0.366***"</f>
        <v>0.366***</v>
      </c>
      <c r="EN39" t="str">
        <f>"0.401***"</f>
        <v>0.401***</v>
      </c>
      <c r="EO39" t="str">
        <f>"0.486***"</f>
        <v>0.486***</v>
      </c>
      <c r="EP39" t="str">
        <f>"0.344***"</f>
        <v>0.344***</v>
      </c>
      <c r="EQ39" t="str">
        <f>"0.384***"</f>
        <v>0.384***</v>
      </c>
      <c r="ER39" t="str">
        <f>"0.477***"</f>
        <v>0.477***</v>
      </c>
      <c r="ES39" t="str">
        <f>"0.353***"</f>
        <v>0.353***</v>
      </c>
      <c r="ET39" t="str">
        <f>"0.396***"</f>
        <v>0.396***</v>
      </c>
      <c r="EU39" t="str">
        <f>"0.473***"</f>
        <v>0.473***</v>
      </c>
      <c r="EV39" t="str">
        <f>"0.356***"</f>
        <v>0.356***</v>
      </c>
      <c r="EW39" t="str">
        <f>"0.393***"</f>
        <v>0.393***</v>
      </c>
      <c r="EX39" t="str">
        <f>"0.495***"</f>
        <v>0.495***</v>
      </c>
      <c r="EY39" t="str">
        <f>"0.350***"</f>
        <v>0.350***</v>
      </c>
      <c r="EZ39" t="str">
        <f>"0.387***"</f>
        <v>0.387***</v>
      </c>
      <c r="FA39" t="str">
        <f>"0.486***"</f>
        <v>0.486***</v>
      </c>
      <c r="FB39" t="str">
        <f>"0.347***"</f>
        <v>0.347***</v>
      </c>
      <c r="FC39" t="str">
        <f>"0.388***"</f>
        <v>0.388***</v>
      </c>
      <c r="FD39" t="str">
        <f>"0.491***"</f>
        <v>0.491***</v>
      </c>
      <c r="FE39" t="str">
        <f>"0.343***"</f>
        <v>0.343***</v>
      </c>
      <c r="FF39" t="str">
        <f>"0.385***"</f>
        <v>0.385***</v>
      </c>
      <c r="FG39" t="str">
        <f>"0.486***"</f>
        <v>0.486***</v>
      </c>
      <c r="FH39" t="str">
        <f>"0.351***"</f>
        <v>0.351***</v>
      </c>
      <c r="FI39" t="str">
        <f>"0.391***"</f>
        <v>0.391***</v>
      </c>
      <c r="FJ39" t="str">
        <f>"0.494***"</f>
        <v>0.494***</v>
      </c>
      <c r="FK39" t="str">
        <f>"0.349***"</f>
        <v>0.349***</v>
      </c>
      <c r="FL39" t="str">
        <f>"0.391***"</f>
        <v>0.391***</v>
      </c>
      <c r="FM39" t="str">
        <f>"0.491***"</f>
        <v>0.491***</v>
      </c>
      <c r="FN39" t="str">
        <f>"0.349***"</f>
        <v>0.349***</v>
      </c>
      <c r="FO39" t="str">
        <f>"0.390***"</f>
        <v>0.390***</v>
      </c>
      <c r="FP39" t="str">
        <f>"0.492***"</f>
        <v>0.492***</v>
      </c>
      <c r="FQ39" t="str">
        <f>"0.343***"</f>
        <v>0.343***</v>
      </c>
      <c r="FR39" t="str">
        <f>"0.389***"</f>
        <v>0.389***</v>
      </c>
      <c r="FS39" t="str">
        <f>"0.487***"</f>
        <v>0.487***</v>
      </c>
      <c r="FT39" t="str">
        <f>"0.352***"</f>
        <v>0.352***</v>
      </c>
      <c r="FU39" t="str">
        <f>"0.393***"</f>
        <v>0.393***</v>
      </c>
      <c r="FV39" t="str">
        <f>"0.492***"</f>
        <v>0.492***</v>
      </c>
      <c r="FW39" t="str">
        <f>"0.346***"</f>
        <v>0.346***</v>
      </c>
      <c r="FX39" t="str">
        <f>"0.390***"</f>
        <v>0.390***</v>
      </c>
      <c r="FY39" t="str">
        <f>"0.492***"</f>
        <v>0.492***</v>
      </c>
      <c r="FZ39" t="str">
        <f>"0.337***"</f>
        <v>0.337***</v>
      </c>
      <c r="GA39" t="str">
        <f>"0.377***"</f>
        <v>0.377***</v>
      </c>
      <c r="GB39" t="str">
        <f>"0.472***"</f>
        <v>0.472***</v>
      </c>
      <c r="GC39" t="str">
        <f>"0.357***"</f>
        <v>0.357***</v>
      </c>
      <c r="GD39" t="str">
        <f>"0.396***"</f>
        <v>0.396***</v>
      </c>
      <c r="GE39" t="str">
        <f>"0.498***"</f>
        <v>0.498***</v>
      </c>
      <c r="GF39" t="str">
        <f>"0.366***"</f>
        <v>0.366***</v>
      </c>
      <c r="GG39" t="str">
        <f>"0.401***"</f>
        <v>0.401***</v>
      </c>
      <c r="GH39" t="str">
        <f>"0.486***"</f>
        <v>0.486***</v>
      </c>
      <c r="GI39" t="str">
        <f>"0.343***"</f>
        <v>0.343***</v>
      </c>
      <c r="GJ39" t="str">
        <f>"0.384***"</f>
        <v>0.384***</v>
      </c>
      <c r="GK39" t="str">
        <f>"0.476***"</f>
        <v>0.476***</v>
      </c>
      <c r="GL39" t="str">
        <f>"0.354***"</f>
        <v>0.354***</v>
      </c>
      <c r="GM39" t="str">
        <f>"0.396***"</f>
        <v>0.396***</v>
      </c>
      <c r="GN39" t="str">
        <f>"0.473***"</f>
        <v>0.473***</v>
      </c>
      <c r="GO39" t="str">
        <f>"0.356***"</f>
        <v>0.356***</v>
      </c>
      <c r="GP39" t="str">
        <f>"0.394***"</f>
        <v>0.394***</v>
      </c>
      <c r="GQ39" t="str">
        <f>"0.495***"</f>
        <v>0.495***</v>
      </c>
      <c r="GR39" t="str">
        <f>"0.349***"</f>
        <v>0.349***</v>
      </c>
      <c r="GS39" t="str">
        <f>"0.388***"</f>
        <v>0.388***</v>
      </c>
      <c r="GT39" t="str">
        <f>"0.485***"</f>
        <v>0.485***</v>
      </c>
      <c r="GU39" t="str">
        <f>"0.346***"</f>
        <v>0.346***</v>
      </c>
      <c r="GV39" t="str">
        <f>"0.389***"</f>
        <v>0.389***</v>
      </c>
      <c r="GW39" t="str">
        <f>"0.492***"</f>
        <v>0.492***</v>
      </c>
      <c r="GX39" t="str">
        <f>"0.343***"</f>
        <v>0.343***</v>
      </c>
      <c r="GY39" t="str">
        <f>"0.386***"</f>
        <v>0.386***</v>
      </c>
      <c r="GZ39" t="str">
        <f>"0.486***"</f>
        <v>0.486***</v>
      </c>
      <c r="HA39" t="str">
        <f>"0.352***"</f>
        <v>0.352***</v>
      </c>
      <c r="HB39" t="str">
        <f>"0.392***"</f>
        <v>0.392***</v>
      </c>
      <c r="HC39" t="str">
        <f>"0.494***"</f>
        <v>0.494***</v>
      </c>
      <c r="HD39" t="str">
        <f>"0.349***"</f>
        <v>0.349***</v>
      </c>
      <c r="HE39" t="str">
        <f>"0.392***"</f>
        <v>0.392***</v>
      </c>
      <c r="HF39" t="str">
        <f>"0.491***"</f>
        <v>0.491***</v>
      </c>
      <c r="HG39" t="str">
        <f>"0.348***"</f>
        <v>0.348***</v>
      </c>
      <c r="HH39" t="str">
        <f>"0.391***"</f>
        <v>0.391***</v>
      </c>
      <c r="HI39" t="str">
        <f>"0.492***"</f>
        <v>0.492***</v>
      </c>
      <c r="HJ39" t="str">
        <f>"0.344***"</f>
        <v>0.344***</v>
      </c>
      <c r="HK39" t="str">
        <f>"0.390***"</f>
        <v>0.390***</v>
      </c>
      <c r="HL39" t="str">
        <f>"0.487***"</f>
        <v>0.487***</v>
      </c>
      <c r="HM39" t="str">
        <f>"0.350***"</f>
        <v>0.350***</v>
      </c>
      <c r="HN39" t="str">
        <f>"0.393***"</f>
        <v>0.393***</v>
      </c>
      <c r="HO39" t="str">
        <f>"0.492***"</f>
        <v>0.492***</v>
      </c>
      <c r="HP39" t="str">
        <f>"0.347***"</f>
        <v>0.347***</v>
      </c>
      <c r="HQ39" t="str">
        <f>"0.390***"</f>
        <v>0.390***</v>
      </c>
      <c r="HR39" t="str">
        <f>"0.493***"</f>
        <v>0.493***</v>
      </c>
      <c r="HS39" t="str">
        <f>"0.337***"</f>
        <v>0.337***</v>
      </c>
      <c r="HT39" t="str">
        <f>"0.378***"</f>
        <v>0.378***</v>
      </c>
      <c r="HU39" t="str">
        <f>"0.472***"</f>
        <v>0.472***</v>
      </c>
      <c r="HV39" t="str">
        <f>"0.357***"</f>
        <v>0.357***</v>
      </c>
      <c r="HW39" t="str">
        <f>"0.397***"</f>
        <v>0.397***</v>
      </c>
      <c r="HX39" t="str">
        <f>"0.498***"</f>
        <v>0.498***</v>
      </c>
      <c r="HY39" t="str">
        <f>"0.366***"</f>
        <v>0.366***</v>
      </c>
      <c r="HZ39" t="str">
        <f>"0.401***"</f>
        <v>0.401***</v>
      </c>
      <c r="IA39" t="str">
        <f>"0.486***"</f>
        <v>0.486***</v>
      </c>
      <c r="IB39" t="str">
        <f>"0.343***"</f>
        <v>0.343***</v>
      </c>
      <c r="IC39" t="str">
        <f>"0.384***"</f>
        <v>0.384***</v>
      </c>
      <c r="ID39" t="str">
        <f>"0.476***"</f>
        <v>0.476***</v>
      </c>
      <c r="IE39" t="str">
        <f>"0.353***"</f>
        <v>0.353***</v>
      </c>
      <c r="IF39" t="str">
        <f>"0.397***"</f>
        <v>0.397***</v>
      </c>
      <c r="IG39" t="str">
        <f>"0.473***"</f>
        <v>0.473***</v>
      </c>
      <c r="IH39" t="str">
        <f>"0.356***"</f>
        <v>0.356***</v>
      </c>
      <c r="II39" t="str">
        <f>"0.394***"</f>
        <v>0.394***</v>
      </c>
      <c r="IJ39" t="str">
        <f>"0.495***"</f>
        <v>0.495***</v>
      </c>
      <c r="IK39" t="str">
        <f>"0.348***"</f>
        <v>0.348***</v>
      </c>
      <c r="IL39" t="str">
        <f>"0.388***"</f>
        <v>0.388***</v>
      </c>
      <c r="IM39" t="str">
        <f>"0.486***"</f>
        <v>0.486***</v>
      </c>
      <c r="IN39" t="str">
        <f>"0.346***"</f>
        <v>0.346***</v>
      </c>
      <c r="IO39" t="str">
        <f>"0.388***"</f>
        <v>0.388***</v>
      </c>
      <c r="IP39" t="str">
        <f>"0.492***"</f>
        <v>0.492***</v>
      </c>
      <c r="IQ39" t="str">
        <f>"0.343***"</f>
        <v>0.343***</v>
      </c>
      <c r="IR39" t="str">
        <f>"0.386***"</f>
        <v>0.386***</v>
      </c>
      <c r="IS39" t="str">
        <f>"0.486***"</f>
        <v>0.486***</v>
      </c>
      <c r="IT39" t="str">
        <f>"0.350***"</f>
        <v>0.350***</v>
      </c>
      <c r="IU39" t="str">
        <f>"0.391***"</f>
        <v>0.391***</v>
      </c>
      <c r="IV39" t="str">
        <f>"0.494***"</f>
        <v>0.494***</v>
      </c>
      <c r="IW39" t="str">
        <f>"0.349***"</f>
        <v>0.349***</v>
      </c>
      <c r="IX39" t="str">
        <f>"0.392***"</f>
        <v>0.392***</v>
      </c>
      <c r="IY39" t="str">
        <f>"0.491***"</f>
        <v>0.491***</v>
      </c>
      <c r="IZ39" t="str">
        <f>"0.348***"</f>
        <v>0.348***</v>
      </c>
      <c r="JA39" t="str">
        <f>"0.392***"</f>
        <v>0.392***</v>
      </c>
      <c r="JB39" t="str">
        <f>"0.492***"</f>
        <v>0.492***</v>
      </c>
      <c r="JC39" t="str">
        <f>"0.344***"</f>
        <v>0.344***</v>
      </c>
      <c r="JD39" t="str">
        <f>"0.390***"</f>
        <v>0.390***</v>
      </c>
      <c r="JE39" t="str">
        <f>"0.487***"</f>
        <v>0.487***</v>
      </c>
      <c r="JF39" t="str">
        <f>"0.350***"</f>
        <v>0.350***</v>
      </c>
      <c r="JG39" t="str">
        <f>"0.394***"</f>
        <v>0.394***</v>
      </c>
      <c r="JH39" t="str">
        <f>"0.492***"</f>
        <v>0.492***</v>
      </c>
      <c r="JI39" t="str">
        <f>"0.347***"</f>
        <v>0.347***</v>
      </c>
      <c r="JJ39" t="str">
        <f>"0.391***"</f>
        <v>0.391***</v>
      </c>
      <c r="JK39" t="str">
        <f>"0.493***"</f>
        <v>0.493***</v>
      </c>
    </row>
    <row r="40" spans="1:271" x14ac:dyDescent="0.3">
      <c r="A40" t="str">
        <f>""</f>
        <v/>
      </c>
      <c r="B40" t="str">
        <f>"(0.0798)"</f>
        <v>(0.0798)</v>
      </c>
      <c r="C40" t="str">
        <f>"(0.0630)"</f>
        <v>(0.0630)</v>
      </c>
      <c r="D40" t="str">
        <f>"(0.0334)"</f>
        <v>(0.0334)</v>
      </c>
      <c r="E40" t="str">
        <f>"(0.0794)"</f>
        <v>(0.0794)</v>
      </c>
      <c r="F40" t="str">
        <f>"(0.0626)"</f>
        <v>(0.0626)</v>
      </c>
      <c r="G40" t="str">
        <f>"(0.0331)"</f>
        <v>(0.0331)</v>
      </c>
      <c r="H40" t="str">
        <f>"(0.0796)"</f>
        <v>(0.0796)</v>
      </c>
      <c r="I40" t="str">
        <f>"(0.0627)"</f>
        <v>(0.0627)</v>
      </c>
      <c r="J40" t="str">
        <f>"(0.0333)"</f>
        <v>(0.0333)</v>
      </c>
      <c r="K40" t="str">
        <f>"(0.0799)"</f>
        <v>(0.0799)</v>
      </c>
      <c r="L40" t="str">
        <f>"(0.0629)"</f>
        <v>(0.0629)</v>
      </c>
      <c r="M40" t="str">
        <f>"(0.0333)"</f>
        <v>(0.0333)</v>
      </c>
      <c r="N40" t="str">
        <f>"(0.0797)"</f>
        <v>(0.0797)</v>
      </c>
      <c r="O40" t="str">
        <f>"(0.0628)"</f>
        <v>(0.0628)</v>
      </c>
      <c r="P40" t="str">
        <f>"(0.0334)"</f>
        <v>(0.0334)</v>
      </c>
      <c r="Q40" t="str">
        <f>"(0.0792)"</f>
        <v>(0.0792)</v>
      </c>
      <c r="R40" t="str">
        <f>"(0.0626)"</f>
        <v>(0.0626)</v>
      </c>
      <c r="S40" t="str">
        <f>"(0.0332)"</f>
        <v>(0.0332)</v>
      </c>
      <c r="T40" t="str">
        <f>"(0.0795)"</f>
        <v>(0.0795)</v>
      </c>
      <c r="U40" t="str">
        <f>"(0.0626)"</f>
        <v>(0.0626)</v>
      </c>
      <c r="V40" t="str">
        <f>"(0.0332)"</f>
        <v>(0.0332)</v>
      </c>
      <c r="W40" t="str">
        <f>"(0.0793)"</f>
        <v>(0.0793)</v>
      </c>
      <c r="X40" t="str">
        <f>"(0.0625)"</f>
        <v>(0.0625)</v>
      </c>
      <c r="Y40" t="str">
        <f>"(0.0332)"</f>
        <v>(0.0332)</v>
      </c>
      <c r="Z40" t="str">
        <f>"(0.0793)"</f>
        <v>(0.0793)</v>
      </c>
      <c r="AA40" t="str">
        <f>"(0.0626)"</f>
        <v>(0.0626)</v>
      </c>
      <c r="AB40" t="str">
        <f>"(0.0331)"</f>
        <v>(0.0331)</v>
      </c>
      <c r="AC40" t="str">
        <f>"(0.0793)"</f>
        <v>(0.0793)</v>
      </c>
      <c r="AD40" t="str">
        <f>"(0.0627)"</f>
        <v>(0.0627)</v>
      </c>
      <c r="AE40" t="str">
        <f>"(0.0331)"</f>
        <v>(0.0331)</v>
      </c>
      <c r="AF40" t="str">
        <f>"(0.0794)"</f>
        <v>(0.0794)</v>
      </c>
      <c r="AG40" t="str">
        <f>"(0.0627)"</f>
        <v>(0.0627)</v>
      </c>
      <c r="AH40" t="str">
        <f>"(0.0332)"</f>
        <v>(0.0332)</v>
      </c>
      <c r="AI40" t="str">
        <f>"(0.0793)"</f>
        <v>(0.0793)</v>
      </c>
      <c r="AJ40" t="str">
        <f>"(0.0626)"</f>
        <v>(0.0626)</v>
      </c>
      <c r="AK40" t="str">
        <f>"(0.0331)"</f>
        <v>(0.0331)</v>
      </c>
      <c r="AL40" t="str">
        <f>"(0.0795)"</f>
        <v>(0.0795)</v>
      </c>
      <c r="AM40" t="str">
        <f>"(0.0627)"</f>
        <v>(0.0627)</v>
      </c>
      <c r="AN40" t="str">
        <f>"(0.0332)"</f>
        <v>(0.0332)</v>
      </c>
      <c r="AO40" t="str">
        <f>"(0.0795)"</f>
        <v>(0.0795)</v>
      </c>
      <c r="AP40" t="str">
        <f>"(0.0627)"</f>
        <v>(0.0627)</v>
      </c>
      <c r="AQ40" t="str">
        <f>"(0.0332)"</f>
        <v>(0.0332)</v>
      </c>
      <c r="AR40" t="str">
        <f>"(0.0794)"</f>
        <v>(0.0794)</v>
      </c>
      <c r="AS40" t="str">
        <f>"(0.0626)"</f>
        <v>(0.0626)</v>
      </c>
      <c r="AT40" t="str">
        <f>"(0.0332)"</f>
        <v>(0.0332)</v>
      </c>
      <c r="AU40" t="str">
        <f>"(0.0799)"</f>
        <v>(0.0799)</v>
      </c>
      <c r="AV40" t="str">
        <f>"(0.0630)"</f>
        <v>(0.0630)</v>
      </c>
      <c r="AW40" t="str">
        <f>"(0.0334)"</f>
        <v>(0.0334)</v>
      </c>
      <c r="AX40" t="str">
        <f>"(0.0794)"</f>
        <v>(0.0794)</v>
      </c>
      <c r="AY40" t="str">
        <f>"(0.0626)"</f>
        <v>(0.0626)</v>
      </c>
      <c r="AZ40" t="str">
        <f>"(0.0332)"</f>
        <v>(0.0332)</v>
      </c>
      <c r="BA40" t="str">
        <f>"(0.0796)"</f>
        <v>(0.0796)</v>
      </c>
      <c r="BB40" t="str">
        <f>"(0.0627)"</f>
        <v>(0.0627)</v>
      </c>
      <c r="BC40" t="str">
        <f>"(0.0333)"</f>
        <v>(0.0333)</v>
      </c>
      <c r="BD40" t="str">
        <f>"(0.0799)"</f>
        <v>(0.0799)</v>
      </c>
      <c r="BE40" t="str">
        <f>"(0.0630)"</f>
        <v>(0.0630)</v>
      </c>
      <c r="BF40" t="str">
        <f>"(0.0334)"</f>
        <v>(0.0334)</v>
      </c>
      <c r="BG40" t="str">
        <f>"(0.0798)"</f>
        <v>(0.0798)</v>
      </c>
      <c r="BH40" t="str">
        <f>"(0.0629)"</f>
        <v>(0.0629)</v>
      </c>
      <c r="BI40" t="str">
        <f>"(0.0334)"</f>
        <v>(0.0334)</v>
      </c>
      <c r="BJ40" t="str">
        <f>"(0.0792)"</f>
        <v>(0.0792)</v>
      </c>
      <c r="BK40" t="str">
        <f>"(0.0625)"</f>
        <v>(0.0625)</v>
      </c>
      <c r="BL40" t="str">
        <f>"(0.0332)"</f>
        <v>(0.0332)</v>
      </c>
      <c r="BM40" t="str">
        <f>"(0.0795)"</f>
        <v>(0.0795)</v>
      </c>
      <c r="BN40" t="str">
        <f>"(0.0627)"</f>
        <v>(0.0627)</v>
      </c>
      <c r="BO40" t="str">
        <f>"(0.0332)"</f>
        <v>(0.0332)</v>
      </c>
      <c r="BP40" t="str">
        <f>"(0.0793)"</f>
        <v>(0.0793)</v>
      </c>
      <c r="BQ40" t="str">
        <f>"(0.0625)"</f>
        <v>(0.0625)</v>
      </c>
      <c r="BR40" t="str">
        <f>"(0.0332)"</f>
        <v>(0.0332)</v>
      </c>
      <c r="BS40" t="str">
        <f>"(0.0794)"</f>
        <v>(0.0794)</v>
      </c>
      <c r="BT40" t="str">
        <f>"(0.0626)"</f>
        <v>(0.0626)</v>
      </c>
      <c r="BU40" t="str">
        <f>"(0.0331)"</f>
        <v>(0.0331)</v>
      </c>
      <c r="BV40" t="str">
        <f>"(0.0794)"</f>
        <v>(0.0794)</v>
      </c>
      <c r="BW40" t="str">
        <f>"(0.0627)"</f>
        <v>(0.0627)</v>
      </c>
      <c r="BX40" t="str">
        <f>"(0.0332)"</f>
        <v>(0.0332)</v>
      </c>
      <c r="BY40" t="str">
        <f>"(0.0794)"</f>
        <v>(0.0794)</v>
      </c>
      <c r="BZ40" t="str">
        <f>"(0.0626)"</f>
        <v>(0.0626)</v>
      </c>
      <c r="CA40" t="str">
        <f>"(0.0332)"</f>
        <v>(0.0332)</v>
      </c>
      <c r="CB40" t="str">
        <f>"(0.0794)"</f>
        <v>(0.0794)</v>
      </c>
      <c r="CC40" t="str">
        <f>"(0.0626)"</f>
        <v>(0.0626)</v>
      </c>
      <c r="CD40" t="str">
        <f>"(0.0332)"</f>
        <v>(0.0332)</v>
      </c>
      <c r="CE40" t="str">
        <f>"(0.0794)"</f>
        <v>(0.0794)</v>
      </c>
      <c r="CF40" t="str">
        <f>"(0.0627)"</f>
        <v>(0.0627)</v>
      </c>
      <c r="CG40" t="str">
        <f>"(0.0332)"</f>
        <v>(0.0332)</v>
      </c>
      <c r="CH40" t="str">
        <f>"(0.0795)"</f>
        <v>(0.0795)</v>
      </c>
      <c r="CI40" t="str">
        <f>"(0.0627)"</f>
        <v>(0.0627)</v>
      </c>
      <c r="CJ40" t="str">
        <f>"(0.0332)"</f>
        <v>(0.0332)</v>
      </c>
      <c r="CK40" t="str">
        <f>"(0.0794)"</f>
        <v>(0.0794)</v>
      </c>
      <c r="CL40" t="str">
        <f>"(0.0626)"</f>
        <v>(0.0626)</v>
      </c>
      <c r="CM40" t="str">
        <f>"(0.0332)"</f>
        <v>(0.0332)</v>
      </c>
      <c r="CN40" t="str">
        <f>"(0.0798)"</f>
        <v>(0.0798)</v>
      </c>
      <c r="CO40" t="str">
        <f>"(0.0630)"</f>
        <v>(0.0630)</v>
      </c>
      <c r="CP40" t="str">
        <f>"(0.0334)"</f>
        <v>(0.0334)</v>
      </c>
      <c r="CQ40" t="str">
        <f>"(0.0794)"</f>
        <v>(0.0794)</v>
      </c>
      <c r="CR40" t="str">
        <f>"(0.0627)"</f>
        <v>(0.0627)</v>
      </c>
      <c r="CS40" t="str">
        <f>"(0.0332)"</f>
        <v>(0.0332)</v>
      </c>
      <c r="CT40" t="str">
        <f>"(0.0795)"</f>
        <v>(0.0795)</v>
      </c>
      <c r="CU40" t="str">
        <f>"(0.0627)"</f>
        <v>(0.0627)</v>
      </c>
      <c r="CV40" t="str">
        <f>"(0.0333)"</f>
        <v>(0.0333)</v>
      </c>
      <c r="CW40" t="str">
        <f>"(0.0799)"</f>
        <v>(0.0799)</v>
      </c>
      <c r="CX40" t="str">
        <f>"(0.0630)"</f>
        <v>(0.0630)</v>
      </c>
      <c r="CY40" t="str">
        <f>"(0.0333)"</f>
        <v>(0.0333)</v>
      </c>
      <c r="CZ40" t="str">
        <f>"(0.0798)"</f>
        <v>(0.0798)</v>
      </c>
      <c r="DA40" t="str">
        <f>"(0.0629)"</f>
        <v>(0.0629)</v>
      </c>
      <c r="DB40" t="str">
        <f>"(0.0334)"</f>
        <v>(0.0334)</v>
      </c>
      <c r="DC40" t="str">
        <f>"(0.0792)"</f>
        <v>(0.0792)</v>
      </c>
      <c r="DD40" t="str">
        <f>"(0.0626)"</f>
        <v>(0.0626)</v>
      </c>
      <c r="DE40" t="str">
        <f>"(0.0332)"</f>
        <v>(0.0332)</v>
      </c>
      <c r="DF40" t="str">
        <f>"(0.0794)"</f>
        <v>(0.0794)</v>
      </c>
      <c r="DG40" t="str">
        <f>"(0.0627)"</f>
        <v>(0.0627)</v>
      </c>
      <c r="DH40" t="str">
        <f>"(0.0332)"</f>
        <v>(0.0332)</v>
      </c>
      <c r="DI40" t="str">
        <f>"(0.0793)"</f>
        <v>(0.0793)</v>
      </c>
      <c r="DJ40" t="str">
        <f>"(0.0625)"</f>
        <v>(0.0625)</v>
      </c>
      <c r="DK40" t="str">
        <f>"(0.0332)"</f>
        <v>(0.0332)</v>
      </c>
      <c r="DL40" t="str">
        <f>"(0.0793)"</f>
        <v>(0.0793)</v>
      </c>
      <c r="DM40" t="str">
        <f>"(0.0626)"</f>
        <v>(0.0626)</v>
      </c>
      <c r="DN40" t="str">
        <f>"(0.0331)"</f>
        <v>(0.0331)</v>
      </c>
      <c r="DO40" t="str">
        <f>"(0.0794)"</f>
        <v>(0.0794)</v>
      </c>
      <c r="DP40" t="str">
        <f>"(0.0627)"</f>
        <v>(0.0627)</v>
      </c>
      <c r="DQ40" t="str">
        <f>"(0.0331)"</f>
        <v>(0.0331)</v>
      </c>
      <c r="DR40" t="str">
        <f>"(0.0794)"</f>
        <v>(0.0794)</v>
      </c>
      <c r="DS40" t="str">
        <f>"(0.0627)"</f>
        <v>(0.0627)</v>
      </c>
      <c r="DT40" t="str">
        <f>"(0.0332)"</f>
        <v>(0.0332)</v>
      </c>
      <c r="DU40" t="str">
        <f>"(0.0793)"</f>
        <v>(0.0793)</v>
      </c>
      <c r="DV40" t="str">
        <f>"(0.0626)"</f>
        <v>(0.0626)</v>
      </c>
      <c r="DW40" t="str">
        <f>"(0.0332)"</f>
        <v>(0.0332)</v>
      </c>
      <c r="DX40" t="str">
        <f>"(0.0794)"</f>
        <v>(0.0794)</v>
      </c>
      <c r="DY40" t="str">
        <f>"(0.0627)"</f>
        <v>(0.0627)</v>
      </c>
      <c r="DZ40" t="str">
        <f>"(0.0332)"</f>
        <v>(0.0332)</v>
      </c>
      <c r="EA40" t="str">
        <f>"(0.0795)"</f>
        <v>(0.0795)</v>
      </c>
      <c r="EB40" t="str">
        <f>"(0.0627)"</f>
        <v>(0.0627)</v>
      </c>
      <c r="EC40" t="str">
        <f>"(0.0332)"</f>
        <v>(0.0332)</v>
      </c>
      <c r="ED40" t="str">
        <f>"(0.0794)"</f>
        <v>(0.0794)</v>
      </c>
      <c r="EE40" t="str">
        <f>"(0.0627)"</f>
        <v>(0.0627)</v>
      </c>
      <c r="EF40" t="str">
        <f>"(0.0332)"</f>
        <v>(0.0332)</v>
      </c>
      <c r="EG40" t="str">
        <f>"(0.0799)"</f>
        <v>(0.0799)</v>
      </c>
      <c r="EH40" t="str">
        <f>"(0.0629)"</f>
        <v>(0.0629)</v>
      </c>
      <c r="EI40" t="str">
        <f>"(0.0334)"</f>
        <v>(0.0334)</v>
      </c>
      <c r="EJ40" t="str">
        <f>"(0.0795)"</f>
        <v>(0.0795)</v>
      </c>
      <c r="EK40" t="str">
        <f>"(0.0626)"</f>
        <v>(0.0626)</v>
      </c>
      <c r="EL40" t="str">
        <f>"(0.0332)"</f>
        <v>(0.0332)</v>
      </c>
      <c r="EM40" t="str">
        <f>"(0.0797)"</f>
        <v>(0.0797)</v>
      </c>
      <c r="EN40" t="str">
        <f>"(0.0627)"</f>
        <v>(0.0627)</v>
      </c>
      <c r="EO40" t="str">
        <f>"(0.0333)"</f>
        <v>(0.0333)</v>
      </c>
      <c r="EP40" t="str">
        <f>"(0.0800)"</f>
        <v>(0.0800)</v>
      </c>
      <c r="EQ40" t="str">
        <f>"(0.0629)"</f>
        <v>(0.0629)</v>
      </c>
      <c r="ER40" t="str">
        <f>"(0.0334)"</f>
        <v>(0.0334)</v>
      </c>
      <c r="ES40" t="str">
        <f>"(0.0798)"</f>
        <v>(0.0798)</v>
      </c>
      <c r="ET40" t="str">
        <f>"(0.0628)"</f>
        <v>(0.0628)</v>
      </c>
      <c r="EU40" t="str">
        <f>"(0.0334)"</f>
        <v>(0.0334)</v>
      </c>
      <c r="EV40" t="str">
        <f>"(0.0793)"</f>
        <v>(0.0793)</v>
      </c>
      <c r="EW40" t="str">
        <f>"(0.0625)"</f>
        <v>(0.0625)</v>
      </c>
      <c r="EX40" t="str">
        <f>"(0.0332)"</f>
        <v>(0.0332)</v>
      </c>
      <c r="EY40" t="str">
        <f>"(0.0796)"</f>
        <v>(0.0796)</v>
      </c>
      <c r="EZ40" t="str">
        <f>"(0.0626)"</f>
        <v>(0.0626)</v>
      </c>
      <c r="FA40" t="str">
        <f>"(0.0332)"</f>
        <v>(0.0332)</v>
      </c>
      <c r="FB40" t="str">
        <f>"(0.0794)"</f>
        <v>(0.0794)</v>
      </c>
      <c r="FC40" t="str">
        <f>"(0.0625)"</f>
        <v>(0.0625)</v>
      </c>
      <c r="FD40" t="str">
        <f>"(0.0332)"</f>
        <v>(0.0332)</v>
      </c>
      <c r="FE40" t="str">
        <f>"(0.0794)"</f>
        <v>(0.0794)</v>
      </c>
      <c r="FF40" t="str">
        <f>"(0.0625)"</f>
        <v>(0.0625)</v>
      </c>
      <c r="FG40" t="str">
        <f>"(0.0331)"</f>
        <v>(0.0331)</v>
      </c>
      <c r="FH40" t="str">
        <f>"(0.0795)"</f>
        <v>(0.0795)</v>
      </c>
      <c r="FI40" t="str">
        <f>"(0.0626)"</f>
        <v>(0.0626)</v>
      </c>
      <c r="FJ40" t="str">
        <f>"(0.0331)"</f>
        <v>(0.0331)</v>
      </c>
      <c r="FK40" t="str">
        <f>"(0.0795)"</f>
        <v>(0.0795)</v>
      </c>
      <c r="FL40" t="str">
        <f>"(0.0626)"</f>
        <v>(0.0626)</v>
      </c>
      <c r="FM40" t="str">
        <f>"(0.0332)"</f>
        <v>(0.0332)</v>
      </c>
      <c r="FN40" t="str">
        <f>"(0.0794)"</f>
        <v>(0.0794)</v>
      </c>
      <c r="FO40" t="str">
        <f>"(0.0625)"</f>
        <v>(0.0625)</v>
      </c>
      <c r="FP40" t="str">
        <f>"(0.0332)"</f>
        <v>(0.0332)</v>
      </c>
      <c r="FQ40" t="str">
        <f>"(0.0795)"</f>
        <v>(0.0795)</v>
      </c>
      <c r="FR40" t="str">
        <f>"(0.0626)"</f>
        <v>(0.0626)</v>
      </c>
      <c r="FS40" t="str">
        <f>"(0.0332)"</f>
        <v>(0.0332)</v>
      </c>
      <c r="FT40" t="str">
        <f>"(0.0796)"</f>
        <v>(0.0796)</v>
      </c>
      <c r="FU40" t="str">
        <f>"(0.0627)"</f>
        <v>(0.0627)</v>
      </c>
      <c r="FV40" t="str">
        <f>"(0.0332)"</f>
        <v>(0.0332)</v>
      </c>
      <c r="FW40" t="str">
        <f>"(0.0794)"</f>
        <v>(0.0794)</v>
      </c>
      <c r="FX40" t="str">
        <f>"(0.0626)"</f>
        <v>(0.0626)</v>
      </c>
      <c r="FY40" t="str">
        <f>"(0.0332)"</f>
        <v>(0.0332)</v>
      </c>
      <c r="FZ40" t="str">
        <f>"(0.0799)"</f>
        <v>(0.0799)</v>
      </c>
      <c r="GA40" t="str">
        <f>"(0.0629)"</f>
        <v>(0.0629)</v>
      </c>
      <c r="GB40" t="str">
        <f>"(0.0334)"</f>
        <v>(0.0334)</v>
      </c>
      <c r="GC40" t="str">
        <f>"(0.0794)"</f>
        <v>(0.0794)</v>
      </c>
      <c r="GD40" t="str">
        <f>"(0.0626)"</f>
        <v>(0.0626)</v>
      </c>
      <c r="GE40" t="str">
        <f>"(0.0332)"</f>
        <v>(0.0332)</v>
      </c>
      <c r="GF40" t="str">
        <f>"(0.0796)"</f>
        <v>(0.0796)</v>
      </c>
      <c r="GG40" t="str">
        <f>"(0.0627)"</f>
        <v>(0.0627)</v>
      </c>
      <c r="GH40" t="str">
        <f>"(0.0333)"</f>
        <v>(0.0333)</v>
      </c>
      <c r="GI40" t="str">
        <f>"(0.0799)"</f>
        <v>(0.0799)</v>
      </c>
      <c r="GJ40" t="str">
        <f>"(0.0629)"</f>
        <v>(0.0629)</v>
      </c>
      <c r="GK40" t="str">
        <f>"(0.0334)"</f>
        <v>(0.0334)</v>
      </c>
      <c r="GL40" t="str">
        <f>"(0.0797)"</f>
        <v>(0.0797)</v>
      </c>
      <c r="GM40" t="str">
        <f>"(0.0628)"</f>
        <v>(0.0628)</v>
      </c>
      <c r="GN40" t="str">
        <f>"(0.0334)"</f>
        <v>(0.0334)</v>
      </c>
      <c r="GO40" t="str">
        <f>"(0.0793)"</f>
        <v>(0.0793)</v>
      </c>
      <c r="GP40" t="str">
        <f>"(0.0625)"</f>
        <v>(0.0625)</v>
      </c>
      <c r="GQ40" t="str">
        <f>"(0.0332)"</f>
        <v>(0.0332)</v>
      </c>
      <c r="GR40" t="str">
        <f>"(0.0795)"</f>
        <v>(0.0795)</v>
      </c>
      <c r="GS40" t="str">
        <f>"(0.0626)"</f>
        <v>(0.0626)</v>
      </c>
      <c r="GT40" t="str">
        <f>"(0.0332)"</f>
        <v>(0.0332)</v>
      </c>
      <c r="GU40" t="str">
        <f>"(0.0794)"</f>
        <v>(0.0794)</v>
      </c>
      <c r="GV40" t="str">
        <f>"(0.0625)"</f>
        <v>(0.0625)</v>
      </c>
      <c r="GW40" t="str">
        <f>"(0.0332)"</f>
        <v>(0.0332)</v>
      </c>
      <c r="GX40" t="str">
        <f>"(0.0794)"</f>
        <v>(0.0794)</v>
      </c>
      <c r="GY40" t="str">
        <f>"(0.0625)"</f>
        <v>(0.0625)</v>
      </c>
      <c r="GZ40" t="str">
        <f>"(0.0331)"</f>
        <v>(0.0331)</v>
      </c>
      <c r="HA40" t="str">
        <f>"(0.0795)"</f>
        <v>(0.0795)</v>
      </c>
      <c r="HB40" t="str">
        <f>"(0.0626)"</f>
        <v>(0.0626)</v>
      </c>
      <c r="HC40" t="str">
        <f>"(0.0332)"</f>
        <v>(0.0332)</v>
      </c>
      <c r="HD40" t="str">
        <f>"(0.0795)"</f>
        <v>(0.0795)</v>
      </c>
      <c r="HE40" t="str">
        <f>"(0.0626)"</f>
        <v>(0.0626)</v>
      </c>
      <c r="HF40" t="str">
        <f>"(0.0332)"</f>
        <v>(0.0332)</v>
      </c>
      <c r="HG40" t="str">
        <f>"(0.0794)"</f>
        <v>(0.0794)</v>
      </c>
      <c r="HH40" t="str">
        <f>"(0.0625)"</f>
        <v>(0.0625)</v>
      </c>
      <c r="HI40" t="str">
        <f>"(0.0332)"</f>
        <v>(0.0332)</v>
      </c>
      <c r="HJ40" t="str">
        <f>"(0.0795)"</f>
        <v>(0.0795)</v>
      </c>
      <c r="HK40" t="str">
        <f>"(0.0626)"</f>
        <v>(0.0626)</v>
      </c>
      <c r="HL40" t="str">
        <f>"(0.0332)"</f>
        <v>(0.0332)</v>
      </c>
      <c r="HM40" t="str">
        <f>"(0.0795)"</f>
        <v>(0.0795)</v>
      </c>
      <c r="HN40" t="str">
        <f>"(0.0626)"</f>
        <v>(0.0626)</v>
      </c>
      <c r="HO40" t="str">
        <f>"(0.0332)"</f>
        <v>(0.0332)</v>
      </c>
      <c r="HP40" t="str">
        <f>"(0.0794)"</f>
        <v>(0.0794)</v>
      </c>
      <c r="HQ40" t="str">
        <f>"(0.0626)"</f>
        <v>(0.0626)</v>
      </c>
      <c r="HR40" t="str">
        <f>"(0.0332)"</f>
        <v>(0.0332)</v>
      </c>
      <c r="HS40" t="str">
        <f>"(0.0798)"</f>
        <v>(0.0798)</v>
      </c>
      <c r="HT40" t="str">
        <f>"(0.0630)"</f>
        <v>(0.0630)</v>
      </c>
      <c r="HU40" t="str">
        <f>"(0.0334)"</f>
        <v>(0.0334)</v>
      </c>
      <c r="HV40" t="str">
        <f>"(0.0794)"</f>
        <v>(0.0794)</v>
      </c>
      <c r="HW40" t="str">
        <f>"(0.0626)"</f>
        <v>(0.0626)</v>
      </c>
      <c r="HX40" t="str">
        <f>"(0.0331)"</f>
        <v>(0.0331)</v>
      </c>
      <c r="HY40" t="str">
        <f>"(0.0795)"</f>
        <v>(0.0795)</v>
      </c>
      <c r="HZ40" t="str">
        <f>"(0.0627)"</f>
        <v>(0.0627)</v>
      </c>
      <c r="IA40" t="str">
        <f>"(0.0333)"</f>
        <v>(0.0333)</v>
      </c>
      <c r="IB40" t="str">
        <f>"(0.0799)"</f>
        <v>(0.0799)</v>
      </c>
      <c r="IC40" t="str">
        <f>"(0.0629)"</f>
        <v>(0.0629)</v>
      </c>
      <c r="ID40" t="str">
        <f>"(0.0334)"</f>
        <v>(0.0334)</v>
      </c>
      <c r="IE40" t="str">
        <f>"(0.0797)"</f>
        <v>(0.0797)</v>
      </c>
      <c r="IF40" t="str">
        <f>"(0.0628)"</f>
        <v>(0.0628)</v>
      </c>
      <c r="IG40" t="str">
        <f>"(0.0334)"</f>
        <v>(0.0334)</v>
      </c>
      <c r="IH40" t="str">
        <f>"(0.0792)"</f>
        <v>(0.0792)</v>
      </c>
      <c r="II40" t="str">
        <f>"(0.0626)"</f>
        <v>(0.0626)</v>
      </c>
      <c r="IJ40" t="str">
        <f>"(0.0332)"</f>
        <v>(0.0332)</v>
      </c>
      <c r="IK40" t="str">
        <f>"(0.0795)"</f>
        <v>(0.0795)</v>
      </c>
      <c r="IL40" t="str">
        <f>"(0.0626)"</f>
        <v>(0.0626)</v>
      </c>
      <c r="IM40" t="str">
        <f>"(0.0332)"</f>
        <v>(0.0332)</v>
      </c>
      <c r="IN40" t="str">
        <f>"(0.0793)"</f>
        <v>(0.0793)</v>
      </c>
      <c r="IO40" t="str">
        <f>"(0.0625)"</f>
        <v>(0.0625)</v>
      </c>
      <c r="IP40" t="str">
        <f>"(0.0332)"</f>
        <v>(0.0332)</v>
      </c>
      <c r="IQ40" t="str">
        <f>"(0.0794)"</f>
        <v>(0.0794)</v>
      </c>
      <c r="IR40" t="str">
        <f>"(0.0626)"</f>
        <v>(0.0626)</v>
      </c>
      <c r="IS40" t="str">
        <f>"(0.0331)"</f>
        <v>(0.0331)</v>
      </c>
      <c r="IT40" t="str">
        <f>"(0.0793)"</f>
        <v>(0.0793)</v>
      </c>
      <c r="IU40" t="str">
        <f>"(0.0626)"</f>
        <v>(0.0626)</v>
      </c>
      <c r="IV40" t="str">
        <f>"(0.0331)"</f>
        <v>(0.0331)</v>
      </c>
      <c r="IW40" t="str">
        <f>"(0.0795)"</f>
        <v>(0.0795)</v>
      </c>
      <c r="IX40" t="str">
        <f>"(0.0627)"</f>
        <v>(0.0627)</v>
      </c>
      <c r="IY40" t="str">
        <f>"(0.0332)"</f>
        <v>(0.0332)</v>
      </c>
      <c r="IZ40" t="str">
        <f>"(0.0793)"</f>
        <v>(0.0793)</v>
      </c>
      <c r="JA40" t="str">
        <f>"(0.0626)"</f>
        <v>(0.0626)</v>
      </c>
      <c r="JB40" t="str">
        <f>"(0.0332)"</f>
        <v>(0.0332)</v>
      </c>
      <c r="JC40" t="str">
        <f>"(0.0795)"</f>
        <v>(0.0795)</v>
      </c>
      <c r="JD40" t="str">
        <f>"(0.0627)"</f>
        <v>(0.0627)</v>
      </c>
      <c r="JE40" t="str">
        <f>"(0.0332)"</f>
        <v>(0.0332)</v>
      </c>
      <c r="JF40" t="str">
        <f>"(0.0795)"</f>
        <v>(0.0795)</v>
      </c>
      <c r="JG40" t="str">
        <f>"(0.0627)"</f>
        <v>(0.0627)</v>
      </c>
      <c r="JH40" t="str">
        <f>"(0.0332)"</f>
        <v>(0.0332)</v>
      </c>
      <c r="JI40" t="str">
        <f>"(0.0794)"</f>
        <v>(0.0794)</v>
      </c>
      <c r="JJ40" t="str">
        <f>"(0.0626)"</f>
        <v>(0.0626)</v>
      </c>
      <c r="JK40" t="str">
        <f>"(0.0332)"</f>
        <v>(0.0332)</v>
      </c>
    </row>
    <row r="42" spans="1:271" x14ac:dyDescent="0.3">
      <c r="A42" t="str">
        <f>"zMETAB2"</f>
        <v>zMETAB2</v>
      </c>
      <c r="B42" t="str">
        <f>""</f>
        <v/>
      </c>
      <c r="C42" t="str">
        <f>""</f>
        <v/>
      </c>
      <c r="D42" t="str">
        <f>""</f>
        <v/>
      </c>
      <c r="E42" t="str">
        <f>"0.0741"</f>
        <v>0.0741</v>
      </c>
      <c r="F42" t="str">
        <f>"0.0828"</f>
        <v>0.0828</v>
      </c>
      <c r="G42" t="str">
        <f>"0.0734*"</f>
        <v>0.0734*</v>
      </c>
      <c r="H42" t="str">
        <f>""</f>
        <v/>
      </c>
      <c r="I42" t="str">
        <f>""</f>
        <v/>
      </c>
      <c r="J42" t="str">
        <f>""</f>
        <v/>
      </c>
      <c r="K42" t="str">
        <f>""</f>
        <v/>
      </c>
      <c r="L42" t="str">
        <f>""</f>
        <v/>
      </c>
      <c r="M42" t="str">
        <f>""</f>
        <v/>
      </c>
      <c r="N42" t="str">
        <f>""</f>
        <v/>
      </c>
      <c r="O42" t="str">
        <f>""</f>
        <v/>
      </c>
      <c r="P42" t="str">
        <f>""</f>
        <v/>
      </c>
      <c r="Q42" t="str">
        <f>""</f>
        <v/>
      </c>
      <c r="R42" t="str">
        <f>""</f>
        <v/>
      </c>
      <c r="S42" t="str">
        <f>""</f>
        <v/>
      </c>
      <c r="T42" t="str">
        <f>""</f>
        <v/>
      </c>
      <c r="U42" t="str">
        <f>""</f>
        <v/>
      </c>
      <c r="V42" t="str">
        <f>""</f>
        <v/>
      </c>
      <c r="W42" t="str">
        <f>""</f>
        <v/>
      </c>
      <c r="X42" t="str">
        <f>""</f>
        <v/>
      </c>
      <c r="Y42" t="str">
        <f>""</f>
        <v/>
      </c>
      <c r="Z42" t="str">
        <f>""</f>
        <v/>
      </c>
      <c r="AA42" t="str">
        <f>""</f>
        <v/>
      </c>
      <c r="AB42" t="str">
        <f>""</f>
        <v/>
      </c>
      <c r="AC42" t="str">
        <f>""</f>
        <v/>
      </c>
      <c r="AD42" t="str">
        <f>""</f>
        <v/>
      </c>
      <c r="AE42" t="str">
        <f>""</f>
        <v/>
      </c>
      <c r="AF42" t="str">
        <f>""</f>
        <v/>
      </c>
      <c r="AG42" t="str">
        <f>""</f>
        <v/>
      </c>
      <c r="AH42" t="str">
        <f>""</f>
        <v/>
      </c>
      <c r="AI42" t="str">
        <f>""</f>
        <v/>
      </c>
      <c r="AJ42" t="str">
        <f>""</f>
        <v/>
      </c>
      <c r="AK42" t="str">
        <f>""</f>
        <v/>
      </c>
      <c r="AL42" t="str">
        <f>""</f>
        <v/>
      </c>
      <c r="AM42" t="str">
        <f>""</f>
        <v/>
      </c>
      <c r="AN42" t="str">
        <f>""</f>
        <v/>
      </c>
      <c r="AO42" t="str">
        <f>""</f>
        <v/>
      </c>
      <c r="AP42" t="str">
        <f>""</f>
        <v/>
      </c>
      <c r="AQ42" t="str">
        <f>""</f>
        <v/>
      </c>
      <c r="AR42" t="str">
        <f>""</f>
        <v/>
      </c>
      <c r="AS42" t="str">
        <f>""</f>
        <v/>
      </c>
      <c r="AT42" t="str">
        <f>""</f>
        <v/>
      </c>
      <c r="AU42" t="str">
        <f>""</f>
        <v/>
      </c>
      <c r="AV42" t="str">
        <f>""</f>
        <v/>
      </c>
      <c r="AW42" t="str">
        <f>""</f>
        <v/>
      </c>
      <c r="AX42" t="str">
        <f>"0.158*"</f>
        <v>0.158*</v>
      </c>
      <c r="AY42" t="str">
        <f>"0.0974"</f>
        <v>0.0974</v>
      </c>
      <c r="AZ42" t="str">
        <f>"0.0597"</f>
        <v>0.0597</v>
      </c>
      <c r="BA42" t="str">
        <f>""</f>
        <v/>
      </c>
      <c r="BB42" t="str">
        <f>""</f>
        <v/>
      </c>
      <c r="BC42" t="str">
        <f>""</f>
        <v/>
      </c>
      <c r="BD42" t="str">
        <f>""</f>
        <v/>
      </c>
      <c r="BE42" t="str">
        <f>""</f>
        <v/>
      </c>
      <c r="BF42" t="str">
        <f>""</f>
        <v/>
      </c>
      <c r="BG42" t="str">
        <f>""</f>
        <v/>
      </c>
      <c r="BH42" t="str">
        <f>""</f>
        <v/>
      </c>
      <c r="BI42" t="str">
        <f>""</f>
        <v/>
      </c>
      <c r="BJ42" t="str">
        <f>""</f>
        <v/>
      </c>
      <c r="BK42" t="str">
        <f>""</f>
        <v/>
      </c>
      <c r="BL42" t="str">
        <f>""</f>
        <v/>
      </c>
      <c r="BM42" t="str">
        <f>""</f>
        <v/>
      </c>
      <c r="BN42" t="str">
        <f>""</f>
        <v/>
      </c>
      <c r="BO42" t="str">
        <f>""</f>
        <v/>
      </c>
      <c r="BP42" t="str">
        <f>""</f>
        <v/>
      </c>
      <c r="BQ42" t="str">
        <f>""</f>
        <v/>
      </c>
      <c r="BR42" t="str">
        <f>""</f>
        <v/>
      </c>
      <c r="BS42" t="str">
        <f>""</f>
        <v/>
      </c>
      <c r="BT42" t="str">
        <f>""</f>
        <v/>
      </c>
      <c r="BU42" t="str">
        <f>""</f>
        <v/>
      </c>
      <c r="BV42" t="str">
        <f>""</f>
        <v/>
      </c>
      <c r="BW42" t="str">
        <f>""</f>
        <v/>
      </c>
      <c r="BX42" t="str">
        <f>""</f>
        <v/>
      </c>
      <c r="BY42" t="str">
        <f>""</f>
        <v/>
      </c>
      <c r="BZ42" t="str">
        <f>""</f>
        <v/>
      </c>
      <c r="CA42" t="str">
        <f>""</f>
        <v/>
      </c>
      <c r="CB42" t="str">
        <f>""</f>
        <v/>
      </c>
      <c r="CC42" t="str">
        <f>""</f>
        <v/>
      </c>
      <c r="CD42" t="str">
        <f>""</f>
        <v/>
      </c>
      <c r="CE42" t="str">
        <f>""</f>
        <v/>
      </c>
      <c r="CF42" t="str">
        <f>""</f>
        <v/>
      </c>
      <c r="CG42" t="str">
        <f>""</f>
        <v/>
      </c>
      <c r="CH42" t="str">
        <f>""</f>
        <v/>
      </c>
      <c r="CI42" t="str">
        <f>""</f>
        <v/>
      </c>
      <c r="CJ42" t="str">
        <f>""</f>
        <v/>
      </c>
      <c r="CK42" t="str">
        <f>""</f>
        <v/>
      </c>
      <c r="CL42" t="str">
        <f>""</f>
        <v/>
      </c>
      <c r="CM42" t="str">
        <f>""</f>
        <v/>
      </c>
      <c r="CN42" t="str">
        <f>""</f>
        <v/>
      </c>
      <c r="CO42" t="str">
        <f>""</f>
        <v/>
      </c>
      <c r="CP42" t="str">
        <f>""</f>
        <v/>
      </c>
      <c r="CQ42" t="str">
        <f>"0.194*"</f>
        <v>0.194*</v>
      </c>
      <c r="CR42" t="str">
        <f>"0.101"</f>
        <v>0.101</v>
      </c>
      <c r="CS42" t="str">
        <f>"0.109**"</f>
        <v>0.109**</v>
      </c>
      <c r="CT42" t="str">
        <f>""</f>
        <v/>
      </c>
      <c r="CU42" t="str">
        <f>""</f>
        <v/>
      </c>
      <c r="CV42" t="str">
        <f>""</f>
        <v/>
      </c>
      <c r="CW42" t="str">
        <f>""</f>
        <v/>
      </c>
      <c r="CX42" t="str">
        <f>""</f>
        <v/>
      </c>
      <c r="CY42" t="str">
        <f>""</f>
        <v/>
      </c>
      <c r="CZ42" t="str">
        <f>""</f>
        <v/>
      </c>
      <c r="DA42" t="str">
        <f>""</f>
        <v/>
      </c>
      <c r="DB42" t="str">
        <f>""</f>
        <v/>
      </c>
      <c r="DC42" t="str">
        <f>""</f>
        <v/>
      </c>
      <c r="DD42" t="str">
        <f>""</f>
        <v/>
      </c>
      <c r="DE42" t="str">
        <f>""</f>
        <v/>
      </c>
      <c r="DF42" t="str">
        <f>""</f>
        <v/>
      </c>
      <c r="DG42" t="str">
        <f>""</f>
        <v/>
      </c>
      <c r="DH42" t="str">
        <f>""</f>
        <v/>
      </c>
      <c r="DI42" t="str">
        <f>""</f>
        <v/>
      </c>
      <c r="DJ42" t="str">
        <f>""</f>
        <v/>
      </c>
      <c r="DK42" t="str">
        <f>""</f>
        <v/>
      </c>
      <c r="DL42" t="str">
        <f>""</f>
        <v/>
      </c>
      <c r="DM42" t="str">
        <f>""</f>
        <v/>
      </c>
      <c r="DN42" t="str">
        <f>""</f>
        <v/>
      </c>
      <c r="DO42" t="str">
        <f>""</f>
        <v/>
      </c>
      <c r="DP42" t="str">
        <f>""</f>
        <v/>
      </c>
      <c r="DQ42" t="str">
        <f>""</f>
        <v/>
      </c>
      <c r="DR42" t="str">
        <f>""</f>
        <v/>
      </c>
      <c r="DS42" t="str">
        <f>""</f>
        <v/>
      </c>
      <c r="DT42" t="str">
        <f>""</f>
        <v/>
      </c>
      <c r="DU42" t="str">
        <f>""</f>
        <v/>
      </c>
      <c r="DV42" t="str">
        <f>""</f>
        <v/>
      </c>
      <c r="DW42" t="str">
        <f>""</f>
        <v/>
      </c>
      <c r="DX42" t="str">
        <f>""</f>
        <v/>
      </c>
      <c r="DY42" t="str">
        <f>""</f>
        <v/>
      </c>
      <c r="DZ42" t="str">
        <f>""</f>
        <v/>
      </c>
      <c r="EA42" t="str">
        <f>""</f>
        <v/>
      </c>
      <c r="EB42" t="str">
        <f>""</f>
        <v/>
      </c>
      <c r="EC42" t="str">
        <f>""</f>
        <v/>
      </c>
      <c r="ED42" t="str">
        <f>""</f>
        <v/>
      </c>
      <c r="EE42" t="str">
        <f>""</f>
        <v/>
      </c>
      <c r="EF42" t="str">
        <f>""</f>
        <v/>
      </c>
      <c r="EG42" t="str">
        <f>""</f>
        <v/>
      </c>
      <c r="EH42" t="str">
        <f>""</f>
        <v/>
      </c>
      <c r="EI42" t="str">
        <f>""</f>
        <v/>
      </c>
      <c r="EJ42" t="str">
        <f>"0.132"</f>
        <v>0.132</v>
      </c>
      <c r="EK42" t="str">
        <f>"0.108"</f>
        <v>0.108</v>
      </c>
      <c r="EL42" t="str">
        <f>"0.119***"</f>
        <v>0.119***</v>
      </c>
      <c r="EM42" t="str">
        <f>""</f>
        <v/>
      </c>
      <c r="EN42" t="str">
        <f>""</f>
        <v/>
      </c>
      <c r="EO42" t="str">
        <f>""</f>
        <v/>
      </c>
      <c r="EP42" t="str">
        <f>""</f>
        <v/>
      </c>
      <c r="EQ42" t="str">
        <f>""</f>
        <v/>
      </c>
      <c r="ER42" t="str">
        <f>""</f>
        <v/>
      </c>
      <c r="ES42" t="str">
        <f>""</f>
        <v/>
      </c>
      <c r="ET42" t="str">
        <f>""</f>
        <v/>
      </c>
      <c r="EU42" t="str">
        <f>""</f>
        <v/>
      </c>
      <c r="EV42" t="str">
        <f>""</f>
        <v/>
      </c>
      <c r="EW42" t="str">
        <f>""</f>
        <v/>
      </c>
      <c r="EX42" t="str">
        <f>""</f>
        <v/>
      </c>
      <c r="EY42" t="str">
        <f>""</f>
        <v/>
      </c>
      <c r="EZ42" t="str">
        <f>""</f>
        <v/>
      </c>
      <c r="FA42" t="str">
        <f>""</f>
        <v/>
      </c>
      <c r="FB42" t="str">
        <f>""</f>
        <v/>
      </c>
      <c r="FC42" t="str">
        <f>""</f>
        <v/>
      </c>
      <c r="FD42" t="str">
        <f>""</f>
        <v/>
      </c>
      <c r="FE42" t="str">
        <f>""</f>
        <v/>
      </c>
      <c r="FF42" t="str">
        <f>""</f>
        <v/>
      </c>
      <c r="FG42" t="str">
        <f>""</f>
        <v/>
      </c>
      <c r="FH42" t="str">
        <f>""</f>
        <v/>
      </c>
      <c r="FI42" t="str">
        <f>""</f>
        <v/>
      </c>
      <c r="FJ42" t="str">
        <f>""</f>
        <v/>
      </c>
      <c r="FK42" t="str">
        <f>""</f>
        <v/>
      </c>
      <c r="FL42" t="str">
        <f>""</f>
        <v/>
      </c>
      <c r="FM42" t="str">
        <f>""</f>
        <v/>
      </c>
      <c r="FN42" t="str">
        <f>""</f>
        <v/>
      </c>
      <c r="FO42" t="str">
        <f>""</f>
        <v/>
      </c>
      <c r="FP42" t="str">
        <f>""</f>
        <v/>
      </c>
      <c r="FQ42" t="str">
        <f>""</f>
        <v/>
      </c>
      <c r="FR42" t="str">
        <f>""</f>
        <v/>
      </c>
      <c r="FS42" t="str">
        <f>""</f>
        <v/>
      </c>
      <c r="FT42" t="str">
        <f>""</f>
        <v/>
      </c>
      <c r="FU42" t="str">
        <f>""</f>
        <v/>
      </c>
      <c r="FV42" t="str">
        <f>""</f>
        <v/>
      </c>
      <c r="FW42" t="str">
        <f>""</f>
        <v/>
      </c>
      <c r="FX42" t="str">
        <f>""</f>
        <v/>
      </c>
      <c r="FY42" t="str">
        <f>""</f>
        <v/>
      </c>
      <c r="FZ42" t="str">
        <f>""</f>
        <v/>
      </c>
      <c r="GA42" t="str">
        <f>""</f>
        <v/>
      </c>
      <c r="GB42" t="str">
        <f>""</f>
        <v/>
      </c>
      <c r="GC42" t="str">
        <f>"0.0943"</f>
        <v>0.0943</v>
      </c>
      <c r="GD42" t="str">
        <f>"0.0741"</f>
        <v>0.0741</v>
      </c>
      <c r="GE42" t="str">
        <f>"0.103**"</f>
        <v>0.103**</v>
      </c>
      <c r="GF42" t="str">
        <f>""</f>
        <v/>
      </c>
      <c r="GG42" t="str">
        <f>""</f>
        <v/>
      </c>
      <c r="GH42" t="str">
        <f>""</f>
        <v/>
      </c>
      <c r="GI42" t="str">
        <f>""</f>
        <v/>
      </c>
      <c r="GJ42" t="str">
        <f>""</f>
        <v/>
      </c>
      <c r="GK42" t="str">
        <f>""</f>
        <v/>
      </c>
      <c r="GL42" t="str">
        <f>""</f>
        <v/>
      </c>
      <c r="GM42" t="str">
        <f>""</f>
        <v/>
      </c>
      <c r="GN42" t="str">
        <f>""</f>
        <v/>
      </c>
      <c r="GO42" t="str">
        <f>""</f>
        <v/>
      </c>
      <c r="GP42" t="str">
        <f>""</f>
        <v/>
      </c>
      <c r="GQ42" t="str">
        <f>""</f>
        <v/>
      </c>
      <c r="GR42" t="str">
        <f>""</f>
        <v/>
      </c>
      <c r="GS42" t="str">
        <f>""</f>
        <v/>
      </c>
      <c r="GT42" t="str">
        <f>""</f>
        <v/>
      </c>
      <c r="GU42" t="str">
        <f>""</f>
        <v/>
      </c>
      <c r="GV42" t="str">
        <f>""</f>
        <v/>
      </c>
      <c r="GW42" t="str">
        <f>""</f>
        <v/>
      </c>
      <c r="GX42" t="str">
        <f>""</f>
        <v/>
      </c>
      <c r="GY42" t="str">
        <f>""</f>
        <v/>
      </c>
      <c r="GZ42" t="str">
        <f>""</f>
        <v/>
      </c>
      <c r="HA42" t="str">
        <f>""</f>
        <v/>
      </c>
      <c r="HB42" t="str">
        <f>""</f>
        <v/>
      </c>
      <c r="HC42" t="str">
        <f>""</f>
        <v/>
      </c>
      <c r="HD42" t="str">
        <f>""</f>
        <v/>
      </c>
      <c r="HE42" t="str">
        <f>""</f>
        <v/>
      </c>
      <c r="HF42" t="str">
        <f>""</f>
        <v/>
      </c>
      <c r="HG42" t="str">
        <f>""</f>
        <v/>
      </c>
      <c r="HH42" t="str">
        <f>""</f>
        <v/>
      </c>
      <c r="HI42" t="str">
        <f>""</f>
        <v/>
      </c>
      <c r="HJ42" t="str">
        <f>""</f>
        <v/>
      </c>
      <c r="HK42" t="str">
        <f>""</f>
        <v/>
      </c>
      <c r="HL42" t="str">
        <f>""</f>
        <v/>
      </c>
      <c r="HM42" t="str">
        <f>""</f>
        <v/>
      </c>
      <c r="HN42" t="str">
        <f>""</f>
        <v/>
      </c>
      <c r="HO42" t="str">
        <f>""</f>
        <v/>
      </c>
      <c r="HP42" t="str">
        <f>""</f>
        <v/>
      </c>
      <c r="HQ42" t="str">
        <f>""</f>
        <v/>
      </c>
      <c r="HR42" t="str">
        <f>""</f>
        <v/>
      </c>
      <c r="HS42" t="str">
        <f>""</f>
        <v/>
      </c>
      <c r="HT42" t="str">
        <f>""</f>
        <v/>
      </c>
      <c r="HU42" t="str">
        <f>""</f>
        <v/>
      </c>
      <c r="HV42" t="str">
        <f>"0.108"</f>
        <v>0.108</v>
      </c>
      <c r="HW42" t="str">
        <f>"0.104"</f>
        <v>0.104</v>
      </c>
      <c r="HX42" t="str">
        <f>"0.0867*"</f>
        <v>0.0867*</v>
      </c>
      <c r="HY42" t="str">
        <f>""</f>
        <v/>
      </c>
      <c r="HZ42" t="str">
        <f>""</f>
        <v/>
      </c>
      <c r="IA42" t="str">
        <f>""</f>
        <v/>
      </c>
      <c r="IB42" t="str">
        <f>""</f>
        <v/>
      </c>
      <c r="IC42" t="str">
        <f>""</f>
        <v/>
      </c>
      <c r="ID42" t="str">
        <f>""</f>
        <v/>
      </c>
      <c r="IE42" t="str">
        <f>""</f>
        <v/>
      </c>
      <c r="IF42" t="str">
        <f>""</f>
        <v/>
      </c>
      <c r="IG42" t="str">
        <f>""</f>
        <v/>
      </c>
      <c r="IH42" t="str">
        <f>""</f>
        <v/>
      </c>
      <c r="II42" t="str">
        <f>""</f>
        <v/>
      </c>
      <c r="IJ42" t="str">
        <f>""</f>
        <v/>
      </c>
      <c r="IK42" t="str">
        <f>""</f>
        <v/>
      </c>
      <c r="IL42" t="str">
        <f>""</f>
        <v/>
      </c>
      <c r="IM42" t="str">
        <f>""</f>
        <v/>
      </c>
      <c r="IN42" t="str">
        <f>""</f>
        <v/>
      </c>
      <c r="IO42" t="str">
        <f>""</f>
        <v/>
      </c>
      <c r="IP42" t="str">
        <f>""</f>
        <v/>
      </c>
      <c r="IQ42" t="str">
        <f>""</f>
        <v/>
      </c>
      <c r="IR42" t="str">
        <f>""</f>
        <v/>
      </c>
      <c r="IS42" t="str">
        <f>""</f>
        <v/>
      </c>
      <c r="IT42" t="str">
        <f>""</f>
        <v/>
      </c>
      <c r="IU42" t="str">
        <f>""</f>
        <v/>
      </c>
      <c r="IV42" t="str">
        <f>""</f>
        <v/>
      </c>
      <c r="IW42" t="str">
        <f>""</f>
        <v/>
      </c>
      <c r="IX42" t="str">
        <f>""</f>
        <v/>
      </c>
      <c r="IY42" t="str">
        <f>""</f>
        <v/>
      </c>
      <c r="IZ42" t="str">
        <f>""</f>
        <v/>
      </c>
      <c r="JA42" t="str">
        <f>""</f>
        <v/>
      </c>
      <c r="JB42" t="str">
        <f>""</f>
        <v/>
      </c>
      <c r="JC42" t="str">
        <f>""</f>
        <v/>
      </c>
      <c r="JD42" t="str">
        <f>""</f>
        <v/>
      </c>
      <c r="JE42" t="str">
        <f>""</f>
        <v/>
      </c>
      <c r="JF42" t="str">
        <f>""</f>
        <v/>
      </c>
      <c r="JG42" t="str">
        <f>""</f>
        <v/>
      </c>
      <c r="JH42" t="str">
        <f>""</f>
        <v/>
      </c>
      <c r="JI42" t="str">
        <f>""</f>
        <v/>
      </c>
      <c r="JJ42" t="str">
        <f>""</f>
        <v/>
      </c>
      <c r="JK42" t="str">
        <f>""</f>
        <v/>
      </c>
    </row>
    <row r="43" spans="1:271" x14ac:dyDescent="0.3">
      <c r="A43" t="str">
        <f>""</f>
        <v/>
      </c>
      <c r="B43" t="str">
        <f>""</f>
        <v/>
      </c>
      <c r="C43" t="str">
        <f>""</f>
        <v/>
      </c>
      <c r="D43" t="str">
        <f>""</f>
        <v/>
      </c>
      <c r="E43" t="str">
        <f>"(0.0790)"</f>
        <v>(0.0790)</v>
      </c>
      <c r="F43" t="str">
        <f>"(0.0622)"</f>
        <v>(0.0622)</v>
      </c>
      <c r="G43" t="str">
        <f>"(0.0357)"</f>
        <v>(0.0357)</v>
      </c>
      <c r="H43" t="str">
        <f>""</f>
        <v/>
      </c>
      <c r="I43" t="str">
        <f>""</f>
        <v/>
      </c>
      <c r="J43" t="str">
        <f>""</f>
        <v/>
      </c>
      <c r="K43" t="str">
        <f>""</f>
        <v/>
      </c>
      <c r="L43" t="str">
        <f>""</f>
        <v/>
      </c>
      <c r="M43" t="str">
        <f>""</f>
        <v/>
      </c>
      <c r="N43" t="str">
        <f>""</f>
        <v/>
      </c>
      <c r="O43" t="str">
        <f>""</f>
        <v/>
      </c>
      <c r="P43" t="str">
        <f>""</f>
        <v/>
      </c>
      <c r="Q43" t="str">
        <f>""</f>
        <v/>
      </c>
      <c r="R43" t="str">
        <f>""</f>
        <v/>
      </c>
      <c r="S43" t="str">
        <f>""</f>
        <v/>
      </c>
      <c r="T43" t="str">
        <f>""</f>
        <v/>
      </c>
      <c r="U43" t="str">
        <f>""</f>
        <v/>
      </c>
      <c r="V43" t="str">
        <f>""</f>
        <v/>
      </c>
      <c r="W43" t="str">
        <f>""</f>
        <v/>
      </c>
      <c r="X43" t="str">
        <f>""</f>
        <v/>
      </c>
      <c r="Y43" t="str">
        <f>""</f>
        <v/>
      </c>
      <c r="Z43" t="str">
        <f>""</f>
        <v/>
      </c>
      <c r="AA43" t="str">
        <f>""</f>
        <v/>
      </c>
      <c r="AB43" t="str">
        <f>""</f>
        <v/>
      </c>
      <c r="AC43" t="str">
        <f>""</f>
        <v/>
      </c>
      <c r="AD43" t="str">
        <f>""</f>
        <v/>
      </c>
      <c r="AE43" t="str">
        <f>""</f>
        <v/>
      </c>
      <c r="AF43" t="str">
        <f>""</f>
        <v/>
      </c>
      <c r="AG43" t="str">
        <f>""</f>
        <v/>
      </c>
      <c r="AH43" t="str">
        <f>""</f>
        <v/>
      </c>
      <c r="AI43" t="str">
        <f>""</f>
        <v/>
      </c>
      <c r="AJ43" t="str">
        <f>""</f>
        <v/>
      </c>
      <c r="AK43" t="str">
        <f>""</f>
        <v/>
      </c>
      <c r="AL43" t="str">
        <f>""</f>
        <v/>
      </c>
      <c r="AM43" t="str">
        <f>""</f>
        <v/>
      </c>
      <c r="AN43" t="str">
        <f>""</f>
        <v/>
      </c>
      <c r="AO43" t="str">
        <f>""</f>
        <v/>
      </c>
      <c r="AP43" t="str">
        <f>""</f>
        <v/>
      </c>
      <c r="AQ43" t="str">
        <f>""</f>
        <v/>
      </c>
      <c r="AR43" t="str">
        <f>""</f>
        <v/>
      </c>
      <c r="AS43" t="str">
        <f>""</f>
        <v/>
      </c>
      <c r="AT43" t="str">
        <f>""</f>
        <v/>
      </c>
      <c r="AU43" t="str">
        <f>""</f>
        <v/>
      </c>
      <c r="AV43" t="str">
        <f>""</f>
        <v/>
      </c>
      <c r="AW43" t="str">
        <f>""</f>
        <v/>
      </c>
      <c r="AX43" t="str">
        <f>"(0.0770)"</f>
        <v>(0.0770)</v>
      </c>
      <c r="AY43" t="str">
        <f>"(0.0613)"</f>
        <v>(0.0613)</v>
      </c>
      <c r="AZ43" t="str">
        <f>"(0.0347)"</f>
        <v>(0.0347)</v>
      </c>
      <c r="BA43" t="str">
        <f>""</f>
        <v/>
      </c>
      <c r="BB43" t="str">
        <f>""</f>
        <v/>
      </c>
      <c r="BC43" t="str">
        <f>""</f>
        <v/>
      </c>
      <c r="BD43" t="str">
        <f>""</f>
        <v/>
      </c>
      <c r="BE43" t="str">
        <f>""</f>
        <v/>
      </c>
      <c r="BF43" t="str">
        <f>""</f>
        <v/>
      </c>
      <c r="BG43" t="str">
        <f>""</f>
        <v/>
      </c>
      <c r="BH43" t="str">
        <f>""</f>
        <v/>
      </c>
      <c r="BI43" t="str">
        <f>""</f>
        <v/>
      </c>
      <c r="BJ43" t="str">
        <f>""</f>
        <v/>
      </c>
      <c r="BK43" t="str">
        <f>""</f>
        <v/>
      </c>
      <c r="BL43" t="str">
        <f>""</f>
        <v/>
      </c>
      <c r="BM43" t="str">
        <f>""</f>
        <v/>
      </c>
      <c r="BN43" t="str">
        <f>""</f>
        <v/>
      </c>
      <c r="BO43" t="str">
        <f>""</f>
        <v/>
      </c>
      <c r="BP43" t="str">
        <f>""</f>
        <v/>
      </c>
      <c r="BQ43" t="str">
        <f>""</f>
        <v/>
      </c>
      <c r="BR43" t="str">
        <f>""</f>
        <v/>
      </c>
      <c r="BS43" t="str">
        <f>""</f>
        <v/>
      </c>
      <c r="BT43" t="str">
        <f>""</f>
        <v/>
      </c>
      <c r="BU43" t="str">
        <f>""</f>
        <v/>
      </c>
      <c r="BV43" t="str">
        <f>""</f>
        <v/>
      </c>
      <c r="BW43" t="str">
        <f>""</f>
        <v/>
      </c>
      <c r="BX43" t="str">
        <f>""</f>
        <v/>
      </c>
      <c r="BY43" t="str">
        <f>""</f>
        <v/>
      </c>
      <c r="BZ43" t="str">
        <f>""</f>
        <v/>
      </c>
      <c r="CA43" t="str">
        <f>""</f>
        <v/>
      </c>
      <c r="CB43" t="str">
        <f>""</f>
        <v/>
      </c>
      <c r="CC43" t="str">
        <f>""</f>
        <v/>
      </c>
      <c r="CD43" t="str">
        <f>""</f>
        <v/>
      </c>
      <c r="CE43" t="str">
        <f>""</f>
        <v/>
      </c>
      <c r="CF43" t="str">
        <f>""</f>
        <v/>
      </c>
      <c r="CG43" t="str">
        <f>""</f>
        <v/>
      </c>
      <c r="CH43" t="str">
        <f>""</f>
        <v/>
      </c>
      <c r="CI43" t="str">
        <f>""</f>
        <v/>
      </c>
      <c r="CJ43" t="str">
        <f>""</f>
        <v/>
      </c>
      <c r="CK43" t="str">
        <f>""</f>
        <v/>
      </c>
      <c r="CL43" t="str">
        <f>""</f>
        <v/>
      </c>
      <c r="CM43" t="str">
        <f>""</f>
        <v/>
      </c>
      <c r="CN43" t="str">
        <f>""</f>
        <v/>
      </c>
      <c r="CO43" t="str">
        <f>""</f>
        <v/>
      </c>
      <c r="CP43" t="str">
        <f>""</f>
        <v/>
      </c>
      <c r="CQ43" t="str">
        <f>"(0.0772)"</f>
        <v>(0.0772)</v>
      </c>
      <c r="CR43" t="str">
        <f>"(0.0588)"</f>
        <v>(0.0588)</v>
      </c>
      <c r="CS43" t="str">
        <f>"(0.0343)"</f>
        <v>(0.0343)</v>
      </c>
      <c r="CT43" t="str">
        <f>""</f>
        <v/>
      </c>
      <c r="CU43" t="str">
        <f>""</f>
        <v/>
      </c>
      <c r="CV43" t="str">
        <f>""</f>
        <v/>
      </c>
      <c r="CW43" t="str">
        <f>""</f>
        <v/>
      </c>
      <c r="CX43" t="str">
        <f>""</f>
        <v/>
      </c>
      <c r="CY43" t="str">
        <f>""</f>
        <v/>
      </c>
      <c r="CZ43" t="str">
        <f>""</f>
        <v/>
      </c>
      <c r="DA43" t="str">
        <f>""</f>
        <v/>
      </c>
      <c r="DB43" t="str">
        <f>""</f>
        <v/>
      </c>
      <c r="DC43" t="str">
        <f>""</f>
        <v/>
      </c>
      <c r="DD43" t="str">
        <f>""</f>
        <v/>
      </c>
      <c r="DE43" t="str">
        <f>""</f>
        <v/>
      </c>
      <c r="DF43" t="str">
        <f>""</f>
        <v/>
      </c>
      <c r="DG43" t="str">
        <f>""</f>
        <v/>
      </c>
      <c r="DH43" t="str">
        <f>""</f>
        <v/>
      </c>
      <c r="DI43" t="str">
        <f>""</f>
        <v/>
      </c>
      <c r="DJ43" t="str">
        <f>""</f>
        <v/>
      </c>
      <c r="DK43" t="str">
        <f>""</f>
        <v/>
      </c>
      <c r="DL43" t="str">
        <f>""</f>
        <v/>
      </c>
      <c r="DM43" t="str">
        <f>""</f>
        <v/>
      </c>
      <c r="DN43" t="str">
        <f>""</f>
        <v/>
      </c>
      <c r="DO43" t="str">
        <f>""</f>
        <v/>
      </c>
      <c r="DP43" t="str">
        <f>""</f>
        <v/>
      </c>
      <c r="DQ43" t="str">
        <f>""</f>
        <v/>
      </c>
      <c r="DR43" t="str">
        <f>""</f>
        <v/>
      </c>
      <c r="DS43" t="str">
        <f>""</f>
        <v/>
      </c>
      <c r="DT43" t="str">
        <f>""</f>
        <v/>
      </c>
      <c r="DU43" t="str">
        <f>""</f>
        <v/>
      </c>
      <c r="DV43" t="str">
        <f>""</f>
        <v/>
      </c>
      <c r="DW43" t="str">
        <f>""</f>
        <v/>
      </c>
      <c r="DX43" t="str">
        <f>""</f>
        <v/>
      </c>
      <c r="DY43" t="str">
        <f>""</f>
        <v/>
      </c>
      <c r="DZ43" t="str">
        <f>""</f>
        <v/>
      </c>
      <c r="EA43" t="str">
        <f>""</f>
        <v/>
      </c>
      <c r="EB43" t="str">
        <f>""</f>
        <v/>
      </c>
      <c r="EC43" t="str">
        <f>""</f>
        <v/>
      </c>
      <c r="ED43" t="str">
        <f>""</f>
        <v/>
      </c>
      <c r="EE43" t="str">
        <f>""</f>
        <v/>
      </c>
      <c r="EF43" t="str">
        <f>""</f>
        <v/>
      </c>
      <c r="EG43" t="str">
        <f>""</f>
        <v/>
      </c>
      <c r="EH43" t="str">
        <f>""</f>
        <v/>
      </c>
      <c r="EI43" t="str">
        <f>""</f>
        <v/>
      </c>
      <c r="EJ43" t="str">
        <f>"(0.0757)"</f>
        <v>(0.0757)</v>
      </c>
      <c r="EK43" t="str">
        <f>"(0.0621)"</f>
        <v>(0.0621)</v>
      </c>
      <c r="EL43" t="str">
        <f>"(0.0345)"</f>
        <v>(0.0345)</v>
      </c>
      <c r="EM43" t="str">
        <f>""</f>
        <v/>
      </c>
      <c r="EN43" t="str">
        <f>""</f>
        <v/>
      </c>
      <c r="EO43" t="str">
        <f>""</f>
        <v/>
      </c>
      <c r="EP43" t="str">
        <f>""</f>
        <v/>
      </c>
      <c r="EQ43" t="str">
        <f>""</f>
        <v/>
      </c>
      <c r="ER43" t="str">
        <f>""</f>
        <v/>
      </c>
      <c r="ES43" t="str">
        <f>""</f>
        <v/>
      </c>
      <c r="ET43" t="str">
        <f>""</f>
        <v/>
      </c>
      <c r="EU43" t="str">
        <f>""</f>
        <v/>
      </c>
      <c r="EV43" t="str">
        <f>""</f>
        <v/>
      </c>
      <c r="EW43" t="str">
        <f>""</f>
        <v/>
      </c>
      <c r="EX43" t="str">
        <f>""</f>
        <v/>
      </c>
      <c r="EY43" t="str">
        <f>""</f>
        <v/>
      </c>
      <c r="EZ43" t="str">
        <f>""</f>
        <v/>
      </c>
      <c r="FA43" t="str">
        <f>""</f>
        <v/>
      </c>
      <c r="FB43" t="str">
        <f>""</f>
        <v/>
      </c>
      <c r="FC43" t="str">
        <f>""</f>
        <v/>
      </c>
      <c r="FD43" t="str">
        <f>""</f>
        <v/>
      </c>
      <c r="FE43" t="str">
        <f>""</f>
        <v/>
      </c>
      <c r="FF43" t="str">
        <f>""</f>
        <v/>
      </c>
      <c r="FG43" t="str">
        <f>""</f>
        <v/>
      </c>
      <c r="FH43" t="str">
        <f>""</f>
        <v/>
      </c>
      <c r="FI43" t="str">
        <f>""</f>
        <v/>
      </c>
      <c r="FJ43" t="str">
        <f>""</f>
        <v/>
      </c>
      <c r="FK43" t="str">
        <f>""</f>
        <v/>
      </c>
      <c r="FL43" t="str">
        <f>""</f>
        <v/>
      </c>
      <c r="FM43" t="str">
        <f>""</f>
        <v/>
      </c>
      <c r="FN43" t="str">
        <f>""</f>
        <v/>
      </c>
      <c r="FO43" t="str">
        <f>""</f>
        <v/>
      </c>
      <c r="FP43" t="str">
        <f>""</f>
        <v/>
      </c>
      <c r="FQ43" t="str">
        <f>""</f>
        <v/>
      </c>
      <c r="FR43" t="str">
        <f>""</f>
        <v/>
      </c>
      <c r="FS43" t="str">
        <f>""</f>
        <v/>
      </c>
      <c r="FT43" t="str">
        <f>""</f>
        <v/>
      </c>
      <c r="FU43" t="str">
        <f>""</f>
        <v/>
      </c>
      <c r="FV43" t="str">
        <f>""</f>
        <v/>
      </c>
      <c r="FW43" t="str">
        <f>""</f>
        <v/>
      </c>
      <c r="FX43" t="str">
        <f>""</f>
        <v/>
      </c>
      <c r="FY43" t="str">
        <f>""</f>
        <v/>
      </c>
      <c r="FZ43" t="str">
        <f>""</f>
        <v/>
      </c>
      <c r="GA43" t="str">
        <f>""</f>
        <v/>
      </c>
      <c r="GB43" t="str">
        <f>""</f>
        <v/>
      </c>
      <c r="GC43" t="str">
        <f>"(0.0774)"</f>
        <v>(0.0774)</v>
      </c>
      <c r="GD43" t="str">
        <f>"(0.0633)"</f>
        <v>(0.0633)</v>
      </c>
      <c r="GE43" t="str">
        <f>"(0.0349)"</f>
        <v>(0.0349)</v>
      </c>
      <c r="GF43" t="str">
        <f>""</f>
        <v/>
      </c>
      <c r="GG43" t="str">
        <f>""</f>
        <v/>
      </c>
      <c r="GH43" t="str">
        <f>""</f>
        <v/>
      </c>
      <c r="GI43" t="str">
        <f>""</f>
        <v/>
      </c>
      <c r="GJ43" t="str">
        <f>""</f>
        <v/>
      </c>
      <c r="GK43" t="str">
        <f>""</f>
        <v/>
      </c>
      <c r="GL43" t="str">
        <f>""</f>
        <v/>
      </c>
      <c r="GM43" t="str">
        <f>""</f>
        <v/>
      </c>
      <c r="GN43" t="str">
        <f>""</f>
        <v/>
      </c>
      <c r="GO43" t="str">
        <f>""</f>
        <v/>
      </c>
      <c r="GP43" t="str">
        <f>""</f>
        <v/>
      </c>
      <c r="GQ43" t="str">
        <f>""</f>
        <v/>
      </c>
      <c r="GR43" t="str">
        <f>""</f>
        <v/>
      </c>
      <c r="GS43" t="str">
        <f>""</f>
        <v/>
      </c>
      <c r="GT43" t="str">
        <f>""</f>
        <v/>
      </c>
      <c r="GU43" t="str">
        <f>""</f>
        <v/>
      </c>
      <c r="GV43" t="str">
        <f>""</f>
        <v/>
      </c>
      <c r="GW43" t="str">
        <f>""</f>
        <v/>
      </c>
      <c r="GX43" t="str">
        <f>""</f>
        <v/>
      </c>
      <c r="GY43" t="str">
        <f>""</f>
        <v/>
      </c>
      <c r="GZ43" t="str">
        <f>""</f>
        <v/>
      </c>
      <c r="HA43" t="str">
        <f>""</f>
        <v/>
      </c>
      <c r="HB43" t="str">
        <f>""</f>
        <v/>
      </c>
      <c r="HC43" t="str">
        <f>""</f>
        <v/>
      </c>
      <c r="HD43" t="str">
        <f>""</f>
        <v/>
      </c>
      <c r="HE43" t="str">
        <f>""</f>
        <v/>
      </c>
      <c r="HF43" t="str">
        <f>""</f>
        <v/>
      </c>
      <c r="HG43" t="str">
        <f>""</f>
        <v/>
      </c>
      <c r="HH43" t="str">
        <f>""</f>
        <v/>
      </c>
      <c r="HI43" t="str">
        <f>""</f>
        <v/>
      </c>
      <c r="HJ43" t="str">
        <f>""</f>
        <v/>
      </c>
      <c r="HK43" t="str">
        <f>""</f>
        <v/>
      </c>
      <c r="HL43" t="str">
        <f>""</f>
        <v/>
      </c>
      <c r="HM43" t="str">
        <f>""</f>
        <v/>
      </c>
      <c r="HN43" t="str">
        <f>""</f>
        <v/>
      </c>
      <c r="HO43" t="str">
        <f>""</f>
        <v/>
      </c>
      <c r="HP43" t="str">
        <f>""</f>
        <v/>
      </c>
      <c r="HQ43" t="str">
        <f>""</f>
        <v/>
      </c>
      <c r="HR43" t="str">
        <f>""</f>
        <v/>
      </c>
      <c r="HS43" t="str">
        <f>""</f>
        <v/>
      </c>
      <c r="HT43" t="str">
        <f>""</f>
        <v/>
      </c>
      <c r="HU43" t="str">
        <f>""</f>
        <v/>
      </c>
      <c r="HV43" t="str">
        <f>"(0.0778)"</f>
        <v>(0.0778)</v>
      </c>
      <c r="HW43" t="str">
        <f>"(0.0631)"</f>
        <v>(0.0631)</v>
      </c>
      <c r="HX43" t="str">
        <f>"(0.0357)"</f>
        <v>(0.0357)</v>
      </c>
      <c r="HY43" t="str">
        <f>""</f>
        <v/>
      </c>
      <c r="HZ43" t="str">
        <f>""</f>
        <v/>
      </c>
      <c r="IA43" t="str">
        <f>""</f>
        <v/>
      </c>
      <c r="IB43" t="str">
        <f>""</f>
        <v/>
      </c>
      <c r="IC43" t="str">
        <f>""</f>
        <v/>
      </c>
      <c r="ID43" t="str">
        <f>""</f>
        <v/>
      </c>
      <c r="IE43" t="str">
        <f>""</f>
        <v/>
      </c>
      <c r="IF43" t="str">
        <f>""</f>
        <v/>
      </c>
      <c r="IG43" t="str">
        <f>""</f>
        <v/>
      </c>
      <c r="IH43" t="str">
        <f>""</f>
        <v/>
      </c>
      <c r="II43" t="str">
        <f>""</f>
        <v/>
      </c>
      <c r="IJ43" t="str">
        <f>""</f>
        <v/>
      </c>
      <c r="IK43" t="str">
        <f>""</f>
        <v/>
      </c>
      <c r="IL43" t="str">
        <f>""</f>
        <v/>
      </c>
      <c r="IM43" t="str">
        <f>""</f>
        <v/>
      </c>
      <c r="IN43" t="str">
        <f>""</f>
        <v/>
      </c>
      <c r="IO43" t="str">
        <f>""</f>
        <v/>
      </c>
      <c r="IP43" t="str">
        <f>""</f>
        <v/>
      </c>
      <c r="IQ43" t="str">
        <f>""</f>
        <v/>
      </c>
      <c r="IR43" t="str">
        <f>""</f>
        <v/>
      </c>
      <c r="IS43" t="str">
        <f>""</f>
        <v/>
      </c>
      <c r="IT43" t="str">
        <f>""</f>
        <v/>
      </c>
      <c r="IU43" t="str">
        <f>""</f>
        <v/>
      </c>
      <c r="IV43" t="str">
        <f>""</f>
        <v/>
      </c>
      <c r="IW43" t="str">
        <f>""</f>
        <v/>
      </c>
      <c r="IX43" t="str">
        <f>""</f>
        <v/>
      </c>
      <c r="IY43" t="str">
        <f>""</f>
        <v/>
      </c>
      <c r="IZ43" t="str">
        <f>""</f>
        <v/>
      </c>
      <c r="JA43" t="str">
        <f>""</f>
        <v/>
      </c>
      <c r="JB43" t="str">
        <f>""</f>
        <v/>
      </c>
      <c r="JC43" t="str">
        <f>""</f>
        <v/>
      </c>
      <c r="JD43" t="str">
        <f>""</f>
        <v/>
      </c>
      <c r="JE43" t="str">
        <f>""</f>
        <v/>
      </c>
      <c r="JF43" t="str">
        <f>""</f>
        <v/>
      </c>
      <c r="JG43" t="str">
        <f>""</f>
        <v/>
      </c>
      <c r="JH43" t="str">
        <f>""</f>
        <v/>
      </c>
      <c r="JI43" t="str">
        <f>""</f>
        <v/>
      </c>
      <c r="JJ43" t="str">
        <f>""</f>
        <v/>
      </c>
      <c r="JK43" t="str">
        <f>""</f>
        <v/>
      </c>
    </row>
    <row r="45" spans="1:271" x14ac:dyDescent="0.3">
      <c r="A45" t="str">
        <f>"c.zMETAB2#c.PM1"</f>
        <v>c.zMETAB2#c.PM1</v>
      </c>
      <c r="B45" t="str">
        <f>""</f>
        <v/>
      </c>
      <c r="C45" t="str">
        <f>""</f>
        <v/>
      </c>
      <c r="D45" t="str">
        <f>""</f>
        <v/>
      </c>
      <c r="E45" t="str">
        <f>"0.0974"</f>
        <v>0.0974</v>
      </c>
      <c r="F45" t="str">
        <f>"-0.0122"</f>
        <v>-0.0122</v>
      </c>
      <c r="G45" t="str">
        <f>"0.0639"</f>
        <v>0.0639</v>
      </c>
      <c r="H45" t="str">
        <f>""</f>
        <v/>
      </c>
      <c r="I45" t="str">
        <f>""</f>
        <v/>
      </c>
      <c r="J45" t="str">
        <f>""</f>
        <v/>
      </c>
      <c r="K45" t="str">
        <f>""</f>
        <v/>
      </c>
      <c r="L45" t="str">
        <f>""</f>
        <v/>
      </c>
      <c r="M45" t="str">
        <f>""</f>
        <v/>
      </c>
      <c r="N45" t="str">
        <f>""</f>
        <v/>
      </c>
      <c r="O45" t="str">
        <f>""</f>
        <v/>
      </c>
      <c r="P45" t="str">
        <f>""</f>
        <v/>
      </c>
      <c r="Q45" t="str">
        <f>""</f>
        <v/>
      </c>
      <c r="R45" t="str">
        <f>""</f>
        <v/>
      </c>
      <c r="S45" t="str">
        <f>""</f>
        <v/>
      </c>
      <c r="T45" t="str">
        <f>""</f>
        <v/>
      </c>
      <c r="U45" t="str">
        <f>""</f>
        <v/>
      </c>
      <c r="V45" t="str">
        <f>""</f>
        <v/>
      </c>
      <c r="W45" t="str">
        <f>""</f>
        <v/>
      </c>
      <c r="X45" t="str">
        <f>""</f>
        <v/>
      </c>
      <c r="Y45" t="str">
        <f>""</f>
        <v/>
      </c>
      <c r="Z45" t="str">
        <f>""</f>
        <v/>
      </c>
      <c r="AA45" t="str">
        <f>""</f>
        <v/>
      </c>
      <c r="AB45" t="str">
        <f>""</f>
        <v/>
      </c>
      <c r="AC45" t="str">
        <f>""</f>
        <v/>
      </c>
      <c r="AD45" t="str">
        <f>""</f>
        <v/>
      </c>
      <c r="AE45" t="str">
        <f>""</f>
        <v/>
      </c>
      <c r="AF45" t="str">
        <f>""</f>
        <v/>
      </c>
      <c r="AG45" t="str">
        <f>""</f>
        <v/>
      </c>
      <c r="AH45" t="str">
        <f>""</f>
        <v/>
      </c>
      <c r="AI45" t="str">
        <f>""</f>
        <v/>
      </c>
      <c r="AJ45" t="str">
        <f>""</f>
        <v/>
      </c>
      <c r="AK45" t="str">
        <f>""</f>
        <v/>
      </c>
      <c r="AL45" t="str">
        <f>""</f>
        <v/>
      </c>
      <c r="AM45" t="str">
        <f>""</f>
        <v/>
      </c>
      <c r="AN45" t="str">
        <f>""</f>
        <v/>
      </c>
      <c r="AO45" t="str">
        <f>""</f>
        <v/>
      </c>
      <c r="AP45" t="str">
        <f>""</f>
        <v/>
      </c>
      <c r="AQ45" t="str">
        <f>""</f>
        <v/>
      </c>
      <c r="AR45" t="str">
        <f>""</f>
        <v/>
      </c>
      <c r="AS45" t="str">
        <f>""</f>
        <v/>
      </c>
      <c r="AT45" t="str">
        <f>""</f>
        <v/>
      </c>
      <c r="AU45" t="str">
        <f>""</f>
        <v/>
      </c>
      <c r="AV45" t="str">
        <f>""</f>
        <v/>
      </c>
      <c r="AW45" t="str">
        <f>""</f>
        <v/>
      </c>
      <c r="AX45" t="str">
        <f>""</f>
        <v/>
      </c>
      <c r="AY45" t="str">
        <f>""</f>
        <v/>
      </c>
      <c r="AZ45" t="str">
        <f>""</f>
        <v/>
      </c>
      <c r="BA45" t="str">
        <f>""</f>
        <v/>
      </c>
      <c r="BB45" t="str">
        <f>""</f>
        <v/>
      </c>
      <c r="BC45" t="str">
        <f>""</f>
        <v/>
      </c>
      <c r="BD45" t="str">
        <f>""</f>
        <v/>
      </c>
      <c r="BE45" t="str">
        <f>""</f>
        <v/>
      </c>
      <c r="BF45" t="str">
        <f>""</f>
        <v/>
      </c>
      <c r="BG45" t="str">
        <f>""</f>
        <v/>
      </c>
      <c r="BH45" t="str">
        <f>""</f>
        <v/>
      </c>
      <c r="BI45" t="str">
        <f>""</f>
        <v/>
      </c>
      <c r="BJ45" t="str">
        <f>""</f>
        <v/>
      </c>
      <c r="BK45" t="str">
        <f>""</f>
        <v/>
      </c>
      <c r="BL45" t="str">
        <f>""</f>
        <v/>
      </c>
      <c r="BM45" t="str">
        <f>""</f>
        <v/>
      </c>
      <c r="BN45" t="str">
        <f>""</f>
        <v/>
      </c>
      <c r="BO45" t="str">
        <f>""</f>
        <v/>
      </c>
      <c r="BP45" t="str">
        <f>""</f>
        <v/>
      </c>
      <c r="BQ45" t="str">
        <f>""</f>
        <v/>
      </c>
      <c r="BR45" t="str">
        <f>""</f>
        <v/>
      </c>
      <c r="BS45" t="str">
        <f>""</f>
        <v/>
      </c>
      <c r="BT45" t="str">
        <f>""</f>
        <v/>
      </c>
      <c r="BU45" t="str">
        <f>""</f>
        <v/>
      </c>
      <c r="BV45" t="str">
        <f>""</f>
        <v/>
      </c>
      <c r="BW45" t="str">
        <f>""</f>
        <v/>
      </c>
      <c r="BX45" t="str">
        <f>""</f>
        <v/>
      </c>
      <c r="BY45" t="str">
        <f>""</f>
        <v/>
      </c>
      <c r="BZ45" t="str">
        <f>""</f>
        <v/>
      </c>
      <c r="CA45" t="str">
        <f>""</f>
        <v/>
      </c>
      <c r="CB45" t="str">
        <f>""</f>
        <v/>
      </c>
      <c r="CC45" t="str">
        <f>""</f>
        <v/>
      </c>
      <c r="CD45" t="str">
        <f>""</f>
        <v/>
      </c>
      <c r="CE45" t="str">
        <f>""</f>
        <v/>
      </c>
      <c r="CF45" t="str">
        <f>""</f>
        <v/>
      </c>
      <c r="CG45" t="str">
        <f>""</f>
        <v/>
      </c>
      <c r="CH45" t="str">
        <f>""</f>
        <v/>
      </c>
      <c r="CI45" t="str">
        <f>""</f>
        <v/>
      </c>
      <c r="CJ45" t="str">
        <f>""</f>
        <v/>
      </c>
      <c r="CK45" t="str">
        <f>""</f>
        <v/>
      </c>
      <c r="CL45" t="str">
        <f>""</f>
        <v/>
      </c>
      <c r="CM45" t="str">
        <f>""</f>
        <v/>
      </c>
      <c r="CN45" t="str">
        <f>""</f>
        <v/>
      </c>
      <c r="CO45" t="str">
        <f>""</f>
        <v/>
      </c>
      <c r="CP45" t="str">
        <f>""</f>
        <v/>
      </c>
      <c r="CQ45" t="str">
        <f>""</f>
        <v/>
      </c>
      <c r="CR45" t="str">
        <f>""</f>
        <v/>
      </c>
      <c r="CS45" t="str">
        <f>""</f>
        <v/>
      </c>
      <c r="CT45" t="str">
        <f>""</f>
        <v/>
      </c>
      <c r="CU45" t="str">
        <f>""</f>
        <v/>
      </c>
      <c r="CV45" t="str">
        <f>""</f>
        <v/>
      </c>
      <c r="CW45" t="str">
        <f>""</f>
        <v/>
      </c>
      <c r="CX45" t="str">
        <f>""</f>
        <v/>
      </c>
      <c r="CY45" t="str">
        <f>""</f>
        <v/>
      </c>
      <c r="CZ45" t="str">
        <f>""</f>
        <v/>
      </c>
      <c r="DA45" t="str">
        <f>""</f>
        <v/>
      </c>
      <c r="DB45" t="str">
        <f>""</f>
        <v/>
      </c>
      <c r="DC45" t="str">
        <f>""</f>
        <v/>
      </c>
      <c r="DD45" t="str">
        <f>""</f>
        <v/>
      </c>
      <c r="DE45" t="str">
        <f>""</f>
        <v/>
      </c>
      <c r="DF45" t="str">
        <f>""</f>
        <v/>
      </c>
      <c r="DG45" t="str">
        <f>""</f>
        <v/>
      </c>
      <c r="DH45" t="str">
        <f>""</f>
        <v/>
      </c>
      <c r="DI45" t="str">
        <f>""</f>
        <v/>
      </c>
      <c r="DJ45" t="str">
        <f>""</f>
        <v/>
      </c>
      <c r="DK45" t="str">
        <f>""</f>
        <v/>
      </c>
      <c r="DL45" t="str">
        <f>""</f>
        <v/>
      </c>
      <c r="DM45" t="str">
        <f>""</f>
        <v/>
      </c>
      <c r="DN45" t="str">
        <f>""</f>
        <v/>
      </c>
      <c r="DO45" t="str">
        <f>""</f>
        <v/>
      </c>
      <c r="DP45" t="str">
        <f>""</f>
        <v/>
      </c>
      <c r="DQ45" t="str">
        <f>""</f>
        <v/>
      </c>
      <c r="DR45" t="str">
        <f>""</f>
        <v/>
      </c>
      <c r="DS45" t="str">
        <f>""</f>
        <v/>
      </c>
      <c r="DT45" t="str">
        <f>""</f>
        <v/>
      </c>
      <c r="DU45" t="str">
        <f>""</f>
        <v/>
      </c>
      <c r="DV45" t="str">
        <f>""</f>
        <v/>
      </c>
      <c r="DW45" t="str">
        <f>""</f>
        <v/>
      </c>
      <c r="DX45" t="str">
        <f>""</f>
        <v/>
      </c>
      <c r="DY45" t="str">
        <f>""</f>
        <v/>
      </c>
      <c r="DZ45" t="str">
        <f>""</f>
        <v/>
      </c>
      <c r="EA45" t="str">
        <f>""</f>
        <v/>
      </c>
      <c r="EB45" t="str">
        <f>""</f>
        <v/>
      </c>
      <c r="EC45" t="str">
        <f>""</f>
        <v/>
      </c>
      <c r="ED45" t="str">
        <f>""</f>
        <v/>
      </c>
      <c r="EE45" t="str">
        <f>""</f>
        <v/>
      </c>
      <c r="EF45" t="str">
        <f>""</f>
        <v/>
      </c>
      <c r="EG45" t="str">
        <f>""</f>
        <v/>
      </c>
      <c r="EH45" t="str">
        <f>""</f>
        <v/>
      </c>
      <c r="EI45" t="str">
        <f>""</f>
        <v/>
      </c>
      <c r="EJ45" t="str">
        <f>""</f>
        <v/>
      </c>
      <c r="EK45" t="str">
        <f>""</f>
        <v/>
      </c>
      <c r="EL45" t="str">
        <f>""</f>
        <v/>
      </c>
      <c r="EM45" t="str">
        <f>""</f>
        <v/>
      </c>
      <c r="EN45" t="str">
        <f>""</f>
        <v/>
      </c>
      <c r="EO45" t="str">
        <f>""</f>
        <v/>
      </c>
      <c r="EP45" t="str">
        <f>""</f>
        <v/>
      </c>
      <c r="EQ45" t="str">
        <f>""</f>
        <v/>
      </c>
      <c r="ER45" t="str">
        <f>""</f>
        <v/>
      </c>
      <c r="ES45" t="str">
        <f>""</f>
        <v/>
      </c>
      <c r="ET45" t="str">
        <f>""</f>
        <v/>
      </c>
      <c r="EU45" t="str">
        <f>""</f>
        <v/>
      </c>
      <c r="EV45" t="str">
        <f>""</f>
        <v/>
      </c>
      <c r="EW45" t="str">
        <f>""</f>
        <v/>
      </c>
      <c r="EX45" t="str">
        <f>""</f>
        <v/>
      </c>
      <c r="EY45" t="str">
        <f>""</f>
        <v/>
      </c>
      <c r="EZ45" t="str">
        <f>""</f>
        <v/>
      </c>
      <c r="FA45" t="str">
        <f>""</f>
        <v/>
      </c>
      <c r="FB45" t="str">
        <f>""</f>
        <v/>
      </c>
      <c r="FC45" t="str">
        <f>""</f>
        <v/>
      </c>
      <c r="FD45" t="str">
        <f>""</f>
        <v/>
      </c>
      <c r="FE45" t="str">
        <f>""</f>
        <v/>
      </c>
      <c r="FF45" t="str">
        <f>""</f>
        <v/>
      </c>
      <c r="FG45" t="str">
        <f>""</f>
        <v/>
      </c>
      <c r="FH45" t="str">
        <f>""</f>
        <v/>
      </c>
      <c r="FI45" t="str">
        <f>""</f>
        <v/>
      </c>
      <c r="FJ45" t="str">
        <f>""</f>
        <v/>
      </c>
      <c r="FK45" t="str">
        <f>""</f>
        <v/>
      </c>
      <c r="FL45" t="str">
        <f>""</f>
        <v/>
      </c>
      <c r="FM45" t="str">
        <f>""</f>
        <v/>
      </c>
      <c r="FN45" t="str">
        <f>""</f>
        <v/>
      </c>
      <c r="FO45" t="str">
        <f>""</f>
        <v/>
      </c>
      <c r="FP45" t="str">
        <f>""</f>
        <v/>
      </c>
      <c r="FQ45" t="str">
        <f>""</f>
        <v/>
      </c>
      <c r="FR45" t="str">
        <f>""</f>
        <v/>
      </c>
      <c r="FS45" t="str">
        <f>""</f>
        <v/>
      </c>
      <c r="FT45" t="str">
        <f>""</f>
        <v/>
      </c>
      <c r="FU45" t="str">
        <f>""</f>
        <v/>
      </c>
      <c r="FV45" t="str">
        <f>""</f>
        <v/>
      </c>
      <c r="FW45" t="str">
        <f>""</f>
        <v/>
      </c>
      <c r="FX45" t="str">
        <f>""</f>
        <v/>
      </c>
      <c r="FY45" t="str">
        <f>""</f>
        <v/>
      </c>
      <c r="FZ45" t="str">
        <f>""</f>
        <v/>
      </c>
      <c r="GA45" t="str">
        <f>""</f>
        <v/>
      </c>
      <c r="GB45" t="str">
        <f>""</f>
        <v/>
      </c>
      <c r="GC45" t="str">
        <f>""</f>
        <v/>
      </c>
      <c r="GD45" t="str">
        <f>""</f>
        <v/>
      </c>
      <c r="GE45" t="str">
        <f>""</f>
        <v/>
      </c>
      <c r="GF45" t="str">
        <f>""</f>
        <v/>
      </c>
      <c r="GG45" t="str">
        <f>""</f>
        <v/>
      </c>
      <c r="GH45" t="str">
        <f>""</f>
        <v/>
      </c>
      <c r="GI45" t="str">
        <f>""</f>
        <v/>
      </c>
      <c r="GJ45" t="str">
        <f>""</f>
        <v/>
      </c>
      <c r="GK45" t="str">
        <f>""</f>
        <v/>
      </c>
      <c r="GL45" t="str">
        <f>""</f>
        <v/>
      </c>
      <c r="GM45" t="str">
        <f>""</f>
        <v/>
      </c>
      <c r="GN45" t="str">
        <f>""</f>
        <v/>
      </c>
      <c r="GO45" t="str">
        <f>""</f>
        <v/>
      </c>
      <c r="GP45" t="str">
        <f>""</f>
        <v/>
      </c>
      <c r="GQ45" t="str">
        <f>""</f>
        <v/>
      </c>
      <c r="GR45" t="str">
        <f>""</f>
        <v/>
      </c>
      <c r="GS45" t="str">
        <f>""</f>
        <v/>
      </c>
      <c r="GT45" t="str">
        <f>""</f>
        <v/>
      </c>
      <c r="GU45" t="str">
        <f>""</f>
        <v/>
      </c>
      <c r="GV45" t="str">
        <f>""</f>
        <v/>
      </c>
      <c r="GW45" t="str">
        <f>""</f>
        <v/>
      </c>
      <c r="GX45" t="str">
        <f>""</f>
        <v/>
      </c>
      <c r="GY45" t="str">
        <f>""</f>
        <v/>
      </c>
      <c r="GZ45" t="str">
        <f>""</f>
        <v/>
      </c>
      <c r="HA45" t="str">
        <f>""</f>
        <v/>
      </c>
      <c r="HB45" t="str">
        <f>""</f>
        <v/>
      </c>
      <c r="HC45" t="str">
        <f>""</f>
        <v/>
      </c>
      <c r="HD45" t="str">
        <f>""</f>
        <v/>
      </c>
      <c r="HE45" t="str">
        <f>""</f>
        <v/>
      </c>
      <c r="HF45" t="str">
        <f>""</f>
        <v/>
      </c>
      <c r="HG45" t="str">
        <f>""</f>
        <v/>
      </c>
      <c r="HH45" t="str">
        <f>""</f>
        <v/>
      </c>
      <c r="HI45" t="str">
        <f>""</f>
        <v/>
      </c>
      <c r="HJ45" t="str">
        <f>""</f>
        <v/>
      </c>
      <c r="HK45" t="str">
        <f>""</f>
        <v/>
      </c>
      <c r="HL45" t="str">
        <f>""</f>
        <v/>
      </c>
      <c r="HM45" t="str">
        <f>""</f>
        <v/>
      </c>
      <c r="HN45" t="str">
        <f>""</f>
        <v/>
      </c>
      <c r="HO45" t="str">
        <f>""</f>
        <v/>
      </c>
      <c r="HP45" t="str">
        <f>""</f>
        <v/>
      </c>
      <c r="HQ45" t="str">
        <f>""</f>
        <v/>
      </c>
      <c r="HR45" t="str">
        <f>""</f>
        <v/>
      </c>
      <c r="HS45" t="str">
        <f>""</f>
        <v/>
      </c>
      <c r="HT45" t="str">
        <f>""</f>
        <v/>
      </c>
      <c r="HU45" t="str">
        <f>""</f>
        <v/>
      </c>
      <c r="HV45" t="str">
        <f>""</f>
        <v/>
      </c>
      <c r="HW45" t="str">
        <f>""</f>
        <v/>
      </c>
      <c r="HX45" t="str">
        <f>""</f>
        <v/>
      </c>
      <c r="HY45" t="str">
        <f>""</f>
        <v/>
      </c>
      <c r="HZ45" t="str">
        <f>""</f>
        <v/>
      </c>
      <c r="IA45" t="str">
        <f>""</f>
        <v/>
      </c>
      <c r="IB45" t="str">
        <f>""</f>
        <v/>
      </c>
      <c r="IC45" t="str">
        <f>""</f>
        <v/>
      </c>
      <c r="ID45" t="str">
        <f>""</f>
        <v/>
      </c>
      <c r="IE45" t="str">
        <f>""</f>
        <v/>
      </c>
      <c r="IF45" t="str">
        <f>""</f>
        <v/>
      </c>
      <c r="IG45" t="str">
        <f>""</f>
        <v/>
      </c>
      <c r="IH45" t="str">
        <f>""</f>
        <v/>
      </c>
      <c r="II45" t="str">
        <f>""</f>
        <v/>
      </c>
      <c r="IJ45" t="str">
        <f>""</f>
        <v/>
      </c>
      <c r="IK45" t="str">
        <f>""</f>
        <v/>
      </c>
      <c r="IL45" t="str">
        <f>""</f>
        <v/>
      </c>
      <c r="IM45" t="str">
        <f>""</f>
        <v/>
      </c>
      <c r="IN45" t="str">
        <f>""</f>
        <v/>
      </c>
      <c r="IO45" t="str">
        <f>""</f>
        <v/>
      </c>
      <c r="IP45" t="str">
        <f>""</f>
        <v/>
      </c>
      <c r="IQ45" t="str">
        <f>""</f>
        <v/>
      </c>
      <c r="IR45" t="str">
        <f>""</f>
        <v/>
      </c>
      <c r="IS45" t="str">
        <f>""</f>
        <v/>
      </c>
      <c r="IT45" t="str">
        <f>""</f>
        <v/>
      </c>
      <c r="IU45" t="str">
        <f>""</f>
        <v/>
      </c>
      <c r="IV45" t="str">
        <f>""</f>
        <v/>
      </c>
      <c r="IW45" t="str">
        <f>""</f>
        <v/>
      </c>
      <c r="IX45" t="str">
        <f>""</f>
        <v/>
      </c>
      <c r="IY45" t="str">
        <f>""</f>
        <v/>
      </c>
      <c r="IZ45" t="str">
        <f>""</f>
        <v/>
      </c>
      <c r="JA45" t="str">
        <f>""</f>
        <v/>
      </c>
      <c r="JB45" t="str">
        <f>""</f>
        <v/>
      </c>
      <c r="JC45" t="str">
        <f>""</f>
        <v/>
      </c>
      <c r="JD45" t="str">
        <f>""</f>
        <v/>
      </c>
      <c r="JE45" t="str">
        <f>""</f>
        <v/>
      </c>
      <c r="JF45" t="str">
        <f>""</f>
        <v/>
      </c>
      <c r="JG45" t="str">
        <f>""</f>
        <v/>
      </c>
      <c r="JH45" t="str">
        <f>""</f>
        <v/>
      </c>
      <c r="JI45" t="str">
        <f>""</f>
        <v/>
      </c>
      <c r="JJ45" t="str">
        <f>""</f>
        <v/>
      </c>
      <c r="JK45" t="str">
        <f>""</f>
        <v/>
      </c>
    </row>
    <row r="46" spans="1:271" x14ac:dyDescent="0.3">
      <c r="A46" t="str">
        <f>""</f>
        <v/>
      </c>
      <c r="B46" t="str">
        <f>""</f>
        <v/>
      </c>
      <c r="C46" t="str">
        <f>""</f>
        <v/>
      </c>
      <c r="D46" t="str">
        <f>""</f>
        <v/>
      </c>
      <c r="E46" t="str">
        <f>"(0.102)"</f>
        <v>(0.102)</v>
      </c>
      <c r="F46" t="str">
        <f>"(0.0805)"</f>
        <v>(0.0805)</v>
      </c>
      <c r="G46" t="str">
        <f>"(0.0449)"</f>
        <v>(0.0449)</v>
      </c>
      <c r="H46" t="str">
        <f>""</f>
        <v/>
      </c>
      <c r="I46" t="str">
        <f>""</f>
        <v/>
      </c>
      <c r="J46" t="str">
        <f>""</f>
        <v/>
      </c>
      <c r="K46" t="str">
        <f>""</f>
        <v/>
      </c>
      <c r="L46" t="str">
        <f>""</f>
        <v/>
      </c>
      <c r="M46" t="str">
        <f>""</f>
        <v/>
      </c>
      <c r="N46" t="str">
        <f>""</f>
        <v/>
      </c>
      <c r="O46" t="str">
        <f>""</f>
        <v/>
      </c>
      <c r="P46" t="str">
        <f>""</f>
        <v/>
      </c>
      <c r="Q46" t="str">
        <f>""</f>
        <v/>
      </c>
      <c r="R46" t="str">
        <f>""</f>
        <v/>
      </c>
      <c r="S46" t="str">
        <f>""</f>
        <v/>
      </c>
      <c r="T46" t="str">
        <f>""</f>
        <v/>
      </c>
      <c r="U46" t="str">
        <f>""</f>
        <v/>
      </c>
      <c r="V46" t="str">
        <f>""</f>
        <v/>
      </c>
      <c r="W46" t="str">
        <f>""</f>
        <v/>
      </c>
      <c r="X46" t="str">
        <f>""</f>
        <v/>
      </c>
      <c r="Y46" t="str">
        <f>""</f>
        <v/>
      </c>
      <c r="Z46" t="str">
        <f>""</f>
        <v/>
      </c>
      <c r="AA46" t="str">
        <f>""</f>
        <v/>
      </c>
      <c r="AB46" t="str">
        <f>""</f>
        <v/>
      </c>
      <c r="AC46" t="str">
        <f>""</f>
        <v/>
      </c>
      <c r="AD46" t="str">
        <f>""</f>
        <v/>
      </c>
      <c r="AE46" t="str">
        <f>""</f>
        <v/>
      </c>
      <c r="AF46" t="str">
        <f>""</f>
        <v/>
      </c>
      <c r="AG46" t="str">
        <f>""</f>
        <v/>
      </c>
      <c r="AH46" t="str">
        <f>""</f>
        <v/>
      </c>
      <c r="AI46" t="str">
        <f>""</f>
        <v/>
      </c>
      <c r="AJ46" t="str">
        <f>""</f>
        <v/>
      </c>
      <c r="AK46" t="str">
        <f>""</f>
        <v/>
      </c>
      <c r="AL46" t="str">
        <f>""</f>
        <v/>
      </c>
      <c r="AM46" t="str">
        <f>""</f>
        <v/>
      </c>
      <c r="AN46" t="str">
        <f>""</f>
        <v/>
      </c>
      <c r="AO46" t="str">
        <f>""</f>
        <v/>
      </c>
      <c r="AP46" t="str">
        <f>""</f>
        <v/>
      </c>
      <c r="AQ46" t="str">
        <f>""</f>
        <v/>
      </c>
      <c r="AR46" t="str">
        <f>""</f>
        <v/>
      </c>
      <c r="AS46" t="str">
        <f>""</f>
        <v/>
      </c>
      <c r="AT46" t="str">
        <f>""</f>
        <v/>
      </c>
      <c r="AU46" t="str">
        <f>""</f>
        <v/>
      </c>
      <c r="AV46" t="str">
        <f>""</f>
        <v/>
      </c>
      <c r="AW46" t="str">
        <f>""</f>
        <v/>
      </c>
      <c r="AX46" t="str">
        <f>""</f>
        <v/>
      </c>
      <c r="AY46" t="str">
        <f>""</f>
        <v/>
      </c>
      <c r="AZ46" t="str">
        <f>""</f>
        <v/>
      </c>
      <c r="BA46" t="str">
        <f>""</f>
        <v/>
      </c>
      <c r="BB46" t="str">
        <f>""</f>
        <v/>
      </c>
      <c r="BC46" t="str">
        <f>""</f>
        <v/>
      </c>
      <c r="BD46" t="str">
        <f>""</f>
        <v/>
      </c>
      <c r="BE46" t="str">
        <f>""</f>
        <v/>
      </c>
      <c r="BF46" t="str">
        <f>""</f>
        <v/>
      </c>
      <c r="BG46" t="str">
        <f>""</f>
        <v/>
      </c>
      <c r="BH46" t="str">
        <f>""</f>
        <v/>
      </c>
      <c r="BI46" t="str">
        <f>""</f>
        <v/>
      </c>
      <c r="BJ46" t="str">
        <f>""</f>
        <v/>
      </c>
      <c r="BK46" t="str">
        <f>""</f>
        <v/>
      </c>
      <c r="BL46" t="str">
        <f>""</f>
        <v/>
      </c>
      <c r="BM46" t="str">
        <f>""</f>
        <v/>
      </c>
      <c r="BN46" t="str">
        <f>""</f>
        <v/>
      </c>
      <c r="BO46" t="str">
        <f>""</f>
        <v/>
      </c>
      <c r="BP46" t="str">
        <f>""</f>
        <v/>
      </c>
      <c r="BQ46" t="str">
        <f>""</f>
        <v/>
      </c>
      <c r="BR46" t="str">
        <f>""</f>
        <v/>
      </c>
      <c r="BS46" t="str">
        <f>""</f>
        <v/>
      </c>
      <c r="BT46" t="str">
        <f>""</f>
        <v/>
      </c>
      <c r="BU46" t="str">
        <f>""</f>
        <v/>
      </c>
      <c r="BV46" t="str">
        <f>""</f>
        <v/>
      </c>
      <c r="BW46" t="str">
        <f>""</f>
        <v/>
      </c>
      <c r="BX46" t="str">
        <f>""</f>
        <v/>
      </c>
      <c r="BY46" t="str">
        <f>""</f>
        <v/>
      </c>
      <c r="BZ46" t="str">
        <f>""</f>
        <v/>
      </c>
      <c r="CA46" t="str">
        <f>""</f>
        <v/>
      </c>
      <c r="CB46" t="str">
        <f>""</f>
        <v/>
      </c>
      <c r="CC46" t="str">
        <f>""</f>
        <v/>
      </c>
      <c r="CD46" t="str">
        <f>""</f>
        <v/>
      </c>
      <c r="CE46" t="str">
        <f>""</f>
        <v/>
      </c>
      <c r="CF46" t="str">
        <f>""</f>
        <v/>
      </c>
      <c r="CG46" t="str">
        <f>""</f>
        <v/>
      </c>
      <c r="CH46" t="str">
        <f>""</f>
        <v/>
      </c>
      <c r="CI46" t="str">
        <f>""</f>
        <v/>
      </c>
      <c r="CJ46" t="str">
        <f>""</f>
        <v/>
      </c>
      <c r="CK46" t="str">
        <f>""</f>
        <v/>
      </c>
      <c r="CL46" t="str">
        <f>""</f>
        <v/>
      </c>
      <c r="CM46" t="str">
        <f>""</f>
        <v/>
      </c>
      <c r="CN46" t="str">
        <f>""</f>
        <v/>
      </c>
      <c r="CO46" t="str">
        <f>""</f>
        <v/>
      </c>
      <c r="CP46" t="str">
        <f>""</f>
        <v/>
      </c>
      <c r="CQ46" t="str">
        <f>""</f>
        <v/>
      </c>
      <c r="CR46" t="str">
        <f>""</f>
        <v/>
      </c>
      <c r="CS46" t="str">
        <f>""</f>
        <v/>
      </c>
      <c r="CT46" t="str">
        <f>""</f>
        <v/>
      </c>
      <c r="CU46" t="str">
        <f>""</f>
        <v/>
      </c>
      <c r="CV46" t="str">
        <f>""</f>
        <v/>
      </c>
      <c r="CW46" t="str">
        <f>""</f>
        <v/>
      </c>
      <c r="CX46" t="str">
        <f>""</f>
        <v/>
      </c>
      <c r="CY46" t="str">
        <f>""</f>
        <v/>
      </c>
      <c r="CZ46" t="str">
        <f>""</f>
        <v/>
      </c>
      <c r="DA46" t="str">
        <f>""</f>
        <v/>
      </c>
      <c r="DB46" t="str">
        <f>""</f>
        <v/>
      </c>
      <c r="DC46" t="str">
        <f>""</f>
        <v/>
      </c>
      <c r="DD46" t="str">
        <f>""</f>
        <v/>
      </c>
      <c r="DE46" t="str">
        <f>""</f>
        <v/>
      </c>
      <c r="DF46" t="str">
        <f>""</f>
        <v/>
      </c>
      <c r="DG46" t="str">
        <f>""</f>
        <v/>
      </c>
      <c r="DH46" t="str">
        <f>""</f>
        <v/>
      </c>
      <c r="DI46" t="str">
        <f>""</f>
        <v/>
      </c>
      <c r="DJ46" t="str">
        <f>""</f>
        <v/>
      </c>
      <c r="DK46" t="str">
        <f>""</f>
        <v/>
      </c>
      <c r="DL46" t="str">
        <f>""</f>
        <v/>
      </c>
      <c r="DM46" t="str">
        <f>""</f>
        <v/>
      </c>
      <c r="DN46" t="str">
        <f>""</f>
        <v/>
      </c>
      <c r="DO46" t="str">
        <f>""</f>
        <v/>
      </c>
      <c r="DP46" t="str">
        <f>""</f>
        <v/>
      </c>
      <c r="DQ46" t="str">
        <f>""</f>
        <v/>
      </c>
      <c r="DR46" t="str">
        <f>""</f>
        <v/>
      </c>
      <c r="DS46" t="str">
        <f>""</f>
        <v/>
      </c>
      <c r="DT46" t="str">
        <f>""</f>
        <v/>
      </c>
      <c r="DU46" t="str">
        <f>""</f>
        <v/>
      </c>
      <c r="DV46" t="str">
        <f>""</f>
        <v/>
      </c>
      <c r="DW46" t="str">
        <f>""</f>
        <v/>
      </c>
      <c r="DX46" t="str">
        <f>""</f>
        <v/>
      </c>
      <c r="DY46" t="str">
        <f>""</f>
        <v/>
      </c>
      <c r="DZ46" t="str">
        <f>""</f>
        <v/>
      </c>
      <c r="EA46" t="str">
        <f>""</f>
        <v/>
      </c>
      <c r="EB46" t="str">
        <f>""</f>
        <v/>
      </c>
      <c r="EC46" t="str">
        <f>""</f>
        <v/>
      </c>
      <c r="ED46" t="str">
        <f>""</f>
        <v/>
      </c>
      <c r="EE46" t="str">
        <f>""</f>
        <v/>
      </c>
      <c r="EF46" t="str">
        <f>""</f>
        <v/>
      </c>
      <c r="EG46" t="str">
        <f>""</f>
        <v/>
      </c>
      <c r="EH46" t="str">
        <f>""</f>
        <v/>
      </c>
      <c r="EI46" t="str">
        <f>""</f>
        <v/>
      </c>
      <c r="EJ46" t="str">
        <f>""</f>
        <v/>
      </c>
      <c r="EK46" t="str">
        <f>""</f>
        <v/>
      </c>
      <c r="EL46" t="str">
        <f>""</f>
        <v/>
      </c>
      <c r="EM46" t="str">
        <f>""</f>
        <v/>
      </c>
      <c r="EN46" t="str">
        <f>""</f>
        <v/>
      </c>
      <c r="EO46" t="str">
        <f>""</f>
        <v/>
      </c>
      <c r="EP46" t="str">
        <f>""</f>
        <v/>
      </c>
      <c r="EQ46" t="str">
        <f>""</f>
        <v/>
      </c>
      <c r="ER46" t="str">
        <f>""</f>
        <v/>
      </c>
      <c r="ES46" t="str">
        <f>""</f>
        <v/>
      </c>
      <c r="ET46" t="str">
        <f>""</f>
        <v/>
      </c>
      <c r="EU46" t="str">
        <f>""</f>
        <v/>
      </c>
      <c r="EV46" t="str">
        <f>""</f>
        <v/>
      </c>
      <c r="EW46" t="str">
        <f>""</f>
        <v/>
      </c>
      <c r="EX46" t="str">
        <f>""</f>
        <v/>
      </c>
      <c r="EY46" t="str">
        <f>""</f>
        <v/>
      </c>
      <c r="EZ46" t="str">
        <f>""</f>
        <v/>
      </c>
      <c r="FA46" t="str">
        <f>""</f>
        <v/>
      </c>
      <c r="FB46" t="str">
        <f>""</f>
        <v/>
      </c>
      <c r="FC46" t="str">
        <f>""</f>
        <v/>
      </c>
      <c r="FD46" t="str">
        <f>""</f>
        <v/>
      </c>
      <c r="FE46" t="str">
        <f>""</f>
        <v/>
      </c>
      <c r="FF46" t="str">
        <f>""</f>
        <v/>
      </c>
      <c r="FG46" t="str">
        <f>""</f>
        <v/>
      </c>
      <c r="FH46" t="str">
        <f>""</f>
        <v/>
      </c>
      <c r="FI46" t="str">
        <f>""</f>
        <v/>
      </c>
      <c r="FJ46" t="str">
        <f>""</f>
        <v/>
      </c>
      <c r="FK46" t="str">
        <f>""</f>
        <v/>
      </c>
      <c r="FL46" t="str">
        <f>""</f>
        <v/>
      </c>
      <c r="FM46" t="str">
        <f>""</f>
        <v/>
      </c>
      <c r="FN46" t="str">
        <f>""</f>
        <v/>
      </c>
      <c r="FO46" t="str">
        <f>""</f>
        <v/>
      </c>
      <c r="FP46" t="str">
        <f>""</f>
        <v/>
      </c>
      <c r="FQ46" t="str">
        <f>""</f>
        <v/>
      </c>
      <c r="FR46" t="str">
        <f>""</f>
        <v/>
      </c>
      <c r="FS46" t="str">
        <f>""</f>
        <v/>
      </c>
      <c r="FT46" t="str">
        <f>""</f>
        <v/>
      </c>
      <c r="FU46" t="str">
        <f>""</f>
        <v/>
      </c>
      <c r="FV46" t="str">
        <f>""</f>
        <v/>
      </c>
      <c r="FW46" t="str">
        <f>""</f>
        <v/>
      </c>
      <c r="FX46" t="str">
        <f>""</f>
        <v/>
      </c>
      <c r="FY46" t="str">
        <f>""</f>
        <v/>
      </c>
      <c r="FZ46" t="str">
        <f>""</f>
        <v/>
      </c>
      <c r="GA46" t="str">
        <f>""</f>
        <v/>
      </c>
      <c r="GB46" t="str">
        <f>""</f>
        <v/>
      </c>
      <c r="GC46" t="str">
        <f>""</f>
        <v/>
      </c>
      <c r="GD46" t="str">
        <f>""</f>
        <v/>
      </c>
      <c r="GE46" t="str">
        <f>""</f>
        <v/>
      </c>
      <c r="GF46" t="str">
        <f>""</f>
        <v/>
      </c>
      <c r="GG46" t="str">
        <f>""</f>
        <v/>
      </c>
      <c r="GH46" t="str">
        <f>""</f>
        <v/>
      </c>
      <c r="GI46" t="str">
        <f>""</f>
        <v/>
      </c>
      <c r="GJ46" t="str">
        <f>""</f>
        <v/>
      </c>
      <c r="GK46" t="str">
        <f>""</f>
        <v/>
      </c>
      <c r="GL46" t="str">
        <f>""</f>
        <v/>
      </c>
      <c r="GM46" t="str">
        <f>""</f>
        <v/>
      </c>
      <c r="GN46" t="str">
        <f>""</f>
        <v/>
      </c>
      <c r="GO46" t="str">
        <f>""</f>
        <v/>
      </c>
      <c r="GP46" t="str">
        <f>""</f>
        <v/>
      </c>
      <c r="GQ46" t="str">
        <f>""</f>
        <v/>
      </c>
      <c r="GR46" t="str">
        <f>""</f>
        <v/>
      </c>
      <c r="GS46" t="str">
        <f>""</f>
        <v/>
      </c>
      <c r="GT46" t="str">
        <f>""</f>
        <v/>
      </c>
      <c r="GU46" t="str">
        <f>""</f>
        <v/>
      </c>
      <c r="GV46" t="str">
        <f>""</f>
        <v/>
      </c>
      <c r="GW46" t="str">
        <f>""</f>
        <v/>
      </c>
      <c r="GX46" t="str">
        <f>""</f>
        <v/>
      </c>
      <c r="GY46" t="str">
        <f>""</f>
        <v/>
      </c>
      <c r="GZ46" t="str">
        <f>""</f>
        <v/>
      </c>
      <c r="HA46" t="str">
        <f>""</f>
        <v/>
      </c>
      <c r="HB46" t="str">
        <f>""</f>
        <v/>
      </c>
      <c r="HC46" t="str">
        <f>""</f>
        <v/>
      </c>
      <c r="HD46" t="str">
        <f>""</f>
        <v/>
      </c>
      <c r="HE46" t="str">
        <f>""</f>
        <v/>
      </c>
      <c r="HF46" t="str">
        <f>""</f>
        <v/>
      </c>
      <c r="HG46" t="str">
        <f>""</f>
        <v/>
      </c>
      <c r="HH46" t="str">
        <f>""</f>
        <v/>
      </c>
      <c r="HI46" t="str">
        <f>""</f>
        <v/>
      </c>
      <c r="HJ46" t="str">
        <f>""</f>
        <v/>
      </c>
      <c r="HK46" t="str">
        <f>""</f>
        <v/>
      </c>
      <c r="HL46" t="str">
        <f>""</f>
        <v/>
      </c>
      <c r="HM46" t="str">
        <f>""</f>
        <v/>
      </c>
      <c r="HN46" t="str">
        <f>""</f>
        <v/>
      </c>
      <c r="HO46" t="str">
        <f>""</f>
        <v/>
      </c>
      <c r="HP46" t="str">
        <f>""</f>
        <v/>
      </c>
      <c r="HQ46" t="str">
        <f>""</f>
        <v/>
      </c>
      <c r="HR46" t="str">
        <f>""</f>
        <v/>
      </c>
      <c r="HS46" t="str">
        <f>""</f>
        <v/>
      </c>
      <c r="HT46" t="str">
        <f>""</f>
        <v/>
      </c>
      <c r="HU46" t="str">
        <f>""</f>
        <v/>
      </c>
      <c r="HV46" t="str">
        <f>""</f>
        <v/>
      </c>
      <c r="HW46" t="str">
        <f>""</f>
        <v/>
      </c>
      <c r="HX46" t="str">
        <f>""</f>
        <v/>
      </c>
      <c r="HY46" t="str">
        <f>""</f>
        <v/>
      </c>
      <c r="HZ46" t="str">
        <f>""</f>
        <v/>
      </c>
      <c r="IA46" t="str">
        <f>""</f>
        <v/>
      </c>
      <c r="IB46" t="str">
        <f>""</f>
        <v/>
      </c>
      <c r="IC46" t="str">
        <f>""</f>
        <v/>
      </c>
      <c r="ID46" t="str">
        <f>""</f>
        <v/>
      </c>
      <c r="IE46" t="str">
        <f>""</f>
        <v/>
      </c>
      <c r="IF46" t="str">
        <f>""</f>
        <v/>
      </c>
      <c r="IG46" t="str">
        <f>""</f>
        <v/>
      </c>
      <c r="IH46" t="str">
        <f>""</f>
        <v/>
      </c>
      <c r="II46" t="str">
        <f>""</f>
        <v/>
      </c>
      <c r="IJ46" t="str">
        <f>""</f>
        <v/>
      </c>
      <c r="IK46" t="str">
        <f>""</f>
        <v/>
      </c>
      <c r="IL46" t="str">
        <f>""</f>
        <v/>
      </c>
      <c r="IM46" t="str">
        <f>""</f>
        <v/>
      </c>
      <c r="IN46" t="str">
        <f>""</f>
        <v/>
      </c>
      <c r="IO46" t="str">
        <f>""</f>
        <v/>
      </c>
      <c r="IP46" t="str">
        <f>""</f>
        <v/>
      </c>
      <c r="IQ46" t="str">
        <f>""</f>
        <v/>
      </c>
      <c r="IR46" t="str">
        <f>""</f>
        <v/>
      </c>
      <c r="IS46" t="str">
        <f>""</f>
        <v/>
      </c>
      <c r="IT46" t="str">
        <f>""</f>
        <v/>
      </c>
      <c r="IU46" t="str">
        <f>""</f>
        <v/>
      </c>
      <c r="IV46" t="str">
        <f>""</f>
        <v/>
      </c>
      <c r="IW46" t="str">
        <f>""</f>
        <v/>
      </c>
      <c r="IX46" t="str">
        <f>""</f>
        <v/>
      </c>
      <c r="IY46" t="str">
        <f>""</f>
        <v/>
      </c>
      <c r="IZ46" t="str">
        <f>""</f>
        <v/>
      </c>
      <c r="JA46" t="str">
        <f>""</f>
        <v/>
      </c>
      <c r="JB46" t="str">
        <f>""</f>
        <v/>
      </c>
      <c r="JC46" t="str">
        <f>""</f>
        <v/>
      </c>
      <c r="JD46" t="str">
        <f>""</f>
        <v/>
      </c>
      <c r="JE46" t="str">
        <f>""</f>
        <v/>
      </c>
      <c r="JF46" t="str">
        <f>""</f>
        <v/>
      </c>
      <c r="JG46" t="str">
        <f>""</f>
        <v/>
      </c>
      <c r="JH46" t="str">
        <f>""</f>
        <v/>
      </c>
      <c r="JI46" t="str">
        <f>""</f>
        <v/>
      </c>
      <c r="JJ46" t="str">
        <f>""</f>
        <v/>
      </c>
      <c r="JK46" t="str">
        <f>""</f>
        <v/>
      </c>
    </row>
    <row r="48" spans="1:271" x14ac:dyDescent="0.3">
      <c r="A48" t="str">
        <f>"zMETAB3"</f>
        <v>zMETAB3</v>
      </c>
      <c r="B48" t="str">
        <f>""</f>
        <v/>
      </c>
      <c r="C48" t="str">
        <f>""</f>
        <v/>
      </c>
      <c r="D48" t="str">
        <f>""</f>
        <v/>
      </c>
      <c r="E48" t="str">
        <f>""</f>
        <v/>
      </c>
      <c r="F48" t="str">
        <f>""</f>
        <v/>
      </c>
      <c r="G48" t="str">
        <f>""</f>
        <v/>
      </c>
      <c r="H48" t="str">
        <f>"-0.0733"</f>
        <v>-0.0733</v>
      </c>
      <c r="I48" t="str">
        <f>"-0.122"</f>
        <v>-0.122</v>
      </c>
      <c r="J48" t="str">
        <f>"0.0846**"</f>
        <v>0.0846**</v>
      </c>
      <c r="K48" t="str">
        <f>""</f>
        <v/>
      </c>
      <c r="L48" t="str">
        <f>""</f>
        <v/>
      </c>
      <c r="M48" t="str">
        <f>""</f>
        <v/>
      </c>
      <c r="N48" t="str">
        <f>""</f>
        <v/>
      </c>
      <c r="O48" t="str">
        <f>""</f>
        <v/>
      </c>
      <c r="P48" t="str">
        <f>""</f>
        <v/>
      </c>
      <c r="Q48" t="str">
        <f>""</f>
        <v/>
      </c>
      <c r="R48" t="str">
        <f>""</f>
        <v/>
      </c>
      <c r="S48" t="str">
        <f>""</f>
        <v/>
      </c>
      <c r="T48" t="str">
        <f>""</f>
        <v/>
      </c>
      <c r="U48" t="str">
        <f>""</f>
        <v/>
      </c>
      <c r="V48" t="str">
        <f>""</f>
        <v/>
      </c>
      <c r="W48" t="str">
        <f>""</f>
        <v/>
      </c>
      <c r="X48" t="str">
        <f>""</f>
        <v/>
      </c>
      <c r="Y48" t="str">
        <f>""</f>
        <v/>
      </c>
      <c r="Z48" t="str">
        <f>""</f>
        <v/>
      </c>
      <c r="AA48" t="str">
        <f>""</f>
        <v/>
      </c>
      <c r="AB48" t="str">
        <f>""</f>
        <v/>
      </c>
      <c r="AC48" t="str">
        <f>""</f>
        <v/>
      </c>
      <c r="AD48" t="str">
        <f>""</f>
        <v/>
      </c>
      <c r="AE48" t="str">
        <f>""</f>
        <v/>
      </c>
      <c r="AF48" t="str">
        <f>""</f>
        <v/>
      </c>
      <c r="AG48" t="str">
        <f>""</f>
        <v/>
      </c>
      <c r="AH48" t="str">
        <f>""</f>
        <v/>
      </c>
      <c r="AI48" t="str">
        <f>""</f>
        <v/>
      </c>
      <c r="AJ48" t="str">
        <f>""</f>
        <v/>
      </c>
      <c r="AK48" t="str">
        <f>""</f>
        <v/>
      </c>
      <c r="AL48" t="str">
        <f>""</f>
        <v/>
      </c>
      <c r="AM48" t="str">
        <f>""</f>
        <v/>
      </c>
      <c r="AN48" t="str">
        <f>""</f>
        <v/>
      </c>
      <c r="AO48" t="str">
        <f>""</f>
        <v/>
      </c>
      <c r="AP48" t="str">
        <f>""</f>
        <v/>
      </c>
      <c r="AQ48" t="str">
        <f>""</f>
        <v/>
      </c>
      <c r="AR48" t="str">
        <f>""</f>
        <v/>
      </c>
      <c r="AS48" t="str">
        <f>""</f>
        <v/>
      </c>
      <c r="AT48" t="str">
        <f>""</f>
        <v/>
      </c>
      <c r="AU48" t="str">
        <f>""</f>
        <v/>
      </c>
      <c r="AV48" t="str">
        <f>""</f>
        <v/>
      </c>
      <c r="AW48" t="str">
        <f>""</f>
        <v/>
      </c>
      <c r="AX48" t="str">
        <f>""</f>
        <v/>
      </c>
      <c r="AY48" t="str">
        <f>""</f>
        <v/>
      </c>
      <c r="AZ48" t="str">
        <f>""</f>
        <v/>
      </c>
      <c r="BA48" t="str">
        <f>"-0.191*"</f>
        <v>-0.191*</v>
      </c>
      <c r="BB48" t="str">
        <f>"-0.0966"</f>
        <v>-0.0966</v>
      </c>
      <c r="BC48" t="str">
        <f>"0.0653*"</f>
        <v>0.0653*</v>
      </c>
      <c r="BD48" t="str">
        <f>""</f>
        <v/>
      </c>
      <c r="BE48" t="str">
        <f>""</f>
        <v/>
      </c>
      <c r="BF48" t="str">
        <f>""</f>
        <v/>
      </c>
      <c r="BG48" t="str">
        <f>""</f>
        <v/>
      </c>
      <c r="BH48" t="str">
        <f>""</f>
        <v/>
      </c>
      <c r="BI48" t="str">
        <f>""</f>
        <v/>
      </c>
      <c r="BJ48" t="str">
        <f>""</f>
        <v/>
      </c>
      <c r="BK48" t="str">
        <f>""</f>
        <v/>
      </c>
      <c r="BL48" t="str">
        <f>""</f>
        <v/>
      </c>
      <c r="BM48" t="str">
        <f>""</f>
        <v/>
      </c>
      <c r="BN48" t="str">
        <f>""</f>
        <v/>
      </c>
      <c r="BO48" t="str">
        <f>""</f>
        <v/>
      </c>
      <c r="BP48" t="str">
        <f>""</f>
        <v/>
      </c>
      <c r="BQ48" t="str">
        <f>""</f>
        <v/>
      </c>
      <c r="BR48" t="str">
        <f>""</f>
        <v/>
      </c>
      <c r="BS48" t="str">
        <f>""</f>
        <v/>
      </c>
      <c r="BT48" t="str">
        <f>""</f>
        <v/>
      </c>
      <c r="BU48" t="str">
        <f>""</f>
        <v/>
      </c>
      <c r="BV48" t="str">
        <f>""</f>
        <v/>
      </c>
      <c r="BW48" t="str">
        <f>""</f>
        <v/>
      </c>
      <c r="BX48" t="str">
        <f>""</f>
        <v/>
      </c>
      <c r="BY48" t="str">
        <f>""</f>
        <v/>
      </c>
      <c r="BZ48" t="str">
        <f>""</f>
        <v/>
      </c>
      <c r="CA48" t="str">
        <f>""</f>
        <v/>
      </c>
      <c r="CB48" t="str">
        <f>""</f>
        <v/>
      </c>
      <c r="CC48" t="str">
        <f>""</f>
        <v/>
      </c>
      <c r="CD48" t="str">
        <f>""</f>
        <v/>
      </c>
      <c r="CE48" t="str">
        <f>""</f>
        <v/>
      </c>
      <c r="CF48" t="str">
        <f>""</f>
        <v/>
      </c>
      <c r="CG48" t="str">
        <f>""</f>
        <v/>
      </c>
      <c r="CH48" t="str">
        <f>""</f>
        <v/>
      </c>
      <c r="CI48" t="str">
        <f>""</f>
        <v/>
      </c>
      <c r="CJ48" t="str">
        <f>""</f>
        <v/>
      </c>
      <c r="CK48" t="str">
        <f>""</f>
        <v/>
      </c>
      <c r="CL48" t="str">
        <f>""</f>
        <v/>
      </c>
      <c r="CM48" t="str">
        <f>""</f>
        <v/>
      </c>
      <c r="CN48" t="str">
        <f>""</f>
        <v/>
      </c>
      <c r="CO48" t="str">
        <f>""</f>
        <v/>
      </c>
      <c r="CP48" t="str">
        <f>""</f>
        <v/>
      </c>
      <c r="CQ48" t="str">
        <f>""</f>
        <v/>
      </c>
      <c r="CR48" t="str">
        <f>""</f>
        <v/>
      </c>
      <c r="CS48" t="str">
        <f>""</f>
        <v/>
      </c>
      <c r="CT48" t="str">
        <f>"-0.207**"</f>
        <v>-0.207**</v>
      </c>
      <c r="CU48" t="str">
        <f>"-0.104"</f>
        <v>-0.104</v>
      </c>
      <c r="CV48" t="str">
        <f>"0.0815**"</f>
        <v>0.0815**</v>
      </c>
      <c r="CW48" t="str">
        <f>""</f>
        <v/>
      </c>
      <c r="CX48" t="str">
        <f>""</f>
        <v/>
      </c>
      <c r="CY48" t="str">
        <f>""</f>
        <v/>
      </c>
      <c r="CZ48" t="str">
        <f>""</f>
        <v/>
      </c>
      <c r="DA48" t="str">
        <f>""</f>
        <v/>
      </c>
      <c r="DB48" t="str">
        <f>""</f>
        <v/>
      </c>
      <c r="DC48" t="str">
        <f>""</f>
        <v/>
      </c>
      <c r="DD48" t="str">
        <f>""</f>
        <v/>
      </c>
      <c r="DE48" t="str">
        <f>""</f>
        <v/>
      </c>
      <c r="DF48" t="str">
        <f>""</f>
        <v/>
      </c>
      <c r="DG48" t="str">
        <f>""</f>
        <v/>
      </c>
      <c r="DH48" t="str">
        <f>""</f>
        <v/>
      </c>
      <c r="DI48" t="str">
        <f>""</f>
        <v/>
      </c>
      <c r="DJ48" t="str">
        <f>""</f>
        <v/>
      </c>
      <c r="DK48" t="str">
        <f>""</f>
        <v/>
      </c>
      <c r="DL48" t="str">
        <f>""</f>
        <v/>
      </c>
      <c r="DM48" t="str">
        <f>""</f>
        <v/>
      </c>
      <c r="DN48" t="str">
        <f>""</f>
        <v/>
      </c>
      <c r="DO48" t="str">
        <f>""</f>
        <v/>
      </c>
      <c r="DP48" t="str">
        <f>""</f>
        <v/>
      </c>
      <c r="DQ48" t="str">
        <f>""</f>
        <v/>
      </c>
      <c r="DR48" t="str">
        <f>""</f>
        <v/>
      </c>
      <c r="DS48" t="str">
        <f>""</f>
        <v/>
      </c>
      <c r="DT48" t="str">
        <f>""</f>
        <v/>
      </c>
      <c r="DU48" t="str">
        <f>""</f>
        <v/>
      </c>
      <c r="DV48" t="str">
        <f>""</f>
        <v/>
      </c>
      <c r="DW48" t="str">
        <f>""</f>
        <v/>
      </c>
      <c r="DX48" t="str">
        <f>""</f>
        <v/>
      </c>
      <c r="DY48" t="str">
        <f>""</f>
        <v/>
      </c>
      <c r="DZ48" t="str">
        <f>""</f>
        <v/>
      </c>
      <c r="EA48" t="str">
        <f>""</f>
        <v/>
      </c>
      <c r="EB48" t="str">
        <f>""</f>
        <v/>
      </c>
      <c r="EC48" t="str">
        <f>""</f>
        <v/>
      </c>
      <c r="ED48" t="str">
        <f>""</f>
        <v/>
      </c>
      <c r="EE48" t="str">
        <f>""</f>
        <v/>
      </c>
      <c r="EF48" t="str">
        <f>""</f>
        <v/>
      </c>
      <c r="EG48" t="str">
        <f>""</f>
        <v/>
      </c>
      <c r="EH48" t="str">
        <f>""</f>
        <v/>
      </c>
      <c r="EI48" t="str">
        <f>""</f>
        <v/>
      </c>
      <c r="EJ48" t="str">
        <f>""</f>
        <v/>
      </c>
      <c r="EK48" t="str">
        <f>""</f>
        <v/>
      </c>
      <c r="EL48" t="str">
        <f>""</f>
        <v/>
      </c>
      <c r="EM48" t="str">
        <f>"-0.180*"</f>
        <v>-0.180*</v>
      </c>
      <c r="EN48" t="str">
        <f>"-0.127*"</f>
        <v>-0.127*</v>
      </c>
      <c r="EO48" t="str">
        <f>"0.0606"</f>
        <v>0.0606</v>
      </c>
      <c r="EP48" t="str">
        <f>""</f>
        <v/>
      </c>
      <c r="EQ48" t="str">
        <f>""</f>
        <v/>
      </c>
      <c r="ER48" t="str">
        <f>""</f>
        <v/>
      </c>
      <c r="ES48" t="str">
        <f>""</f>
        <v/>
      </c>
      <c r="ET48" t="str">
        <f>""</f>
        <v/>
      </c>
      <c r="EU48" t="str">
        <f>""</f>
        <v/>
      </c>
      <c r="EV48" t="str">
        <f>""</f>
        <v/>
      </c>
      <c r="EW48" t="str">
        <f>""</f>
        <v/>
      </c>
      <c r="EX48" t="str">
        <f>""</f>
        <v/>
      </c>
      <c r="EY48" t="str">
        <f>""</f>
        <v/>
      </c>
      <c r="EZ48" t="str">
        <f>""</f>
        <v/>
      </c>
      <c r="FA48" t="str">
        <f>""</f>
        <v/>
      </c>
      <c r="FB48" t="str">
        <f>""</f>
        <v/>
      </c>
      <c r="FC48" t="str">
        <f>""</f>
        <v/>
      </c>
      <c r="FD48" t="str">
        <f>""</f>
        <v/>
      </c>
      <c r="FE48" t="str">
        <f>""</f>
        <v/>
      </c>
      <c r="FF48" t="str">
        <f>""</f>
        <v/>
      </c>
      <c r="FG48" t="str">
        <f>""</f>
        <v/>
      </c>
      <c r="FH48" t="str">
        <f>""</f>
        <v/>
      </c>
      <c r="FI48" t="str">
        <f>""</f>
        <v/>
      </c>
      <c r="FJ48" t="str">
        <f>""</f>
        <v/>
      </c>
      <c r="FK48" t="str">
        <f>""</f>
        <v/>
      </c>
      <c r="FL48" t="str">
        <f>""</f>
        <v/>
      </c>
      <c r="FM48" t="str">
        <f>""</f>
        <v/>
      </c>
      <c r="FN48" t="str">
        <f>""</f>
        <v/>
      </c>
      <c r="FO48" t="str">
        <f>""</f>
        <v/>
      </c>
      <c r="FP48" t="str">
        <f>""</f>
        <v/>
      </c>
      <c r="FQ48" t="str">
        <f>""</f>
        <v/>
      </c>
      <c r="FR48" t="str">
        <f>""</f>
        <v/>
      </c>
      <c r="FS48" t="str">
        <f>""</f>
        <v/>
      </c>
      <c r="FT48" t="str">
        <f>""</f>
        <v/>
      </c>
      <c r="FU48" t="str">
        <f>""</f>
        <v/>
      </c>
      <c r="FV48" t="str">
        <f>""</f>
        <v/>
      </c>
      <c r="FW48" t="str">
        <f>""</f>
        <v/>
      </c>
      <c r="FX48" t="str">
        <f>""</f>
        <v/>
      </c>
      <c r="FY48" t="str">
        <f>""</f>
        <v/>
      </c>
      <c r="FZ48" t="str">
        <f>""</f>
        <v/>
      </c>
      <c r="GA48" t="str">
        <f>""</f>
        <v/>
      </c>
      <c r="GB48" t="str">
        <f>""</f>
        <v/>
      </c>
      <c r="GC48" t="str">
        <f>""</f>
        <v/>
      </c>
      <c r="GD48" t="str">
        <f>""</f>
        <v/>
      </c>
      <c r="GE48" t="str">
        <f>""</f>
        <v/>
      </c>
      <c r="GF48" t="str">
        <f>"-0.0823"</f>
        <v>-0.0823</v>
      </c>
      <c r="GG48" t="str">
        <f>"-0.109"</f>
        <v>-0.109</v>
      </c>
      <c r="GH48" t="str">
        <f>"0.0799*"</f>
        <v>0.0799*</v>
      </c>
      <c r="GI48" t="str">
        <f>""</f>
        <v/>
      </c>
      <c r="GJ48" t="str">
        <f>""</f>
        <v/>
      </c>
      <c r="GK48" t="str">
        <f>""</f>
        <v/>
      </c>
      <c r="GL48" t="str">
        <f>""</f>
        <v/>
      </c>
      <c r="GM48" t="str">
        <f>""</f>
        <v/>
      </c>
      <c r="GN48" t="str">
        <f>""</f>
        <v/>
      </c>
      <c r="GO48" t="str">
        <f>""</f>
        <v/>
      </c>
      <c r="GP48" t="str">
        <f>""</f>
        <v/>
      </c>
      <c r="GQ48" t="str">
        <f>""</f>
        <v/>
      </c>
      <c r="GR48" t="str">
        <f>""</f>
        <v/>
      </c>
      <c r="GS48" t="str">
        <f>""</f>
        <v/>
      </c>
      <c r="GT48" t="str">
        <f>""</f>
        <v/>
      </c>
      <c r="GU48" t="str">
        <f>""</f>
        <v/>
      </c>
      <c r="GV48" t="str">
        <f>""</f>
        <v/>
      </c>
      <c r="GW48" t="str">
        <f>""</f>
        <v/>
      </c>
      <c r="GX48" t="str">
        <f>""</f>
        <v/>
      </c>
      <c r="GY48" t="str">
        <f>""</f>
        <v/>
      </c>
      <c r="GZ48" t="str">
        <f>""</f>
        <v/>
      </c>
      <c r="HA48" t="str">
        <f>""</f>
        <v/>
      </c>
      <c r="HB48" t="str">
        <f>""</f>
        <v/>
      </c>
      <c r="HC48" t="str">
        <f>""</f>
        <v/>
      </c>
      <c r="HD48" t="str">
        <f>""</f>
        <v/>
      </c>
      <c r="HE48" t="str">
        <f>""</f>
        <v/>
      </c>
      <c r="HF48" t="str">
        <f>""</f>
        <v/>
      </c>
      <c r="HG48" t="str">
        <f>""</f>
        <v/>
      </c>
      <c r="HH48" t="str">
        <f>""</f>
        <v/>
      </c>
      <c r="HI48" t="str">
        <f>""</f>
        <v/>
      </c>
      <c r="HJ48" t="str">
        <f>""</f>
        <v/>
      </c>
      <c r="HK48" t="str">
        <f>""</f>
        <v/>
      </c>
      <c r="HL48" t="str">
        <f>""</f>
        <v/>
      </c>
      <c r="HM48" t="str">
        <f>""</f>
        <v/>
      </c>
      <c r="HN48" t="str">
        <f>""</f>
        <v/>
      </c>
      <c r="HO48" t="str">
        <f>""</f>
        <v/>
      </c>
      <c r="HP48" t="str">
        <f>""</f>
        <v/>
      </c>
      <c r="HQ48" t="str">
        <f>""</f>
        <v/>
      </c>
      <c r="HR48" t="str">
        <f>""</f>
        <v/>
      </c>
      <c r="HS48" t="str">
        <f>""</f>
        <v/>
      </c>
      <c r="HT48" t="str">
        <f>""</f>
        <v/>
      </c>
      <c r="HU48" t="str">
        <f>""</f>
        <v/>
      </c>
      <c r="HV48" t="str">
        <f>""</f>
        <v/>
      </c>
      <c r="HW48" t="str">
        <f>""</f>
        <v/>
      </c>
      <c r="HX48" t="str">
        <f>""</f>
        <v/>
      </c>
      <c r="HY48" t="str">
        <f>"-0.0860"</f>
        <v>-0.0860</v>
      </c>
      <c r="HZ48" t="str">
        <f>"-0.142*"</f>
        <v>-0.142*</v>
      </c>
      <c r="IA48" t="str">
        <f>"0.0805*"</f>
        <v>0.0805*</v>
      </c>
      <c r="IB48" t="str">
        <f>""</f>
        <v/>
      </c>
      <c r="IC48" t="str">
        <f>""</f>
        <v/>
      </c>
      <c r="ID48" t="str">
        <f>""</f>
        <v/>
      </c>
      <c r="IE48" t="str">
        <f>""</f>
        <v/>
      </c>
      <c r="IF48" t="str">
        <f>""</f>
        <v/>
      </c>
      <c r="IG48" t="str">
        <f>""</f>
        <v/>
      </c>
      <c r="IH48" t="str">
        <f>""</f>
        <v/>
      </c>
      <c r="II48" t="str">
        <f>""</f>
        <v/>
      </c>
      <c r="IJ48" t="str">
        <f>""</f>
        <v/>
      </c>
      <c r="IK48" t="str">
        <f>""</f>
        <v/>
      </c>
      <c r="IL48" t="str">
        <f>""</f>
        <v/>
      </c>
      <c r="IM48" t="str">
        <f>""</f>
        <v/>
      </c>
      <c r="IN48" t="str">
        <f>""</f>
        <v/>
      </c>
      <c r="IO48" t="str">
        <f>""</f>
        <v/>
      </c>
      <c r="IP48" t="str">
        <f>""</f>
        <v/>
      </c>
      <c r="IQ48" t="str">
        <f>""</f>
        <v/>
      </c>
      <c r="IR48" t="str">
        <f>""</f>
        <v/>
      </c>
      <c r="IS48" t="str">
        <f>""</f>
        <v/>
      </c>
      <c r="IT48" t="str">
        <f>""</f>
        <v/>
      </c>
      <c r="IU48" t="str">
        <f>""</f>
        <v/>
      </c>
      <c r="IV48" t="str">
        <f>""</f>
        <v/>
      </c>
      <c r="IW48" t="str">
        <f>""</f>
        <v/>
      </c>
      <c r="IX48" t="str">
        <f>""</f>
        <v/>
      </c>
      <c r="IY48" t="str">
        <f>""</f>
        <v/>
      </c>
      <c r="IZ48" t="str">
        <f>""</f>
        <v/>
      </c>
      <c r="JA48" t="str">
        <f>""</f>
        <v/>
      </c>
      <c r="JB48" t="str">
        <f>""</f>
        <v/>
      </c>
      <c r="JC48" t="str">
        <f>""</f>
        <v/>
      </c>
      <c r="JD48" t="str">
        <f>""</f>
        <v/>
      </c>
      <c r="JE48" t="str">
        <f>""</f>
        <v/>
      </c>
      <c r="JF48" t="str">
        <f>""</f>
        <v/>
      </c>
      <c r="JG48" t="str">
        <f>""</f>
        <v/>
      </c>
      <c r="JH48" t="str">
        <f>""</f>
        <v/>
      </c>
      <c r="JI48" t="str">
        <f>""</f>
        <v/>
      </c>
      <c r="JJ48" t="str">
        <f>""</f>
        <v/>
      </c>
      <c r="JK48" t="str">
        <f>""</f>
        <v/>
      </c>
    </row>
    <row r="49" spans="1:271" x14ac:dyDescent="0.3">
      <c r="A49" t="str">
        <f>""</f>
        <v/>
      </c>
      <c r="B49" t="str">
        <f>""</f>
        <v/>
      </c>
      <c r="C49" t="str">
        <f>""</f>
        <v/>
      </c>
      <c r="D49" t="str">
        <f>""</f>
        <v/>
      </c>
      <c r="E49" t="str">
        <f>""</f>
        <v/>
      </c>
      <c r="F49" t="str">
        <f>""</f>
        <v/>
      </c>
      <c r="G49" t="str">
        <f>""</f>
        <v/>
      </c>
      <c r="H49" t="str">
        <f>"(0.0772)"</f>
        <v>(0.0772)</v>
      </c>
      <c r="I49" t="str">
        <f>"(0.0627)"</f>
        <v>(0.0627)</v>
      </c>
      <c r="J49" t="str">
        <f>"(0.0321)"</f>
        <v>(0.0321)</v>
      </c>
      <c r="K49" t="str">
        <f>""</f>
        <v/>
      </c>
      <c r="L49" t="str">
        <f>""</f>
        <v/>
      </c>
      <c r="M49" t="str">
        <f>""</f>
        <v/>
      </c>
      <c r="N49" t="str">
        <f>""</f>
        <v/>
      </c>
      <c r="O49" t="str">
        <f>""</f>
        <v/>
      </c>
      <c r="P49" t="str">
        <f>""</f>
        <v/>
      </c>
      <c r="Q49" t="str">
        <f>""</f>
        <v/>
      </c>
      <c r="R49" t="str">
        <f>""</f>
        <v/>
      </c>
      <c r="S49" t="str">
        <f>""</f>
        <v/>
      </c>
      <c r="T49" t="str">
        <f>""</f>
        <v/>
      </c>
      <c r="U49" t="str">
        <f>""</f>
        <v/>
      </c>
      <c r="V49" t="str">
        <f>""</f>
        <v/>
      </c>
      <c r="W49" t="str">
        <f>""</f>
        <v/>
      </c>
      <c r="X49" t="str">
        <f>""</f>
        <v/>
      </c>
      <c r="Y49" t="str">
        <f>""</f>
        <v/>
      </c>
      <c r="Z49" t="str">
        <f>""</f>
        <v/>
      </c>
      <c r="AA49" t="str">
        <f>""</f>
        <v/>
      </c>
      <c r="AB49" t="str">
        <f>""</f>
        <v/>
      </c>
      <c r="AC49" t="str">
        <f>""</f>
        <v/>
      </c>
      <c r="AD49" t="str">
        <f>""</f>
        <v/>
      </c>
      <c r="AE49" t="str">
        <f>""</f>
        <v/>
      </c>
      <c r="AF49" t="str">
        <f>""</f>
        <v/>
      </c>
      <c r="AG49" t="str">
        <f>""</f>
        <v/>
      </c>
      <c r="AH49" t="str">
        <f>""</f>
        <v/>
      </c>
      <c r="AI49" t="str">
        <f>""</f>
        <v/>
      </c>
      <c r="AJ49" t="str">
        <f>""</f>
        <v/>
      </c>
      <c r="AK49" t="str">
        <f>""</f>
        <v/>
      </c>
      <c r="AL49" t="str">
        <f>""</f>
        <v/>
      </c>
      <c r="AM49" t="str">
        <f>""</f>
        <v/>
      </c>
      <c r="AN49" t="str">
        <f>""</f>
        <v/>
      </c>
      <c r="AO49" t="str">
        <f>""</f>
        <v/>
      </c>
      <c r="AP49" t="str">
        <f>""</f>
        <v/>
      </c>
      <c r="AQ49" t="str">
        <f>""</f>
        <v/>
      </c>
      <c r="AR49" t="str">
        <f>""</f>
        <v/>
      </c>
      <c r="AS49" t="str">
        <f>""</f>
        <v/>
      </c>
      <c r="AT49" t="str">
        <f>""</f>
        <v/>
      </c>
      <c r="AU49" t="str">
        <f>""</f>
        <v/>
      </c>
      <c r="AV49" t="str">
        <f>""</f>
        <v/>
      </c>
      <c r="AW49" t="str">
        <f>""</f>
        <v/>
      </c>
      <c r="AX49" t="str">
        <f>""</f>
        <v/>
      </c>
      <c r="AY49" t="str">
        <f>""</f>
        <v/>
      </c>
      <c r="AZ49" t="str">
        <f>""</f>
        <v/>
      </c>
      <c r="BA49" t="str">
        <f>"(0.0783)"</f>
        <v>(0.0783)</v>
      </c>
      <c r="BB49" t="str">
        <f>"(0.0608)"</f>
        <v>(0.0608)</v>
      </c>
      <c r="BC49" t="str">
        <f>"(0.0309)"</f>
        <v>(0.0309)</v>
      </c>
      <c r="BD49" t="str">
        <f>""</f>
        <v/>
      </c>
      <c r="BE49" t="str">
        <f>""</f>
        <v/>
      </c>
      <c r="BF49" t="str">
        <f>""</f>
        <v/>
      </c>
      <c r="BG49" t="str">
        <f>""</f>
        <v/>
      </c>
      <c r="BH49" t="str">
        <f>""</f>
        <v/>
      </c>
      <c r="BI49" t="str">
        <f>""</f>
        <v/>
      </c>
      <c r="BJ49" t="str">
        <f>""</f>
        <v/>
      </c>
      <c r="BK49" t="str">
        <f>""</f>
        <v/>
      </c>
      <c r="BL49" t="str">
        <f>""</f>
        <v/>
      </c>
      <c r="BM49" t="str">
        <f>""</f>
        <v/>
      </c>
      <c r="BN49" t="str">
        <f>""</f>
        <v/>
      </c>
      <c r="BO49" t="str">
        <f>""</f>
        <v/>
      </c>
      <c r="BP49" t="str">
        <f>""</f>
        <v/>
      </c>
      <c r="BQ49" t="str">
        <f>""</f>
        <v/>
      </c>
      <c r="BR49" t="str">
        <f>""</f>
        <v/>
      </c>
      <c r="BS49" t="str">
        <f>""</f>
        <v/>
      </c>
      <c r="BT49" t="str">
        <f>""</f>
        <v/>
      </c>
      <c r="BU49" t="str">
        <f>""</f>
        <v/>
      </c>
      <c r="BV49" t="str">
        <f>""</f>
        <v/>
      </c>
      <c r="BW49" t="str">
        <f>""</f>
        <v/>
      </c>
      <c r="BX49" t="str">
        <f>""</f>
        <v/>
      </c>
      <c r="BY49" t="str">
        <f>""</f>
        <v/>
      </c>
      <c r="BZ49" t="str">
        <f>""</f>
        <v/>
      </c>
      <c r="CA49" t="str">
        <f>""</f>
        <v/>
      </c>
      <c r="CB49" t="str">
        <f>""</f>
        <v/>
      </c>
      <c r="CC49" t="str">
        <f>""</f>
        <v/>
      </c>
      <c r="CD49" t="str">
        <f>""</f>
        <v/>
      </c>
      <c r="CE49" t="str">
        <f>""</f>
        <v/>
      </c>
      <c r="CF49" t="str">
        <f>""</f>
        <v/>
      </c>
      <c r="CG49" t="str">
        <f>""</f>
        <v/>
      </c>
      <c r="CH49" t="str">
        <f>""</f>
        <v/>
      </c>
      <c r="CI49" t="str">
        <f>""</f>
        <v/>
      </c>
      <c r="CJ49" t="str">
        <f>""</f>
        <v/>
      </c>
      <c r="CK49" t="str">
        <f>""</f>
        <v/>
      </c>
      <c r="CL49" t="str">
        <f>""</f>
        <v/>
      </c>
      <c r="CM49" t="str">
        <f>""</f>
        <v/>
      </c>
      <c r="CN49" t="str">
        <f>""</f>
        <v/>
      </c>
      <c r="CO49" t="str">
        <f>""</f>
        <v/>
      </c>
      <c r="CP49" t="str">
        <f>""</f>
        <v/>
      </c>
      <c r="CQ49" t="str">
        <f>""</f>
        <v/>
      </c>
      <c r="CR49" t="str">
        <f>""</f>
        <v/>
      </c>
      <c r="CS49" t="str">
        <f>""</f>
        <v/>
      </c>
      <c r="CT49" t="str">
        <f>"(0.0794)"</f>
        <v>(0.0794)</v>
      </c>
      <c r="CU49" t="str">
        <f>"(0.0579)"</f>
        <v>(0.0579)</v>
      </c>
      <c r="CV49" t="str">
        <f>"(0.0309)"</f>
        <v>(0.0309)</v>
      </c>
      <c r="CW49" t="str">
        <f>""</f>
        <v/>
      </c>
      <c r="CX49" t="str">
        <f>""</f>
        <v/>
      </c>
      <c r="CY49" t="str">
        <f>""</f>
        <v/>
      </c>
      <c r="CZ49" t="str">
        <f>""</f>
        <v/>
      </c>
      <c r="DA49" t="str">
        <f>""</f>
        <v/>
      </c>
      <c r="DB49" t="str">
        <f>""</f>
        <v/>
      </c>
      <c r="DC49" t="str">
        <f>""</f>
        <v/>
      </c>
      <c r="DD49" t="str">
        <f>""</f>
        <v/>
      </c>
      <c r="DE49" t="str">
        <f>""</f>
        <v/>
      </c>
      <c r="DF49" t="str">
        <f>""</f>
        <v/>
      </c>
      <c r="DG49" t="str">
        <f>""</f>
        <v/>
      </c>
      <c r="DH49" t="str">
        <f>""</f>
        <v/>
      </c>
      <c r="DI49" t="str">
        <f>""</f>
        <v/>
      </c>
      <c r="DJ49" t="str">
        <f>""</f>
        <v/>
      </c>
      <c r="DK49" t="str">
        <f>""</f>
        <v/>
      </c>
      <c r="DL49" t="str">
        <f>""</f>
        <v/>
      </c>
      <c r="DM49" t="str">
        <f>""</f>
        <v/>
      </c>
      <c r="DN49" t="str">
        <f>""</f>
        <v/>
      </c>
      <c r="DO49" t="str">
        <f>""</f>
        <v/>
      </c>
      <c r="DP49" t="str">
        <f>""</f>
        <v/>
      </c>
      <c r="DQ49" t="str">
        <f>""</f>
        <v/>
      </c>
      <c r="DR49" t="str">
        <f>""</f>
        <v/>
      </c>
      <c r="DS49" t="str">
        <f>""</f>
        <v/>
      </c>
      <c r="DT49" t="str">
        <f>""</f>
        <v/>
      </c>
      <c r="DU49" t="str">
        <f>""</f>
        <v/>
      </c>
      <c r="DV49" t="str">
        <f>""</f>
        <v/>
      </c>
      <c r="DW49" t="str">
        <f>""</f>
        <v/>
      </c>
      <c r="DX49" t="str">
        <f>""</f>
        <v/>
      </c>
      <c r="DY49" t="str">
        <f>""</f>
        <v/>
      </c>
      <c r="DZ49" t="str">
        <f>""</f>
        <v/>
      </c>
      <c r="EA49" t="str">
        <f>""</f>
        <v/>
      </c>
      <c r="EB49" t="str">
        <f>""</f>
        <v/>
      </c>
      <c r="EC49" t="str">
        <f>""</f>
        <v/>
      </c>
      <c r="ED49" t="str">
        <f>""</f>
        <v/>
      </c>
      <c r="EE49" t="str">
        <f>""</f>
        <v/>
      </c>
      <c r="EF49" t="str">
        <f>""</f>
        <v/>
      </c>
      <c r="EG49" t="str">
        <f>""</f>
        <v/>
      </c>
      <c r="EH49" t="str">
        <f>""</f>
        <v/>
      </c>
      <c r="EI49" t="str">
        <f>""</f>
        <v/>
      </c>
      <c r="EJ49" t="str">
        <f>""</f>
        <v/>
      </c>
      <c r="EK49" t="str">
        <f>""</f>
        <v/>
      </c>
      <c r="EL49" t="str">
        <f>""</f>
        <v/>
      </c>
      <c r="EM49" t="str">
        <f>"(0.0769)"</f>
        <v>(0.0769)</v>
      </c>
      <c r="EN49" t="str">
        <f>"(0.0634)"</f>
        <v>(0.0634)</v>
      </c>
      <c r="EO49" t="str">
        <f>"(0.0315)"</f>
        <v>(0.0315)</v>
      </c>
      <c r="EP49" t="str">
        <f>""</f>
        <v/>
      </c>
      <c r="EQ49" t="str">
        <f>""</f>
        <v/>
      </c>
      <c r="ER49" t="str">
        <f>""</f>
        <v/>
      </c>
      <c r="ES49" t="str">
        <f>""</f>
        <v/>
      </c>
      <c r="ET49" t="str">
        <f>""</f>
        <v/>
      </c>
      <c r="EU49" t="str">
        <f>""</f>
        <v/>
      </c>
      <c r="EV49" t="str">
        <f>""</f>
        <v/>
      </c>
      <c r="EW49" t="str">
        <f>""</f>
        <v/>
      </c>
      <c r="EX49" t="str">
        <f>""</f>
        <v/>
      </c>
      <c r="EY49" t="str">
        <f>""</f>
        <v/>
      </c>
      <c r="EZ49" t="str">
        <f>""</f>
        <v/>
      </c>
      <c r="FA49" t="str">
        <f>""</f>
        <v/>
      </c>
      <c r="FB49" t="str">
        <f>""</f>
        <v/>
      </c>
      <c r="FC49" t="str">
        <f>""</f>
        <v/>
      </c>
      <c r="FD49" t="str">
        <f>""</f>
        <v/>
      </c>
      <c r="FE49" t="str">
        <f>""</f>
        <v/>
      </c>
      <c r="FF49" t="str">
        <f>""</f>
        <v/>
      </c>
      <c r="FG49" t="str">
        <f>""</f>
        <v/>
      </c>
      <c r="FH49" t="str">
        <f>""</f>
        <v/>
      </c>
      <c r="FI49" t="str">
        <f>""</f>
        <v/>
      </c>
      <c r="FJ49" t="str">
        <f>""</f>
        <v/>
      </c>
      <c r="FK49" t="str">
        <f>""</f>
        <v/>
      </c>
      <c r="FL49" t="str">
        <f>""</f>
        <v/>
      </c>
      <c r="FM49" t="str">
        <f>""</f>
        <v/>
      </c>
      <c r="FN49" t="str">
        <f>""</f>
        <v/>
      </c>
      <c r="FO49" t="str">
        <f>""</f>
        <v/>
      </c>
      <c r="FP49" t="str">
        <f>""</f>
        <v/>
      </c>
      <c r="FQ49" t="str">
        <f>""</f>
        <v/>
      </c>
      <c r="FR49" t="str">
        <f>""</f>
        <v/>
      </c>
      <c r="FS49" t="str">
        <f>""</f>
        <v/>
      </c>
      <c r="FT49" t="str">
        <f>""</f>
        <v/>
      </c>
      <c r="FU49" t="str">
        <f>""</f>
        <v/>
      </c>
      <c r="FV49" t="str">
        <f>""</f>
        <v/>
      </c>
      <c r="FW49" t="str">
        <f>""</f>
        <v/>
      </c>
      <c r="FX49" t="str">
        <f>""</f>
        <v/>
      </c>
      <c r="FY49" t="str">
        <f>""</f>
        <v/>
      </c>
      <c r="FZ49" t="str">
        <f>""</f>
        <v/>
      </c>
      <c r="GA49" t="str">
        <f>""</f>
        <v/>
      </c>
      <c r="GB49" t="str">
        <f>""</f>
        <v/>
      </c>
      <c r="GC49" t="str">
        <f>""</f>
        <v/>
      </c>
      <c r="GD49" t="str">
        <f>""</f>
        <v/>
      </c>
      <c r="GE49" t="str">
        <f>""</f>
        <v/>
      </c>
      <c r="GF49" t="str">
        <f>"(0.0762)"</f>
        <v>(0.0762)</v>
      </c>
      <c r="GG49" t="str">
        <f>"(0.0642)"</f>
        <v>(0.0642)</v>
      </c>
      <c r="GH49" t="str">
        <f>"(0.0316)"</f>
        <v>(0.0316)</v>
      </c>
      <c r="GI49" t="str">
        <f>""</f>
        <v/>
      </c>
      <c r="GJ49" t="str">
        <f>""</f>
        <v/>
      </c>
      <c r="GK49" t="str">
        <f>""</f>
        <v/>
      </c>
      <c r="GL49" t="str">
        <f>""</f>
        <v/>
      </c>
      <c r="GM49" t="str">
        <f>""</f>
        <v/>
      </c>
      <c r="GN49" t="str">
        <f>""</f>
        <v/>
      </c>
      <c r="GO49" t="str">
        <f>""</f>
        <v/>
      </c>
      <c r="GP49" t="str">
        <f>""</f>
        <v/>
      </c>
      <c r="GQ49" t="str">
        <f>""</f>
        <v/>
      </c>
      <c r="GR49" t="str">
        <f>""</f>
        <v/>
      </c>
      <c r="GS49" t="str">
        <f>""</f>
        <v/>
      </c>
      <c r="GT49" t="str">
        <f>""</f>
        <v/>
      </c>
      <c r="GU49" t="str">
        <f>""</f>
        <v/>
      </c>
      <c r="GV49" t="str">
        <f>""</f>
        <v/>
      </c>
      <c r="GW49" t="str">
        <f>""</f>
        <v/>
      </c>
      <c r="GX49" t="str">
        <f>""</f>
        <v/>
      </c>
      <c r="GY49" t="str">
        <f>""</f>
        <v/>
      </c>
      <c r="GZ49" t="str">
        <f>""</f>
        <v/>
      </c>
      <c r="HA49" t="str">
        <f>""</f>
        <v/>
      </c>
      <c r="HB49" t="str">
        <f>""</f>
        <v/>
      </c>
      <c r="HC49" t="str">
        <f>""</f>
        <v/>
      </c>
      <c r="HD49" t="str">
        <f>""</f>
        <v/>
      </c>
      <c r="HE49" t="str">
        <f>""</f>
        <v/>
      </c>
      <c r="HF49" t="str">
        <f>""</f>
        <v/>
      </c>
      <c r="HG49" t="str">
        <f>""</f>
        <v/>
      </c>
      <c r="HH49" t="str">
        <f>""</f>
        <v/>
      </c>
      <c r="HI49" t="str">
        <f>""</f>
        <v/>
      </c>
      <c r="HJ49" t="str">
        <f>""</f>
        <v/>
      </c>
      <c r="HK49" t="str">
        <f>""</f>
        <v/>
      </c>
      <c r="HL49" t="str">
        <f>""</f>
        <v/>
      </c>
      <c r="HM49" t="str">
        <f>""</f>
        <v/>
      </c>
      <c r="HN49" t="str">
        <f>""</f>
        <v/>
      </c>
      <c r="HO49" t="str">
        <f>""</f>
        <v/>
      </c>
      <c r="HP49" t="str">
        <f>""</f>
        <v/>
      </c>
      <c r="HQ49" t="str">
        <f>""</f>
        <v/>
      </c>
      <c r="HR49" t="str">
        <f>""</f>
        <v/>
      </c>
      <c r="HS49" t="str">
        <f>""</f>
        <v/>
      </c>
      <c r="HT49" t="str">
        <f>""</f>
        <v/>
      </c>
      <c r="HU49" t="str">
        <f>""</f>
        <v/>
      </c>
      <c r="HV49" t="str">
        <f>""</f>
        <v/>
      </c>
      <c r="HW49" t="str">
        <f>""</f>
        <v/>
      </c>
      <c r="HX49" t="str">
        <f>""</f>
        <v/>
      </c>
      <c r="HY49" t="str">
        <f>"(0.0771)"</f>
        <v>(0.0771)</v>
      </c>
      <c r="HZ49" t="str">
        <f>"(0.0651)"</f>
        <v>(0.0651)</v>
      </c>
      <c r="IA49" t="str">
        <f>"(0.0322)"</f>
        <v>(0.0322)</v>
      </c>
      <c r="IB49" t="str">
        <f>""</f>
        <v/>
      </c>
      <c r="IC49" t="str">
        <f>""</f>
        <v/>
      </c>
      <c r="ID49" t="str">
        <f>""</f>
        <v/>
      </c>
      <c r="IE49" t="str">
        <f>""</f>
        <v/>
      </c>
      <c r="IF49" t="str">
        <f>""</f>
        <v/>
      </c>
      <c r="IG49" t="str">
        <f>""</f>
        <v/>
      </c>
      <c r="IH49" t="str">
        <f>""</f>
        <v/>
      </c>
      <c r="II49" t="str">
        <f>""</f>
        <v/>
      </c>
      <c r="IJ49" t="str">
        <f>""</f>
        <v/>
      </c>
      <c r="IK49" t="str">
        <f>""</f>
        <v/>
      </c>
      <c r="IL49" t="str">
        <f>""</f>
        <v/>
      </c>
      <c r="IM49" t="str">
        <f>""</f>
        <v/>
      </c>
      <c r="IN49" t="str">
        <f>""</f>
        <v/>
      </c>
      <c r="IO49" t="str">
        <f>""</f>
        <v/>
      </c>
      <c r="IP49" t="str">
        <f>""</f>
        <v/>
      </c>
      <c r="IQ49" t="str">
        <f>""</f>
        <v/>
      </c>
      <c r="IR49" t="str">
        <f>""</f>
        <v/>
      </c>
      <c r="IS49" t="str">
        <f>""</f>
        <v/>
      </c>
      <c r="IT49" t="str">
        <f>""</f>
        <v/>
      </c>
      <c r="IU49" t="str">
        <f>""</f>
        <v/>
      </c>
      <c r="IV49" t="str">
        <f>""</f>
        <v/>
      </c>
      <c r="IW49" t="str">
        <f>""</f>
        <v/>
      </c>
      <c r="IX49" t="str">
        <f>""</f>
        <v/>
      </c>
      <c r="IY49" t="str">
        <f>""</f>
        <v/>
      </c>
      <c r="IZ49" t="str">
        <f>""</f>
        <v/>
      </c>
      <c r="JA49" t="str">
        <f>""</f>
        <v/>
      </c>
      <c r="JB49" t="str">
        <f>""</f>
        <v/>
      </c>
      <c r="JC49" t="str">
        <f>""</f>
        <v/>
      </c>
      <c r="JD49" t="str">
        <f>""</f>
        <v/>
      </c>
      <c r="JE49" t="str">
        <f>""</f>
        <v/>
      </c>
      <c r="JF49" t="str">
        <f>""</f>
        <v/>
      </c>
      <c r="JG49" t="str">
        <f>""</f>
        <v/>
      </c>
      <c r="JH49" t="str">
        <f>""</f>
        <v/>
      </c>
      <c r="JI49" t="str">
        <f>""</f>
        <v/>
      </c>
      <c r="JJ49" t="str">
        <f>""</f>
        <v/>
      </c>
      <c r="JK49" t="str">
        <f>""</f>
        <v/>
      </c>
    </row>
    <row r="51" spans="1:271" x14ac:dyDescent="0.3">
      <c r="A51" t="str">
        <f>"c.zMETAB3#c.PM1"</f>
        <v>c.zMETAB3#c.PM1</v>
      </c>
      <c r="B51" t="str">
        <f>""</f>
        <v/>
      </c>
      <c r="C51" t="str">
        <f>""</f>
        <v/>
      </c>
      <c r="D51" t="str">
        <f>""</f>
        <v/>
      </c>
      <c r="E51" t="str">
        <f>""</f>
        <v/>
      </c>
      <c r="F51" t="str">
        <f>""</f>
        <v/>
      </c>
      <c r="G51" t="str">
        <f>""</f>
        <v/>
      </c>
      <c r="H51" t="str">
        <f>"-0.158"</f>
        <v>-0.158</v>
      </c>
      <c r="I51" t="str">
        <f>"0.0502"</f>
        <v>0.0502</v>
      </c>
      <c r="J51" t="str">
        <f>"-0.0438"</f>
        <v>-0.0438</v>
      </c>
      <c r="K51" t="str">
        <f>""</f>
        <v/>
      </c>
      <c r="L51" t="str">
        <f>""</f>
        <v/>
      </c>
      <c r="M51" t="str">
        <f>""</f>
        <v/>
      </c>
      <c r="N51" t="str">
        <f>""</f>
        <v/>
      </c>
      <c r="O51" t="str">
        <f>""</f>
        <v/>
      </c>
      <c r="P51" t="str">
        <f>""</f>
        <v/>
      </c>
      <c r="Q51" t="str">
        <f>""</f>
        <v/>
      </c>
      <c r="R51" t="str">
        <f>""</f>
        <v/>
      </c>
      <c r="S51" t="str">
        <f>""</f>
        <v/>
      </c>
      <c r="T51" t="str">
        <f>""</f>
        <v/>
      </c>
      <c r="U51" t="str">
        <f>""</f>
        <v/>
      </c>
      <c r="V51" t="str">
        <f>""</f>
        <v/>
      </c>
      <c r="W51" t="str">
        <f>""</f>
        <v/>
      </c>
      <c r="X51" t="str">
        <f>""</f>
        <v/>
      </c>
      <c r="Y51" t="str">
        <f>""</f>
        <v/>
      </c>
      <c r="Z51" t="str">
        <f>""</f>
        <v/>
      </c>
      <c r="AA51" t="str">
        <f>""</f>
        <v/>
      </c>
      <c r="AB51" t="str">
        <f>""</f>
        <v/>
      </c>
      <c r="AC51" t="str">
        <f>""</f>
        <v/>
      </c>
      <c r="AD51" t="str">
        <f>""</f>
        <v/>
      </c>
      <c r="AE51" t="str">
        <f>""</f>
        <v/>
      </c>
      <c r="AF51" t="str">
        <f>""</f>
        <v/>
      </c>
      <c r="AG51" t="str">
        <f>""</f>
        <v/>
      </c>
      <c r="AH51" t="str">
        <f>""</f>
        <v/>
      </c>
      <c r="AI51" t="str">
        <f>""</f>
        <v/>
      </c>
      <c r="AJ51" t="str">
        <f>""</f>
        <v/>
      </c>
      <c r="AK51" t="str">
        <f>""</f>
        <v/>
      </c>
      <c r="AL51" t="str">
        <f>""</f>
        <v/>
      </c>
      <c r="AM51" t="str">
        <f>""</f>
        <v/>
      </c>
      <c r="AN51" t="str">
        <f>""</f>
        <v/>
      </c>
      <c r="AO51" t="str">
        <f>""</f>
        <v/>
      </c>
      <c r="AP51" t="str">
        <f>""</f>
        <v/>
      </c>
      <c r="AQ51" t="str">
        <f>""</f>
        <v/>
      </c>
      <c r="AR51" t="str">
        <f>""</f>
        <v/>
      </c>
      <c r="AS51" t="str">
        <f>""</f>
        <v/>
      </c>
      <c r="AT51" t="str">
        <f>""</f>
        <v/>
      </c>
      <c r="AU51" t="str">
        <f>""</f>
        <v/>
      </c>
      <c r="AV51" t="str">
        <f>""</f>
        <v/>
      </c>
      <c r="AW51" t="str">
        <f>""</f>
        <v/>
      </c>
      <c r="AX51" t="str">
        <f>""</f>
        <v/>
      </c>
      <c r="AY51" t="str">
        <f>""</f>
        <v/>
      </c>
      <c r="AZ51" t="str">
        <f>""</f>
        <v/>
      </c>
      <c r="BA51" t="str">
        <f>""</f>
        <v/>
      </c>
      <c r="BB51" t="str">
        <f>""</f>
        <v/>
      </c>
      <c r="BC51" t="str">
        <f>""</f>
        <v/>
      </c>
      <c r="BD51" t="str">
        <f>""</f>
        <v/>
      </c>
      <c r="BE51" t="str">
        <f>""</f>
        <v/>
      </c>
      <c r="BF51" t="str">
        <f>""</f>
        <v/>
      </c>
      <c r="BG51" t="str">
        <f>""</f>
        <v/>
      </c>
      <c r="BH51" t="str">
        <f>""</f>
        <v/>
      </c>
      <c r="BI51" t="str">
        <f>""</f>
        <v/>
      </c>
      <c r="BJ51" t="str">
        <f>""</f>
        <v/>
      </c>
      <c r="BK51" t="str">
        <f>""</f>
        <v/>
      </c>
      <c r="BL51" t="str">
        <f>""</f>
        <v/>
      </c>
      <c r="BM51" t="str">
        <f>""</f>
        <v/>
      </c>
      <c r="BN51" t="str">
        <f>""</f>
        <v/>
      </c>
      <c r="BO51" t="str">
        <f>""</f>
        <v/>
      </c>
      <c r="BP51" t="str">
        <f>""</f>
        <v/>
      </c>
      <c r="BQ51" t="str">
        <f>""</f>
        <v/>
      </c>
      <c r="BR51" t="str">
        <f>""</f>
        <v/>
      </c>
      <c r="BS51" t="str">
        <f>""</f>
        <v/>
      </c>
      <c r="BT51" t="str">
        <f>""</f>
        <v/>
      </c>
      <c r="BU51" t="str">
        <f>""</f>
        <v/>
      </c>
      <c r="BV51" t="str">
        <f>""</f>
        <v/>
      </c>
      <c r="BW51" t="str">
        <f>""</f>
        <v/>
      </c>
      <c r="BX51" t="str">
        <f>""</f>
        <v/>
      </c>
      <c r="BY51" t="str">
        <f>""</f>
        <v/>
      </c>
      <c r="BZ51" t="str">
        <f>""</f>
        <v/>
      </c>
      <c r="CA51" t="str">
        <f>""</f>
        <v/>
      </c>
      <c r="CB51" t="str">
        <f>""</f>
        <v/>
      </c>
      <c r="CC51" t="str">
        <f>""</f>
        <v/>
      </c>
      <c r="CD51" t="str">
        <f>""</f>
        <v/>
      </c>
      <c r="CE51" t="str">
        <f>""</f>
        <v/>
      </c>
      <c r="CF51" t="str">
        <f>""</f>
        <v/>
      </c>
      <c r="CG51" t="str">
        <f>""</f>
        <v/>
      </c>
      <c r="CH51" t="str">
        <f>""</f>
        <v/>
      </c>
      <c r="CI51" t="str">
        <f>""</f>
        <v/>
      </c>
      <c r="CJ51" t="str">
        <f>""</f>
        <v/>
      </c>
      <c r="CK51" t="str">
        <f>""</f>
        <v/>
      </c>
      <c r="CL51" t="str">
        <f>""</f>
        <v/>
      </c>
      <c r="CM51" t="str">
        <f>""</f>
        <v/>
      </c>
      <c r="CN51" t="str">
        <f>""</f>
        <v/>
      </c>
      <c r="CO51" t="str">
        <f>""</f>
        <v/>
      </c>
      <c r="CP51" t="str">
        <f>""</f>
        <v/>
      </c>
      <c r="CQ51" t="str">
        <f>""</f>
        <v/>
      </c>
      <c r="CR51" t="str">
        <f>""</f>
        <v/>
      </c>
      <c r="CS51" t="str">
        <f>""</f>
        <v/>
      </c>
      <c r="CT51" t="str">
        <f>""</f>
        <v/>
      </c>
      <c r="CU51" t="str">
        <f>""</f>
        <v/>
      </c>
      <c r="CV51" t="str">
        <f>""</f>
        <v/>
      </c>
      <c r="CW51" t="str">
        <f>""</f>
        <v/>
      </c>
      <c r="CX51" t="str">
        <f>""</f>
        <v/>
      </c>
      <c r="CY51" t="str">
        <f>""</f>
        <v/>
      </c>
      <c r="CZ51" t="str">
        <f>""</f>
        <v/>
      </c>
      <c r="DA51" t="str">
        <f>""</f>
        <v/>
      </c>
      <c r="DB51" t="str">
        <f>""</f>
        <v/>
      </c>
      <c r="DC51" t="str">
        <f>""</f>
        <v/>
      </c>
      <c r="DD51" t="str">
        <f>""</f>
        <v/>
      </c>
      <c r="DE51" t="str">
        <f>""</f>
        <v/>
      </c>
      <c r="DF51" t="str">
        <f>""</f>
        <v/>
      </c>
      <c r="DG51" t="str">
        <f>""</f>
        <v/>
      </c>
      <c r="DH51" t="str">
        <f>""</f>
        <v/>
      </c>
      <c r="DI51" t="str">
        <f>""</f>
        <v/>
      </c>
      <c r="DJ51" t="str">
        <f>""</f>
        <v/>
      </c>
      <c r="DK51" t="str">
        <f>""</f>
        <v/>
      </c>
      <c r="DL51" t="str">
        <f>""</f>
        <v/>
      </c>
      <c r="DM51" t="str">
        <f>""</f>
        <v/>
      </c>
      <c r="DN51" t="str">
        <f>""</f>
        <v/>
      </c>
      <c r="DO51" t="str">
        <f>""</f>
        <v/>
      </c>
      <c r="DP51" t="str">
        <f>""</f>
        <v/>
      </c>
      <c r="DQ51" t="str">
        <f>""</f>
        <v/>
      </c>
      <c r="DR51" t="str">
        <f>""</f>
        <v/>
      </c>
      <c r="DS51" t="str">
        <f>""</f>
        <v/>
      </c>
      <c r="DT51" t="str">
        <f>""</f>
        <v/>
      </c>
      <c r="DU51" t="str">
        <f>""</f>
        <v/>
      </c>
      <c r="DV51" t="str">
        <f>""</f>
        <v/>
      </c>
      <c r="DW51" t="str">
        <f>""</f>
        <v/>
      </c>
      <c r="DX51" t="str">
        <f>""</f>
        <v/>
      </c>
      <c r="DY51" t="str">
        <f>""</f>
        <v/>
      </c>
      <c r="DZ51" t="str">
        <f>""</f>
        <v/>
      </c>
      <c r="EA51" t="str">
        <f>""</f>
        <v/>
      </c>
      <c r="EB51" t="str">
        <f>""</f>
        <v/>
      </c>
      <c r="EC51" t="str">
        <f>""</f>
        <v/>
      </c>
      <c r="ED51" t="str">
        <f>""</f>
        <v/>
      </c>
      <c r="EE51" t="str">
        <f>""</f>
        <v/>
      </c>
      <c r="EF51" t="str">
        <f>""</f>
        <v/>
      </c>
      <c r="EG51" t="str">
        <f>""</f>
        <v/>
      </c>
      <c r="EH51" t="str">
        <f>""</f>
        <v/>
      </c>
      <c r="EI51" t="str">
        <f>""</f>
        <v/>
      </c>
      <c r="EJ51" t="str">
        <f>""</f>
        <v/>
      </c>
      <c r="EK51" t="str">
        <f>""</f>
        <v/>
      </c>
      <c r="EL51" t="str">
        <f>""</f>
        <v/>
      </c>
      <c r="EM51" t="str">
        <f>""</f>
        <v/>
      </c>
      <c r="EN51" t="str">
        <f>""</f>
        <v/>
      </c>
      <c r="EO51" t="str">
        <f>""</f>
        <v/>
      </c>
      <c r="EP51" t="str">
        <f>""</f>
        <v/>
      </c>
      <c r="EQ51" t="str">
        <f>""</f>
        <v/>
      </c>
      <c r="ER51" t="str">
        <f>""</f>
        <v/>
      </c>
      <c r="ES51" t="str">
        <f>""</f>
        <v/>
      </c>
      <c r="ET51" t="str">
        <f>""</f>
        <v/>
      </c>
      <c r="EU51" t="str">
        <f>""</f>
        <v/>
      </c>
      <c r="EV51" t="str">
        <f>""</f>
        <v/>
      </c>
      <c r="EW51" t="str">
        <f>""</f>
        <v/>
      </c>
      <c r="EX51" t="str">
        <f>""</f>
        <v/>
      </c>
      <c r="EY51" t="str">
        <f>""</f>
        <v/>
      </c>
      <c r="EZ51" t="str">
        <f>""</f>
        <v/>
      </c>
      <c r="FA51" t="str">
        <f>""</f>
        <v/>
      </c>
      <c r="FB51" t="str">
        <f>""</f>
        <v/>
      </c>
      <c r="FC51" t="str">
        <f>""</f>
        <v/>
      </c>
      <c r="FD51" t="str">
        <f>""</f>
        <v/>
      </c>
      <c r="FE51" t="str">
        <f>""</f>
        <v/>
      </c>
      <c r="FF51" t="str">
        <f>""</f>
        <v/>
      </c>
      <c r="FG51" t="str">
        <f>""</f>
        <v/>
      </c>
      <c r="FH51" t="str">
        <f>""</f>
        <v/>
      </c>
      <c r="FI51" t="str">
        <f>""</f>
        <v/>
      </c>
      <c r="FJ51" t="str">
        <f>""</f>
        <v/>
      </c>
      <c r="FK51" t="str">
        <f>""</f>
        <v/>
      </c>
      <c r="FL51" t="str">
        <f>""</f>
        <v/>
      </c>
      <c r="FM51" t="str">
        <f>""</f>
        <v/>
      </c>
      <c r="FN51" t="str">
        <f>""</f>
        <v/>
      </c>
      <c r="FO51" t="str">
        <f>""</f>
        <v/>
      </c>
      <c r="FP51" t="str">
        <f>""</f>
        <v/>
      </c>
      <c r="FQ51" t="str">
        <f>""</f>
        <v/>
      </c>
      <c r="FR51" t="str">
        <f>""</f>
        <v/>
      </c>
      <c r="FS51" t="str">
        <f>""</f>
        <v/>
      </c>
      <c r="FT51" t="str">
        <f>""</f>
        <v/>
      </c>
      <c r="FU51" t="str">
        <f>""</f>
        <v/>
      </c>
      <c r="FV51" t="str">
        <f>""</f>
        <v/>
      </c>
      <c r="FW51" t="str">
        <f>""</f>
        <v/>
      </c>
      <c r="FX51" t="str">
        <f>""</f>
        <v/>
      </c>
      <c r="FY51" t="str">
        <f>""</f>
        <v/>
      </c>
      <c r="FZ51" t="str">
        <f>""</f>
        <v/>
      </c>
      <c r="GA51" t="str">
        <f>""</f>
        <v/>
      </c>
      <c r="GB51" t="str">
        <f>""</f>
        <v/>
      </c>
      <c r="GC51" t="str">
        <f>""</f>
        <v/>
      </c>
      <c r="GD51" t="str">
        <f>""</f>
        <v/>
      </c>
      <c r="GE51" t="str">
        <f>""</f>
        <v/>
      </c>
      <c r="GF51" t="str">
        <f>""</f>
        <v/>
      </c>
      <c r="GG51" t="str">
        <f>""</f>
        <v/>
      </c>
      <c r="GH51" t="str">
        <f>""</f>
        <v/>
      </c>
      <c r="GI51" t="str">
        <f>""</f>
        <v/>
      </c>
      <c r="GJ51" t="str">
        <f>""</f>
        <v/>
      </c>
      <c r="GK51" t="str">
        <f>""</f>
        <v/>
      </c>
      <c r="GL51" t="str">
        <f>""</f>
        <v/>
      </c>
      <c r="GM51" t="str">
        <f>""</f>
        <v/>
      </c>
      <c r="GN51" t="str">
        <f>""</f>
        <v/>
      </c>
      <c r="GO51" t="str">
        <f>""</f>
        <v/>
      </c>
      <c r="GP51" t="str">
        <f>""</f>
        <v/>
      </c>
      <c r="GQ51" t="str">
        <f>""</f>
        <v/>
      </c>
      <c r="GR51" t="str">
        <f>""</f>
        <v/>
      </c>
      <c r="GS51" t="str">
        <f>""</f>
        <v/>
      </c>
      <c r="GT51" t="str">
        <f>""</f>
        <v/>
      </c>
      <c r="GU51" t="str">
        <f>""</f>
        <v/>
      </c>
      <c r="GV51" t="str">
        <f>""</f>
        <v/>
      </c>
      <c r="GW51" t="str">
        <f>""</f>
        <v/>
      </c>
      <c r="GX51" t="str">
        <f>""</f>
        <v/>
      </c>
      <c r="GY51" t="str">
        <f>""</f>
        <v/>
      </c>
      <c r="GZ51" t="str">
        <f>""</f>
        <v/>
      </c>
      <c r="HA51" t="str">
        <f>""</f>
        <v/>
      </c>
      <c r="HB51" t="str">
        <f>""</f>
        <v/>
      </c>
      <c r="HC51" t="str">
        <f>""</f>
        <v/>
      </c>
      <c r="HD51" t="str">
        <f>""</f>
        <v/>
      </c>
      <c r="HE51" t="str">
        <f>""</f>
        <v/>
      </c>
      <c r="HF51" t="str">
        <f>""</f>
        <v/>
      </c>
      <c r="HG51" t="str">
        <f>""</f>
        <v/>
      </c>
      <c r="HH51" t="str">
        <f>""</f>
        <v/>
      </c>
      <c r="HI51" t="str">
        <f>""</f>
        <v/>
      </c>
      <c r="HJ51" t="str">
        <f>""</f>
        <v/>
      </c>
      <c r="HK51" t="str">
        <f>""</f>
        <v/>
      </c>
      <c r="HL51" t="str">
        <f>""</f>
        <v/>
      </c>
      <c r="HM51" t="str">
        <f>""</f>
        <v/>
      </c>
      <c r="HN51" t="str">
        <f>""</f>
        <v/>
      </c>
      <c r="HO51" t="str">
        <f>""</f>
        <v/>
      </c>
      <c r="HP51" t="str">
        <f>""</f>
        <v/>
      </c>
      <c r="HQ51" t="str">
        <f>""</f>
        <v/>
      </c>
      <c r="HR51" t="str">
        <f>""</f>
        <v/>
      </c>
      <c r="HS51" t="str">
        <f>""</f>
        <v/>
      </c>
      <c r="HT51" t="str">
        <f>""</f>
        <v/>
      </c>
      <c r="HU51" t="str">
        <f>""</f>
        <v/>
      </c>
      <c r="HV51" t="str">
        <f>""</f>
        <v/>
      </c>
      <c r="HW51" t="str">
        <f>""</f>
        <v/>
      </c>
      <c r="HX51" t="str">
        <f>""</f>
        <v/>
      </c>
      <c r="HY51" t="str">
        <f>""</f>
        <v/>
      </c>
      <c r="HZ51" t="str">
        <f>""</f>
        <v/>
      </c>
      <c r="IA51" t="str">
        <f>""</f>
        <v/>
      </c>
      <c r="IB51" t="str">
        <f>""</f>
        <v/>
      </c>
      <c r="IC51" t="str">
        <f>""</f>
        <v/>
      </c>
      <c r="ID51" t="str">
        <f>""</f>
        <v/>
      </c>
      <c r="IE51" t="str">
        <f>""</f>
        <v/>
      </c>
      <c r="IF51" t="str">
        <f>""</f>
        <v/>
      </c>
      <c r="IG51" t="str">
        <f>""</f>
        <v/>
      </c>
      <c r="IH51" t="str">
        <f>""</f>
        <v/>
      </c>
      <c r="II51" t="str">
        <f>""</f>
        <v/>
      </c>
      <c r="IJ51" t="str">
        <f>""</f>
        <v/>
      </c>
      <c r="IK51" t="str">
        <f>""</f>
        <v/>
      </c>
      <c r="IL51" t="str">
        <f>""</f>
        <v/>
      </c>
      <c r="IM51" t="str">
        <f>""</f>
        <v/>
      </c>
      <c r="IN51" t="str">
        <f>""</f>
        <v/>
      </c>
      <c r="IO51" t="str">
        <f>""</f>
        <v/>
      </c>
      <c r="IP51" t="str">
        <f>""</f>
        <v/>
      </c>
      <c r="IQ51" t="str">
        <f>""</f>
        <v/>
      </c>
      <c r="IR51" t="str">
        <f>""</f>
        <v/>
      </c>
      <c r="IS51" t="str">
        <f>""</f>
        <v/>
      </c>
      <c r="IT51" t="str">
        <f>""</f>
        <v/>
      </c>
      <c r="IU51" t="str">
        <f>""</f>
        <v/>
      </c>
      <c r="IV51" t="str">
        <f>""</f>
        <v/>
      </c>
      <c r="IW51" t="str">
        <f>""</f>
        <v/>
      </c>
      <c r="IX51" t="str">
        <f>""</f>
        <v/>
      </c>
      <c r="IY51" t="str">
        <f>""</f>
        <v/>
      </c>
      <c r="IZ51" t="str">
        <f>""</f>
        <v/>
      </c>
      <c r="JA51" t="str">
        <f>""</f>
        <v/>
      </c>
      <c r="JB51" t="str">
        <f>""</f>
        <v/>
      </c>
      <c r="JC51" t="str">
        <f>""</f>
        <v/>
      </c>
      <c r="JD51" t="str">
        <f>""</f>
        <v/>
      </c>
      <c r="JE51" t="str">
        <f>""</f>
        <v/>
      </c>
      <c r="JF51" t="str">
        <f>""</f>
        <v/>
      </c>
      <c r="JG51" t="str">
        <f>""</f>
        <v/>
      </c>
      <c r="JH51" t="str">
        <f>""</f>
        <v/>
      </c>
      <c r="JI51" t="str">
        <f>""</f>
        <v/>
      </c>
      <c r="JJ51" t="str">
        <f>""</f>
        <v/>
      </c>
      <c r="JK51" t="str">
        <f>""</f>
        <v/>
      </c>
    </row>
    <row r="52" spans="1:271" x14ac:dyDescent="0.3">
      <c r="A52" t="str">
        <f>""</f>
        <v/>
      </c>
      <c r="B52" t="str">
        <f>""</f>
        <v/>
      </c>
      <c r="C52" t="str">
        <f>""</f>
        <v/>
      </c>
      <c r="D52" t="str">
        <f>""</f>
        <v/>
      </c>
      <c r="E52" t="str">
        <f>""</f>
        <v/>
      </c>
      <c r="F52" t="str">
        <f>""</f>
        <v/>
      </c>
      <c r="G52" t="str">
        <f>""</f>
        <v/>
      </c>
      <c r="H52" t="str">
        <f>"(0.107)"</f>
        <v>(0.107)</v>
      </c>
      <c r="I52" t="str">
        <f>"(0.0830)"</f>
        <v>(0.0830)</v>
      </c>
      <c r="J52" t="str">
        <f>"(0.0416)"</f>
        <v>(0.0416)</v>
      </c>
      <c r="K52" t="str">
        <f>""</f>
        <v/>
      </c>
      <c r="L52" t="str">
        <f>""</f>
        <v/>
      </c>
      <c r="M52" t="str">
        <f>""</f>
        <v/>
      </c>
      <c r="N52" t="str">
        <f>""</f>
        <v/>
      </c>
      <c r="O52" t="str">
        <f>""</f>
        <v/>
      </c>
      <c r="P52" t="str">
        <f>""</f>
        <v/>
      </c>
      <c r="Q52" t="str">
        <f>""</f>
        <v/>
      </c>
      <c r="R52" t="str">
        <f>""</f>
        <v/>
      </c>
      <c r="S52" t="str">
        <f>""</f>
        <v/>
      </c>
      <c r="T52" t="str">
        <f>""</f>
        <v/>
      </c>
      <c r="U52" t="str">
        <f>""</f>
        <v/>
      </c>
      <c r="V52" t="str">
        <f>""</f>
        <v/>
      </c>
      <c r="W52" t="str">
        <f>""</f>
        <v/>
      </c>
      <c r="X52" t="str">
        <f>""</f>
        <v/>
      </c>
      <c r="Y52" t="str">
        <f>""</f>
        <v/>
      </c>
      <c r="Z52" t="str">
        <f>""</f>
        <v/>
      </c>
      <c r="AA52" t="str">
        <f>""</f>
        <v/>
      </c>
      <c r="AB52" t="str">
        <f>""</f>
        <v/>
      </c>
      <c r="AC52" t="str">
        <f>""</f>
        <v/>
      </c>
      <c r="AD52" t="str">
        <f>""</f>
        <v/>
      </c>
      <c r="AE52" t="str">
        <f>""</f>
        <v/>
      </c>
      <c r="AF52" t="str">
        <f>""</f>
        <v/>
      </c>
      <c r="AG52" t="str">
        <f>""</f>
        <v/>
      </c>
      <c r="AH52" t="str">
        <f>""</f>
        <v/>
      </c>
      <c r="AI52" t="str">
        <f>""</f>
        <v/>
      </c>
      <c r="AJ52" t="str">
        <f>""</f>
        <v/>
      </c>
      <c r="AK52" t="str">
        <f>""</f>
        <v/>
      </c>
      <c r="AL52" t="str">
        <f>""</f>
        <v/>
      </c>
      <c r="AM52" t="str">
        <f>""</f>
        <v/>
      </c>
      <c r="AN52" t="str">
        <f>""</f>
        <v/>
      </c>
      <c r="AO52" t="str">
        <f>""</f>
        <v/>
      </c>
      <c r="AP52" t="str">
        <f>""</f>
        <v/>
      </c>
      <c r="AQ52" t="str">
        <f>""</f>
        <v/>
      </c>
      <c r="AR52" t="str">
        <f>""</f>
        <v/>
      </c>
      <c r="AS52" t="str">
        <f>""</f>
        <v/>
      </c>
      <c r="AT52" t="str">
        <f>""</f>
        <v/>
      </c>
      <c r="AU52" t="str">
        <f>""</f>
        <v/>
      </c>
      <c r="AV52" t="str">
        <f>""</f>
        <v/>
      </c>
      <c r="AW52" t="str">
        <f>""</f>
        <v/>
      </c>
      <c r="AX52" t="str">
        <f>""</f>
        <v/>
      </c>
      <c r="AY52" t="str">
        <f>""</f>
        <v/>
      </c>
      <c r="AZ52" t="str">
        <f>""</f>
        <v/>
      </c>
      <c r="BA52" t="str">
        <f>""</f>
        <v/>
      </c>
      <c r="BB52" t="str">
        <f>""</f>
        <v/>
      </c>
      <c r="BC52" t="str">
        <f>""</f>
        <v/>
      </c>
      <c r="BD52" t="str">
        <f>""</f>
        <v/>
      </c>
      <c r="BE52" t="str">
        <f>""</f>
        <v/>
      </c>
      <c r="BF52" t="str">
        <f>""</f>
        <v/>
      </c>
      <c r="BG52" t="str">
        <f>""</f>
        <v/>
      </c>
      <c r="BH52" t="str">
        <f>""</f>
        <v/>
      </c>
      <c r="BI52" t="str">
        <f>""</f>
        <v/>
      </c>
      <c r="BJ52" t="str">
        <f>""</f>
        <v/>
      </c>
      <c r="BK52" t="str">
        <f>""</f>
        <v/>
      </c>
      <c r="BL52" t="str">
        <f>""</f>
        <v/>
      </c>
      <c r="BM52" t="str">
        <f>""</f>
        <v/>
      </c>
      <c r="BN52" t="str">
        <f>""</f>
        <v/>
      </c>
      <c r="BO52" t="str">
        <f>""</f>
        <v/>
      </c>
      <c r="BP52" t="str">
        <f>""</f>
        <v/>
      </c>
      <c r="BQ52" t="str">
        <f>""</f>
        <v/>
      </c>
      <c r="BR52" t="str">
        <f>""</f>
        <v/>
      </c>
      <c r="BS52" t="str">
        <f>""</f>
        <v/>
      </c>
      <c r="BT52" t="str">
        <f>""</f>
        <v/>
      </c>
      <c r="BU52" t="str">
        <f>""</f>
        <v/>
      </c>
      <c r="BV52" t="str">
        <f>""</f>
        <v/>
      </c>
      <c r="BW52" t="str">
        <f>""</f>
        <v/>
      </c>
      <c r="BX52" t="str">
        <f>""</f>
        <v/>
      </c>
      <c r="BY52" t="str">
        <f>""</f>
        <v/>
      </c>
      <c r="BZ52" t="str">
        <f>""</f>
        <v/>
      </c>
      <c r="CA52" t="str">
        <f>""</f>
        <v/>
      </c>
      <c r="CB52" t="str">
        <f>""</f>
        <v/>
      </c>
      <c r="CC52" t="str">
        <f>""</f>
        <v/>
      </c>
      <c r="CD52" t="str">
        <f>""</f>
        <v/>
      </c>
      <c r="CE52" t="str">
        <f>""</f>
        <v/>
      </c>
      <c r="CF52" t="str">
        <f>""</f>
        <v/>
      </c>
      <c r="CG52" t="str">
        <f>""</f>
        <v/>
      </c>
      <c r="CH52" t="str">
        <f>""</f>
        <v/>
      </c>
      <c r="CI52" t="str">
        <f>""</f>
        <v/>
      </c>
      <c r="CJ52" t="str">
        <f>""</f>
        <v/>
      </c>
      <c r="CK52" t="str">
        <f>""</f>
        <v/>
      </c>
      <c r="CL52" t="str">
        <f>""</f>
        <v/>
      </c>
      <c r="CM52" t="str">
        <f>""</f>
        <v/>
      </c>
      <c r="CN52" t="str">
        <f>""</f>
        <v/>
      </c>
      <c r="CO52" t="str">
        <f>""</f>
        <v/>
      </c>
      <c r="CP52" t="str">
        <f>""</f>
        <v/>
      </c>
      <c r="CQ52" t="str">
        <f>""</f>
        <v/>
      </c>
      <c r="CR52" t="str">
        <f>""</f>
        <v/>
      </c>
      <c r="CS52" t="str">
        <f>""</f>
        <v/>
      </c>
      <c r="CT52" t="str">
        <f>""</f>
        <v/>
      </c>
      <c r="CU52" t="str">
        <f>""</f>
        <v/>
      </c>
      <c r="CV52" t="str">
        <f>""</f>
        <v/>
      </c>
      <c r="CW52" t="str">
        <f>""</f>
        <v/>
      </c>
      <c r="CX52" t="str">
        <f>""</f>
        <v/>
      </c>
      <c r="CY52" t="str">
        <f>""</f>
        <v/>
      </c>
      <c r="CZ52" t="str">
        <f>""</f>
        <v/>
      </c>
      <c r="DA52" t="str">
        <f>""</f>
        <v/>
      </c>
      <c r="DB52" t="str">
        <f>""</f>
        <v/>
      </c>
      <c r="DC52" t="str">
        <f>""</f>
        <v/>
      </c>
      <c r="DD52" t="str">
        <f>""</f>
        <v/>
      </c>
      <c r="DE52" t="str">
        <f>""</f>
        <v/>
      </c>
      <c r="DF52" t="str">
        <f>""</f>
        <v/>
      </c>
      <c r="DG52" t="str">
        <f>""</f>
        <v/>
      </c>
      <c r="DH52" t="str">
        <f>""</f>
        <v/>
      </c>
      <c r="DI52" t="str">
        <f>""</f>
        <v/>
      </c>
      <c r="DJ52" t="str">
        <f>""</f>
        <v/>
      </c>
      <c r="DK52" t="str">
        <f>""</f>
        <v/>
      </c>
      <c r="DL52" t="str">
        <f>""</f>
        <v/>
      </c>
      <c r="DM52" t="str">
        <f>""</f>
        <v/>
      </c>
      <c r="DN52" t="str">
        <f>""</f>
        <v/>
      </c>
      <c r="DO52" t="str">
        <f>""</f>
        <v/>
      </c>
      <c r="DP52" t="str">
        <f>""</f>
        <v/>
      </c>
      <c r="DQ52" t="str">
        <f>""</f>
        <v/>
      </c>
      <c r="DR52" t="str">
        <f>""</f>
        <v/>
      </c>
      <c r="DS52" t="str">
        <f>""</f>
        <v/>
      </c>
      <c r="DT52" t="str">
        <f>""</f>
        <v/>
      </c>
      <c r="DU52" t="str">
        <f>""</f>
        <v/>
      </c>
      <c r="DV52" t="str">
        <f>""</f>
        <v/>
      </c>
      <c r="DW52" t="str">
        <f>""</f>
        <v/>
      </c>
      <c r="DX52" t="str">
        <f>""</f>
        <v/>
      </c>
      <c r="DY52" t="str">
        <f>""</f>
        <v/>
      </c>
      <c r="DZ52" t="str">
        <f>""</f>
        <v/>
      </c>
      <c r="EA52" t="str">
        <f>""</f>
        <v/>
      </c>
      <c r="EB52" t="str">
        <f>""</f>
        <v/>
      </c>
      <c r="EC52" t="str">
        <f>""</f>
        <v/>
      </c>
      <c r="ED52" t="str">
        <f>""</f>
        <v/>
      </c>
      <c r="EE52" t="str">
        <f>""</f>
        <v/>
      </c>
      <c r="EF52" t="str">
        <f>""</f>
        <v/>
      </c>
      <c r="EG52" t="str">
        <f>""</f>
        <v/>
      </c>
      <c r="EH52" t="str">
        <f>""</f>
        <v/>
      </c>
      <c r="EI52" t="str">
        <f>""</f>
        <v/>
      </c>
      <c r="EJ52" t="str">
        <f>""</f>
        <v/>
      </c>
      <c r="EK52" t="str">
        <f>""</f>
        <v/>
      </c>
      <c r="EL52" t="str">
        <f>""</f>
        <v/>
      </c>
      <c r="EM52" t="str">
        <f>""</f>
        <v/>
      </c>
      <c r="EN52" t="str">
        <f>""</f>
        <v/>
      </c>
      <c r="EO52" t="str">
        <f>""</f>
        <v/>
      </c>
      <c r="EP52" t="str">
        <f>""</f>
        <v/>
      </c>
      <c r="EQ52" t="str">
        <f>""</f>
        <v/>
      </c>
      <c r="ER52" t="str">
        <f>""</f>
        <v/>
      </c>
      <c r="ES52" t="str">
        <f>""</f>
        <v/>
      </c>
      <c r="ET52" t="str">
        <f>""</f>
        <v/>
      </c>
      <c r="EU52" t="str">
        <f>""</f>
        <v/>
      </c>
      <c r="EV52" t="str">
        <f>""</f>
        <v/>
      </c>
      <c r="EW52" t="str">
        <f>""</f>
        <v/>
      </c>
      <c r="EX52" t="str">
        <f>""</f>
        <v/>
      </c>
      <c r="EY52" t="str">
        <f>""</f>
        <v/>
      </c>
      <c r="EZ52" t="str">
        <f>""</f>
        <v/>
      </c>
      <c r="FA52" t="str">
        <f>""</f>
        <v/>
      </c>
      <c r="FB52" t="str">
        <f>""</f>
        <v/>
      </c>
      <c r="FC52" t="str">
        <f>""</f>
        <v/>
      </c>
      <c r="FD52" t="str">
        <f>""</f>
        <v/>
      </c>
      <c r="FE52" t="str">
        <f>""</f>
        <v/>
      </c>
      <c r="FF52" t="str">
        <f>""</f>
        <v/>
      </c>
      <c r="FG52" t="str">
        <f>""</f>
        <v/>
      </c>
      <c r="FH52" t="str">
        <f>""</f>
        <v/>
      </c>
      <c r="FI52" t="str">
        <f>""</f>
        <v/>
      </c>
      <c r="FJ52" t="str">
        <f>""</f>
        <v/>
      </c>
      <c r="FK52" t="str">
        <f>""</f>
        <v/>
      </c>
      <c r="FL52" t="str">
        <f>""</f>
        <v/>
      </c>
      <c r="FM52" t="str">
        <f>""</f>
        <v/>
      </c>
      <c r="FN52" t="str">
        <f>""</f>
        <v/>
      </c>
      <c r="FO52" t="str">
        <f>""</f>
        <v/>
      </c>
      <c r="FP52" t="str">
        <f>""</f>
        <v/>
      </c>
      <c r="FQ52" t="str">
        <f>""</f>
        <v/>
      </c>
      <c r="FR52" t="str">
        <f>""</f>
        <v/>
      </c>
      <c r="FS52" t="str">
        <f>""</f>
        <v/>
      </c>
      <c r="FT52" t="str">
        <f>""</f>
        <v/>
      </c>
      <c r="FU52" t="str">
        <f>""</f>
        <v/>
      </c>
      <c r="FV52" t="str">
        <f>""</f>
        <v/>
      </c>
      <c r="FW52" t="str">
        <f>""</f>
        <v/>
      </c>
      <c r="FX52" t="str">
        <f>""</f>
        <v/>
      </c>
      <c r="FY52" t="str">
        <f>""</f>
        <v/>
      </c>
      <c r="FZ52" t="str">
        <f>""</f>
        <v/>
      </c>
      <c r="GA52" t="str">
        <f>""</f>
        <v/>
      </c>
      <c r="GB52" t="str">
        <f>""</f>
        <v/>
      </c>
      <c r="GC52" t="str">
        <f>""</f>
        <v/>
      </c>
      <c r="GD52" t="str">
        <f>""</f>
        <v/>
      </c>
      <c r="GE52" t="str">
        <f>""</f>
        <v/>
      </c>
      <c r="GF52" t="str">
        <f>""</f>
        <v/>
      </c>
      <c r="GG52" t="str">
        <f>""</f>
        <v/>
      </c>
      <c r="GH52" t="str">
        <f>""</f>
        <v/>
      </c>
      <c r="GI52" t="str">
        <f>""</f>
        <v/>
      </c>
      <c r="GJ52" t="str">
        <f>""</f>
        <v/>
      </c>
      <c r="GK52" t="str">
        <f>""</f>
        <v/>
      </c>
      <c r="GL52" t="str">
        <f>""</f>
        <v/>
      </c>
      <c r="GM52" t="str">
        <f>""</f>
        <v/>
      </c>
      <c r="GN52" t="str">
        <f>""</f>
        <v/>
      </c>
      <c r="GO52" t="str">
        <f>""</f>
        <v/>
      </c>
      <c r="GP52" t="str">
        <f>""</f>
        <v/>
      </c>
      <c r="GQ52" t="str">
        <f>""</f>
        <v/>
      </c>
      <c r="GR52" t="str">
        <f>""</f>
        <v/>
      </c>
      <c r="GS52" t="str">
        <f>""</f>
        <v/>
      </c>
      <c r="GT52" t="str">
        <f>""</f>
        <v/>
      </c>
      <c r="GU52" t="str">
        <f>""</f>
        <v/>
      </c>
      <c r="GV52" t="str">
        <f>""</f>
        <v/>
      </c>
      <c r="GW52" t="str">
        <f>""</f>
        <v/>
      </c>
      <c r="GX52" t="str">
        <f>""</f>
        <v/>
      </c>
      <c r="GY52" t="str">
        <f>""</f>
        <v/>
      </c>
      <c r="GZ52" t="str">
        <f>""</f>
        <v/>
      </c>
      <c r="HA52" t="str">
        <f>""</f>
        <v/>
      </c>
      <c r="HB52" t="str">
        <f>""</f>
        <v/>
      </c>
      <c r="HC52" t="str">
        <f>""</f>
        <v/>
      </c>
      <c r="HD52" t="str">
        <f>""</f>
        <v/>
      </c>
      <c r="HE52" t="str">
        <f>""</f>
        <v/>
      </c>
      <c r="HF52" t="str">
        <f>""</f>
        <v/>
      </c>
      <c r="HG52" t="str">
        <f>""</f>
        <v/>
      </c>
      <c r="HH52" t="str">
        <f>""</f>
        <v/>
      </c>
      <c r="HI52" t="str">
        <f>""</f>
        <v/>
      </c>
      <c r="HJ52" t="str">
        <f>""</f>
        <v/>
      </c>
      <c r="HK52" t="str">
        <f>""</f>
        <v/>
      </c>
      <c r="HL52" t="str">
        <f>""</f>
        <v/>
      </c>
      <c r="HM52" t="str">
        <f>""</f>
        <v/>
      </c>
      <c r="HN52" t="str">
        <f>""</f>
        <v/>
      </c>
      <c r="HO52" t="str">
        <f>""</f>
        <v/>
      </c>
      <c r="HP52" t="str">
        <f>""</f>
        <v/>
      </c>
      <c r="HQ52" t="str">
        <f>""</f>
        <v/>
      </c>
      <c r="HR52" t="str">
        <f>""</f>
        <v/>
      </c>
      <c r="HS52" t="str">
        <f>""</f>
        <v/>
      </c>
      <c r="HT52" t="str">
        <f>""</f>
        <v/>
      </c>
      <c r="HU52" t="str">
        <f>""</f>
        <v/>
      </c>
      <c r="HV52" t="str">
        <f>""</f>
        <v/>
      </c>
      <c r="HW52" t="str">
        <f>""</f>
        <v/>
      </c>
      <c r="HX52" t="str">
        <f>""</f>
        <v/>
      </c>
      <c r="HY52" t="str">
        <f>""</f>
        <v/>
      </c>
      <c r="HZ52" t="str">
        <f>""</f>
        <v/>
      </c>
      <c r="IA52" t="str">
        <f>""</f>
        <v/>
      </c>
      <c r="IB52" t="str">
        <f>""</f>
        <v/>
      </c>
      <c r="IC52" t="str">
        <f>""</f>
        <v/>
      </c>
      <c r="ID52" t="str">
        <f>""</f>
        <v/>
      </c>
      <c r="IE52" t="str">
        <f>""</f>
        <v/>
      </c>
      <c r="IF52" t="str">
        <f>""</f>
        <v/>
      </c>
      <c r="IG52" t="str">
        <f>""</f>
        <v/>
      </c>
      <c r="IH52" t="str">
        <f>""</f>
        <v/>
      </c>
      <c r="II52" t="str">
        <f>""</f>
        <v/>
      </c>
      <c r="IJ52" t="str">
        <f>""</f>
        <v/>
      </c>
      <c r="IK52" t="str">
        <f>""</f>
        <v/>
      </c>
      <c r="IL52" t="str">
        <f>""</f>
        <v/>
      </c>
      <c r="IM52" t="str">
        <f>""</f>
        <v/>
      </c>
      <c r="IN52" t="str">
        <f>""</f>
        <v/>
      </c>
      <c r="IO52" t="str">
        <f>""</f>
        <v/>
      </c>
      <c r="IP52" t="str">
        <f>""</f>
        <v/>
      </c>
      <c r="IQ52" t="str">
        <f>""</f>
        <v/>
      </c>
      <c r="IR52" t="str">
        <f>""</f>
        <v/>
      </c>
      <c r="IS52" t="str">
        <f>""</f>
        <v/>
      </c>
      <c r="IT52" t="str">
        <f>""</f>
        <v/>
      </c>
      <c r="IU52" t="str">
        <f>""</f>
        <v/>
      </c>
      <c r="IV52" t="str">
        <f>""</f>
        <v/>
      </c>
      <c r="IW52" t="str">
        <f>""</f>
        <v/>
      </c>
      <c r="IX52" t="str">
        <f>""</f>
        <v/>
      </c>
      <c r="IY52" t="str">
        <f>""</f>
        <v/>
      </c>
      <c r="IZ52" t="str">
        <f>""</f>
        <v/>
      </c>
      <c r="JA52" t="str">
        <f>""</f>
        <v/>
      </c>
      <c r="JB52" t="str">
        <f>""</f>
        <v/>
      </c>
      <c r="JC52" t="str">
        <f>""</f>
        <v/>
      </c>
      <c r="JD52" t="str">
        <f>""</f>
        <v/>
      </c>
      <c r="JE52" t="str">
        <f>""</f>
        <v/>
      </c>
      <c r="JF52" t="str">
        <f>""</f>
        <v/>
      </c>
      <c r="JG52" t="str">
        <f>""</f>
        <v/>
      </c>
      <c r="JH52" t="str">
        <f>""</f>
        <v/>
      </c>
      <c r="JI52" t="str">
        <f>""</f>
        <v/>
      </c>
      <c r="JJ52" t="str">
        <f>""</f>
        <v/>
      </c>
      <c r="JK52" t="str">
        <f>""</f>
        <v/>
      </c>
    </row>
    <row r="54" spans="1:271" x14ac:dyDescent="0.3">
      <c r="A54" t="str">
        <f>"zMETAB4"</f>
        <v>zMETAB4</v>
      </c>
      <c r="B54" t="str">
        <f>""</f>
        <v/>
      </c>
      <c r="C54" t="str">
        <f>""</f>
        <v/>
      </c>
      <c r="D54" t="str">
        <f>""</f>
        <v/>
      </c>
      <c r="E54" t="str">
        <f>""</f>
        <v/>
      </c>
      <c r="F54" t="str">
        <f>""</f>
        <v/>
      </c>
      <c r="G54" t="str">
        <f>""</f>
        <v/>
      </c>
      <c r="H54" t="str">
        <f>""</f>
        <v/>
      </c>
      <c r="I54" t="str">
        <f>""</f>
        <v/>
      </c>
      <c r="J54" t="str">
        <f>""</f>
        <v/>
      </c>
      <c r="K54" t="str">
        <f>"-0.0786"</f>
        <v>-0.0786</v>
      </c>
      <c r="L54" t="str">
        <f>"-0.0682"</f>
        <v>-0.0682</v>
      </c>
      <c r="M54" t="str">
        <f>"-0.141***"</f>
        <v>-0.141***</v>
      </c>
      <c r="N54" t="str">
        <f>""</f>
        <v/>
      </c>
      <c r="O54" t="str">
        <f>""</f>
        <v/>
      </c>
      <c r="P54" t="str">
        <f>""</f>
        <v/>
      </c>
      <c r="Q54" t="str">
        <f>""</f>
        <v/>
      </c>
      <c r="R54" t="str">
        <f>""</f>
        <v/>
      </c>
      <c r="S54" t="str">
        <f>""</f>
        <v/>
      </c>
      <c r="T54" t="str">
        <f>""</f>
        <v/>
      </c>
      <c r="U54" t="str">
        <f>""</f>
        <v/>
      </c>
      <c r="V54" t="str">
        <f>""</f>
        <v/>
      </c>
      <c r="W54" t="str">
        <f>""</f>
        <v/>
      </c>
      <c r="X54" t="str">
        <f>""</f>
        <v/>
      </c>
      <c r="Y54" t="str">
        <f>""</f>
        <v/>
      </c>
      <c r="Z54" t="str">
        <f>""</f>
        <v/>
      </c>
      <c r="AA54" t="str">
        <f>""</f>
        <v/>
      </c>
      <c r="AB54" t="str">
        <f>""</f>
        <v/>
      </c>
      <c r="AC54" t="str">
        <f>""</f>
        <v/>
      </c>
      <c r="AD54" t="str">
        <f>""</f>
        <v/>
      </c>
      <c r="AE54" t="str">
        <f>""</f>
        <v/>
      </c>
      <c r="AF54" t="str">
        <f>""</f>
        <v/>
      </c>
      <c r="AG54" t="str">
        <f>""</f>
        <v/>
      </c>
      <c r="AH54" t="str">
        <f>""</f>
        <v/>
      </c>
      <c r="AI54" t="str">
        <f>""</f>
        <v/>
      </c>
      <c r="AJ54" t="str">
        <f>""</f>
        <v/>
      </c>
      <c r="AK54" t="str">
        <f>""</f>
        <v/>
      </c>
      <c r="AL54" t="str">
        <f>""</f>
        <v/>
      </c>
      <c r="AM54" t="str">
        <f>""</f>
        <v/>
      </c>
      <c r="AN54" t="str">
        <f>""</f>
        <v/>
      </c>
      <c r="AO54" t="str">
        <f>""</f>
        <v/>
      </c>
      <c r="AP54" t="str">
        <f>""</f>
        <v/>
      </c>
      <c r="AQ54" t="str">
        <f>""</f>
        <v/>
      </c>
      <c r="AR54" t="str">
        <f>""</f>
        <v/>
      </c>
      <c r="AS54" t="str">
        <f>""</f>
        <v/>
      </c>
      <c r="AT54" t="str">
        <f>""</f>
        <v/>
      </c>
      <c r="AU54" t="str">
        <f>""</f>
        <v/>
      </c>
      <c r="AV54" t="str">
        <f>""</f>
        <v/>
      </c>
      <c r="AW54" t="str">
        <f>""</f>
        <v/>
      </c>
      <c r="AX54" t="str">
        <f>""</f>
        <v/>
      </c>
      <c r="AY54" t="str">
        <f>""</f>
        <v/>
      </c>
      <c r="AZ54" t="str">
        <f>""</f>
        <v/>
      </c>
      <c r="BA54" t="str">
        <f>""</f>
        <v/>
      </c>
      <c r="BB54" t="str">
        <f>""</f>
        <v/>
      </c>
      <c r="BC54" t="str">
        <f>""</f>
        <v/>
      </c>
      <c r="BD54" t="str">
        <f>"0.00258"</f>
        <v>0.00258</v>
      </c>
      <c r="BE54" t="str">
        <f>"-0.0529"</f>
        <v>-0.0529</v>
      </c>
      <c r="BF54" t="str">
        <f>"-0.157***"</f>
        <v>-0.157***</v>
      </c>
      <c r="BG54" t="str">
        <f>""</f>
        <v/>
      </c>
      <c r="BH54" t="str">
        <f>""</f>
        <v/>
      </c>
      <c r="BI54" t="str">
        <f>""</f>
        <v/>
      </c>
      <c r="BJ54" t="str">
        <f>""</f>
        <v/>
      </c>
      <c r="BK54" t="str">
        <f>""</f>
        <v/>
      </c>
      <c r="BL54" t="str">
        <f>""</f>
        <v/>
      </c>
      <c r="BM54" t="str">
        <f>""</f>
        <v/>
      </c>
      <c r="BN54" t="str">
        <f>""</f>
        <v/>
      </c>
      <c r="BO54" t="str">
        <f>""</f>
        <v/>
      </c>
      <c r="BP54" t="str">
        <f>""</f>
        <v/>
      </c>
      <c r="BQ54" t="str">
        <f>""</f>
        <v/>
      </c>
      <c r="BR54" t="str">
        <f>""</f>
        <v/>
      </c>
      <c r="BS54" t="str">
        <f>""</f>
        <v/>
      </c>
      <c r="BT54" t="str">
        <f>""</f>
        <v/>
      </c>
      <c r="BU54" t="str">
        <f>""</f>
        <v/>
      </c>
      <c r="BV54" t="str">
        <f>""</f>
        <v/>
      </c>
      <c r="BW54" t="str">
        <f>""</f>
        <v/>
      </c>
      <c r="BX54" t="str">
        <f>""</f>
        <v/>
      </c>
      <c r="BY54" t="str">
        <f>""</f>
        <v/>
      </c>
      <c r="BZ54" t="str">
        <f>""</f>
        <v/>
      </c>
      <c r="CA54" t="str">
        <f>""</f>
        <v/>
      </c>
      <c r="CB54" t="str">
        <f>""</f>
        <v/>
      </c>
      <c r="CC54" t="str">
        <f>""</f>
        <v/>
      </c>
      <c r="CD54" t="str">
        <f>""</f>
        <v/>
      </c>
      <c r="CE54" t="str">
        <f>""</f>
        <v/>
      </c>
      <c r="CF54" t="str">
        <f>""</f>
        <v/>
      </c>
      <c r="CG54" t="str">
        <f>""</f>
        <v/>
      </c>
      <c r="CH54" t="str">
        <f>""</f>
        <v/>
      </c>
      <c r="CI54" t="str">
        <f>""</f>
        <v/>
      </c>
      <c r="CJ54" t="str">
        <f>""</f>
        <v/>
      </c>
      <c r="CK54" t="str">
        <f>""</f>
        <v/>
      </c>
      <c r="CL54" t="str">
        <f>""</f>
        <v/>
      </c>
      <c r="CM54" t="str">
        <f>""</f>
        <v/>
      </c>
      <c r="CN54" t="str">
        <f>""</f>
        <v/>
      </c>
      <c r="CO54" t="str">
        <f>""</f>
        <v/>
      </c>
      <c r="CP54" t="str">
        <f>""</f>
        <v/>
      </c>
      <c r="CQ54" t="str">
        <f>""</f>
        <v/>
      </c>
      <c r="CR54" t="str">
        <f>""</f>
        <v/>
      </c>
      <c r="CS54" t="str">
        <f>""</f>
        <v/>
      </c>
      <c r="CT54" t="str">
        <f>""</f>
        <v/>
      </c>
      <c r="CU54" t="str">
        <f>""</f>
        <v/>
      </c>
      <c r="CV54" t="str">
        <f>""</f>
        <v/>
      </c>
      <c r="CW54" t="str">
        <f>"0.0686"</f>
        <v>0.0686</v>
      </c>
      <c r="CX54" t="str">
        <f>"-0.0276"</f>
        <v>-0.0276</v>
      </c>
      <c r="CY54" t="str">
        <f>"-0.140***"</f>
        <v>-0.140***</v>
      </c>
      <c r="CZ54" t="str">
        <f>""</f>
        <v/>
      </c>
      <c r="DA54" t="str">
        <f>""</f>
        <v/>
      </c>
      <c r="DB54" t="str">
        <f>""</f>
        <v/>
      </c>
      <c r="DC54" t="str">
        <f>""</f>
        <v/>
      </c>
      <c r="DD54" t="str">
        <f>""</f>
        <v/>
      </c>
      <c r="DE54" t="str">
        <f>""</f>
        <v/>
      </c>
      <c r="DF54" t="str">
        <f>""</f>
        <v/>
      </c>
      <c r="DG54" t="str">
        <f>""</f>
        <v/>
      </c>
      <c r="DH54" t="str">
        <f>""</f>
        <v/>
      </c>
      <c r="DI54" t="str">
        <f>""</f>
        <v/>
      </c>
      <c r="DJ54" t="str">
        <f>""</f>
        <v/>
      </c>
      <c r="DK54" t="str">
        <f>""</f>
        <v/>
      </c>
      <c r="DL54" t="str">
        <f>""</f>
        <v/>
      </c>
      <c r="DM54" t="str">
        <f>""</f>
        <v/>
      </c>
      <c r="DN54" t="str">
        <f>""</f>
        <v/>
      </c>
      <c r="DO54" t="str">
        <f>""</f>
        <v/>
      </c>
      <c r="DP54" t="str">
        <f>""</f>
        <v/>
      </c>
      <c r="DQ54" t="str">
        <f>""</f>
        <v/>
      </c>
      <c r="DR54" t="str">
        <f>""</f>
        <v/>
      </c>
      <c r="DS54" t="str">
        <f>""</f>
        <v/>
      </c>
      <c r="DT54" t="str">
        <f>""</f>
        <v/>
      </c>
      <c r="DU54" t="str">
        <f>""</f>
        <v/>
      </c>
      <c r="DV54" t="str">
        <f>""</f>
        <v/>
      </c>
      <c r="DW54" t="str">
        <f>""</f>
        <v/>
      </c>
      <c r="DX54" t="str">
        <f>""</f>
        <v/>
      </c>
      <c r="DY54" t="str">
        <f>""</f>
        <v/>
      </c>
      <c r="DZ54" t="str">
        <f>""</f>
        <v/>
      </c>
      <c r="EA54" t="str">
        <f>""</f>
        <v/>
      </c>
      <c r="EB54" t="str">
        <f>""</f>
        <v/>
      </c>
      <c r="EC54" t="str">
        <f>""</f>
        <v/>
      </c>
      <c r="ED54" t="str">
        <f>""</f>
        <v/>
      </c>
      <c r="EE54" t="str">
        <f>""</f>
        <v/>
      </c>
      <c r="EF54" t="str">
        <f>""</f>
        <v/>
      </c>
      <c r="EG54" t="str">
        <f>""</f>
        <v/>
      </c>
      <c r="EH54" t="str">
        <f>""</f>
        <v/>
      </c>
      <c r="EI54" t="str">
        <f>""</f>
        <v/>
      </c>
      <c r="EJ54" t="str">
        <f>""</f>
        <v/>
      </c>
      <c r="EK54" t="str">
        <f>""</f>
        <v/>
      </c>
      <c r="EL54" t="str">
        <f>""</f>
        <v/>
      </c>
      <c r="EM54" t="str">
        <f>""</f>
        <v/>
      </c>
      <c r="EN54" t="str">
        <f>""</f>
        <v/>
      </c>
      <c r="EO54" t="str">
        <f>""</f>
        <v/>
      </c>
      <c r="EP54" t="str">
        <f>"-0.0393"</f>
        <v>-0.0393</v>
      </c>
      <c r="EQ54" t="str">
        <f>"-0.0303"</f>
        <v>-0.0303</v>
      </c>
      <c r="ER54" t="str">
        <f>"-0.0919**"</f>
        <v>-0.0919**</v>
      </c>
      <c r="ES54" t="str">
        <f>""</f>
        <v/>
      </c>
      <c r="ET54" t="str">
        <f>""</f>
        <v/>
      </c>
      <c r="EU54" t="str">
        <f>""</f>
        <v/>
      </c>
      <c r="EV54" t="str">
        <f>""</f>
        <v/>
      </c>
      <c r="EW54" t="str">
        <f>""</f>
        <v/>
      </c>
      <c r="EX54" t="str">
        <f>""</f>
        <v/>
      </c>
      <c r="EY54" t="str">
        <f>""</f>
        <v/>
      </c>
      <c r="EZ54" t="str">
        <f>""</f>
        <v/>
      </c>
      <c r="FA54" t="str">
        <f>""</f>
        <v/>
      </c>
      <c r="FB54" t="str">
        <f>""</f>
        <v/>
      </c>
      <c r="FC54" t="str">
        <f>""</f>
        <v/>
      </c>
      <c r="FD54" t="str">
        <f>""</f>
        <v/>
      </c>
      <c r="FE54" t="str">
        <f>""</f>
        <v/>
      </c>
      <c r="FF54" t="str">
        <f>""</f>
        <v/>
      </c>
      <c r="FG54" t="str">
        <f>""</f>
        <v/>
      </c>
      <c r="FH54" t="str">
        <f>""</f>
        <v/>
      </c>
      <c r="FI54" t="str">
        <f>""</f>
        <v/>
      </c>
      <c r="FJ54" t="str">
        <f>""</f>
        <v/>
      </c>
      <c r="FK54" t="str">
        <f>""</f>
        <v/>
      </c>
      <c r="FL54" t="str">
        <f>""</f>
        <v/>
      </c>
      <c r="FM54" t="str">
        <f>""</f>
        <v/>
      </c>
      <c r="FN54" t="str">
        <f>""</f>
        <v/>
      </c>
      <c r="FO54" t="str">
        <f>""</f>
        <v/>
      </c>
      <c r="FP54" t="str">
        <f>""</f>
        <v/>
      </c>
      <c r="FQ54" t="str">
        <f>""</f>
        <v/>
      </c>
      <c r="FR54" t="str">
        <f>""</f>
        <v/>
      </c>
      <c r="FS54" t="str">
        <f>""</f>
        <v/>
      </c>
      <c r="FT54" t="str">
        <f>""</f>
        <v/>
      </c>
      <c r="FU54" t="str">
        <f>""</f>
        <v/>
      </c>
      <c r="FV54" t="str">
        <f>""</f>
        <v/>
      </c>
      <c r="FW54" t="str">
        <f>""</f>
        <v/>
      </c>
      <c r="FX54" t="str">
        <f>""</f>
        <v/>
      </c>
      <c r="FY54" t="str">
        <f>""</f>
        <v/>
      </c>
      <c r="FZ54" t="str">
        <f>""</f>
        <v/>
      </c>
      <c r="GA54" t="str">
        <f>""</f>
        <v/>
      </c>
      <c r="GB54" t="str">
        <f>""</f>
        <v/>
      </c>
      <c r="GC54" t="str">
        <f>""</f>
        <v/>
      </c>
      <c r="GD54" t="str">
        <f>""</f>
        <v/>
      </c>
      <c r="GE54" t="str">
        <f>""</f>
        <v/>
      </c>
      <c r="GF54" t="str">
        <f>""</f>
        <v/>
      </c>
      <c r="GG54" t="str">
        <f>""</f>
        <v/>
      </c>
      <c r="GH54" t="str">
        <f>""</f>
        <v/>
      </c>
      <c r="GI54" t="str">
        <f>"-0.0912"</f>
        <v>-0.0912</v>
      </c>
      <c r="GJ54" t="str">
        <f>"-0.0430"</f>
        <v>-0.0430</v>
      </c>
      <c r="GK54" t="str">
        <f>"-0.0817*"</f>
        <v>-0.0817*</v>
      </c>
      <c r="GL54" t="str">
        <f>""</f>
        <v/>
      </c>
      <c r="GM54" t="str">
        <f>""</f>
        <v/>
      </c>
      <c r="GN54" t="str">
        <f>""</f>
        <v/>
      </c>
      <c r="GO54" t="str">
        <f>""</f>
        <v/>
      </c>
      <c r="GP54" t="str">
        <f>""</f>
        <v/>
      </c>
      <c r="GQ54" t="str">
        <f>""</f>
        <v/>
      </c>
      <c r="GR54" t="str">
        <f>""</f>
        <v/>
      </c>
      <c r="GS54" t="str">
        <f>""</f>
        <v/>
      </c>
      <c r="GT54" t="str">
        <f>""</f>
        <v/>
      </c>
      <c r="GU54" t="str">
        <f>""</f>
        <v/>
      </c>
      <c r="GV54" t="str">
        <f>""</f>
        <v/>
      </c>
      <c r="GW54" t="str">
        <f>""</f>
        <v/>
      </c>
      <c r="GX54" t="str">
        <f>""</f>
        <v/>
      </c>
      <c r="GY54" t="str">
        <f>""</f>
        <v/>
      </c>
      <c r="GZ54" t="str">
        <f>""</f>
        <v/>
      </c>
      <c r="HA54" t="str">
        <f>""</f>
        <v/>
      </c>
      <c r="HB54" t="str">
        <f>""</f>
        <v/>
      </c>
      <c r="HC54" t="str">
        <f>""</f>
        <v/>
      </c>
      <c r="HD54" t="str">
        <f>""</f>
        <v/>
      </c>
      <c r="HE54" t="str">
        <f>""</f>
        <v/>
      </c>
      <c r="HF54" t="str">
        <f>""</f>
        <v/>
      </c>
      <c r="HG54" t="str">
        <f>""</f>
        <v/>
      </c>
      <c r="HH54" t="str">
        <f>""</f>
        <v/>
      </c>
      <c r="HI54" t="str">
        <f>""</f>
        <v/>
      </c>
      <c r="HJ54" t="str">
        <f>""</f>
        <v/>
      </c>
      <c r="HK54" t="str">
        <f>""</f>
        <v/>
      </c>
      <c r="HL54" t="str">
        <f>""</f>
        <v/>
      </c>
      <c r="HM54" t="str">
        <f>""</f>
        <v/>
      </c>
      <c r="HN54" t="str">
        <f>""</f>
        <v/>
      </c>
      <c r="HO54" t="str">
        <f>""</f>
        <v/>
      </c>
      <c r="HP54" t="str">
        <f>""</f>
        <v/>
      </c>
      <c r="HQ54" t="str">
        <f>""</f>
        <v/>
      </c>
      <c r="HR54" t="str">
        <f>""</f>
        <v/>
      </c>
      <c r="HS54" t="str">
        <f>""</f>
        <v/>
      </c>
      <c r="HT54" t="str">
        <f>""</f>
        <v/>
      </c>
      <c r="HU54" t="str">
        <f>""</f>
        <v/>
      </c>
      <c r="HV54" t="str">
        <f>""</f>
        <v/>
      </c>
      <c r="HW54" t="str">
        <f>""</f>
        <v/>
      </c>
      <c r="HX54" t="str">
        <f>""</f>
        <v/>
      </c>
      <c r="HY54" t="str">
        <f>""</f>
        <v/>
      </c>
      <c r="HZ54" t="str">
        <f>""</f>
        <v/>
      </c>
      <c r="IA54" t="str">
        <f>""</f>
        <v/>
      </c>
      <c r="IB54" t="str">
        <f>"-0.0797"</f>
        <v>-0.0797</v>
      </c>
      <c r="IC54" t="str">
        <f>"-0.0362"</f>
        <v>-0.0362</v>
      </c>
      <c r="ID54" t="str">
        <f>"-0.107**"</f>
        <v>-0.107**</v>
      </c>
      <c r="IE54" t="str">
        <f>""</f>
        <v/>
      </c>
      <c r="IF54" t="str">
        <f>""</f>
        <v/>
      </c>
      <c r="IG54" t="str">
        <f>""</f>
        <v/>
      </c>
      <c r="IH54" t="str">
        <f>""</f>
        <v/>
      </c>
      <c r="II54" t="str">
        <f>""</f>
        <v/>
      </c>
      <c r="IJ54" t="str">
        <f>""</f>
        <v/>
      </c>
      <c r="IK54" t="str">
        <f>""</f>
        <v/>
      </c>
      <c r="IL54" t="str">
        <f>""</f>
        <v/>
      </c>
      <c r="IM54" t="str">
        <f>""</f>
        <v/>
      </c>
      <c r="IN54" t="str">
        <f>""</f>
        <v/>
      </c>
      <c r="IO54" t="str">
        <f>""</f>
        <v/>
      </c>
      <c r="IP54" t="str">
        <f>""</f>
        <v/>
      </c>
      <c r="IQ54" t="str">
        <f>""</f>
        <v/>
      </c>
      <c r="IR54" t="str">
        <f>""</f>
        <v/>
      </c>
      <c r="IS54" t="str">
        <f>""</f>
        <v/>
      </c>
      <c r="IT54" t="str">
        <f>""</f>
        <v/>
      </c>
      <c r="IU54" t="str">
        <f>""</f>
        <v/>
      </c>
      <c r="IV54" t="str">
        <f>""</f>
        <v/>
      </c>
      <c r="IW54" t="str">
        <f>""</f>
        <v/>
      </c>
      <c r="IX54" t="str">
        <f>""</f>
        <v/>
      </c>
      <c r="IY54" t="str">
        <f>""</f>
        <v/>
      </c>
      <c r="IZ54" t="str">
        <f>""</f>
        <v/>
      </c>
      <c r="JA54" t="str">
        <f>""</f>
        <v/>
      </c>
      <c r="JB54" t="str">
        <f>""</f>
        <v/>
      </c>
      <c r="JC54" t="str">
        <f>""</f>
        <v/>
      </c>
      <c r="JD54" t="str">
        <f>""</f>
        <v/>
      </c>
      <c r="JE54" t="str">
        <f>""</f>
        <v/>
      </c>
      <c r="JF54" t="str">
        <f>""</f>
        <v/>
      </c>
      <c r="JG54" t="str">
        <f>""</f>
        <v/>
      </c>
      <c r="JH54" t="str">
        <f>""</f>
        <v/>
      </c>
      <c r="JI54" t="str">
        <f>""</f>
        <v/>
      </c>
      <c r="JJ54" t="str">
        <f>""</f>
        <v/>
      </c>
      <c r="JK54" t="str">
        <f>""</f>
        <v/>
      </c>
    </row>
    <row r="55" spans="1:271" x14ac:dyDescent="0.3">
      <c r="A55" t="str">
        <f>""</f>
        <v/>
      </c>
      <c r="B55" t="str">
        <f>""</f>
        <v/>
      </c>
      <c r="C55" t="str">
        <f>""</f>
        <v/>
      </c>
      <c r="D55" t="str">
        <f>""</f>
        <v/>
      </c>
      <c r="E55" t="str">
        <f>""</f>
        <v/>
      </c>
      <c r="F55" t="str">
        <f>""</f>
        <v/>
      </c>
      <c r="G55" t="str">
        <f>""</f>
        <v/>
      </c>
      <c r="H55" t="str">
        <f>""</f>
        <v/>
      </c>
      <c r="I55" t="str">
        <f>""</f>
        <v/>
      </c>
      <c r="J55" t="str">
        <f>""</f>
        <v/>
      </c>
      <c r="K55" t="str">
        <f>"(0.0768)"</f>
        <v>(0.0768)</v>
      </c>
      <c r="L55" t="str">
        <f>"(0.0610)"</f>
        <v>(0.0610)</v>
      </c>
      <c r="M55" t="str">
        <f>"(0.0341)"</f>
        <v>(0.0341)</v>
      </c>
      <c r="N55" t="str">
        <f>""</f>
        <v/>
      </c>
      <c r="O55" t="str">
        <f>""</f>
        <v/>
      </c>
      <c r="P55" t="str">
        <f>""</f>
        <v/>
      </c>
      <c r="Q55" t="str">
        <f>""</f>
        <v/>
      </c>
      <c r="R55" t="str">
        <f>""</f>
        <v/>
      </c>
      <c r="S55" t="str">
        <f>""</f>
        <v/>
      </c>
      <c r="T55" t="str">
        <f>""</f>
        <v/>
      </c>
      <c r="U55" t="str">
        <f>""</f>
        <v/>
      </c>
      <c r="V55" t="str">
        <f>""</f>
        <v/>
      </c>
      <c r="W55" t="str">
        <f>""</f>
        <v/>
      </c>
      <c r="X55" t="str">
        <f>""</f>
        <v/>
      </c>
      <c r="Y55" t="str">
        <f>""</f>
        <v/>
      </c>
      <c r="Z55" t="str">
        <f>""</f>
        <v/>
      </c>
      <c r="AA55" t="str">
        <f>""</f>
        <v/>
      </c>
      <c r="AB55" t="str">
        <f>""</f>
        <v/>
      </c>
      <c r="AC55" t="str">
        <f>""</f>
        <v/>
      </c>
      <c r="AD55" t="str">
        <f>""</f>
        <v/>
      </c>
      <c r="AE55" t="str">
        <f>""</f>
        <v/>
      </c>
      <c r="AF55" t="str">
        <f>""</f>
        <v/>
      </c>
      <c r="AG55" t="str">
        <f>""</f>
        <v/>
      </c>
      <c r="AH55" t="str">
        <f>""</f>
        <v/>
      </c>
      <c r="AI55" t="str">
        <f>""</f>
        <v/>
      </c>
      <c r="AJ55" t="str">
        <f>""</f>
        <v/>
      </c>
      <c r="AK55" t="str">
        <f>""</f>
        <v/>
      </c>
      <c r="AL55" t="str">
        <f>""</f>
        <v/>
      </c>
      <c r="AM55" t="str">
        <f>""</f>
        <v/>
      </c>
      <c r="AN55" t="str">
        <f>""</f>
        <v/>
      </c>
      <c r="AO55" t="str">
        <f>""</f>
        <v/>
      </c>
      <c r="AP55" t="str">
        <f>""</f>
        <v/>
      </c>
      <c r="AQ55" t="str">
        <f>""</f>
        <v/>
      </c>
      <c r="AR55" t="str">
        <f>""</f>
        <v/>
      </c>
      <c r="AS55" t="str">
        <f>""</f>
        <v/>
      </c>
      <c r="AT55" t="str">
        <f>""</f>
        <v/>
      </c>
      <c r="AU55" t="str">
        <f>""</f>
        <v/>
      </c>
      <c r="AV55" t="str">
        <f>""</f>
        <v/>
      </c>
      <c r="AW55" t="str">
        <f>""</f>
        <v/>
      </c>
      <c r="AX55" t="str">
        <f>""</f>
        <v/>
      </c>
      <c r="AY55" t="str">
        <f>""</f>
        <v/>
      </c>
      <c r="AZ55" t="str">
        <f>""</f>
        <v/>
      </c>
      <c r="BA55" t="str">
        <f>""</f>
        <v/>
      </c>
      <c r="BB55" t="str">
        <f>""</f>
        <v/>
      </c>
      <c r="BC55" t="str">
        <f>""</f>
        <v/>
      </c>
      <c r="BD55" t="str">
        <f>"(0.0751)"</f>
        <v>(0.0751)</v>
      </c>
      <c r="BE55" t="str">
        <f>"(0.0601)"</f>
        <v>(0.0601)</v>
      </c>
      <c r="BF55" t="str">
        <f>"(0.0325)"</f>
        <v>(0.0325)</v>
      </c>
      <c r="BG55" t="str">
        <f>""</f>
        <v/>
      </c>
      <c r="BH55" t="str">
        <f>""</f>
        <v/>
      </c>
      <c r="BI55" t="str">
        <f>""</f>
        <v/>
      </c>
      <c r="BJ55" t="str">
        <f>""</f>
        <v/>
      </c>
      <c r="BK55" t="str">
        <f>""</f>
        <v/>
      </c>
      <c r="BL55" t="str">
        <f>""</f>
        <v/>
      </c>
      <c r="BM55" t="str">
        <f>""</f>
        <v/>
      </c>
      <c r="BN55" t="str">
        <f>""</f>
        <v/>
      </c>
      <c r="BO55" t="str">
        <f>""</f>
        <v/>
      </c>
      <c r="BP55" t="str">
        <f>""</f>
        <v/>
      </c>
      <c r="BQ55" t="str">
        <f>""</f>
        <v/>
      </c>
      <c r="BR55" t="str">
        <f>""</f>
        <v/>
      </c>
      <c r="BS55" t="str">
        <f>""</f>
        <v/>
      </c>
      <c r="BT55" t="str">
        <f>""</f>
        <v/>
      </c>
      <c r="BU55" t="str">
        <f>""</f>
        <v/>
      </c>
      <c r="BV55" t="str">
        <f>""</f>
        <v/>
      </c>
      <c r="BW55" t="str">
        <f>""</f>
        <v/>
      </c>
      <c r="BX55" t="str">
        <f>""</f>
        <v/>
      </c>
      <c r="BY55" t="str">
        <f>""</f>
        <v/>
      </c>
      <c r="BZ55" t="str">
        <f>""</f>
        <v/>
      </c>
      <c r="CA55" t="str">
        <f>""</f>
        <v/>
      </c>
      <c r="CB55" t="str">
        <f>""</f>
        <v/>
      </c>
      <c r="CC55" t="str">
        <f>""</f>
        <v/>
      </c>
      <c r="CD55" t="str">
        <f>""</f>
        <v/>
      </c>
      <c r="CE55" t="str">
        <f>""</f>
        <v/>
      </c>
      <c r="CF55" t="str">
        <f>""</f>
        <v/>
      </c>
      <c r="CG55" t="str">
        <f>""</f>
        <v/>
      </c>
      <c r="CH55" t="str">
        <f>""</f>
        <v/>
      </c>
      <c r="CI55" t="str">
        <f>""</f>
        <v/>
      </c>
      <c r="CJ55" t="str">
        <f>""</f>
        <v/>
      </c>
      <c r="CK55" t="str">
        <f>""</f>
        <v/>
      </c>
      <c r="CL55" t="str">
        <f>""</f>
        <v/>
      </c>
      <c r="CM55" t="str">
        <f>""</f>
        <v/>
      </c>
      <c r="CN55" t="str">
        <f>""</f>
        <v/>
      </c>
      <c r="CO55" t="str">
        <f>""</f>
        <v/>
      </c>
      <c r="CP55" t="str">
        <f>""</f>
        <v/>
      </c>
      <c r="CQ55" t="str">
        <f>""</f>
        <v/>
      </c>
      <c r="CR55" t="str">
        <f>""</f>
        <v/>
      </c>
      <c r="CS55" t="str">
        <f>""</f>
        <v/>
      </c>
      <c r="CT55" t="str">
        <f>""</f>
        <v/>
      </c>
      <c r="CU55" t="str">
        <f>""</f>
        <v/>
      </c>
      <c r="CV55" t="str">
        <f>""</f>
        <v/>
      </c>
      <c r="CW55" t="str">
        <f>"(0.0763)"</f>
        <v>(0.0763)</v>
      </c>
      <c r="CX55" t="str">
        <f>"(0.0579)"</f>
        <v>(0.0579)</v>
      </c>
      <c r="CY55" t="str">
        <f>"(0.0327)"</f>
        <v>(0.0327)</v>
      </c>
      <c r="CZ55" t="str">
        <f>""</f>
        <v/>
      </c>
      <c r="DA55" t="str">
        <f>""</f>
        <v/>
      </c>
      <c r="DB55" t="str">
        <f>""</f>
        <v/>
      </c>
      <c r="DC55" t="str">
        <f>""</f>
        <v/>
      </c>
      <c r="DD55" t="str">
        <f>""</f>
        <v/>
      </c>
      <c r="DE55" t="str">
        <f>""</f>
        <v/>
      </c>
      <c r="DF55" t="str">
        <f>""</f>
        <v/>
      </c>
      <c r="DG55" t="str">
        <f>""</f>
        <v/>
      </c>
      <c r="DH55" t="str">
        <f>""</f>
        <v/>
      </c>
      <c r="DI55" t="str">
        <f>""</f>
        <v/>
      </c>
      <c r="DJ55" t="str">
        <f>""</f>
        <v/>
      </c>
      <c r="DK55" t="str">
        <f>""</f>
        <v/>
      </c>
      <c r="DL55" t="str">
        <f>""</f>
        <v/>
      </c>
      <c r="DM55" t="str">
        <f>""</f>
        <v/>
      </c>
      <c r="DN55" t="str">
        <f>""</f>
        <v/>
      </c>
      <c r="DO55" t="str">
        <f>""</f>
        <v/>
      </c>
      <c r="DP55" t="str">
        <f>""</f>
        <v/>
      </c>
      <c r="DQ55" t="str">
        <f>""</f>
        <v/>
      </c>
      <c r="DR55" t="str">
        <f>""</f>
        <v/>
      </c>
      <c r="DS55" t="str">
        <f>""</f>
        <v/>
      </c>
      <c r="DT55" t="str">
        <f>""</f>
        <v/>
      </c>
      <c r="DU55" t="str">
        <f>""</f>
        <v/>
      </c>
      <c r="DV55" t="str">
        <f>""</f>
        <v/>
      </c>
      <c r="DW55" t="str">
        <f>""</f>
        <v/>
      </c>
      <c r="DX55" t="str">
        <f>""</f>
        <v/>
      </c>
      <c r="DY55" t="str">
        <f>""</f>
        <v/>
      </c>
      <c r="DZ55" t="str">
        <f>""</f>
        <v/>
      </c>
      <c r="EA55" t="str">
        <f>""</f>
        <v/>
      </c>
      <c r="EB55" t="str">
        <f>""</f>
        <v/>
      </c>
      <c r="EC55" t="str">
        <f>""</f>
        <v/>
      </c>
      <c r="ED55" t="str">
        <f>""</f>
        <v/>
      </c>
      <c r="EE55" t="str">
        <f>""</f>
        <v/>
      </c>
      <c r="EF55" t="str">
        <f>""</f>
        <v/>
      </c>
      <c r="EG55" t="str">
        <f>""</f>
        <v/>
      </c>
      <c r="EH55" t="str">
        <f>""</f>
        <v/>
      </c>
      <c r="EI55" t="str">
        <f>""</f>
        <v/>
      </c>
      <c r="EJ55" t="str">
        <f>""</f>
        <v/>
      </c>
      <c r="EK55" t="str">
        <f>""</f>
        <v/>
      </c>
      <c r="EL55" t="str">
        <f>""</f>
        <v/>
      </c>
      <c r="EM55" t="str">
        <f>""</f>
        <v/>
      </c>
      <c r="EN55" t="str">
        <f>""</f>
        <v/>
      </c>
      <c r="EO55" t="str">
        <f>""</f>
        <v/>
      </c>
      <c r="EP55" t="str">
        <f>"(0.0744)"</f>
        <v>(0.0744)</v>
      </c>
      <c r="EQ55" t="str">
        <f>"(0.0620)"</f>
        <v>(0.0620)</v>
      </c>
      <c r="ER55" t="str">
        <f>"(0.0335)"</f>
        <v>(0.0335)</v>
      </c>
      <c r="ES55" t="str">
        <f>""</f>
        <v/>
      </c>
      <c r="ET55" t="str">
        <f>""</f>
        <v/>
      </c>
      <c r="EU55" t="str">
        <f>""</f>
        <v/>
      </c>
      <c r="EV55" t="str">
        <f>""</f>
        <v/>
      </c>
      <c r="EW55" t="str">
        <f>""</f>
        <v/>
      </c>
      <c r="EX55" t="str">
        <f>""</f>
        <v/>
      </c>
      <c r="EY55" t="str">
        <f>""</f>
        <v/>
      </c>
      <c r="EZ55" t="str">
        <f>""</f>
        <v/>
      </c>
      <c r="FA55" t="str">
        <f>""</f>
        <v/>
      </c>
      <c r="FB55" t="str">
        <f>""</f>
        <v/>
      </c>
      <c r="FC55" t="str">
        <f>""</f>
        <v/>
      </c>
      <c r="FD55" t="str">
        <f>""</f>
        <v/>
      </c>
      <c r="FE55" t="str">
        <f>""</f>
        <v/>
      </c>
      <c r="FF55" t="str">
        <f>""</f>
        <v/>
      </c>
      <c r="FG55" t="str">
        <f>""</f>
        <v/>
      </c>
      <c r="FH55" t="str">
        <f>""</f>
        <v/>
      </c>
      <c r="FI55" t="str">
        <f>""</f>
        <v/>
      </c>
      <c r="FJ55" t="str">
        <f>""</f>
        <v/>
      </c>
      <c r="FK55" t="str">
        <f>""</f>
        <v/>
      </c>
      <c r="FL55" t="str">
        <f>""</f>
        <v/>
      </c>
      <c r="FM55" t="str">
        <f>""</f>
        <v/>
      </c>
      <c r="FN55" t="str">
        <f>""</f>
        <v/>
      </c>
      <c r="FO55" t="str">
        <f>""</f>
        <v/>
      </c>
      <c r="FP55" t="str">
        <f>""</f>
        <v/>
      </c>
      <c r="FQ55" t="str">
        <f>""</f>
        <v/>
      </c>
      <c r="FR55" t="str">
        <f>""</f>
        <v/>
      </c>
      <c r="FS55" t="str">
        <f>""</f>
        <v/>
      </c>
      <c r="FT55" t="str">
        <f>""</f>
        <v/>
      </c>
      <c r="FU55" t="str">
        <f>""</f>
        <v/>
      </c>
      <c r="FV55" t="str">
        <f>""</f>
        <v/>
      </c>
      <c r="FW55" t="str">
        <f>""</f>
        <v/>
      </c>
      <c r="FX55" t="str">
        <f>""</f>
        <v/>
      </c>
      <c r="FY55" t="str">
        <f>""</f>
        <v/>
      </c>
      <c r="FZ55" t="str">
        <f>""</f>
        <v/>
      </c>
      <c r="GA55" t="str">
        <f>""</f>
        <v/>
      </c>
      <c r="GB55" t="str">
        <f>""</f>
        <v/>
      </c>
      <c r="GC55" t="str">
        <f>""</f>
        <v/>
      </c>
      <c r="GD55" t="str">
        <f>""</f>
        <v/>
      </c>
      <c r="GE55" t="str">
        <f>""</f>
        <v/>
      </c>
      <c r="GF55" t="str">
        <f>""</f>
        <v/>
      </c>
      <c r="GG55" t="str">
        <f>""</f>
        <v/>
      </c>
      <c r="GH55" t="str">
        <f>""</f>
        <v/>
      </c>
      <c r="GI55" t="str">
        <f>"(0.0759)"</f>
        <v>(0.0759)</v>
      </c>
      <c r="GJ55" t="str">
        <f>"(0.0629)"</f>
        <v>(0.0629)</v>
      </c>
      <c r="GK55" t="str">
        <f>"(0.0339)"</f>
        <v>(0.0339)</v>
      </c>
      <c r="GL55" t="str">
        <f>""</f>
        <v/>
      </c>
      <c r="GM55" t="str">
        <f>""</f>
        <v/>
      </c>
      <c r="GN55" t="str">
        <f>""</f>
        <v/>
      </c>
      <c r="GO55" t="str">
        <f>""</f>
        <v/>
      </c>
      <c r="GP55" t="str">
        <f>""</f>
        <v/>
      </c>
      <c r="GQ55" t="str">
        <f>""</f>
        <v/>
      </c>
      <c r="GR55" t="str">
        <f>""</f>
        <v/>
      </c>
      <c r="GS55" t="str">
        <f>""</f>
        <v/>
      </c>
      <c r="GT55" t="str">
        <f>""</f>
        <v/>
      </c>
      <c r="GU55" t="str">
        <f>""</f>
        <v/>
      </c>
      <c r="GV55" t="str">
        <f>""</f>
        <v/>
      </c>
      <c r="GW55" t="str">
        <f>""</f>
        <v/>
      </c>
      <c r="GX55" t="str">
        <f>""</f>
        <v/>
      </c>
      <c r="GY55" t="str">
        <f>""</f>
        <v/>
      </c>
      <c r="GZ55" t="str">
        <f>""</f>
        <v/>
      </c>
      <c r="HA55" t="str">
        <f>""</f>
        <v/>
      </c>
      <c r="HB55" t="str">
        <f>""</f>
        <v/>
      </c>
      <c r="HC55" t="str">
        <f>""</f>
        <v/>
      </c>
      <c r="HD55" t="str">
        <f>""</f>
        <v/>
      </c>
      <c r="HE55" t="str">
        <f>""</f>
        <v/>
      </c>
      <c r="HF55" t="str">
        <f>""</f>
        <v/>
      </c>
      <c r="HG55" t="str">
        <f>""</f>
        <v/>
      </c>
      <c r="HH55" t="str">
        <f>""</f>
        <v/>
      </c>
      <c r="HI55" t="str">
        <f>""</f>
        <v/>
      </c>
      <c r="HJ55" t="str">
        <f>""</f>
        <v/>
      </c>
      <c r="HK55" t="str">
        <f>""</f>
        <v/>
      </c>
      <c r="HL55" t="str">
        <f>""</f>
        <v/>
      </c>
      <c r="HM55" t="str">
        <f>""</f>
        <v/>
      </c>
      <c r="HN55" t="str">
        <f>""</f>
        <v/>
      </c>
      <c r="HO55" t="str">
        <f>""</f>
        <v/>
      </c>
      <c r="HP55" t="str">
        <f>""</f>
        <v/>
      </c>
      <c r="HQ55" t="str">
        <f>""</f>
        <v/>
      </c>
      <c r="HR55" t="str">
        <f>""</f>
        <v/>
      </c>
      <c r="HS55" t="str">
        <f>""</f>
        <v/>
      </c>
      <c r="HT55" t="str">
        <f>""</f>
        <v/>
      </c>
      <c r="HU55" t="str">
        <f>""</f>
        <v/>
      </c>
      <c r="HV55" t="str">
        <f>""</f>
        <v/>
      </c>
      <c r="HW55" t="str">
        <f>""</f>
        <v/>
      </c>
      <c r="HX55" t="str">
        <f>""</f>
        <v/>
      </c>
      <c r="HY55" t="str">
        <f>""</f>
        <v/>
      </c>
      <c r="HZ55" t="str">
        <f>""</f>
        <v/>
      </c>
      <c r="IA55" t="str">
        <f>""</f>
        <v/>
      </c>
      <c r="IB55" t="str">
        <f>"(0.0763)"</f>
        <v>(0.0763)</v>
      </c>
      <c r="IC55" t="str">
        <f>"(0.0626)"</f>
        <v>(0.0626)</v>
      </c>
      <c r="ID55" t="str">
        <f>"(0.0341)"</f>
        <v>(0.0341)</v>
      </c>
      <c r="IE55" t="str">
        <f>""</f>
        <v/>
      </c>
      <c r="IF55" t="str">
        <f>""</f>
        <v/>
      </c>
      <c r="IG55" t="str">
        <f>""</f>
        <v/>
      </c>
      <c r="IH55" t="str">
        <f>""</f>
        <v/>
      </c>
      <c r="II55" t="str">
        <f>""</f>
        <v/>
      </c>
      <c r="IJ55" t="str">
        <f>""</f>
        <v/>
      </c>
      <c r="IK55" t="str">
        <f>""</f>
        <v/>
      </c>
      <c r="IL55" t="str">
        <f>""</f>
        <v/>
      </c>
      <c r="IM55" t="str">
        <f>""</f>
        <v/>
      </c>
      <c r="IN55" t="str">
        <f>""</f>
        <v/>
      </c>
      <c r="IO55" t="str">
        <f>""</f>
        <v/>
      </c>
      <c r="IP55" t="str">
        <f>""</f>
        <v/>
      </c>
      <c r="IQ55" t="str">
        <f>""</f>
        <v/>
      </c>
      <c r="IR55" t="str">
        <f>""</f>
        <v/>
      </c>
      <c r="IS55" t="str">
        <f>""</f>
        <v/>
      </c>
      <c r="IT55" t="str">
        <f>""</f>
        <v/>
      </c>
      <c r="IU55" t="str">
        <f>""</f>
        <v/>
      </c>
      <c r="IV55" t="str">
        <f>""</f>
        <v/>
      </c>
      <c r="IW55" t="str">
        <f>""</f>
        <v/>
      </c>
      <c r="IX55" t="str">
        <f>""</f>
        <v/>
      </c>
      <c r="IY55" t="str">
        <f>""</f>
        <v/>
      </c>
      <c r="IZ55" t="str">
        <f>""</f>
        <v/>
      </c>
      <c r="JA55" t="str">
        <f>""</f>
        <v/>
      </c>
      <c r="JB55" t="str">
        <f>""</f>
        <v/>
      </c>
      <c r="JC55" t="str">
        <f>""</f>
        <v/>
      </c>
      <c r="JD55" t="str">
        <f>""</f>
        <v/>
      </c>
      <c r="JE55" t="str">
        <f>""</f>
        <v/>
      </c>
      <c r="JF55" t="str">
        <f>""</f>
        <v/>
      </c>
      <c r="JG55" t="str">
        <f>""</f>
        <v/>
      </c>
      <c r="JH55" t="str">
        <f>""</f>
        <v/>
      </c>
      <c r="JI55" t="str">
        <f>""</f>
        <v/>
      </c>
      <c r="JJ55" t="str">
        <f>""</f>
        <v/>
      </c>
      <c r="JK55" t="str">
        <f>""</f>
        <v/>
      </c>
    </row>
    <row r="57" spans="1:271" x14ac:dyDescent="0.3">
      <c r="A57" t="str">
        <f>"c.zMETAB4#c.PM1"</f>
        <v>c.zMETAB4#c.PM1</v>
      </c>
      <c r="B57" t="str">
        <f>""</f>
        <v/>
      </c>
      <c r="C57" t="str">
        <f>""</f>
        <v/>
      </c>
      <c r="D57" t="str">
        <f>""</f>
        <v/>
      </c>
      <c r="E57" t="str">
        <f>""</f>
        <v/>
      </c>
      <c r="F57" t="str">
        <f>""</f>
        <v/>
      </c>
      <c r="G57" t="str">
        <f>""</f>
        <v/>
      </c>
      <c r="H57" t="str">
        <f>""</f>
        <v/>
      </c>
      <c r="I57" t="str">
        <f>""</f>
        <v/>
      </c>
      <c r="J57" t="str">
        <f>""</f>
        <v/>
      </c>
      <c r="K57" t="str">
        <f>"0.0963"</f>
        <v>0.0963</v>
      </c>
      <c r="L57" t="str">
        <f>"0.0301"</f>
        <v>0.0301</v>
      </c>
      <c r="M57" t="str">
        <f>"0.0387"</f>
        <v>0.0387</v>
      </c>
      <c r="N57" t="str">
        <f>""</f>
        <v/>
      </c>
      <c r="O57" t="str">
        <f>""</f>
        <v/>
      </c>
      <c r="P57" t="str">
        <f>""</f>
        <v/>
      </c>
      <c r="Q57" t="str">
        <f>""</f>
        <v/>
      </c>
      <c r="R57" t="str">
        <f>""</f>
        <v/>
      </c>
      <c r="S57" t="str">
        <f>""</f>
        <v/>
      </c>
      <c r="T57" t="str">
        <f>""</f>
        <v/>
      </c>
      <c r="U57" t="str">
        <f>""</f>
        <v/>
      </c>
      <c r="V57" t="str">
        <f>""</f>
        <v/>
      </c>
      <c r="W57" t="str">
        <f>""</f>
        <v/>
      </c>
      <c r="X57" t="str">
        <f>""</f>
        <v/>
      </c>
      <c r="Y57" t="str">
        <f>""</f>
        <v/>
      </c>
      <c r="Z57" t="str">
        <f>""</f>
        <v/>
      </c>
      <c r="AA57" t="str">
        <f>""</f>
        <v/>
      </c>
      <c r="AB57" t="str">
        <f>""</f>
        <v/>
      </c>
      <c r="AC57" t="str">
        <f>""</f>
        <v/>
      </c>
      <c r="AD57" t="str">
        <f>""</f>
        <v/>
      </c>
      <c r="AE57" t="str">
        <f>""</f>
        <v/>
      </c>
      <c r="AF57" t="str">
        <f>""</f>
        <v/>
      </c>
      <c r="AG57" t="str">
        <f>""</f>
        <v/>
      </c>
      <c r="AH57" t="str">
        <f>""</f>
        <v/>
      </c>
      <c r="AI57" t="str">
        <f>""</f>
        <v/>
      </c>
      <c r="AJ57" t="str">
        <f>""</f>
        <v/>
      </c>
      <c r="AK57" t="str">
        <f>""</f>
        <v/>
      </c>
      <c r="AL57" t="str">
        <f>""</f>
        <v/>
      </c>
      <c r="AM57" t="str">
        <f>""</f>
        <v/>
      </c>
      <c r="AN57" t="str">
        <f>""</f>
        <v/>
      </c>
      <c r="AO57" t="str">
        <f>""</f>
        <v/>
      </c>
      <c r="AP57" t="str">
        <f>""</f>
        <v/>
      </c>
      <c r="AQ57" t="str">
        <f>""</f>
        <v/>
      </c>
      <c r="AR57" t="str">
        <f>""</f>
        <v/>
      </c>
      <c r="AS57" t="str">
        <f>""</f>
        <v/>
      </c>
      <c r="AT57" t="str">
        <f>""</f>
        <v/>
      </c>
      <c r="AU57" t="str">
        <f>""</f>
        <v/>
      </c>
      <c r="AV57" t="str">
        <f>""</f>
        <v/>
      </c>
      <c r="AW57" t="str">
        <f>""</f>
        <v/>
      </c>
      <c r="AX57" t="str">
        <f>""</f>
        <v/>
      </c>
      <c r="AY57" t="str">
        <f>""</f>
        <v/>
      </c>
      <c r="AZ57" t="str">
        <f>""</f>
        <v/>
      </c>
      <c r="BA57" t="str">
        <f>""</f>
        <v/>
      </c>
      <c r="BB57" t="str">
        <f>""</f>
        <v/>
      </c>
      <c r="BC57" t="str">
        <f>""</f>
        <v/>
      </c>
      <c r="BD57" t="str">
        <f>""</f>
        <v/>
      </c>
      <c r="BE57" t="str">
        <f>""</f>
        <v/>
      </c>
      <c r="BF57" t="str">
        <f>""</f>
        <v/>
      </c>
      <c r="BG57" t="str">
        <f>""</f>
        <v/>
      </c>
      <c r="BH57" t="str">
        <f>""</f>
        <v/>
      </c>
      <c r="BI57" t="str">
        <f>""</f>
        <v/>
      </c>
      <c r="BJ57" t="str">
        <f>""</f>
        <v/>
      </c>
      <c r="BK57" t="str">
        <f>""</f>
        <v/>
      </c>
      <c r="BL57" t="str">
        <f>""</f>
        <v/>
      </c>
      <c r="BM57" t="str">
        <f>""</f>
        <v/>
      </c>
      <c r="BN57" t="str">
        <f>""</f>
        <v/>
      </c>
      <c r="BO57" t="str">
        <f>""</f>
        <v/>
      </c>
      <c r="BP57" t="str">
        <f>""</f>
        <v/>
      </c>
      <c r="BQ57" t="str">
        <f>""</f>
        <v/>
      </c>
      <c r="BR57" t="str">
        <f>""</f>
        <v/>
      </c>
      <c r="BS57" t="str">
        <f>""</f>
        <v/>
      </c>
      <c r="BT57" t="str">
        <f>""</f>
        <v/>
      </c>
      <c r="BU57" t="str">
        <f>""</f>
        <v/>
      </c>
      <c r="BV57" t="str">
        <f>""</f>
        <v/>
      </c>
      <c r="BW57" t="str">
        <f>""</f>
        <v/>
      </c>
      <c r="BX57" t="str">
        <f>""</f>
        <v/>
      </c>
      <c r="BY57" t="str">
        <f>""</f>
        <v/>
      </c>
      <c r="BZ57" t="str">
        <f>""</f>
        <v/>
      </c>
      <c r="CA57" t="str">
        <f>""</f>
        <v/>
      </c>
      <c r="CB57" t="str">
        <f>""</f>
        <v/>
      </c>
      <c r="CC57" t="str">
        <f>""</f>
        <v/>
      </c>
      <c r="CD57" t="str">
        <f>""</f>
        <v/>
      </c>
      <c r="CE57" t="str">
        <f>""</f>
        <v/>
      </c>
      <c r="CF57" t="str">
        <f>""</f>
        <v/>
      </c>
      <c r="CG57" t="str">
        <f>""</f>
        <v/>
      </c>
      <c r="CH57" t="str">
        <f>""</f>
        <v/>
      </c>
      <c r="CI57" t="str">
        <f>""</f>
        <v/>
      </c>
      <c r="CJ57" t="str">
        <f>""</f>
        <v/>
      </c>
      <c r="CK57" t="str">
        <f>""</f>
        <v/>
      </c>
      <c r="CL57" t="str">
        <f>""</f>
        <v/>
      </c>
      <c r="CM57" t="str">
        <f>""</f>
        <v/>
      </c>
      <c r="CN57" t="str">
        <f>""</f>
        <v/>
      </c>
      <c r="CO57" t="str">
        <f>""</f>
        <v/>
      </c>
      <c r="CP57" t="str">
        <f>""</f>
        <v/>
      </c>
      <c r="CQ57" t="str">
        <f>""</f>
        <v/>
      </c>
      <c r="CR57" t="str">
        <f>""</f>
        <v/>
      </c>
      <c r="CS57" t="str">
        <f>""</f>
        <v/>
      </c>
      <c r="CT57" t="str">
        <f>""</f>
        <v/>
      </c>
      <c r="CU57" t="str">
        <f>""</f>
        <v/>
      </c>
      <c r="CV57" t="str">
        <f>""</f>
        <v/>
      </c>
      <c r="CW57" t="str">
        <f>""</f>
        <v/>
      </c>
      <c r="CX57" t="str">
        <f>""</f>
        <v/>
      </c>
      <c r="CY57" t="str">
        <f>""</f>
        <v/>
      </c>
      <c r="CZ57" t="str">
        <f>""</f>
        <v/>
      </c>
      <c r="DA57" t="str">
        <f>""</f>
        <v/>
      </c>
      <c r="DB57" t="str">
        <f>""</f>
        <v/>
      </c>
      <c r="DC57" t="str">
        <f>""</f>
        <v/>
      </c>
      <c r="DD57" t="str">
        <f>""</f>
        <v/>
      </c>
      <c r="DE57" t="str">
        <f>""</f>
        <v/>
      </c>
      <c r="DF57" t="str">
        <f>""</f>
        <v/>
      </c>
      <c r="DG57" t="str">
        <f>""</f>
        <v/>
      </c>
      <c r="DH57" t="str">
        <f>""</f>
        <v/>
      </c>
      <c r="DI57" t="str">
        <f>""</f>
        <v/>
      </c>
      <c r="DJ57" t="str">
        <f>""</f>
        <v/>
      </c>
      <c r="DK57" t="str">
        <f>""</f>
        <v/>
      </c>
      <c r="DL57" t="str">
        <f>""</f>
        <v/>
      </c>
      <c r="DM57" t="str">
        <f>""</f>
        <v/>
      </c>
      <c r="DN57" t="str">
        <f>""</f>
        <v/>
      </c>
      <c r="DO57" t="str">
        <f>""</f>
        <v/>
      </c>
      <c r="DP57" t="str">
        <f>""</f>
        <v/>
      </c>
      <c r="DQ57" t="str">
        <f>""</f>
        <v/>
      </c>
      <c r="DR57" t="str">
        <f>""</f>
        <v/>
      </c>
      <c r="DS57" t="str">
        <f>""</f>
        <v/>
      </c>
      <c r="DT57" t="str">
        <f>""</f>
        <v/>
      </c>
      <c r="DU57" t="str">
        <f>""</f>
        <v/>
      </c>
      <c r="DV57" t="str">
        <f>""</f>
        <v/>
      </c>
      <c r="DW57" t="str">
        <f>""</f>
        <v/>
      </c>
      <c r="DX57" t="str">
        <f>""</f>
        <v/>
      </c>
      <c r="DY57" t="str">
        <f>""</f>
        <v/>
      </c>
      <c r="DZ57" t="str">
        <f>""</f>
        <v/>
      </c>
      <c r="EA57" t="str">
        <f>""</f>
        <v/>
      </c>
      <c r="EB57" t="str">
        <f>""</f>
        <v/>
      </c>
      <c r="EC57" t="str">
        <f>""</f>
        <v/>
      </c>
      <c r="ED57" t="str">
        <f>""</f>
        <v/>
      </c>
      <c r="EE57" t="str">
        <f>""</f>
        <v/>
      </c>
      <c r="EF57" t="str">
        <f>""</f>
        <v/>
      </c>
      <c r="EG57" t="str">
        <f>""</f>
        <v/>
      </c>
      <c r="EH57" t="str">
        <f>""</f>
        <v/>
      </c>
      <c r="EI57" t="str">
        <f>""</f>
        <v/>
      </c>
      <c r="EJ57" t="str">
        <f>""</f>
        <v/>
      </c>
      <c r="EK57" t="str">
        <f>""</f>
        <v/>
      </c>
      <c r="EL57" t="str">
        <f>""</f>
        <v/>
      </c>
      <c r="EM57" t="str">
        <f>""</f>
        <v/>
      </c>
      <c r="EN57" t="str">
        <f>""</f>
        <v/>
      </c>
      <c r="EO57" t="str">
        <f>""</f>
        <v/>
      </c>
      <c r="EP57" t="str">
        <f>""</f>
        <v/>
      </c>
      <c r="EQ57" t="str">
        <f>""</f>
        <v/>
      </c>
      <c r="ER57" t="str">
        <f>""</f>
        <v/>
      </c>
      <c r="ES57" t="str">
        <f>""</f>
        <v/>
      </c>
      <c r="ET57" t="str">
        <f>""</f>
        <v/>
      </c>
      <c r="EU57" t="str">
        <f>""</f>
        <v/>
      </c>
      <c r="EV57" t="str">
        <f>""</f>
        <v/>
      </c>
      <c r="EW57" t="str">
        <f>""</f>
        <v/>
      </c>
      <c r="EX57" t="str">
        <f>""</f>
        <v/>
      </c>
      <c r="EY57" t="str">
        <f>""</f>
        <v/>
      </c>
      <c r="EZ57" t="str">
        <f>""</f>
        <v/>
      </c>
      <c r="FA57" t="str">
        <f>""</f>
        <v/>
      </c>
      <c r="FB57" t="str">
        <f>""</f>
        <v/>
      </c>
      <c r="FC57" t="str">
        <f>""</f>
        <v/>
      </c>
      <c r="FD57" t="str">
        <f>""</f>
        <v/>
      </c>
      <c r="FE57" t="str">
        <f>""</f>
        <v/>
      </c>
      <c r="FF57" t="str">
        <f>""</f>
        <v/>
      </c>
      <c r="FG57" t="str">
        <f>""</f>
        <v/>
      </c>
      <c r="FH57" t="str">
        <f>""</f>
        <v/>
      </c>
      <c r="FI57" t="str">
        <f>""</f>
        <v/>
      </c>
      <c r="FJ57" t="str">
        <f>""</f>
        <v/>
      </c>
      <c r="FK57" t="str">
        <f>""</f>
        <v/>
      </c>
      <c r="FL57" t="str">
        <f>""</f>
        <v/>
      </c>
      <c r="FM57" t="str">
        <f>""</f>
        <v/>
      </c>
      <c r="FN57" t="str">
        <f>""</f>
        <v/>
      </c>
      <c r="FO57" t="str">
        <f>""</f>
        <v/>
      </c>
      <c r="FP57" t="str">
        <f>""</f>
        <v/>
      </c>
      <c r="FQ57" t="str">
        <f>""</f>
        <v/>
      </c>
      <c r="FR57" t="str">
        <f>""</f>
        <v/>
      </c>
      <c r="FS57" t="str">
        <f>""</f>
        <v/>
      </c>
      <c r="FT57" t="str">
        <f>""</f>
        <v/>
      </c>
      <c r="FU57" t="str">
        <f>""</f>
        <v/>
      </c>
      <c r="FV57" t="str">
        <f>""</f>
        <v/>
      </c>
      <c r="FW57" t="str">
        <f>""</f>
        <v/>
      </c>
      <c r="FX57" t="str">
        <f>""</f>
        <v/>
      </c>
      <c r="FY57" t="str">
        <f>""</f>
        <v/>
      </c>
      <c r="FZ57" t="str">
        <f>""</f>
        <v/>
      </c>
      <c r="GA57" t="str">
        <f>""</f>
        <v/>
      </c>
      <c r="GB57" t="str">
        <f>""</f>
        <v/>
      </c>
      <c r="GC57" t="str">
        <f>""</f>
        <v/>
      </c>
      <c r="GD57" t="str">
        <f>""</f>
        <v/>
      </c>
      <c r="GE57" t="str">
        <f>""</f>
        <v/>
      </c>
      <c r="GF57" t="str">
        <f>""</f>
        <v/>
      </c>
      <c r="GG57" t="str">
        <f>""</f>
        <v/>
      </c>
      <c r="GH57" t="str">
        <f>""</f>
        <v/>
      </c>
      <c r="GI57" t="str">
        <f>""</f>
        <v/>
      </c>
      <c r="GJ57" t="str">
        <f>""</f>
        <v/>
      </c>
      <c r="GK57" t="str">
        <f>""</f>
        <v/>
      </c>
      <c r="GL57" t="str">
        <f>""</f>
        <v/>
      </c>
      <c r="GM57" t="str">
        <f>""</f>
        <v/>
      </c>
      <c r="GN57" t="str">
        <f>""</f>
        <v/>
      </c>
      <c r="GO57" t="str">
        <f>""</f>
        <v/>
      </c>
      <c r="GP57" t="str">
        <f>""</f>
        <v/>
      </c>
      <c r="GQ57" t="str">
        <f>""</f>
        <v/>
      </c>
      <c r="GR57" t="str">
        <f>""</f>
        <v/>
      </c>
      <c r="GS57" t="str">
        <f>""</f>
        <v/>
      </c>
      <c r="GT57" t="str">
        <f>""</f>
        <v/>
      </c>
      <c r="GU57" t="str">
        <f>""</f>
        <v/>
      </c>
      <c r="GV57" t="str">
        <f>""</f>
        <v/>
      </c>
      <c r="GW57" t="str">
        <f>""</f>
        <v/>
      </c>
      <c r="GX57" t="str">
        <f>""</f>
        <v/>
      </c>
      <c r="GY57" t="str">
        <f>""</f>
        <v/>
      </c>
      <c r="GZ57" t="str">
        <f>""</f>
        <v/>
      </c>
      <c r="HA57" t="str">
        <f>""</f>
        <v/>
      </c>
      <c r="HB57" t="str">
        <f>""</f>
        <v/>
      </c>
      <c r="HC57" t="str">
        <f>""</f>
        <v/>
      </c>
      <c r="HD57" t="str">
        <f>""</f>
        <v/>
      </c>
      <c r="HE57" t="str">
        <f>""</f>
        <v/>
      </c>
      <c r="HF57" t="str">
        <f>""</f>
        <v/>
      </c>
      <c r="HG57" t="str">
        <f>""</f>
        <v/>
      </c>
      <c r="HH57" t="str">
        <f>""</f>
        <v/>
      </c>
      <c r="HI57" t="str">
        <f>""</f>
        <v/>
      </c>
      <c r="HJ57" t="str">
        <f>""</f>
        <v/>
      </c>
      <c r="HK57" t="str">
        <f>""</f>
        <v/>
      </c>
      <c r="HL57" t="str">
        <f>""</f>
        <v/>
      </c>
      <c r="HM57" t="str">
        <f>""</f>
        <v/>
      </c>
      <c r="HN57" t="str">
        <f>""</f>
        <v/>
      </c>
      <c r="HO57" t="str">
        <f>""</f>
        <v/>
      </c>
      <c r="HP57" t="str">
        <f>""</f>
        <v/>
      </c>
      <c r="HQ57" t="str">
        <f>""</f>
        <v/>
      </c>
      <c r="HR57" t="str">
        <f>""</f>
        <v/>
      </c>
      <c r="HS57" t="str">
        <f>""</f>
        <v/>
      </c>
      <c r="HT57" t="str">
        <f>""</f>
        <v/>
      </c>
      <c r="HU57" t="str">
        <f>""</f>
        <v/>
      </c>
      <c r="HV57" t="str">
        <f>""</f>
        <v/>
      </c>
      <c r="HW57" t="str">
        <f>""</f>
        <v/>
      </c>
      <c r="HX57" t="str">
        <f>""</f>
        <v/>
      </c>
      <c r="HY57" t="str">
        <f>""</f>
        <v/>
      </c>
      <c r="HZ57" t="str">
        <f>""</f>
        <v/>
      </c>
      <c r="IA57" t="str">
        <f>""</f>
        <v/>
      </c>
      <c r="IB57" t="str">
        <f>""</f>
        <v/>
      </c>
      <c r="IC57" t="str">
        <f>""</f>
        <v/>
      </c>
      <c r="ID57" t="str">
        <f>""</f>
        <v/>
      </c>
      <c r="IE57" t="str">
        <f>""</f>
        <v/>
      </c>
      <c r="IF57" t="str">
        <f>""</f>
        <v/>
      </c>
      <c r="IG57" t="str">
        <f>""</f>
        <v/>
      </c>
      <c r="IH57" t="str">
        <f>""</f>
        <v/>
      </c>
      <c r="II57" t="str">
        <f>""</f>
        <v/>
      </c>
      <c r="IJ57" t="str">
        <f>""</f>
        <v/>
      </c>
      <c r="IK57" t="str">
        <f>""</f>
        <v/>
      </c>
      <c r="IL57" t="str">
        <f>""</f>
        <v/>
      </c>
      <c r="IM57" t="str">
        <f>""</f>
        <v/>
      </c>
      <c r="IN57" t="str">
        <f>""</f>
        <v/>
      </c>
      <c r="IO57" t="str">
        <f>""</f>
        <v/>
      </c>
      <c r="IP57" t="str">
        <f>""</f>
        <v/>
      </c>
      <c r="IQ57" t="str">
        <f>""</f>
        <v/>
      </c>
      <c r="IR57" t="str">
        <f>""</f>
        <v/>
      </c>
      <c r="IS57" t="str">
        <f>""</f>
        <v/>
      </c>
      <c r="IT57" t="str">
        <f>""</f>
        <v/>
      </c>
      <c r="IU57" t="str">
        <f>""</f>
        <v/>
      </c>
      <c r="IV57" t="str">
        <f>""</f>
        <v/>
      </c>
      <c r="IW57" t="str">
        <f>""</f>
        <v/>
      </c>
      <c r="IX57" t="str">
        <f>""</f>
        <v/>
      </c>
      <c r="IY57" t="str">
        <f>""</f>
        <v/>
      </c>
      <c r="IZ57" t="str">
        <f>""</f>
        <v/>
      </c>
      <c r="JA57" t="str">
        <f>""</f>
        <v/>
      </c>
      <c r="JB57" t="str">
        <f>""</f>
        <v/>
      </c>
      <c r="JC57" t="str">
        <f>""</f>
        <v/>
      </c>
      <c r="JD57" t="str">
        <f>""</f>
        <v/>
      </c>
      <c r="JE57" t="str">
        <f>""</f>
        <v/>
      </c>
      <c r="JF57" t="str">
        <f>""</f>
        <v/>
      </c>
      <c r="JG57" t="str">
        <f>""</f>
        <v/>
      </c>
      <c r="JH57" t="str">
        <f>""</f>
        <v/>
      </c>
      <c r="JI57" t="str">
        <f>""</f>
        <v/>
      </c>
      <c r="JJ57" t="str">
        <f>""</f>
        <v/>
      </c>
      <c r="JK57" t="str">
        <f>""</f>
        <v/>
      </c>
    </row>
    <row r="58" spans="1:271" x14ac:dyDescent="0.3">
      <c r="A58" t="str">
        <f>""</f>
        <v/>
      </c>
      <c r="B58" t="str">
        <f>""</f>
        <v/>
      </c>
      <c r="C58" t="str">
        <f>""</f>
        <v/>
      </c>
      <c r="D58" t="str">
        <f>""</f>
        <v/>
      </c>
      <c r="E58" t="str">
        <f>""</f>
        <v/>
      </c>
      <c r="F58" t="str">
        <f>""</f>
        <v/>
      </c>
      <c r="G58" t="str">
        <f>""</f>
        <v/>
      </c>
      <c r="H58" t="str">
        <f>""</f>
        <v/>
      </c>
      <c r="I58" t="str">
        <f>""</f>
        <v/>
      </c>
      <c r="J58" t="str">
        <f>""</f>
        <v/>
      </c>
      <c r="K58" t="str">
        <f>"(0.103)"</f>
        <v>(0.103)</v>
      </c>
      <c r="L58" t="str">
        <f>"(0.0809)"</f>
        <v>(0.0809)</v>
      </c>
      <c r="M58" t="str">
        <f>"(0.0439)"</f>
        <v>(0.0439)</v>
      </c>
      <c r="N58" t="str">
        <f>""</f>
        <v/>
      </c>
      <c r="O58" t="str">
        <f>""</f>
        <v/>
      </c>
      <c r="P58" t="str">
        <f>""</f>
        <v/>
      </c>
      <c r="Q58" t="str">
        <f>""</f>
        <v/>
      </c>
      <c r="R58" t="str">
        <f>""</f>
        <v/>
      </c>
      <c r="S58" t="str">
        <f>""</f>
        <v/>
      </c>
      <c r="T58" t="str">
        <f>""</f>
        <v/>
      </c>
      <c r="U58" t="str">
        <f>""</f>
        <v/>
      </c>
      <c r="V58" t="str">
        <f>""</f>
        <v/>
      </c>
      <c r="W58" t="str">
        <f>""</f>
        <v/>
      </c>
      <c r="X58" t="str">
        <f>""</f>
        <v/>
      </c>
      <c r="Y58" t="str">
        <f>""</f>
        <v/>
      </c>
      <c r="Z58" t="str">
        <f>""</f>
        <v/>
      </c>
      <c r="AA58" t="str">
        <f>""</f>
        <v/>
      </c>
      <c r="AB58" t="str">
        <f>""</f>
        <v/>
      </c>
      <c r="AC58" t="str">
        <f>""</f>
        <v/>
      </c>
      <c r="AD58" t="str">
        <f>""</f>
        <v/>
      </c>
      <c r="AE58" t="str">
        <f>""</f>
        <v/>
      </c>
      <c r="AF58" t="str">
        <f>""</f>
        <v/>
      </c>
      <c r="AG58" t="str">
        <f>""</f>
        <v/>
      </c>
      <c r="AH58" t="str">
        <f>""</f>
        <v/>
      </c>
      <c r="AI58" t="str">
        <f>""</f>
        <v/>
      </c>
      <c r="AJ58" t="str">
        <f>""</f>
        <v/>
      </c>
      <c r="AK58" t="str">
        <f>""</f>
        <v/>
      </c>
      <c r="AL58" t="str">
        <f>""</f>
        <v/>
      </c>
      <c r="AM58" t="str">
        <f>""</f>
        <v/>
      </c>
      <c r="AN58" t="str">
        <f>""</f>
        <v/>
      </c>
      <c r="AO58" t="str">
        <f>""</f>
        <v/>
      </c>
      <c r="AP58" t="str">
        <f>""</f>
        <v/>
      </c>
      <c r="AQ58" t="str">
        <f>""</f>
        <v/>
      </c>
      <c r="AR58" t="str">
        <f>""</f>
        <v/>
      </c>
      <c r="AS58" t="str">
        <f>""</f>
        <v/>
      </c>
      <c r="AT58" t="str">
        <f>""</f>
        <v/>
      </c>
      <c r="AU58" t="str">
        <f>""</f>
        <v/>
      </c>
      <c r="AV58" t="str">
        <f>""</f>
        <v/>
      </c>
      <c r="AW58" t="str">
        <f>""</f>
        <v/>
      </c>
      <c r="AX58" t="str">
        <f>""</f>
        <v/>
      </c>
      <c r="AY58" t="str">
        <f>""</f>
        <v/>
      </c>
      <c r="AZ58" t="str">
        <f>""</f>
        <v/>
      </c>
      <c r="BA58" t="str">
        <f>""</f>
        <v/>
      </c>
      <c r="BB58" t="str">
        <f>""</f>
        <v/>
      </c>
      <c r="BC58" t="str">
        <f>""</f>
        <v/>
      </c>
      <c r="BD58" t="str">
        <f>""</f>
        <v/>
      </c>
      <c r="BE58" t="str">
        <f>""</f>
        <v/>
      </c>
      <c r="BF58" t="str">
        <f>""</f>
        <v/>
      </c>
      <c r="BG58" t="str">
        <f>""</f>
        <v/>
      </c>
      <c r="BH58" t="str">
        <f>""</f>
        <v/>
      </c>
      <c r="BI58" t="str">
        <f>""</f>
        <v/>
      </c>
      <c r="BJ58" t="str">
        <f>""</f>
        <v/>
      </c>
      <c r="BK58" t="str">
        <f>""</f>
        <v/>
      </c>
      <c r="BL58" t="str">
        <f>""</f>
        <v/>
      </c>
      <c r="BM58" t="str">
        <f>""</f>
        <v/>
      </c>
      <c r="BN58" t="str">
        <f>""</f>
        <v/>
      </c>
      <c r="BO58" t="str">
        <f>""</f>
        <v/>
      </c>
      <c r="BP58" t="str">
        <f>""</f>
        <v/>
      </c>
      <c r="BQ58" t="str">
        <f>""</f>
        <v/>
      </c>
      <c r="BR58" t="str">
        <f>""</f>
        <v/>
      </c>
      <c r="BS58" t="str">
        <f>""</f>
        <v/>
      </c>
      <c r="BT58" t="str">
        <f>""</f>
        <v/>
      </c>
      <c r="BU58" t="str">
        <f>""</f>
        <v/>
      </c>
      <c r="BV58" t="str">
        <f>""</f>
        <v/>
      </c>
      <c r="BW58" t="str">
        <f>""</f>
        <v/>
      </c>
      <c r="BX58" t="str">
        <f>""</f>
        <v/>
      </c>
      <c r="BY58" t="str">
        <f>""</f>
        <v/>
      </c>
      <c r="BZ58" t="str">
        <f>""</f>
        <v/>
      </c>
      <c r="CA58" t="str">
        <f>""</f>
        <v/>
      </c>
      <c r="CB58" t="str">
        <f>""</f>
        <v/>
      </c>
      <c r="CC58" t="str">
        <f>""</f>
        <v/>
      </c>
      <c r="CD58" t="str">
        <f>""</f>
        <v/>
      </c>
      <c r="CE58" t="str">
        <f>""</f>
        <v/>
      </c>
      <c r="CF58" t="str">
        <f>""</f>
        <v/>
      </c>
      <c r="CG58" t="str">
        <f>""</f>
        <v/>
      </c>
      <c r="CH58" t="str">
        <f>""</f>
        <v/>
      </c>
      <c r="CI58" t="str">
        <f>""</f>
        <v/>
      </c>
      <c r="CJ58" t="str">
        <f>""</f>
        <v/>
      </c>
      <c r="CK58" t="str">
        <f>""</f>
        <v/>
      </c>
      <c r="CL58" t="str">
        <f>""</f>
        <v/>
      </c>
      <c r="CM58" t="str">
        <f>""</f>
        <v/>
      </c>
      <c r="CN58" t="str">
        <f>""</f>
        <v/>
      </c>
      <c r="CO58" t="str">
        <f>""</f>
        <v/>
      </c>
      <c r="CP58" t="str">
        <f>""</f>
        <v/>
      </c>
      <c r="CQ58" t="str">
        <f>""</f>
        <v/>
      </c>
      <c r="CR58" t="str">
        <f>""</f>
        <v/>
      </c>
      <c r="CS58" t="str">
        <f>""</f>
        <v/>
      </c>
      <c r="CT58" t="str">
        <f>""</f>
        <v/>
      </c>
      <c r="CU58" t="str">
        <f>""</f>
        <v/>
      </c>
      <c r="CV58" t="str">
        <f>""</f>
        <v/>
      </c>
      <c r="CW58" t="str">
        <f>""</f>
        <v/>
      </c>
      <c r="CX58" t="str">
        <f>""</f>
        <v/>
      </c>
      <c r="CY58" t="str">
        <f>""</f>
        <v/>
      </c>
      <c r="CZ58" t="str">
        <f>""</f>
        <v/>
      </c>
      <c r="DA58" t="str">
        <f>""</f>
        <v/>
      </c>
      <c r="DB58" t="str">
        <f>""</f>
        <v/>
      </c>
      <c r="DC58" t="str">
        <f>""</f>
        <v/>
      </c>
      <c r="DD58" t="str">
        <f>""</f>
        <v/>
      </c>
      <c r="DE58" t="str">
        <f>""</f>
        <v/>
      </c>
      <c r="DF58" t="str">
        <f>""</f>
        <v/>
      </c>
      <c r="DG58" t="str">
        <f>""</f>
        <v/>
      </c>
      <c r="DH58" t="str">
        <f>""</f>
        <v/>
      </c>
      <c r="DI58" t="str">
        <f>""</f>
        <v/>
      </c>
      <c r="DJ58" t="str">
        <f>""</f>
        <v/>
      </c>
      <c r="DK58" t="str">
        <f>""</f>
        <v/>
      </c>
      <c r="DL58" t="str">
        <f>""</f>
        <v/>
      </c>
      <c r="DM58" t="str">
        <f>""</f>
        <v/>
      </c>
      <c r="DN58" t="str">
        <f>""</f>
        <v/>
      </c>
      <c r="DO58" t="str">
        <f>""</f>
        <v/>
      </c>
      <c r="DP58" t="str">
        <f>""</f>
        <v/>
      </c>
      <c r="DQ58" t="str">
        <f>""</f>
        <v/>
      </c>
      <c r="DR58" t="str">
        <f>""</f>
        <v/>
      </c>
      <c r="DS58" t="str">
        <f>""</f>
        <v/>
      </c>
      <c r="DT58" t="str">
        <f>""</f>
        <v/>
      </c>
      <c r="DU58" t="str">
        <f>""</f>
        <v/>
      </c>
      <c r="DV58" t="str">
        <f>""</f>
        <v/>
      </c>
      <c r="DW58" t="str">
        <f>""</f>
        <v/>
      </c>
      <c r="DX58" t="str">
        <f>""</f>
        <v/>
      </c>
      <c r="DY58" t="str">
        <f>""</f>
        <v/>
      </c>
      <c r="DZ58" t="str">
        <f>""</f>
        <v/>
      </c>
      <c r="EA58" t="str">
        <f>""</f>
        <v/>
      </c>
      <c r="EB58" t="str">
        <f>""</f>
        <v/>
      </c>
      <c r="EC58" t="str">
        <f>""</f>
        <v/>
      </c>
      <c r="ED58" t="str">
        <f>""</f>
        <v/>
      </c>
      <c r="EE58" t="str">
        <f>""</f>
        <v/>
      </c>
      <c r="EF58" t="str">
        <f>""</f>
        <v/>
      </c>
      <c r="EG58" t="str">
        <f>""</f>
        <v/>
      </c>
      <c r="EH58" t="str">
        <f>""</f>
        <v/>
      </c>
      <c r="EI58" t="str">
        <f>""</f>
        <v/>
      </c>
      <c r="EJ58" t="str">
        <f>""</f>
        <v/>
      </c>
      <c r="EK58" t="str">
        <f>""</f>
        <v/>
      </c>
      <c r="EL58" t="str">
        <f>""</f>
        <v/>
      </c>
      <c r="EM58" t="str">
        <f>""</f>
        <v/>
      </c>
      <c r="EN58" t="str">
        <f>""</f>
        <v/>
      </c>
      <c r="EO58" t="str">
        <f>""</f>
        <v/>
      </c>
      <c r="EP58" t="str">
        <f>""</f>
        <v/>
      </c>
      <c r="EQ58" t="str">
        <f>""</f>
        <v/>
      </c>
      <c r="ER58" t="str">
        <f>""</f>
        <v/>
      </c>
      <c r="ES58" t="str">
        <f>""</f>
        <v/>
      </c>
      <c r="ET58" t="str">
        <f>""</f>
        <v/>
      </c>
      <c r="EU58" t="str">
        <f>""</f>
        <v/>
      </c>
      <c r="EV58" t="str">
        <f>""</f>
        <v/>
      </c>
      <c r="EW58" t="str">
        <f>""</f>
        <v/>
      </c>
      <c r="EX58" t="str">
        <f>""</f>
        <v/>
      </c>
      <c r="EY58" t="str">
        <f>""</f>
        <v/>
      </c>
      <c r="EZ58" t="str">
        <f>""</f>
        <v/>
      </c>
      <c r="FA58" t="str">
        <f>""</f>
        <v/>
      </c>
      <c r="FB58" t="str">
        <f>""</f>
        <v/>
      </c>
      <c r="FC58" t="str">
        <f>""</f>
        <v/>
      </c>
      <c r="FD58" t="str">
        <f>""</f>
        <v/>
      </c>
      <c r="FE58" t="str">
        <f>""</f>
        <v/>
      </c>
      <c r="FF58" t="str">
        <f>""</f>
        <v/>
      </c>
      <c r="FG58" t="str">
        <f>""</f>
        <v/>
      </c>
      <c r="FH58" t="str">
        <f>""</f>
        <v/>
      </c>
      <c r="FI58" t="str">
        <f>""</f>
        <v/>
      </c>
      <c r="FJ58" t="str">
        <f>""</f>
        <v/>
      </c>
      <c r="FK58" t="str">
        <f>""</f>
        <v/>
      </c>
      <c r="FL58" t="str">
        <f>""</f>
        <v/>
      </c>
      <c r="FM58" t="str">
        <f>""</f>
        <v/>
      </c>
      <c r="FN58" t="str">
        <f>""</f>
        <v/>
      </c>
      <c r="FO58" t="str">
        <f>""</f>
        <v/>
      </c>
      <c r="FP58" t="str">
        <f>""</f>
        <v/>
      </c>
      <c r="FQ58" t="str">
        <f>""</f>
        <v/>
      </c>
      <c r="FR58" t="str">
        <f>""</f>
        <v/>
      </c>
      <c r="FS58" t="str">
        <f>""</f>
        <v/>
      </c>
      <c r="FT58" t="str">
        <f>""</f>
        <v/>
      </c>
      <c r="FU58" t="str">
        <f>""</f>
        <v/>
      </c>
      <c r="FV58" t="str">
        <f>""</f>
        <v/>
      </c>
      <c r="FW58" t="str">
        <f>""</f>
        <v/>
      </c>
      <c r="FX58" t="str">
        <f>""</f>
        <v/>
      </c>
      <c r="FY58" t="str">
        <f>""</f>
        <v/>
      </c>
      <c r="FZ58" t="str">
        <f>""</f>
        <v/>
      </c>
      <c r="GA58" t="str">
        <f>""</f>
        <v/>
      </c>
      <c r="GB58" t="str">
        <f>""</f>
        <v/>
      </c>
      <c r="GC58" t="str">
        <f>""</f>
        <v/>
      </c>
      <c r="GD58" t="str">
        <f>""</f>
        <v/>
      </c>
      <c r="GE58" t="str">
        <f>""</f>
        <v/>
      </c>
      <c r="GF58" t="str">
        <f>""</f>
        <v/>
      </c>
      <c r="GG58" t="str">
        <f>""</f>
        <v/>
      </c>
      <c r="GH58" t="str">
        <f>""</f>
        <v/>
      </c>
      <c r="GI58" t="str">
        <f>""</f>
        <v/>
      </c>
      <c r="GJ58" t="str">
        <f>""</f>
        <v/>
      </c>
      <c r="GK58" t="str">
        <f>""</f>
        <v/>
      </c>
      <c r="GL58" t="str">
        <f>""</f>
        <v/>
      </c>
      <c r="GM58" t="str">
        <f>""</f>
        <v/>
      </c>
      <c r="GN58" t="str">
        <f>""</f>
        <v/>
      </c>
      <c r="GO58" t="str">
        <f>""</f>
        <v/>
      </c>
      <c r="GP58" t="str">
        <f>""</f>
        <v/>
      </c>
      <c r="GQ58" t="str">
        <f>""</f>
        <v/>
      </c>
      <c r="GR58" t="str">
        <f>""</f>
        <v/>
      </c>
      <c r="GS58" t="str">
        <f>""</f>
        <v/>
      </c>
      <c r="GT58" t="str">
        <f>""</f>
        <v/>
      </c>
      <c r="GU58" t="str">
        <f>""</f>
        <v/>
      </c>
      <c r="GV58" t="str">
        <f>""</f>
        <v/>
      </c>
      <c r="GW58" t="str">
        <f>""</f>
        <v/>
      </c>
      <c r="GX58" t="str">
        <f>""</f>
        <v/>
      </c>
      <c r="GY58" t="str">
        <f>""</f>
        <v/>
      </c>
      <c r="GZ58" t="str">
        <f>""</f>
        <v/>
      </c>
      <c r="HA58" t="str">
        <f>""</f>
        <v/>
      </c>
      <c r="HB58" t="str">
        <f>""</f>
        <v/>
      </c>
      <c r="HC58" t="str">
        <f>""</f>
        <v/>
      </c>
      <c r="HD58" t="str">
        <f>""</f>
        <v/>
      </c>
      <c r="HE58" t="str">
        <f>""</f>
        <v/>
      </c>
      <c r="HF58" t="str">
        <f>""</f>
        <v/>
      </c>
      <c r="HG58" t="str">
        <f>""</f>
        <v/>
      </c>
      <c r="HH58" t="str">
        <f>""</f>
        <v/>
      </c>
      <c r="HI58" t="str">
        <f>""</f>
        <v/>
      </c>
      <c r="HJ58" t="str">
        <f>""</f>
        <v/>
      </c>
      <c r="HK58" t="str">
        <f>""</f>
        <v/>
      </c>
      <c r="HL58" t="str">
        <f>""</f>
        <v/>
      </c>
      <c r="HM58" t="str">
        <f>""</f>
        <v/>
      </c>
      <c r="HN58" t="str">
        <f>""</f>
        <v/>
      </c>
      <c r="HO58" t="str">
        <f>""</f>
        <v/>
      </c>
      <c r="HP58" t="str">
        <f>""</f>
        <v/>
      </c>
      <c r="HQ58" t="str">
        <f>""</f>
        <v/>
      </c>
      <c r="HR58" t="str">
        <f>""</f>
        <v/>
      </c>
      <c r="HS58" t="str">
        <f>""</f>
        <v/>
      </c>
      <c r="HT58" t="str">
        <f>""</f>
        <v/>
      </c>
      <c r="HU58" t="str">
        <f>""</f>
        <v/>
      </c>
      <c r="HV58" t="str">
        <f>""</f>
        <v/>
      </c>
      <c r="HW58" t="str">
        <f>""</f>
        <v/>
      </c>
      <c r="HX58" t="str">
        <f>""</f>
        <v/>
      </c>
      <c r="HY58" t="str">
        <f>""</f>
        <v/>
      </c>
      <c r="HZ58" t="str">
        <f>""</f>
        <v/>
      </c>
      <c r="IA58" t="str">
        <f>""</f>
        <v/>
      </c>
      <c r="IB58" t="str">
        <f>""</f>
        <v/>
      </c>
      <c r="IC58" t="str">
        <f>""</f>
        <v/>
      </c>
      <c r="ID58" t="str">
        <f>""</f>
        <v/>
      </c>
      <c r="IE58" t="str">
        <f>""</f>
        <v/>
      </c>
      <c r="IF58" t="str">
        <f>""</f>
        <v/>
      </c>
      <c r="IG58" t="str">
        <f>""</f>
        <v/>
      </c>
      <c r="IH58" t="str">
        <f>""</f>
        <v/>
      </c>
      <c r="II58" t="str">
        <f>""</f>
        <v/>
      </c>
      <c r="IJ58" t="str">
        <f>""</f>
        <v/>
      </c>
      <c r="IK58" t="str">
        <f>""</f>
        <v/>
      </c>
      <c r="IL58" t="str">
        <f>""</f>
        <v/>
      </c>
      <c r="IM58" t="str">
        <f>""</f>
        <v/>
      </c>
      <c r="IN58" t="str">
        <f>""</f>
        <v/>
      </c>
      <c r="IO58" t="str">
        <f>""</f>
        <v/>
      </c>
      <c r="IP58" t="str">
        <f>""</f>
        <v/>
      </c>
      <c r="IQ58" t="str">
        <f>""</f>
        <v/>
      </c>
      <c r="IR58" t="str">
        <f>""</f>
        <v/>
      </c>
      <c r="IS58" t="str">
        <f>""</f>
        <v/>
      </c>
      <c r="IT58" t="str">
        <f>""</f>
        <v/>
      </c>
      <c r="IU58" t="str">
        <f>""</f>
        <v/>
      </c>
      <c r="IV58" t="str">
        <f>""</f>
        <v/>
      </c>
      <c r="IW58" t="str">
        <f>""</f>
        <v/>
      </c>
      <c r="IX58" t="str">
        <f>""</f>
        <v/>
      </c>
      <c r="IY58" t="str">
        <f>""</f>
        <v/>
      </c>
      <c r="IZ58" t="str">
        <f>""</f>
        <v/>
      </c>
      <c r="JA58" t="str">
        <f>""</f>
        <v/>
      </c>
      <c r="JB58" t="str">
        <f>""</f>
        <v/>
      </c>
      <c r="JC58" t="str">
        <f>""</f>
        <v/>
      </c>
      <c r="JD58" t="str">
        <f>""</f>
        <v/>
      </c>
      <c r="JE58" t="str">
        <f>""</f>
        <v/>
      </c>
      <c r="JF58" t="str">
        <f>""</f>
        <v/>
      </c>
      <c r="JG58" t="str">
        <f>""</f>
        <v/>
      </c>
      <c r="JH58" t="str">
        <f>""</f>
        <v/>
      </c>
      <c r="JI58" t="str">
        <f>""</f>
        <v/>
      </c>
      <c r="JJ58" t="str">
        <f>""</f>
        <v/>
      </c>
      <c r="JK58" t="str">
        <f>""</f>
        <v/>
      </c>
    </row>
    <row r="60" spans="1:271" x14ac:dyDescent="0.3">
      <c r="A60" t="str">
        <f>"zMETAB5"</f>
        <v>zMETAB5</v>
      </c>
      <c r="B60" t="str">
        <f>""</f>
        <v/>
      </c>
      <c r="C60" t="str">
        <f>""</f>
        <v/>
      </c>
      <c r="D60" t="str">
        <f>""</f>
        <v/>
      </c>
      <c r="E60" t="str">
        <f>""</f>
        <v/>
      </c>
      <c r="F60" t="str">
        <f>""</f>
        <v/>
      </c>
      <c r="G60" t="str">
        <f>""</f>
        <v/>
      </c>
      <c r="H60" t="str">
        <f>""</f>
        <v/>
      </c>
      <c r="I60" t="str">
        <f>""</f>
        <v/>
      </c>
      <c r="J60" t="str">
        <f>""</f>
        <v/>
      </c>
      <c r="K60" t="str">
        <f>""</f>
        <v/>
      </c>
      <c r="L60" t="str">
        <f>""</f>
        <v/>
      </c>
      <c r="M60" t="str">
        <f>""</f>
        <v/>
      </c>
      <c r="N60" t="str">
        <f>"-0.0761"</f>
        <v>-0.0761</v>
      </c>
      <c r="O60" t="str">
        <f>"0.0415"</f>
        <v>0.0415</v>
      </c>
      <c r="P60" t="str">
        <f>"-0.157***"</f>
        <v>-0.157***</v>
      </c>
      <c r="Q60" t="str">
        <f>""</f>
        <v/>
      </c>
      <c r="R60" t="str">
        <f>""</f>
        <v/>
      </c>
      <c r="S60" t="str">
        <f>""</f>
        <v/>
      </c>
      <c r="T60" t="str">
        <f>""</f>
        <v/>
      </c>
      <c r="U60" t="str">
        <f>""</f>
        <v/>
      </c>
      <c r="V60" t="str">
        <f>""</f>
        <v/>
      </c>
      <c r="W60" t="str">
        <f>""</f>
        <v/>
      </c>
      <c r="X60" t="str">
        <f>""</f>
        <v/>
      </c>
      <c r="Y60" t="str">
        <f>""</f>
        <v/>
      </c>
      <c r="Z60" t="str">
        <f>""</f>
        <v/>
      </c>
      <c r="AA60" t="str">
        <f>""</f>
        <v/>
      </c>
      <c r="AB60" t="str">
        <f>""</f>
        <v/>
      </c>
      <c r="AC60" t="str">
        <f>""</f>
        <v/>
      </c>
      <c r="AD60" t="str">
        <f>""</f>
        <v/>
      </c>
      <c r="AE60" t="str">
        <f>""</f>
        <v/>
      </c>
      <c r="AF60" t="str">
        <f>""</f>
        <v/>
      </c>
      <c r="AG60" t="str">
        <f>""</f>
        <v/>
      </c>
      <c r="AH60" t="str">
        <f>""</f>
        <v/>
      </c>
      <c r="AI60" t="str">
        <f>""</f>
        <v/>
      </c>
      <c r="AJ60" t="str">
        <f>""</f>
        <v/>
      </c>
      <c r="AK60" t="str">
        <f>""</f>
        <v/>
      </c>
      <c r="AL60" t="str">
        <f>""</f>
        <v/>
      </c>
      <c r="AM60" t="str">
        <f>""</f>
        <v/>
      </c>
      <c r="AN60" t="str">
        <f>""</f>
        <v/>
      </c>
      <c r="AO60" t="str">
        <f>""</f>
        <v/>
      </c>
      <c r="AP60" t="str">
        <f>""</f>
        <v/>
      </c>
      <c r="AQ60" t="str">
        <f>""</f>
        <v/>
      </c>
      <c r="AR60" t="str">
        <f>""</f>
        <v/>
      </c>
      <c r="AS60" t="str">
        <f>""</f>
        <v/>
      </c>
      <c r="AT60" t="str">
        <f>""</f>
        <v/>
      </c>
      <c r="AU60" t="str">
        <f>""</f>
        <v/>
      </c>
      <c r="AV60" t="str">
        <f>""</f>
        <v/>
      </c>
      <c r="AW60" t="str">
        <f>""</f>
        <v/>
      </c>
      <c r="AX60" t="str">
        <f>""</f>
        <v/>
      </c>
      <c r="AY60" t="str">
        <f>""</f>
        <v/>
      </c>
      <c r="AZ60" t="str">
        <f>""</f>
        <v/>
      </c>
      <c r="BA60" t="str">
        <f>""</f>
        <v/>
      </c>
      <c r="BB60" t="str">
        <f>""</f>
        <v/>
      </c>
      <c r="BC60" t="str">
        <f>""</f>
        <v/>
      </c>
      <c r="BD60" t="str">
        <f>""</f>
        <v/>
      </c>
      <c r="BE60" t="str">
        <f>""</f>
        <v/>
      </c>
      <c r="BF60" t="str">
        <f>""</f>
        <v/>
      </c>
      <c r="BG60" t="str">
        <f>"0.0731"</f>
        <v>0.0731</v>
      </c>
      <c r="BH60" t="str">
        <f>"0.0573"</f>
        <v>0.0573</v>
      </c>
      <c r="BI60" t="str">
        <f>"-0.119***"</f>
        <v>-0.119***</v>
      </c>
      <c r="BJ60" t="str">
        <f>""</f>
        <v/>
      </c>
      <c r="BK60" t="str">
        <f>""</f>
        <v/>
      </c>
      <c r="BL60" t="str">
        <f>""</f>
        <v/>
      </c>
      <c r="BM60" t="str">
        <f>""</f>
        <v/>
      </c>
      <c r="BN60" t="str">
        <f>""</f>
        <v/>
      </c>
      <c r="BO60" t="str">
        <f>""</f>
        <v/>
      </c>
      <c r="BP60" t="str">
        <f>""</f>
        <v/>
      </c>
      <c r="BQ60" t="str">
        <f>""</f>
        <v/>
      </c>
      <c r="BR60" t="str">
        <f>""</f>
        <v/>
      </c>
      <c r="BS60" t="str">
        <f>""</f>
        <v/>
      </c>
      <c r="BT60" t="str">
        <f>""</f>
        <v/>
      </c>
      <c r="BU60" t="str">
        <f>""</f>
        <v/>
      </c>
      <c r="BV60" t="str">
        <f>""</f>
        <v/>
      </c>
      <c r="BW60" t="str">
        <f>""</f>
        <v/>
      </c>
      <c r="BX60" t="str">
        <f>""</f>
        <v/>
      </c>
      <c r="BY60" t="str">
        <f>""</f>
        <v/>
      </c>
      <c r="BZ60" t="str">
        <f>""</f>
        <v/>
      </c>
      <c r="CA60" t="str">
        <f>""</f>
        <v/>
      </c>
      <c r="CB60" t="str">
        <f>""</f>
        <v/>
      </c>
      <c r="CC60" t="str">
        <f>""</f>
        <v/>
      </c>
      <c r="CD60" t="str">
        <f>""</f>
        <v/>
      </c>
      <c r="CE60" t="str">
        <f>""</f>
        <v/>
      </c>
      <c r="CF60" t="str">
        <f>""</f>
        <v/>
      </c>
      <c r="CG60" t="str">
        <f>""</f>
        <v/>
      </c>
      <c r="CH60" t="str">
        <f>""</f>
        <v/>
      </c>
      <c r="CI60" t="str">
        <f>""</f>
        <v/>
      </c>
      <c r="CJ60" t="str">
        <f>""</f>
        <v/>
      </c>
      <c r="CK60" t="str">
        <f>""</f>
        <v/>
      </c>
      <c r="CL60" t="str">
        <f>""</f>
        <v/>
      </c>
      <c r="CM60" t="str">
        <f>""</f>
        <v/>
      </c>
      <c r="CN60" t="str">
        <f>""</f>
        <v/>
      </c>
      <c r="CO60" t="str">
        <f>""</f>
        <v/>
      </c>
      <c r="CP60" t="str">
        <f>""</f>
        <v/>
      </c>
      <c r="CQ60" t="str">
        <f>""</f>
        <v/>
      </c>
      <c r="CR60" t="str">
        <f>""</f>
        <v/>
      </c>
      <c r="CS60" t="str">
        <f>""</f>
        <v/>
      </c>
      <c r="CT60" t="str">
        <f>""</f>
        <v/>
      </c>
      <c r="CU60" t="str">
        <f>""</f>
        <v/>
      </c>
      <c r="CV60" t="str">
        <f>""</f>
        <v/>
      </c>
      <c r="CW60" t="str">
        <f>""</f>
        <v/>
      </c>
      <c r="CX60" t="str">
        <f>""</f>
        <v/>
      </c>
      <c r="CY60" t="str">
        <f>""</f>
        <v/>
      </c>
      <c r="CZ60" t="str">
        <f>"0.142"</f>
        <v>0.142</v>
      </c>
      <c r="DA60" t="str">
        <f>"0.0420"</f>
        <v>0.0420</v>
      </c>
      <c r="DB60" t="str">
        <f>"-0.151***"</f>
        <v>-0.151***</v>
      </c>
      <c r="DC60" t="str">
        <f>""</f>
        <v/>
      </c>
      <c r="DD60" t="str">
        <f>""</f>
        <v/>
      </c>
      <c r="DE60" t="str">
        <f>""</f>
        <v/>
      </c>
      <c r="DF60" t="str">
        <f>""</f>
        <v/>
      </c>
      <c r="DG60" t="str">
        <f>""</f>
        <v/>
      </c>
      <c r="DH60" t="str">
        <f>""</f>
        <v/>
      </c>
      <c r="DI60" t="str">
        <f>""</f>
        <v/>
      </c>
      <c r="DJ60" t="str">
        <f>""</f>
        <v/>
      </c>
      <c r="DK60" t="str">
        <f>""</f>
        <v/>
      </c>
      <c r="DL60" t="str">
        <f>""</f>
        <v/>
      </c>
      <c r="DM60" t="str">
        <f>""</f>
        <v/>
      </c>
      <c r="DN60" t="str">
        <f>""</f>
        <v/>
      </c>
      <c r="DO60" t="str">
        <f>""</f>
        <v/>
      </c>
      <c r="DP60" t="str">
        <f>""</f>
        <v/>
      </c>
      <c r="DQ60" t="str">
        <f>""</f>
        <v/>
      </c>
      <c r="DR60" t="str">
        <f>""</f>
        <v/>
      </c>
      <c r="DS60" t="str">
        <f>""</f>
        <v/>
      </c>
      <c r="DT60" t="str">
        <f>""</f>
        <v/>
      </c>
      <c r="DU60" t="str">
        <f>""</f>
        <v/>
      </c>
      <c r="DV60" t="str">
        <f>""</f>
        <v/>
      </c>
      <c r="DW60" t="str">
        <f>""</f>
        <v/>
      </c>
      <c r="DX60" t="str">
        <f>""</f>
        <v/>
      </c>
      <c r="DY60" t="str">
        <f>""</f>
        <v/>
      </c>
      <c r="DZ60" t="str">
        <f>""</f>
        <v/>
      </c>
      <c r="EA60" t="str">
        <f>""</f>
        <v/>
      </c>
      <c r="EB60" t="str">
        <f>""</f>
        <v/>
      </c>
      <c r="EC60" t="str">
        <f>""</f>
        <v/>
      </c>
      <c r="ED60" t="str">
        <f>""</f>
        <v/>
      </c>
      <c r="EE60" t="str">
        <f>""</f>
        <v/>
      </c>
      <c r="EF60" t="str">
        <f>""</f>
        <v/>
      </c>
      <c r="EG60" t="str">
        <f>""</f>
        <v/>
      </c>
      <c r="EH60" t="str">
        <f>""</f>
        <v/>
      </c>
      <c r="EI60" t="str">
        <f>""</f>
        <v/>
      </c>
      <c r="EJ60" t="str">
        <f>""</f>
        <v/>
      </c>
      <c r="EK60" t="str">
        <f>""</f>
        <v/>
      </c>
      <c r="EL60" t="str">
        <f>""</f>
        <v/>
      </c>
      <c r="EM60" t="str">
        <f>""</f>
        <v/>
      </c>
      <c r="EN60" t="str">
        <f>""</f>
        <v/>
      </c>
      <c r="EO60" t="str">
        <f>""</f>
        <v/>
      </c>
      <c r="EP60" t="str">
        <f>""</f>
        <v/>
      </c>
      <c r="EQ60" t="str">
        <f>""</f>
        <v/>
      </c>
      <c r="ER60" t="str">
        <f>""</f>
        <v/>
      </c>
      <c r="ES60" t="str">
        <f>"-0.00355"</f>
        <v>-0.00355</v>
      </c>
      <c r="ET60" t="str">
        <f>"0.0640"</f>
        <v>0.0640</v>
      </c>
      <c r="EU60" t="str">
        <f>"-0.128***"</f>
        <v>-0.128***</v>
      </c>
      <c r="EV60" t="str">
        <f>""</f>
        <v/>
      </c>
      <c r="EW60" t="str">
        <f>""</f>
        <v/>
      </c>
      <c r="EX60" t="str">
        <f>""</f>
        <v/>
      </c>
      <c r="EY60" t="str">
        <f>""</f>
        <v/>
      </c>
      <c r="EZ60" t="str">
        <f>""</f>
        <v/>
      </c>
      <c r="FA60" t="str">
        <f>""</f>
        <v/>
      </c>
      <c r="FB60" t="str">
        <f>""</f>
        <v/>
      </c>
      <c r="FC60" t="str">
        <f>""</f>
        <v/>
      </c>
      <c r="FD60" t="str">
        <f>""</f>
        <v/>
      </c>
      <c r="FE60" t="str">
        <f>""</f>
        <v/>
      </c>
      <c r="FF60" t="str">
        <f>""</f>
        <v/>
      </c>
      <c r="FG60" t="str">
        <f>""</f>
        <v/>
      </c>
      <c r="FH60" t="str">
        <f>""</f>
        <v/>
      </c>
      <c r="FI60" t="str">
        <f>""</f>
        <v/>
      </c>
      <c r="FJ60" t="str">
        <f>""</f>
        <v/>
      </c>
      <c r="FK60" t="str">
        <f>""</f>
        <v/>
      </c>
      <c r="FL60" t="str">
        <f>""</f>
        <v/>
      </c>
      <c r="FM60" t="str">
        <f>""</f>
        <v/>
      </c>
      <c r="FN60" t="str">
        <f>""</f>
        <v/>
      </c>
      <c r="FO60" t="str">
        <f>""</f>
        <v/>
      </c>
      <c r="FP60" t="str">
        <f>""</f>
        <v/>
      </c>
      <c r="FQ60" t="str">
        <f>""</f>
        <v/>
      </c>
      <c r="FR60" t="str">
        <f>""</f>
        <v/>
      </c>
      <c r="FS60" t="str">
        <f>""</f>
        <v/>
      </c>
      <c r="FT60" t="str">
        <f>""</f>
        <v/>
      </c>
      <c r="FU60" t="str">
        <f>""</f>
        <v/>
      </c>
      <c r="FV60" t="str">
        <f>""</f>
        <v/>
      </c>
      <c r="FW60" t="str">
        <f>""</f>
        <v/>
      </c>
      <c r="FX60" t="str">
        <f>""</f>
        <v/>
      </c>
      <c r="FY60" t="str">
        <f>""</f>
        <v/>
      </c>
      <c r="FZ60" t="str">
        <f>""</f>
        <v/>
      </c>
      <c r="GA60" t="str">
        <f>""</f>
        <v/>
      </c>
      <c r="GB60" t="str">
        <f>""</f>
        <v/>
      </c>
      <c r="GC60" t="str">
        <f>""</f>
        <v/>
      </c>
      <c r="GD60" t="str">
        <f>""</f>
        <v/>
      </c>
      <c r="GE60" t="str">
        <f>""</f>
        <v/>
      </c>
      <c r="GF60" t="str">
        <f>""</f>
        <v/>
      </c>
      <c r="GG60" t="str">
        <f>""</f>
        <v/>
      </c>
      <c r="GH60" t="str">
        <f>""</f>
        <v/>
      </c>
      <c r="GI60" t="str">
        <f>""</f>
        <v/>
      </c>
      <c r="GJ60" t="str">
        <f>""</f>
        <v/>
      </c>
      <c r="GK60" t="str">
        <f>""</f>
        <v/>
      </c>
      <c r="GL60" t="str">
        <f>"-0.0776"</f>
        <v>-0.0776</v>
      </c>
      <c r="GM60" t="str">
        <f>"0.0281"</f>
        <v>0.0281</v>
      </c>
      <c r="GN60" t="str">
        <f>"-0.130***"</f>
        <v>-0.130***</v>
      </c>
      <c r="GO60" t="str">
        <f>""</f>
        <v/>
      </c>
      <c r="GP60" t="str">
        <f>""</f>
        <v/>
      </c>
      <c r="GQ60" t="str">
        <f>""</f>
        <v/>
      </c>
      <c r="GR60" t="str">
        <f>""</f>
        <v/>
      </c>
      <c r="GS60" t="str">
        <f>""</f>
        <v/>
      </c>
      <c r="GT60" t="str">
        <f>""</f>
        <v/>
      </c>
      <c r="GU60" t="str">
        <f>""</f>
        <v/>
      </c>
      <c r="GV60" t="str">
        <f>""</f>
        <v/>
      </c>
      <c r="GW60" t="str">
        <f>""</f>
        <v/>
      </c>
      <c r="GX60" t="str">
        <f>""</f>
        <v/>
      </c>
      <c r="GY60" t="str">
        <f>""</f>
        <v/>
      </c>
      <c r="GZ60" t="str">
        <f>""</f>
        <v/>
      </c>
      <c r="HA60" t="str">
        <f>""</f>
        <v/>
      </c>
      <c r="HB60" t="str">
        <f>""</f>
        <v/>
      </c>
      <c r="HC60" t="str">
        <f>""</f>
        <v/>
      </c>
      <c r="HD60" t="str">
        <f>""</f>
        <v/>
      </c>
      <c r="HE60" t="str">
        <f>""</f>
        <v/>
      </c>
      <c r="HF60" t="str">
        <f>""</f>
        <v/>
      </c>
      <c r="HG60" t="str">
        <f>""</f>
        <v/>
      </c>
      <c r="HH60" t="str">
        <f>""</f>
        <v/>
      </c>
      <c r="HI60" t="str">
        <f>""</f>
        <v/>
      </c>
      <c r="HJ60" t="str">
        <f>""</f>
        <v/>
      </c>
      <c r="HK60" t="str">
        <f>""</f>
        <v/>
      </c>
      <c r="HL60" t="str">
        <f>""</f>
        <v/>
      </c>
      <c r="HM60" t="str">
        <f>""</f>
        <v/>
      </c>
      <c r="HN60" t="str">
        <f>""</f>
        <v/>
      </c>
      <c r="HO60" t="str">
        <f>""</f>
        <v/>
      </c>
      <c r="HP60" t="str">
        <f>""</f>
        <v/>
      </c>
      <c r="HQ60" t="str">
        <f>""</f>
        <v/>
      </c>
      <c r="HR60" t="str">
        <f>""</f>
        <v/>
      </c>
      <c r="HS60" t="str">
        <f>""</f>
        <v/>
      </c>
      <c r="HT60" t="str">
        <f>""</f>
        <v/>
      </c>
      <c r="HU60" t="str">
        <f>""</f>
        <v/>
      </c>
      <c r="HV60" t="str">
        <f>""</f>
        <v/>
      </c>
      <c r="HW60" t="str">
        <f>""</f>
        <v/>
      </c>
      <c r="HX60" t="str">
        <f>""</f>
        <v/>
      </c>
      <c r="HY60" t="str">
        <f>""</f>
        <v/>
      </c>
      <c r="HZ60" t="str">
        <f>""</f>
        <v/>
      </c>
      <c r="IA60" t="str">
        <f>""</f>
        <v/>
      </c>
      <c r="IB60" t="str">
        <f>""</f>
        <v/>
      </c>
      <c r="IC60" t="str">
        <f>""</f>
        <v/>
      </c>
      <c r="ID60" t="str">
        <f>""</f>
        <v/>
      </c>
      <c r="IE60" t="str">
        <f>"-0.0786"</f>
        <v>-0.0786</v>
      </c>
      <c r="IF60" t="str">
        <f>"0.0780"</f>
        <v>0.0780</v>
      </c>
      <c r="IG60" t="str">
        <f>"-0.156***"</f>
        <v>-0.156***</v>
      </c>
      <c r="IH60" t="str">
        <f>""</f>
        <v/>
      </c>
      <c r="II60" t="str">
        <f>""</f>
        <v/>
      </c>
      <c r="IJ60" t="str">
        <f>""</f>
        <v/>
      </c>
      <c r="IK60" t="str">
        <f>""</f>
        <v/>
      </c>
      <c r="IL60" t="str">
        <f>""</f>
        <v/>
      </c>
      <c r="IM60" t="str">
        <f>""</f>
        <v/>
      </c>
      <c r="IN60" t="str">
        <f>""</f>
        <v/>
      </c>
      <c r="IO60" t="str">
        <f>""</f>
        <v/>
      </c>
      <c r="IP60" t="str">
        <f>""</f>
        <v/>
      </c>
      <c r="IQ60" t="str">
        <f>""</f>
        <v/>
      </c>
      <c r="IR60" t="str">
        <f>""</f>
        <v/>
      </c>
      <c r="IS60" t="str">
        <f>""</f>
        <v/>
      </c>
      <c r="IT60" t="str">
        <f>""</f>
        <v/>
      </c>
      <c r="IU60" t="str">
        <f>""</f>
        <v/>
      </c>
      <c r="IV60" t="str">
        <f>""</f>
        <v/>
      </c>
      <c r="IW60" t="str">
        <f>""</f>
        <v/>
      </c>
      <c r="IX60" t="str">
        <f>""</f>
        <v/>
      </c>
      <c r="IY60" t="str">
        <f>""</f>
        <v/>
      </c>
      <c r="IZ60" t="str">
        <f>""</f>
        <v/>
      </c>
      <c r="JA60" t="str">
        <f>""</f>
        <v/>
      </c>
      <c r="JB60" t="str">
        <f>""</f>
        <v/>
      </c>
      <c r="JC60" t="str">
        <f>""</f>
        <v/>
      </c>
      <c r="JD60" t="str">
        <f>""</f>
        <v/>
      </c>
      <c r="JE60" t="str">
        <f>""</f>
        <v/>
      </c>
      <c r="JF60" t="str">
        <f>""</f>
        <v/>
      </c>
      <c r="JG60" t="str">
        <f>""</f>
        <v/>
      </c>
      <c r="JH60" t="str">
        <f>""</f>
        <v/>
      </c>
      <c r="JI60" t="str">
        <f>""</f>
        <v/>
      </c>
      <c r="JJ60" t="str">
        <f>""</f>
        <v/>
      </c>
      <c r="JK60" t="str">
        <f>""</f>
        <v/>
      </c>
    </row>
    <row r="61" spans="1:271" x14ac:dyDescent="0.3">
      <c r="A61" t="str">
        <f>""</f>
        <v/>
      </c>
      <c r="B61" t="str">
        <f>""</f>
        <v/>
      </c>
      <c r="C61" t="str">
        <f>""</f>
        <v/>
      </c>
      <c r="D61" t="str">
        <f>""</f>
        <v/>
      </c>
      <c r="E61" t="str">
        <f>""</f>
        <v/>
      </c>
      <c r="F61" t="str">
        <f>""</f>
        <v/>
      </c>
      <c r="G61" t="str">
        <f>""</f>
        <v/>
      </c>
      <c r="H61" t="str">
        <f>""</f>
        <v/>
      </c>
      <c r="I61" t="str">
        <f>""</f>
        <v/>
      </c>
      <c r="J61" t="str">
        <f>""</f>
        <v/>
      </c>
      <c r="K61" t="str">
        <f>""</f>
        <v/>
      </c>
      <c r="L61" t="str">
        <f>""</f>
        <v/>
      </c>
      <c r="M61" t="str">
        <f>""</f>
        <v/>
      </c>
      <c r="N61" t="str">
        <f>"(0.0730)"</f>
        <v>(0.0730)</v>
      </c>
      <c r="O61" t="str">
        <f>"(0.0596)"</f>
        <v>(0.0596)</v>
      </c>
      <c r="P61" t="str">
        <f>"(0.0314)"</f>
        <v>(0.0314)</v>
      </c>
      <c r="Q61" t="str">
        <f>""</f>
        <v/>
      </c>
      <c r="R61" t="str">
        <f>""</f>
        <v/>
      </c>
      <c r="S61" t="str">
        <f>""</f>
        <v/>
      </c>
      <c r="T61" t="str">
        <f>""</f>
        <v/>
      </c>
      <c r="U61" t="str">
        <f>""</f>
        <v/>
      </c>
      <c r="V61" t="str">
        <f>""</f>
        <v/>
      </c>
      <c r="W61" t="str">
        <f>""</f>
        <v/>
      </c>
      <c r="X61" t="str">
        <f>""</f>
        <v/>
      </c>
      <c r="Y61" t="str">
        <f>""</f>
        <v/>
      </c>
      <c r="Z61" t="str">
        <f>""</f>
        <v/>
      </c>
      <c r="AA61" t="str">
        <f>""</f>
        <v/>
      </c>
      <c r="AB61" t="str">
        <f>""</f>
        <v/>
      </c>
      <c r="AC61" t="str">
        <f>""</f>
        <v/>
      </c>
      <c r="AD61" t="str">
        <f>""</f>
        <v/>
      </c>
      <c r="AE61" t="str">
        <f>""</f>
        <v/>
      </c>
      <c r="AF61" t="str">
        <f>""</f>
        <v/>
      </c>
      <c r="AG61" t="str">
        <f>""</f>
        <v/>
      </c>
      <c r="AH61" t="str">
        <f>""</f>
        <v/>
      </c>
      <c r="AI61" t="str">
        <f>""</f>
        <v/>
      </c>
      <c r="AJ61" t="str">
        <f>""</f>
        <v/>
      </c>
      <c r="AK61" t="str">
        <f>""</f>
        <v/>
      </c>
      <c r="AL61" t="str">
        <f>""</f>
        <v/>
      </c>
      <c r="AM61" t="str">
        <f>""</f>
        <v/>
      </c>
      <c r="AN61" t="str">
        <f>""</f>
        <v/>
      </c>
      <c r="AO61" t="str">
        <f>""</f>
        <v/>
      </c>
      <c r="AP61" t="str">
        <f>""</f>
        <v/>
      </c>
      <c r="AQ61" t="str">
        <f>""</f>
        <v/>
      </c>
      <c r="AR61" t="str">
        <f>""</f>
        <v/>
      </c>
      <c r="AS61" t="str">
        <f>""</f>
        <v/>
      </c>
      <c r="AT61" t="str">
        <f>""</f>
        <v/>
      </c>
      <c r="AU61" t="str">
        <f>""</f>
        <v/>
      </c>
      <c r="AV61" t="str">
        <f>""</f>
        <v/>
      </c>
      <c r="AW61" t="str">
        <f>""</f>
        <v/>
      </c>
      <c r="AX61" t="str">
        <f>""</f>
        <v/>
      </c>
      <c r="AY61" t="str">
        <f>""</f>
        <v/>
      </c>
      <c r="AZ61" t="str">
        <f>""</f>
        <v/>
      </c>
      <c r="BA61" t="str">
        <f>""</f>
        <v/>
      </c>
      <c r="BB61" t="str">
        <f>""</f>
        <v/>
      </c>
      <c r="BC61" t="str">
        <f>""</f>
        <v/>
      </c>
      <c r="BD61" t="str">
        <f>""</f>
        <v/>
      </c>
      <c r="BE61" t="str">
        <f>""</f>
        <v/>
      </c>
      <c r="BF61" t="str">
        <f>""</f>
        <v/>
      </c>
      <c r="BG61" t="str">
        <f>"(0.0740)"</f>
        <v>(0.0740)</v>
      </c>
      <c r="BH61" t="str">
        <f>"(0.0585)"</f>
        <v>(0.0585)</v>
      </c>
      <c r="BI61" t="str">
        <f>"(0.0304)"</f>
        <v>(0.0304)</v>
      </c>
      <c r="BJ61" t="str">
        <f>""</f>
        <v/>
      </c>
      <c r="BK61" t="str">
        <f>""</f>
        <v/>
      </c>
      <c r="BL61" t="str">
        <f>""</f>
        <v/>
      </c>
      <c r="BM61" t="str">
        <f>""</f>
        <v/>
      </c>
      <c r="BN61" t="str">
        <f>""</f>
        <v/>
      </c>
      <c r="BO61" t="str">
        <f>""</f>
        <v/>
      </c>
      <c r="BP61" t="str">
        <f>""</f>
        <v/>
      </c>
      <c r="BQ61" t="str">
        <f>""</f>
        <v/>
      </c>
      <c r="BR61" t="str">
        <f>""</f>
        <v/>
      </c>
      <c r="BS61" t="str">
        <f>""</f>
        <v/>
      </c>
      <c r="BT61" t="str">
        <f>""</f>
        <v/>
      </c>
      <c r="BU61" t="str">
        <f>""</f>
        <v/>
      </c>
      <c r="BV61" t="str">
        <f>""</f>
        <v/>
      </c>
      <c r="BW61" t="str">
        <f>""</f>
        <v/>
      </c>
      <c r="BX61" t="str">
        <f>""</f>
        <v/>
      </c>
      <c r="BY61" t="str">
        <f>""</f>
        <v/>
      </c>
      <c r="BZ61" t="str">
        <f>""</f>
        <v/>
      </c>
      <c r="CA61" t="str">
        <f>""</f>
        <v/>
      </c>
      <c r="CB61" t="str">
        <f>""</f>
        <v/>
      </c>
      <c r="CC61" t="str">
        <f>""</f>
        <v/>
      </c>
      <c r="CD61" t="str">
        <f>""</f>
        <v/>
      </c>
      <c r="CE61" t="str">
        <f>""</f>
        <v/>
      </c>
      <c r="CF61" t="str">
        <f>""</f>
        <v/>
      </c>
      <c r="CG61" t="str">
        <f>""</f>
        <v/>
      </c>
      <c r="CH61" t="str">
        <f>""</f>
        <v/>
      </c>
      <c r="CI61" t="str">
        <f>""</f>
        <v/>
      </c>
      <c r="CJ61" t="str">
        <f>""</f>
        <v/>
      </c>
      <c r="CK61" t="str">
        <f>""</f>
        <v/>
      </c>
      <c r="CL61" t="str">
        <f>""</f>
        <v/>
      </c>
      <c r="CM61" t="str">
        <f>""</f>
        <v/>
      </c>
      <c r="CN61" t="str">
        <f>""</f>
        <v/>
      </c>
      <c r="CO61" t="str">
        <f>""</f>
        <v/>
      </c>
      <c r="CP61" t="str">
        <f>""</f>
        <v/>
      </c>
      <c r="CQ61" t="str">
        <f>""</f>
        <v/>
      </c>
      <c r="CR61" t="str">
        <f>""</f>
        <v/>
      </c>
      <c r="CS61" t="str">
        <f>""</f>
        <v/>
      </c>
      <c r="CT61" t="str">
        <f>""</f>
        <v/>
      </c>
      <c r="CU61" t="str">
        <f>""</f>
        <v/>
      </c>
      <c r="CV61" t="str">
        <f>""</f>
        <v/>
      </c>
      <c r="CW61" t="str">
        <f>""</f>
        <v/>
      </c>
      <c r="CX61" t="str">
        <f>""</f>
        <v/>
      </c>
      <c r="CY61" t="str">
        <f>""</f>
        <v/>
      </c>
      <c r="CZ61" t="str">
        <f>"(0.0756)"</f>
        <v>(0.0756)</v>
      </c>
      <c r="DA61" t="str">
        <f>"(0.0558)"</f>
        <v>(0.0558)</v>
      </c>
      <c r="DB61" t="str">
        <f>"(0.0304)"</f>
        <v>(0.0304)</v>
      </c>
      <c r="DC61" t="str">
        <f>""</f>
        <v/>
      </c>
      <c r="DD61" t="str">
        <f>""</f>
        <v/>
      </c>
      <c r="DE61" t="str">
        <f>""</f>
        <v/>
      </c>
      <c r="DF61" t="str">
        <f>""</f>
        <v/>
      </c>
      <c r="DG61" t="str">
        <f>""</f>
        <v/>
      </c>
      <c r="DH61" t="str">
        <f>""</f>
        <v/>
      </c>
      <c r="DI61" t="str">
        <f>""</f>
        <v/>
      </c>
      <c r="DJ61" t="str">
        <f>""</f>
        <v/>
      </c>
      <c r="DK61" t="str">
        <f>""</f>
        <v/>
      </c>
      <c r="DL61" t="str">
        <f>""</f>
        <v/>
      </c>
      <c r="DM61" t="str">
        <f>""</f>
        <v/>
      </c>
      <c r="DN61" t="str">
        <f>""</f>
        <v/>
      </c>
      <c r="DO61" t="str">
        <f>""</f>
        <v/>
      </c>
      <c r="DP61" t="str">
        <f>""</f>
        <v/>
      </c>
      <c r="DQ61" t="str">
        <f>""</f>
        <v/>
      </c>
      <c r="DR61" t="str">
        <f>""</f>
        <v/>
      </c>
      <c r="DS61" t="str">
        <f>""</f>
        <v/>
      </c>
      <c r="DT61" t="str">
        <f>""</f>
        <v/>
      </c>
      <c r="DU61" t="str">
        <f>""</f>
        <v/>
      </c>
      <c r="DV61" t="str">
        <f>""</f>
        <v/>
      </c>
      <c r="DW61" t="str">
        <f>""</f>
        <v/>
      </c>
      <c r="DX61" t="str">
        <f>""</f>
        <v/>
      </c>
      <c r="DY61" t="str">
        <f>""</f>
        <v/>
      </c>
      <c r="DZ61" t="str">
        <f>""</f>
        <v/>
      </c>
      <c r="EA61" t="str">
        <f>""</f>
        <v/>
      </c>
      <c r="EB61" t="str">
        <f>""</f>
        <v/>
      </c>
      <c r="EC61" t="str">
        <f>""</f>
        <v/>
      </c>
      <c r="ED61" t="str">
        <f>""</f>
        <v/>
      </c>
      <c r="EE61" t="str">
        <f>""</f>
        <v/>
      </c>
      <c r="EF61" t="str">
        <f>""</f>
        <v/>
      </c>
      <c r="EG61" t="str">
        <f>""</f>
        <v/>
      </c>
      <c r="EH61" t="str">
        <f>""</f>
        <v/>
      </c>
      <c r="EI61" t="str">
        <f>""</f>
        <v/>
      </c>
      <c r="EJ61" t="str">
        <f>""</f>
        <v/>
      </c>
      <c r="EK61" t="str">
        <f>""</f>
        <v/>
      </c>
      <c r="EL61" t="str">
        <f>""</f>
        <v/>
      </c>
      <c r="EM61" t="str">
        <f>""</f>
        <v/>
      </c>
      <c r="EN61" t="str">
        <f>""</f>
        <v/>
      </c>
      <c r="EO61" t="str">
        <f>""</f>
        <v/>
      </c>
      <c r="EP61" t="str">
        <f>""</f>
        <v/>
      </c>
      <c r="EQ61" t="str">
        <f>""</f>
        <v/>
      </c>
      <c r="ER61" t="str">
        <f>""</f>
        <v/>
      </c>
      <c r="ES61" t="str">
        <f>"(0.0718)"</f>
        <v>(0.0718)</v>
      </c>
      <c r="ET61" t="str">
        <f>"(0.0607)"</f>
        <v>(0.0607)</v>
      </c>
      <c r="EU61" t="str">
        <f>"(0.0308)"</f>
        <v>(0.0308)</v>
      </c>
      <c r="EV61" t="str">
        <f>""</f>
        <v/>
      </c>
      <c r="EW61" t="str">
        <f>""</f>
        <v/>
      </c>
      <c r="EX61" t="str">
        <f>""</f>
        <v/>
      </c>
      <c r="EY61" t="str">
        <f>""</f>
        <v/>
      </c>
      <c r="EZ61" t="str">
        <f>""</f>
        <v/>
      </c>
      <c r="FA61" t="str">
        <f>""</f>
        <v/>
      </c>
      <c r="FB61" t="str">
        <f>""</f>
        <v/>
      </c>
      <c r="FC61" t="str">
        <f>""</f>
        <v/>
      </c>
      <c r="FD61" t="str">
        <f>""</f>
        <v/>
      </c>
      <c r="FE61" t="str">
        <f>""</f>
        <v/>
      </c>
      <c r="FF61" t="str">
        <f>""</f>
        <v/>
      </c>
      <c r="FG61" t="str">
        <f>""</f>
        <v/>
      </c>
      <c r="FH61" t="str">
        <f>""</f>
        <v/>
      </c>
      <c r="FI61" t="str">
        <f>""</f>
        <v/>
      </c>
      <c r="FJ61" t="str">
        <f>""</f>
        <v/>
      </c>
      <c r="FK61" t="str">
        <f>""</f>
        <v/>
      </c>
      <c r="FL61" t="str">
        <f>""</f>
        <v/>
      </c>
      <c r="FM61" t="str">
        <f>""</f>
        <v/>
      </c>
      <c r="FN61" t="str">
        <f>""</f>
        <v/>
      </c>
      <c r="FO61" t="str">
        <f>""</f>
        <v/>
      </c>
      <c r="FP61" t="str">
        <f>""</f>
        <v/>
      </c>
      <c r="FQ61" t="str">
        <f>""</f>
        <v/>
      </c>
      <c r="FR61" t="str">
        <f>""</f>
        <v/>
      </c>
      <c r="FS61" t="str">
        <f>""</f>
        <v/>
      </c>
      <c r="FT61" t="str">
        <f>""</f>
        <v/>
      </c>
      <c r="FU61" t="str">
        <f>""</f>
        <v/>
      </c>
      <c r="FV61" t="str">
        <f>""</f>
        <v/>
      </c>
      <c r="FW61" t="str">
        <f>""</f>
        <v/>
      </c>
      <c r="FX61" t="str">
        <f>""</f>
        <v/>
      </c>
      <c r="FY61" t="str">
        <f>""</f>
        <v/>
      </c>
      <c r="FZ61" t="str">
        <f>""</f>
        <v/>
      </c>
      <c r="GA61" t="str">
        <f>""</f>
        <v/>
      </c>
      <c r="GB61" t="str">
        <f>""</f>
        <v/>
      </c>
      <c r="GC61" t="str">
        <f>""</f>
        <v/>
      </c>
      <c r="GD61" t="str">
        <f>""</f>
        <v/>
      </c>
      <c r="GE61" t="str">
        <f>""</f>
        <v/>
      </c>
      <c r="GF61" t="str">
        <f>""</f>
        <v/>
      </c>
      <c r="GG61" t="str">
        <f>""</f>
        <v/>
      </c>
      <c r="GH61" t="str">
        <f>""</f>
        <v/>
      </c>
      <c r="GI61" t="str">
        <f>""</f>
        <v/>
      </c>
      <c r="GJ61" t="str">
        <f>""</f>
        <v/>
      </c>
      <c r="GK61" t="str">
        <f>""</f>
        <v/>
      </c>
      <c r="GL61" t="str">
        <f>"(0.0726)"</f>
        <v>(0.0726)</v>
      </c>
      <c r="GM61" t="str">
        <f>"(0.0615)"</f>
        <v>(0.0615)</v>
      </c>
      <c r="GN61" t="str">
        <f>"(0.0314)"</f>
        <v>(0.0314)</v>
      </c>
      <c r="GO61" t="str">
        <f>""</f>
        <v/>
      </c>
      <c r="GP61" t="str">
        <f>""</f>
        <v/>
      </c>
      <c r="GQ61" t="str">
        <f>""</f>
        <v/>
      </c>
      <c r="GR61" t="str">
        <f>""</f>
        <v/>
      </c>
      <c r="GS61" t="str">
        <f>""</f>
        <v/>
      </c>
      <c r="GT61" t="str">
        <f>""</f>
        <v/>
      </c>
      <c r="GU61" t="str">
        <f>""</f>
        <v/>
      </c>
      <c r="GV61" t="str">
        <f>""</f>
        <v/>
      </c>
      <c r="GW61" t="str">
        <f>""</f>
        <v/>
      </c>
      <c r="GX61" t="str">
        <f>""</f>
        <v/>
      </c>
      <c r="GY61" t="str">
        <f>""</f>
        <v/>
      </c>
      <c r="GZ61" t="str">
        <f>""</f>
        <v/>
      </c>
      <c r="HA61" t="str">
        <f>""</f>
        <v/>
      </c>
      <c r="HB61" t="str">
        <f>""</f>
        <v/>
      </c>
      <c r="HC61" t="str">
        <f>""</f>
        <v/>
      </c>
      <c r="HD61" t="str">
        <f>""</f>
        <v/>
      </c>
      <c r="HE61" t="str">
        <f>""</f>
        <v/>
      </c>
      <c r="HF61" t="str">
        <f>""</f>
        <v/>
      </c>
      <c r="HG61" t="str">
        <f>""</f>
        <v/>
      </c>
      <c r="HH61" t="str">
        <f>""</f>
        <v/>
      </c>
      <c r="HI61" t="str">
        <f>""</f>
        <v/>
      </c>
      <c r="HJ61" t="str">
        <f>""</f>
        <v/>
      </c>
      <c r="HK61" t="str">
        <f>""</f>
        <v/>
      </c>
      <c r="HL61" t="str">
        <f>""</f>
        <v/>
      </c>
      <c r="HM61" t="str">
        <f>""</f>
        <v/>
      </c>
      <c r="HN61" t="str">
        <f>""</f>
        <v/>
      </c>
      <c r="HO61" t="str">
        <f>""</f>
        <v/>
      </c>
      <c r="HP61" t="str">
        <f>""</f>
        <v/>
      </c>
      <c r="HQ61" t="str">
        <f>""</f>
        <v/>
      </c>
      <c r="HR61" t="str">
        <f>""</f>
        <v/>
      </c>
      <c r="HS61" t="str">
        <f>""</f>
        <v/>
      </c>
      <c r="HT61" t="str">
        <f>""</f>
        <v/>
      </c>
      <c r="HU61" t="str">
        <f>""</f>
        <v/>
      </c>
      <c r="HV61" t="str">
        <f>""</f>
        <v/>
      </c>
      <c r="HW61" t="str">
        <f>""</f>
        <v/>
      </c>
      <c r="HX61" t="str">
        <f>""</f>
        <v/>
      </c>
      <c r="HY61" t="str">
        <f>""</f>
        <v/>
      </c>
      <c r="HZ61" t="str">
        <f>""</f>
        <v/>
      </c>
      <c r="IA61" t="str">
        <f>""</f>
        <v/>
      </c>
      <c r="IB61" t="str">
        <f>""</f>
        <v/>
      </c>
      <c r="IC61" t="str">
        <f>""</f>
        <v/>
      </c>
      <c r="ID61" t="str">
        <f>""</f>
        <v/>
      </c>
      <c r="IE61" t="str">
        <f>"(0.0736)"</f>
        <v>(0.0736)</v>
      </c>
      <c r="IF61" t="str">
        <f>"(0.0625)"</f>
        <v>(0.0625)</v>
      </c>
      <c r="IG61" t="str">
        <f>"(0.0319)"</f>
        <v>(0.0319)</v>
      </c>
      <c r="IH61" t="str">
        <f>""</f>
        <v/>
      </c>
      <c r="II61" t="str">
        <f>""</f>
        <v/>
      </c>
      <c r="IJ61" t="str">
        <f>""</f>
        <v/>
      </c>
      <c r="IK61" t="str">
        <f>""</f>
        <v/>
      </c>
      <c r="IL61" t="str">
        <f>""</f>
        <v/>
      </c>
      <c r="IM61" t="str">
        <f>""</f>
        <v/>
      </c>
      <c r="IN61" t="str">
        <f>""</f>
        <v/>
      </c>
      <c r="IO61" t="str">
        <f>""</f>
        <v/>
      </c>
      <c r="IP61" t="str">
        <f>""</f>
        <v/>
      </c>
      <c r="IQ61" t="str">
        <f>""</f>
        <v/>
      </c>
      <c r="IR61" t="str">
        <f>""</f>
        <v/>
      </c>
      <c r="IS61" t="str">
        <f>""</f>
        <v/>
      </c>
      <c r="IT61" t="str">
        <f>""</f>
        <v/>
      </c>
      <c r="IU61" t="str">
        <f>""</f>
        <v/>
      </c>
      <c r="IV61" t="str">
        <f>""</f>
        <v/>
      </c>
      <c r="IW61" t="str">
        <f>""</f>
        <v/>
      </c>
      <c r="IX61" t="str">
        <f>""</f>
        <v/>
      </c>
      <c r="IY61" t="str">
        <f>""</f>
        <v/>
      </c>
      <c r="IZ61" t="str">
        <f>""</f>
        <v/>
      </c>
      <c r="JA61" t="str">
        <f>""</f>
        <v/>
      </c>
      <c r="JB61" t="str">
        <f>""</f>
        <v/>
      </c>
      <c r="JC61" t="str">
        <f>""</f>
        <v/>
      </c>
      <c r="JD61" t="str">
        <f>""</f>
        <v/>
      </c>
      <c r="JE61" t="str">
        <f>""</f>
        <v/>
      </c>
      <c r="JF61" t="str">
        <f>""</f>
        <v/>
      </c>
      <c r="JG61" t="str">
        <f>""</f>
        <v/>
      </c>
      <c r="JH61" t="str">
        <f>""</f>
        <v/>
      </c>
      <c r="JI61" t="str">
        <f>""</f>
        <v/>
      </c>
      <c r="JJ61" t="str">
        <f>""</f>
        <v/>
      </c>
      <c r="JK61" t="str">
        <f>""</f>
        <v/>
      </c>
    </row>
    <row r="63" spans="1:271" x14ac:dyDescent="0.3">
      <c r="A63" t="str">
        <f>"c.zMETAB5#c.PM1"</f>
        <v>c.zMETAB5#c.PM1</v>
      </c>
      <c r="B63" t="str">
        <f>""</f>
        <v/>
      </c>
      <c r="C63" t="str">
        <f>""</f>
        <v/>
      </c>
      <c r="D63" t="str">
        <f>""</f>
        <v/>
      </c>
      <c r="E63" t="str">
        <f>""</f>
        <v/>
      </c>
      <c r="F63" t="str">
        <f>""</f>
        <v/>
      </c>
      <c r="G63" t="str">
        <f>""</f>
        <v/>
      </c>
      <c r="H63" t="str">
        <f>""</f>
        <v/>
      </c>
      <c r="I63" t="str">
        <f>""</f>
        <v/>
      </c>
      <c r="J63" t="str">
        <f>""</f>
        <v/>
      </c>
      <c r="K63" t="str">
        <f>""</f>
        <v/>
      </c>
      <c r="L63" t="str">
        <f>""</f>
        <v/>
      </c>
      <c r="M63" t="str">
        <f>""</f>
        <v/>
      </c>
      <c r="N63" t="str">
        <f>"0.223*"</f>
        <v>0.223*</v>
      </c>
      <c r="O63" t="str">
        <f>"-0.00786"</f>
        <v>-0.00786</v>
      </c>
      <c r="P63" t="str">
        <f>"0.0261"</f>
        <v>0.0261</v>
      </c>
      <c r="Q63" t="str">
        <f>""</f>
        <v/>
      </c>
      <c r="R63" t="str">
        <f>""</f>
        <v/>
      </c>
      <c r="S63" t="str">
        <f>""</f>
        <v/>
      </c>
      <c r="T63" t="str">
        <f>""</f>
        <v/>
      </c>
      <c r="U63" t="str">
        <f>""</f>
        <v/>
      </c>
      <c r="V63" t="str">
        <f>""</f>
        <v/>
      </c>
      <c r="W63" t="str">
        <f>""</f>
        <v/>
      </c>
      <c r="X63" t="str">
        <f>""</f>
        <v/>
      </c>
      <c r="Y63" t="str">
        <f>""</f>
        <v/>
      </c>
      <c r="Z63" t="str">
        <f>""</f>
        <v/>
      </c>
      <c r="AA63" t="str">
        <f>""</f>
        <v/>
      </c>
      <c r="AB63" t="str">
        <f>""</f>
        <v/>
      </c>
      <c r="AC63" t="str">
        <f>""</f>
        <v/>
      </c>
      <c r="AD63" t="str">
        <f>""</f>
        <v/>
      </c>
      <c r="AE63" t="str">
        <f>""</f>
        <v/>
      </c>
      <c r="AF63" t="str">
        <f>""</f>
        <v/>
      </c>
      <c r="AG63" t="str">
        <f>""</f>
        <v/>
      </c>
      <c r="AH63" t="str">
        <f>""</f>
        <v/>
      </c>
      <c r="AI63" t="str">
        <f>""</f>
        <v/>
      </c>
      <c r="AJ63" t="str">
        <f>""</f>
        <v/>
      </c>
      <c r="AK63" t="str">
        <f>""</f>
        <v/>
      </c>
      <c r="AL63" t="str">
        <f>""</f>
        <v/>
      </c>
      <c r="AM63" t="str">
        <f>""</f>
        <v/>
      </c>
      <c r="AN63" t="str">
        <f>""</f>
        <v/>
      </c>
      <c r="AO63" t="str">
        <f>""</f>
        <v/>
      </c>
      <c r="AP63" t="str">
        <f>""</f>
        <v/>
      </c>
      <c r="AQ63" t="str">
        <f>""</f>
        <v/>
      </c>
      <c r="AR63" t="str">
        <f>""</f>
        <v/>
      </c>
      <c r="AS63" t="str">
        <f>""</f>
        <v/>
      </c>
      <c r="AT63" t="str">
        <f>""</f>
        <v/>
      </c>
      <c r="AU63" t="str">
        <f>""</f>
        <v/>
      </c>
      <c r="AV63" t="str">
        <f>""</f>
        <v/>
      </c>
      <c r="AW63" t="str">
        <f>""</f>
        <v/>
      </c>
      <c r="AX63" t="str">
        <f>""</f>
        <v/>
      </c>
      <c r="AY63" t="str">
        <f>""</f>
        <v/>
      </c>
      <c r="AZ63" t="str">
        <f>""</f>
        <v/>
      </c>
      <c r="BA63" t="str">
        <f>""</f>
        <v/>
      </c>
      <c r="BB63" t="str">
        <f>""</f>
        <v/>
      </c>
      <c r="BC63" t="str">
        <f>""</f>
        <v/>
      </c>
      <c r="BD63" t="str">
        <f>""</f>
        <v/>
      </c>
      <c r="BE63" t="str">
        <f>""</f>
        <v/>
      </c>
      <c r="BF63" t="str">
        <f>""</f>
        <v/>
      </c>
      <c r="BG63" t="str">
        <f>""</f>
        <v/>
      </c>
      <c r="BH63" t="str">
        <f>""</f>
        <v/>
      </c>
      <c r="BI63" t="str">
        <f>""</f>
        <v/>
      </c>
      <c r="BJ63" t="str">
        <f>""</f>
        <v/>
      </c>
      <c r="BK63" t="str">
        <f>""</f>
        <v/>
      </c>
      <c r="BL63" t="str">
        <f>""</f>
        <v/>
      </c>
      <c r="BM63" t="str">
        <f>""</f>
        <v/>
      </c>
      <c r="BN63" t="str">
        <f>""</f>
        <v/>
      </c>
      <c r="BO63" t="str">
        <f>""</f>
        <v/>
      </c>
      <c r="BP63" t="str">
        <f>""</f>
        <v/>
      </c>
      <c r="BQ63" t="str">
        <f>""</f>
        <v/>
      </c>
      <c r="BR63" t="str">
        <f>""</f>
        <v/>
      </c>
      <c r="BS63" t="str">
        <f>""</f>
        <v/>
      </c>
      <c r="BT63" t="str">
        <f>""</f>
        <v/>
      </c>
      <c r="BU63" t="str">
        <f>""</f>
        <v/>
      </c>
      <c r="BV63" t="str">
        <f>""</f>
        <v/>
      </c>
      <c r="BW63" t="str">
        <f>""</f>
        <v/>
      </c>
      <c r="BX63" t="str">
        <f>""</f>
        <v/>
      </c>
      <c r="BY63" t="str">
        <f>""</f>
        <v/>
      </c>
      <c r="BZ63" t="str">
        <f>""</f>
        <v/>
      </c>
      <c r="CA63" t="str">
        <f>""</f>
        <v/>
      </c>
      <c r="CB63" t="str">
        <f>""</f>
        <v/>
      </c>
      <c r="CC63" t="str">
        <f>""</f>
        <v/>
      </c>
      <c r="CD63" t="str">
        <f>""</f>
        <v/>
      </c>
      <c r="CE63" t="str">
        <f>""</f>
        <v/>
      </c>
      <c r="CF63" t="str">
        <f>""</f>
        <v/>
      </c>
      <c r="CG63" t="str">
        <f>""</f>
        <v/>
      </c>
      <c r="CH63" t="str">
        <f>""</f>
        <v/>
      </c>
      <c r="CI63" t="str">
        <f>""</f>
        <v/>
      </c>
      <c r="CJ63" t="str">
        <f>""</f>
        <v/>
      </c>
      <c r="CK63" t="str">
        <f>""</f>
        <v/>
      </c>
      <c r="CL63" t="str">
        <f>""</f>
        <v/>
      </c>
      <c r="CM63" t="str">
        <f>""</f>
        <v/>
      </c>
      <c r="CN63" t="str">
        <f>""</f>
        <v/>
      </c>
      <c r="CO63" t="str">
        <f>""</f>
        <v/>
      </c>
      <c r="CP63" t="str">
        <f>""</f>
        <v/>
      </c>
      <c r="CQ63" t="str">
        <f>""</f>
        <v/>
      </c>
      <c r="CR63" t="str">
        <f>""</f>
        <v/>
      </c>
      <c r="CS63" t="str">
        <f>""</f>
        <v/>
      </c>
      <c r="CT63" t="str">
        <f>""</f>
        <v/>
      </c>
      <c r="CU63" t="str">
        <f>""</f>
        <v/>
      </c>
      <c r="CV63" t="str">
        <f>""</f>
        <v/>
      </c>
      <c r="CW63" t="str">
        <f>""</f>
        <v/>
      </c>
      <c r="CX63" t="str">
        <f>""</f>
        <v/>
      </c>
      <c r="CY63" t="str">
        <f>""</f>
        <v/>
      </c>
      <c r="CZ63" t="str">
        <f>""</f>
        <v/>
      </c>
      <c r="DA63" t="str">
        <f>""</f>
        <v/>
      </c>
      <c r="DB63" t="str">
        <f>""</f>
        <v/>
      </c>
      <c r="DC63" t="str">
        <f>""</f>
        <v/>
      </c>
      <c r="DD63" t="str">
        <f>""</f>
        <v/>
      </c>
      <c r="DE63" t="str">
        <f>""</f>
        <v/>
      </c>
      <c r="DF63" t="str">
        <f>""</f>
        <v/>
      </c>
      <c r="DG63" t="str">
        <f>""</f>
        <v/>
      </c>
      <c r="DH63" t="str">
        <f>""</f>
        <v/>
      </c>
      <c r="DI63" t="str">
        <f>""</f>
        <v/>
      </c>
      <c r="DJ63" t="str">
        <f>""</f>
        <v/>
      </c>
      <c r="DK63" t="str">
        <f>""</f>
        <v/>
      </c>
      <c r="DL63" t="str">
        <f>""</f>
        <v/>
      </c>
      <c r="DM63" t="str">
        <f>""</f>
        <v/>
      </c>
      <c r="DN63" t="str">
        <f>""</f>
        <v/>
      </c>
      <c r="DO63" t="str">
        <f>""</f>
        <v/>
      </c>
      <c r="DP63" t="str">
        <f>""</f>
        <v/>
      </c>
      <c r="DQ63" t="str">
        <f>""</f>
        <v/>
      </c>
      <c r="DR63" t="str">
        <f>""</f>
        <v/>
      </c>
      <c r="DS63" t="str">
        <f>""</f>
        <v/>
      </c>
      <c r="DT63" t="str">
        <f>""</f>
        <v/>
      </c>
      <c r="DU63" t="str">
        <f>""</f>
        <v/>
      </c>
      <c r="DV63" t="str">
        <f>""</f>
        <v/>
      </c>
      <c r="DW63" t="str">
        <f>""</f>
        <v/>
      </c>
      <c r="DX63" t="str">
        <f>""</f>
        <v/>
      </c>
      <c r="DY63" t="str">
        <f>""</f>
        <v/>
      </c>
      <c r="DZ63" t="str">
        <f>""</f>
        <v/>
      </c>
      <c r="EA63" t="str">
        <f>""</f>
        <v/>
      </c>
      <c r="EB63" t="str">
        <f>""</f>
        <v/>
      </c>
      <c r="EC63" t="str">
        <f>""</f>
        <v/>
      </c>
      <c r="ED63" t="str">
        <f>""</f>
        <v/>
      </c>
      <c r="EE63" t="str">
        <f>""</f>
        <v/>
      </c>
      <c r="EF63" t="str">
        <f>""</f>
        <v/>
      </c>
      <c r="EG63" t="str">
        <f>""</f>
        <v/>
      </c>
      <c r="EH63" t="str">
        <f>""</f>
        <v/>
      </c>
      <c r="EI63" t="str">
        <f>""</f>
        <v/>
      </c>
      <c r="EJ63" t="str">
        <f>""</f>
        <v/>
      </c>
      <c r="EK63" t="str">
        <f>""</f>
        <v/>
      </c>
      <c r="EL63" t="str">
        <f>""</f>
        <v/>
      </c>
      <c r="EM63" t="str">
        <f>""</f>
        <v/>
      </c>
      <c r="EN63" t="str">
        <f>""</f>
        <v/>
      </c>
      <c r="EO63" t="str">
        <f>""</f>
        <v/>
      </c>
      <c r="EP63" t="str">
        <f>""</f>
        <v/>
      </c>
      <c r="EQ63" t="str">
        <f>""</f>
        <v/>
      </c>
      <c r="ER63" t="str">
        <f>""</f>
        <v/>
      </c>
      <c r="ES63" t="str">
        <f>""</f>
        <v/>
      </c>
      <c r="ET63" t="str">
        <f>""</f>
        <v/>
      </c>
      <c r="EU63" t="str">
        <f>""</f>
        <v/>
      </c>
      <c r="EV63" t="str">
        <f>""</f>
        <v/>
      </c>
      <c r="EW63" t="str">
        <f>""</f>
        <v/>
      </c>
      <c r="EX63" t="str">
        <f>""</f>
        <v/>
      </c>
      <c r="EY63" t="str">
        <f>""</f>
        <v/>
      </c>
      <c r="EZ63" t="str">
        <f>""</f>
        <v/>
      </c>
      <c r="FA63" t="str">
        <f>""</f>
        <v/>
      </c>
      <c r="FB63" t="str">
        <f>""</f>
        <v/>
      </c>
      <c r="FC63" t="str">
        <f>""</f>
        <v/>
      </c>
      <c r="FD63" t="str">
        <f>""</f>
        <v/>
      </c>
      <c r="FE63" t="str">
        <f>""</f>
        <v/>
      </c>
      <c r="FF63" t="str">
        <f>""</f>
        <v/>
      </c>
      <c r="FG63" t="str">
        <f>""</f>
        <v/>
      </c>
      <c r="FH63" t="str">
        <f>""</f>
        <v/>
      </c>
      <c r="FI63" t="str">
        <f>""</f>
        <v/>
      </c>
      <c r="FJ63" t="str">
        <f>""</f>
        <v/>
      </c>
      <c r="FK63" t="str">
        <f>""</f>
        <v/>
      </c>
      <c r="FL63" t="str">
        <f>""</f>
        <v/>
      </c>
      <c r="FM63" t="str">
        <f>""</f>
        <v/>
      </c>
      <c r="FN63" t="str">
        <f>""</f>
        <v/>
      </c>
      <c r="FO63" t="str">
        <f>""</f>
        <v/>
      </c>
      <c r="FP63" t="str">
        <f>""</f>
        <v/>
      </c>
      <c r="FQ63" t="str">
        <f>""</f>
        <v/>
      </c>
      <c r="FR63" t="str">
        <f>""</f>
        <v/>
      </c>
      <c r="FS63" t="str">
        <f>""</f>
        <v/>
      </c>
      <c r="FT63" t="str">
        <f>""</f>
        <v/>
      </c>
      <c r="FU63" t="str">
        <f>""</f>
        <v/>
      </c>
      <c r="FV63" t="str">
        <f>""</f>
        <v/>
      </c>
      <c r="FW63" t="str">
        <f>""</f>
        <v/>
      </c>
      <c r="FX63" t="str">
        <f>""</f>
        <v/>
      </c>
      <c r="FY63" t="str">
        <f>""</f>
        <v/>
      </c>
      <c r="FZ63" t="str">
        <f>""</f>
        <v/>
      </c>
      <c r="GA63" t="str">
        <f>""</f>
        <v/>
      </c>
      <c r="GB63" t="str">
        <f>""</f>
        <v/>
      </c>
      <c r="GC63" t="str">
        <f>""</f>
        <v/>
      </c>
      <c r="GD63" t="str">
        <f>""</f>
        <v/>
      </c>
      <c r="GE63" t="str">
        <f>""</f>
        <v/>
      </c>
      <c r="GF63" t="str">
        <f>""</f>
        <v/>
      </c>
      <c r="GG63" t="str">
        <f>""</f>
        <v/>
      </c>
      <c r="GH63" t="str">
        <f>""</f>
        <v/>
      </c>
      <c r="GI63" t="str">
        <f>""</f>
        <v/>
      </c>
      <c r="GJ63" t="str">
        <f>""</f>
        <v/>
      </c>
      <c r="GK63" t="str">
        <f>""</f>
        <v/>
      </c>
      <c r="GL63" t="str">
        <f>""</f>
        <v/>
      </c>
      <c r="GM63" t="str">
        <f>""</f>
        <v/>
      </c>
      <c r="GN63" t="str">
        <f>""</f>
        <v/>
      </c>
      <c r="GO63" t="str">
        <f>""</f>
        <v/>
      </c>
      <c r="GP63" t="str">
        <f>""</f>
        <v/>
      </c>
      <c r="GQ63" t="str">
        <f>""</f>
        <v/>
      </c>
      <c r="GR63" t="str">
        <f>""</f>
        <v/>
      </c>
      <c r="GS63" t="str">
        <f>""</f>
        <v/>
      </c>
      <c r="GT63" t="str">
        <f>""</f>
        <v/>
      </c>
      <c r="GU63" t="str">
        <f>""</f>
        <v/>
      </c>
      <c r="GV63" t="str">
        <f>""</f>
        <v/>
      </c>
      <c r="GW63" t="str">
        <f>""</f>
        <v/>
      </c>
      <c r="GX63" t="str">
        <f>""</f>
        <v/>
      </c>
      <c r="GY63" t="str">
        <f>""</f>
        <v/>
      </c>
      <c r="GZ63" t="str">
        <f>""</f>
        <v/>
      </c>
      <c r="HA63" t="str">
        <f>""</f>
        <v/>
      </c>
      <c r="HB63" t="str">
        <f>""</f>
        <v/>
      </c>
      <c r="HC63" t="str">
        <f>""</f>
        <v/>
      </c>
      <c r="HD63" t="str">
        <f>""</f>
        <v/>
      </c>
      <c r="HE63" t="str">
        <f>""</f>
        <v/>
      </c>
      <c r="HF63" t="str">
        <f>""</f>
        <v/>
      </c>
      <c r="HG63" t="str">
        <f>""</f>
        <v/>
      </c>
      <c r="HH63" t="str">
        <f>""</f>
        <v/>
      </c>
      <c r="HI63" t="str">
        <f>""</f>
        <v/>
      </c>
      <c r="HJ63" t="str">
        <f>""</f>
        <v/>
      </c>
      <c r="HK63" t="str">
        <f>""</f>
        <v/>
      </c>
      <c r="HL63" t="str">
        <f>""</f>
        <v/>
      </c>
      <c r="HM63" t="str">
        <f>""</f>
        <v/>
      </c>
      <c r="HN63" t="str">
        <f>""</f>
        <v/>
      </c>
      <c r="HO63" t="str">
        <f>""</f>
        <v/>
      </c>
      <c r="HP63" t="str">
        <f>""</f>
        <v/>
      </c>
      <c r="HQ63" t="str">
        <f>""</f>
        <v/>
      </c>
      <c r="HR63" t="str">
        <f>""</f>
        <v/>
      </c>
      <c r="HS63" t="str">
        <f>""</f>
        <v/>
      </c>
      <c r="HT63" t="str">
        <f>""</f>
        <v/>
      </c>
      <c r="HU63" t="str">
        <f>""</f>
        <v/>
      </c>
      <c r="HV63" t="str">
        <f>""</f>
        <v/>
      </c>
      <c r="HW63" t="str">
        <f>""</f>
        <v/>
      </c>
      <c r="HX63" t="str">
        <f>""</f>
        <v/>
      </c>
      <c r="HY63" t="str">
        <f>""</f>
        <v/>
      </c>
      <c r="HZ63" t="str">
        <f>""</f>
        <v/>
      </c>
      <c r="IA63" t="str">
        <f>""</f>
        <v/>
      </c>
      <c r="IB63" t="str">
        <f>""</f>
        <v/>
      </c>
      <c r="IC63" t="str">
        <f>""</f>
        <v/>
      </c>
      <c r="ID63" t="str">
        <f>""</f>
        <v/>
      </c>
      <c r="IE63" t="str">
        <f>""</f>
        <v/>
      </c>
      <c r="IF63" t="str">
        <f>""</f>
        <v/>
      </c>
      <c r="IG63" t="str">
        <f>""</f>
        <v/>
      </c>
      <c r="IH63" t="str">
        <f>""</f>
        <v/>
      </c>
      <c r="II63" t="str">
        <f>""</f>
        <v/>
      </c>
      <c r="IJ63" t="str">
        <f>""</f>
        <v/>
      </c>
      <c r="IK63" t="str">
        <f>""</f>
        <v/>
      </c>
      <c r="IL63" t="str">
        <f>""</f>
        <v/>
      </c>
      <c r="IM63" t="str">
        <f>""</f>
        <v/>
      </c>
      <c r="IN63" t="str">
        <f>""</f>
        <v/>
      </c>
      <c r="IO63" t="str">
        <f>""</f>
        <v/>
      </c>
      <c r="IP63" t="str">
        <f>""</f>
        <v/>
      </c>
      <c r="IQ63" t="str">
        <f>""</f>
        <v/>
      </c>
      <c r="IR63" t="str">
        <f>""</f>
        <v/>
      </c>
      <c r="IS63" t="str">
        <f>""</f>
        <v/>
      </c>
      <c r="IT63" t="str">
        <f>""</f>
        <v/>
      </c>
      <c r="IU63" t="str">
        <f>""</f>
        <v/>
      </c>
      <c r="IV63" t="str">
        <f>""</f>
        <v/>
      </c>
      <c r="IW63" t="str">
        <f>""</f>
        <v/>
      </c>
      <c r="IX63" t="str">
        <f>""</f>
        <v/>
      </c>
      <c r="IY63" t="str">
        <f>""</f>
        <v/>
      </c>
      <c r="IZ63" t="str">
        <f>""</f>
        <v/>
      </c>
      <c r="JA63" t="str">
        <f>""</f>
        <v/>
      </c>
      <c r="JB63" t="str">
        <f>""</f>
        <v/>
      </c>
      <c r="JC63" t="str">
        <f>""</f>
        <v/>
      </c>
      <c r="JD63" t="str">
        <f>""</f>
        <v/>
      </c>
      <c r="JE63" t="str">
        <f>""</f>
        <v/>
      </c>
      <c r="JF63" t="str">
        <f>""</f>
        <v/>
      </c>
      <c r="JG63" t="str">
        <f>""</f>
        <v/>
      </c>
      <c r="JH63" t="str">
        <f>""</f>
        <v/>
      </c>
      <c r="JI63" t="str">
        <f>""</f>
        <v/>
      </c>
      <c r="JJ63" t="str">
        <f>""</f>
        <v/>
      </c>
      <c r="JK63" t="str">
        <f>""</f>
        <v/>
      </c>
    </row>
    <row r="64" spans="1:271" x14ac:dyDescent="0.3">
      <c r="A64" t="str">
        <f>""</f>
        <v/>
      </c>
      <c r="B64" t="str">
        <f>""</f>
        <v/>
      </c>
      <c r="C64" t="str">
        <f>""</f>
        <v/>
      </c>
      <c r="D64" t="str">
        <f>""</f>
        <v/>
      </c>
      <c r="E64" t="str">
        <f>""</f>
        <v/>
      </c>
      <c r="F64" t="str">
        <f>""</f>
        <v/>
      </c>
      <c r="G64" t="str">
        <f>""</f>
        <v/>
      </c>
      <c r="H64" t="str">
        <f>""</f>
        <v/>
      </c>
      <c r="I64" t="str">
        <f>""</f>
        <v/>
      </c>
      <c r="J64" t="str">
        <f>""</f>
        <v/>
      </c>
      <c r="K64" t="str">
        <f>""</f>
        <v/>
      </c>
      <c r="L64" t="str">
        <f>""</f>
        <v/>
      </c>
      <c r="M64" t="str">
        <f>""</f>
        <v/>
      </c>
      <c r="N64" t="str">
        <f>"(0.103)"</f>
        <v>(0.103)</v>
      </c>
      <c r="O64" t="str">
        <f>"(0.0812)"</f>
        <v>(0.0812)</v>
      </c>
      <c r="P64" t="str">
        <f>"(0.0414)"</f>
        <v>(0.0414)</v>
      </c>
      <c r="Q64" t="str">
        <f>""</f>
        <v/>
      </c>
      <c r="R64" t="str">
        <f>""</f>
        <v/>
      </c>
      <c r="S64" t="str">
        <f>""</f>
        <v/>
      </c>
      <c r="T64" t="str">
        <f>""</f>
        <v/>
      </c>
      <c r="U64" t="str">
        <f>""</f>
        <v/>
      </c>
      <c r="V64" t="str">
        <f>""</f>
        <v/>
      </c>
      <c r="W64" t="str">
        <f>""</f>
        <v/>
      </c>
      <c r="X64" t="str">
        <f>""</f>
        <v/>
      </c>
      <c r="Y64" t="str">
        <f>""</f>
        <v/>
      </c>
      <c r="Z64" t="str">
        <f>""</f>
        <v/>
      </c>
      <c r="AA64" t="str">
        <f>""</f>
        <v/>
      </c>
      <c r="AB64" t="str">
        <f>""</f>
        <v/>
      </c>
      <c r="AC64" t="str">
        <f>""</f>
        <v/>
      </c>
      <c r="AD64" t="str">
        <f>""</f>
        <v/>
      </c>
      <c r="AE64" t="str">
        <f>""</f>
        <v/>
      </c>
      <c r="AF64" t="str">
        <f>""</f>
        <v/>
      </c>
      <c r="AG64" t="str">
        <f>""</f>
        <v/>
      </c>
      <c r="AH64" t="str">
        <f>""</f>
        <v/>
      </c>
      <c r="AI64" t="str">
        <f>""</f>
        <v/>
      </c>
      <c r="AJ64" t="str">
        <f>""</f>
        <v/>
      </c>
      <c r="AK64" t="str">
        <f>""</f>
        <v/>
      </c>
      <c r="AL64" t="str">
        <f>""</f>
        <v/>
      </c>
      <c r="AM64" t="str">
        <f>""</f>
        <v/>
      </c>
      <c r="AN64" t="str">
        <f>""</f>
        <v/>
      </c>
      <c r="AO64" t="str">
        <f>""</f>
        <v/>
      </c>
      <c r="AP64" t="str">
        <f>""</f>
        <v/>
      </c>
      <c r="AQ64" t="str">
        <f>""</f>
        <v/>
      </c>
      <c r="AR64" t="str">
        <f>""</f>
        <v/>
      </c>
      <c r="AS64" t="str">
        <f>""</f>
        <v/>
      </c>
      <c r="AT64" t="str">
        <f>""</f>
        <v/>
      </c>
      <c r="AU64" t="str">
        <f>""</f>
        <v/>
      </c>
      <c r="AV64" t="str">
        <f>""</f>
        <v/>
      </c>
      <c r="AW64" t="str">
        <f>""</f>
        <v/>
      </c>
      <c r="AX64" t="str">
        <f>""</f>
        <v/>
      </c>
      <c r="AY64" t="str">
        <f>""</f>
        <v/>
      </c>
      <c r="AZ64" t="str">
        <f>""</f>
        <v/>
      </c>
      <c r="BA64" t="str">
        <f>""</f>
        <v/>
      </c>
      <c r="BB64" t="str">
        <f>""</f>
        <v/>
      </c>
      <c r="BC64" t="str">
        <f>""</f>
        <v/>
      </c>
      <c r="BD64" t="str">
        <f>""</f>
        <v/>
      </c>
      <c r="BE64" t="str">
        <f>""</f>
        <v/>
      </c>
      <c r="BF64" t="str">
        <f>""</f>
        <v/>
      </c>
      <c r="BG64" t="str">
        <f>""</f>
        <v/>
      </c>
      <c r="BH64" t="str">
        <f>""</f>
        <v/>
      </c>
      <c r="BI64" t="str">
        <f>""</f>
        <v/>
      </c>
      <c r="BJ64" t="str">
        <f>""</f>
        <v/>
      </c>
      <c r="BK64" t="str">
        <f>""</f>
        <v/>
      </c>
      <c r="BL64" t="str">
        <f>""</f>
        <v/>
      </c>
      <c r="BM64" t="str">
        <f>""</f>
        <v/>
      </c>
      <c r="BN64" t="str">
        <f>""</f>
        <v/>
      </c>
      <c r="BO64" t="str">
        <f>""</f>
        <v/>
      </c>
      <c r="BP64" t="str">
        <f>""</f>
        <v/>
      </c>
      <c r="BQ64" t="str">
        <f>""</f>
        <v/>
      </c>
      <c r="BR64" t="str">
        <f>""</f>
        <v/>
      </c>
      <c r="BS64" t="str">
        <f>""</f>
        <v/>
      </c>
      <c r="BT64" t="str">
        <f>""</f>
        <v/>
      </c>
      <c r="BU64" t="str">
        <f>""</f>
        <v/>
      </c>
      <c r="BV64" t="str">
        <f>""</f>
        <v/>
      </c>
      <c r="BW64" t="str">
        <f>""</f>
        <v/>
      </c>
      <c r="BX64" t="str">
        <f>""</f>
        <v/>
      </c>
      <c r="BY64" t="str">
        <f>""</f>
        <v/>
      </c>
      <c r="BZ64" t="str">
        <f>""</f>
        <v/>
      </c>
      <c r="CA64" t="str">
        <f>""</f>
        <v/>
      </c>
      <c r="CB64" t="str">
        <f>""</f>
        <v/>
      </c>
      <c r="CC64" t="str">
        <f>""</f>
        <v/>
      </c>
      <c r="CD64" t="str">
        <f>""</f>
        <v/>
      </c>
      <c r="CE64" t="str">
        <f>""</f>
        <v/>
      </c>
      <c r="CF64" t="str">
        <f>""</f>
        <v/>
      </c>
      <c r="CG64" t="str">
        <f>""</f>
        <v/>
      </c>
      <c r="CH64" t="str">
        <f>""</f>
        <v/>
      </c>
      <c r="CI64" t="str">
        <f>""</f>
        <v/>
      </c>
      <c r="CJ64" t="str">
        <f>""</f>
        <v/>
      </c>
      <c r="CK64" t="str">
        <f>""</f>
        <v/>
      </c>
      <c r="CL64" t="str">
        <f>""</f>
        <v/>
      </c>
      <c r="CM64" t="str">
        <f>""</f>
        <v/>
      </c>
      <c r="CN64" t="str">
        <f>""</f>
        <v/>
      </c>
      <c r="CO64" t="str">
        <f>""</f>
        <v/>
      </c>
      <c r="CP64" t="str">
        <f>""</f>
        <v/>
      </c>
      <c r="CQ64" t="str">
        <f>""</f>
        <v/>
      </c>
      <c r="CR64" t="str">
        <f>""</f>
        <v/>
      </c>
      <c r="CS64" t="str">
        <f>""</f>
        <v/>
      </c>
      <c r="CT64" t="str">
        <f>""</f>
        <v/>
      </c>
      <c r="CU64" t="str">
        <f>""</f>
        <v/>
      </c>
      <c r="CV64" t="str">
        <f>""</f>
        <v/>
      </c>
      <c r="CW64" t="str">
        <f>""</f>
        <v/>
      </c>
      <c r="CX64" t="str">
        <f>""</f>
        <v/>
      </c>
      <c r="CY64" t="str">
        <f>""</f>
        <v/>
      </c>
      <c r="CZ64" t="str">
        <f>""</f>
        <v/>
      </c>
      <c r="DA64" t="str">
        <f>""</f>
        <v/>
      </c>
      <c r="DB64" t="str">
        <f>""</f>
        <v/>
      </c>
      <c r="DC64" t="str">
        <f>""</f>
        <v/>
      </c>
      <c r="DD64" t="str">
        <f>""</f>
        <v/>
      </c>
      <c r="DE64" t="str">
        <f>""</f>
        <v/>
      </c>
      <c r="DF64" t="str">
        <f>""</f>
        <v/>
      </c>
      <c r="DG64" t="str">
        <f>""</f>
        <v/>
      </c>
      <c r="DH64" t="str">
        <f>""</f>
        <v/>
      </c>
      <c r="DI64" t="str">
        <f>""</f>
        <v/>
      </c>
      <c r="DJ64" t="str">
        <f>""</f>
        <v/>
      </c>
      <c r="DK64" t="str">
        <f>""</f>
        <v/>
      </c>
      <c r="DL64" t="str">
        <f>""</f>
        <v/>
      </c>
      <c r="DM64" t="str">
        <f>""</f>
        <v/>
      </c>
      <c r="DN64" t="str">
        <f>""</f>
        <v/>
      </c>
      <c r="DO64" t="str">
        <f>""</f>
        <v/>
      </c>
      <c r="DP64" t="str">
        <f>""</f>
        <v/>
      </c>
      <c r="DQ64" t="str">
        <f>""</f>
        <v/>
      </c>
      <c r="DR64" t="str">
        <f>""</f>
        <v/>
      </c>
      <c r="DS64" t="str">
        <f>""</f>
        <v/>
      </c>
      <c r="DT64" t="str">
        <f>""</f>
        <v/>
      </c>
      <c r="DU64" t="str">
        <f>""</f>
        <v/>
      </c>
      <c r="DV64" t="str">
        <f>""</f>
        <v/>
      </c>
      <c r="DW64" t="str">
        <f>""</f>
        <v/>
      </c>
      <c r="DX64" t="str">
        <f>""</f>
        <v/>
      </c>
      <c r="DY64" t="str">
        <f>""</f>
        <v/>
      </c>
      <c r="DZ64" t="str">
        <f>""</f>
        <v/>
      </c>
      <c r="EA64" t="str">
        <f>""</f>
        <v/>
      </c>
      <c r="EB64" t="str">
        <f>""</f>
        <v/>
      </c>
      <c r="EC64" t="str">
        <f>""</f>
        <v/>
      </c>
      <c r="ED64" t="str">
        <f>""</f>
        <v/>
      </c>
      <c r="EE64" t="str">
        <f>""</f>
        <v/>
      </c>
      <c r="EF64" t="str">
        <f>""</f>
        <v/>
      </c>
      <c r="EG64" t="str">
        <f>""</f>
        <v/>
      </c>
      <c r="EH64" t="str">
        <f>""</f>
        <v/>
      </c>
      <c r="EI64" t="str">
        <f>""</f>
        <v/>
      </c>
      <c r="EJ64" t="str">
        <f>""</f>
        <v/>
      </c>
      <c r="EK64" t="str">
        <f>""</f>
        <v/>
      </c>
      <c r="EL64" t="str">
        <f>""</f>
        <v/>
      </c>
      <c r="EM64" t="str">
        <f>""</f>
        <v/>
      </c>
      <c r="EN64" t="str">
        <f>""</f>
        <v/>
      </c>
      <c r="EO64" t="str">
        <f>""</f>
        <v/>
      </c>
      <c r="EP64" t="str">
        <f>""</f>
        <v/>
      </c>
      <c r="EQ64" t="str">
        <f>""</f>
        <v/>
      </c>
      <c r="ER64" t="str">
        <f>""</f>
        <v/>
      </c>
      <c r="ES64" t="str">
        <f>""</f>
        <v/>
      </c>
      <c r="ET64" t="str">
        <f>""</f>
        <v/>
      </c>
      <c r="EU64" t="str">
        <f>""</f>
        <v/>
      </c>
      <c r="EV64" t="str">
        <f>""</f>
        <v/>
      </c>
      <c r="EW64" t="str">
        <f>""</f>
        <v/>
      </c>
      <c r="EX64" t="str">
        <f>""</f>
        <v/>
      </c>
      <c r="EY64" t="str">
        <f>""</f>
        <v/>
      </c>
      <c r="EZ64" t="str">
        <f>""</f>
        <v/>
      </c>
      <c r="FA64" t="str">
        <f>""</f>
        <v/>
      </c>
      <c r="FB64" t="str">
        <f>""</f>
        <v/>
      </c>
      <c r="FC64" t="str">
        <f>""</f>
        <v/>
      </c>
      <c r="FD64" t="str">
        <f>""</f>
        <v/>
      </c>
      <c r="FE64" t="str">
        <f>""</f>
        <v/>
      </c>
      <c r="FF64" t="str">
        <f>""</f>
        <v/>
      </c>
      <c r="FG64" t="str">
        <f>""</f>
        <v/>
      </c>
      <c r="FH64" t="str">
        <f>""</f>
        <v/>
      </c>
      <c r="FI64" t="str">
        <f>""</f>
        <v/>
      </c>
      <c r="FJ64" t="str">
        <f>""</f>
        <v/>
      </c>
      <c r="FK64" t="str">
        <f>""</f>
        <v/>
      </c>
      <c r="FL64" t="str">
        <f>""</f>
        <v/>
      </c>
      <c r="FM64" t="str">
        <f>""</f>
        <v/>
      </c>
      <c r="FN64" t="str">
        <f>""</f>
        <v/>
      </c>
      <c r="FO64" t="str">
        <f>""</f>
        <v/>
      </c>
      <c r="FP64" t="str">
        <f>""</f>
        <v/>
      </c>
      <c r="FQ64" t="str">
        <f>""</f>
        <v/>
      </c>
      <c r="FR64" t="str">
        <f>""</f>
        <v/>
      </c>
      <c r="FS64" t="str">
        <f>""</f>
        <v/>
      </c>
      <c r="FT64" t="str">
        <f>""</f>
        <v/>
      </c>
      <c r="FU64" t="str">
        <f>""</f>
        <v/>
      </c>
      <c r="FV64" t="str">
        <f>""</f>
        <v/>
      </c>
      <c r="FW64" t="str">
        <f>""</f>
        <v/>
      </c>
      <c r="FX64" t="str">
        <f>""</f>
        <v/>
      </c>
      <c r="FY64" t="str">
        <f>""</f>
        <v/>
      </c>
      <c r="FZ64" t="str">
        <f>""</f>
        <v/>
      </c>
      <c r="GA64" t="str">
        <f>""</f>
        <v/>
      </c>
      <c r="GB64" t="str">
        <f>""</f>
        <v/>
      </c>
      <c r="GC64" t="str">
        <f>""</f>
        <v/>
      </c>
      <c r="GD64" t="str">
        <f>""</f>
        <v/>
      </c>
      <c r="GE64" t="str">
        <f>""</f>
        <v/>
      </c>
      <c r="GF64" t="str">
        <f>""</f>
        <v/>
      </c>
      <c r="GG64" t="str">
        <f>""</f>
        <v/>
      </c>
      <c r="GH64" t="str">
        <f>""</f>
        <v/>
      </c>
      <c r="GI64" t="str">
        <f>""</f>
        <v/>
      </c>
      <c r="GJ64" t="str">
        <f>""</f>
        <v/>
      </c>
      <c r="GK64" t="str">
        <f>""</f>
        <v/>
      </c>
      <c r="GL64" t="str">
        <f>""</f>
        <v/>
      </c>
      <c r="GM64" t="str">
        <f>""</f>
        <v/>
      </c>
      <c r="GN64" t="str">
        <f>""</f>
        <v/>
      </c>
      <c r="GO64" t="str">
        <f>""</f>
        <v/>
      </c>
      <c r="GP64" t="str">
        <f>""</f>
        <v/>
      </c>
      <c r="GQ64" t="str">
        <f>""</f>
        <v/>
      </c>
      <c r="GR64" t="str">
        <f>""</f>
        <v/>
      </c>
      <c r="GS64" t="str">
        <f>""</f>
        <v/>
      </c>
      <c r="GT64" t="str">
        <f>""</f>
        <v/>
      </c>
      <c r="GU64" t="str">
        <f>""</f>
        <v/>
      </c>
      <c r="GV64" t="str">
        <f>""</f>
        <v/>
      </c>
      <c r="GW64" t="str">
        <f>""</f>
        <v/>
      </c>
      <c r="GX64" t="str">
        <f>""</f>
        <v/>
      </c>
      <c r="GY64" t="str">
        <f>""</f>
        <v/>
      </c>
      <c r="GZ64" t="str">
        <f>""</f>
        <v/>
      </c>
      <c r="HA64" t="str">
        <f>""</f>
        <v/>
      </c>
      <c r="HB64" t="str">
        <f>""</f>
        <v/>
      </c>
      <c r="HC64" t="str">
        <f>""</f>
        <v/>
      </c>
      <c r="HD64" t="str">
        <f>""</f>
        <v/>
      </c>
      <c r="HE64" t="str">
        <f>""</f>
        <v/>
      </c>
      <c r="HF64" t="str">
        <f>""</f>
        <v/>
      </c>
      <c r="HG64" t="str">
        <f>""</f>
        <v/>
      </c>
      <c r="HH64" t="str">
        <f>""</f>
        <v/>
      </c>
      <c r="HI64" t="str">
        <f>""</f>
        <v/>
      </c>
      <c r="HJ64" t="str">
        <f>""</f>
        <v/>
      </c>
      <c r="HK64" t="str">
        <f>""</f>
        <v/>
      </c>
      <c r="HL64" t="str">
        <f>""</f>
        <v/>
      </c>
      <c r="HM64" t="str">
        <f>""</f>
        <v/>
      </c>
      <c r="HN64" t="str">
        <f>""</f>
        <v/>
      </c>
      <c r="HO64" t="str">
        <f>""</f>
        <v/>
      </c>
      <c r="HP64" t="str">
        <f>""</f>
        <v/>
      </c>
      <c r="HQ64" t="str">
        <f>""</f>
        <v/>
      </c>
      <c r="HR64" t="str">
        <f>""</f>
        <v/>
      </c>
      <c r="HS64" t="str">
        <f>""</f>
        <v/>
      </c>
      <c r="HT64" t="str">
        <f>""</f>
        <v/>
      </c>
      <c r="HU64" t="str">
        <f>""</f>
        <v/>
      </c>
      <c r="HV64" t="str">
        <f>""</f>
        <v/>
      </c>
      <c r="HW64" t="str">
        <f>""</f>
        <v/>
      </c>
      <c r="HX64" t="str">
        <f>""</f>
        <v/>
      </c>
      <c r="HY64" t="str">
        <f>""</f>
        <v/>
      </c>
      <c r="HZ64" t="str">
        <f>""</f>
        <v/>
      </c>
      <c r="IA64" t="str">
        <f>""</f>
        <v/>
      </c>
      <c r="IB64" t="str">
        <f>""</f>
        <v/>
      </c>
      <c r="IC64" t="str">
        <f>""</f>
        <v/>
      </c>
      <c r="ID64" t="str">
        <f>""</f>
        <v/>
      </c>
      <c r="IE64" t="str">
        <f>""</f>
        <v/>
      </c>
      <c r="IF64" t="str">
        <f>""</f>
        <v/>
      </c>
      <c r="IG64" t="str">
        <f>""</f>
        <v/>
      </c>
      <c r="IH64" t="str">
        <f>""</f>
        <v/>
      </c>
      <c r="II64" t="str">
        <f>""</f>
        <v/>
      </c>
      <c r="IJ64" t="str">
        <f>""</f>
        <v/>
      </c>
      <c r="IK64" t="str">
        <f>""</f>
        <v/>
      </c>
      <c r="IL64" t="str">
        <f>""</f>
        <v/>
      </c>
      <c r="IM64" t="str">
        <f>""</f>
        <v/>
      </c>
      <c r="IN64" t="str">
        <f>""</f>
        <v/>
      </c>
      <c r="IO64" t="str">
        <f>""</f>
        <v/>
      </c>
      <c r="IP64" t="str">
        <f>""</f>
        <v/>
      </c>
      <c r="IQ64" t="str">
        <f>""</f>
        <v/>
      </c>
      <c r="IR64" t="str">
        <f>""</f>
        <v/>
      </c>
      <c r="IS64" t="str">
        <f>""</f>
        <v/>
      </c>
      <c r="IT64" t="str">
        <f>""</f>
        <v/>
      </c>
      <c r="IU64" t="str">
        <f>""</f>
        <v/>
      </c>
      <c r="IV64" t="str">
        <f>""</f>
        <v/>
      </c>
      <c r="IW64" t="str">
        <f>""</f>
        <v/>
      </c>
      <c r="IX64" t="str">
        <f>""</f>
        <v/>
      </c>
      <c r="IY64" t="str">
        <f>""</f>
        <v/>
      </c>
      <c r="IZ64" t="str">
        <f>""</f>
        <v/>
      </c>
      <c r="JA64" t="str">
        <f>""</f>
        <v/>
      </c>
      <c r="JB64" t="str">
        <f>""</f>
        <v/>
      </c>
      <c r="JC64" t="str">
        <f>""</f>
        <v/>
      </c>
      <c r="JD64" t="str">
        <f>""</f>
        <v/>
      </c>
      <c r="JE64" t="str">
        <f>""</f>
        <v/>
      </c>
      <c r="JF64" t="str">
        <f>""</f>
        <v/>
      </c>
      <c r="JG64" t="str">
        <f>""</f>
        <v/>
      </c>
      <c r="JH64" t="str">
        <f>""</f>
        <v/>
      </c>
      <c r="JI64" t="str">
        <f>""</f>
        <v/>
      </c>
      <c r="JJ64" t="str">
        <f>""</f>
        <v/>
      </c>
      <c r="JK64" t="str">
        <f>""</f>
        <v/>
      </c>
    </row>
    <row r="66" spans="1:271" x14ac:dyDescent="0.3">
      <c r="A66" t="str">
        <f>"zMETAB6"</f>
        <v>zMETAB6</v>
      </c>
      <c r="B66" t="str">
        <f>""</f>
        <v/>
      </c>
      <c r="C66" t="str">
        <f>""</f>
        <v/>
      </c>
      <c r="D66" t="str">
        <f>""</f>
        <v/>
      </c>
      <c r="E66" t="str">
        <f>""</f>
        <v/>
      </c>
      <c r="F66" t="str">
        <f>""</f>
        <v/>
      </c>
      <c r="G66" t="str">
        <f>""</f>
        <v/>
      </c>
      <c r="H66" t="str">
        <f>""</f>
        <v/>
      </c>
      <c r="I66" t="str">
        <f>""</f>
        <v/>
      </c>
      <c r="J66" t="str">
        <f>""</f>
        <v/>
      </c>
      <c r="K66" t="str">
        <f>""</f>
        <v/>
      </c>
      <c r="L66" t="str">
        <f>""</f>
        <v/>
      </c>
      <c r="M66" t="str">
        <f>""</f>
        <v/>
      </c>
      <c r="N66" t="str">
        <f>""</f>
        <v/>
      </c>
      <c r="O66" t="str">
        <f>""</f>
        <v/>
      </c>
      <c r="P66" t="str">
        <f>""</f>
        <v/>
      </c>
      <c r="Q66" t="str">
        <f>"0.0773"</f>
        <v>0.0773</v>
      </c>
      <c r="R66" t="str">
        <f>"0.0840"</f>
        <v>0.0840</v>
      </c>
      <c r="S66" t="str">
        <f>"0.0387"</f>
        <v>0.0387</v>
      </c>
      <c r="T66" t="str">
        <f>""</f>
        <v/>
      </c>
      <c r="U66" t="str">
        <f>""</f>
        <v/>
      </c>
      <c r="V66" t="str">
        <f>""</f>
        <v/>
      </c>
      <c r="W66" t="str">
        <f>""</f>
        <v/>
      </c>
      <c r="X66" t="str">
        <f>""</f>
        <v/>
      </c>
      <c r="Y66" t="str">
        <f>""</f>
        <v/>
      </c>
      <c r="Z66" t="str">
        <f>""</f>
        <v/>
      </c>
      <c r="AA66" t="str">
        <f>""</f>
        <v/>
      </c>
      <c r="AB66" t="str">
        <f>""</f>
        <v/>
      </c>
      <c r="AC66" t="str">
        <f>""</f>
        <v/>
      </c>
      <c r="AD66" t="str">
        <f>""</f>
        <v/>
      </c>
      <c r="AE66" t="str">
        <f>""</f>
        <v/>
      </c>
      <c r="AF66" t="str">
        <f>""</f>
        <v/>
      </c>
      <c r="AG66" t="str">
        <f>""</f>
        <v/>
      </c>
      <c r="AH66" t="str">
        <f>""</f>
        <v/>
      </c>
      <c r="AI66" t="str">
        <f>""</f>
        <v/>
      </c>
      <c r="AJ66" t="str">
        <f>""</f>
        <v/>
      </c>
      <c r="AK66" t="str">
        <f>""</f>
        <v/>
      </c>
      <c r="AL66" t="str">
        <f>""</f>
        <v/>
      </c>
      <c r="AM66" t="str">
        <f>""</f>
        <v/>
      </c>
      <c r="AN66" t="str">
        <f>""</f>
        <v/>
      </c>
      <c r="AO66" t="str">
        <f>""</f>
        <v/>
      </c>
      <c r="AP66" t="str">
        <f>""</f>
        <v/>
      </c>
      <c r="AQ66" t="str">
        <f>""</f>
        <v/>
      </c>
      <c r="AR66" t="str">
        <f>""</f>
        <v/>
      </c>
      <c r="AS66" t="str">
        <f>""</f>
        <v/>
      </c>
      <c r="AT66" t="str">
        <f>""</f>
        <v/>
      </c>
      <c r="AU66" t="str">
        <f>""</f>
        <v/>
      </c>
      <c r="AV66" t="str">
        <f>""</f>
        <v/>
      </c>
      <c r="AW66" t="str">
        <f>""</f>
        <v/>
      </c>
      <c r="AX66" t="str">
        <f>""</f>
        <v/>
      </c>
      <c r="AY66" t="str">
        <f>""</f>
        <v/>
      </c>
      <c r="AZ66" t="str">
        <f>""</f>
        <v/>
      </c>
      <c r="BA66" t="str">
        <f>""</f>
        <v/>
      </c>
      <c r="BB66" t="str">
        <f>""</f>
        <v/>
      </c>
      <c r="BC66" t="str">
        <f>""</f>
        <v/>
      </c>
      <c r="BD66" t="str">
        <f>""</f>
        <v/>
      </c>
      <c r="BE66" t="str">
        <f>""</f>
        <v/>
      </c>
      <c r="BF66" t="str">
        <f>""</f>
        <v/>
      </c>
      <c r="BG66" t="str">
        <f>""</f>
        <v/>
      </c>
      <c r="BH66" t="str">
        <f>""</f>
        <v/>
      </c>
      <c r="BI66" t="str">
        <f>""</f>
        <v/>
      </c>
      <c r="BJ66" t="str">
        <f>"0.150*"</f>
        <v>0.150*</v>
      </c>
      <c r="BK66" t="str">
        <f>"0.109"</f>
        <v>0.109</v>
      </c>
      <c r="BL66" t="str">
        <f>"0.0822*"</f>
        <v>0.0822*</v>
      </c>
      <c r="BM66" t="str">
        <f>""</f>
        <v/>
      </c>
      <c r="BN66" t="str">
        <f>""</f>
        <v/>
      </c>
      <c r="BO66" t="str">
        <f>""</f>
        <v/>
      </c>
      <c r="BP66" t="str">
        <f>""</f>
        <v/>
      </c>
      <c r="BQ66" t="str">
        <f>""</f>
        <v/>
      </c>
      <c r="BR66" t="str">
        <f>""</f>
        <v/>
      </c>
      <c r="BS66" t="str">
        <f>""</f>
        <v/>
      </c>
      <c r="BT66" t="str">
        <f>""</f>
        <v/>
      </c>
      <c r="BU66" t="str">
        <f>""</f>
        <v/>
      </c>
      <c r="BV66" t="str">
        <f>""</f>
        <v/>
      </c>
      <c r="BW66" t="str">
        <f>""</f>
        <v/>
      </c>
      <c r="BX66" t="str">
        <f>""</f>
        <v/>
      </c>
      <c r="BY66" t="str">
        <f>""</f>
        <v/>
      </c>
      <c r="BZ66" t="str">
        <f>""</f>
        <v/>
      </c>
      <c r="CA66" t="str">
        <f>""</f>
        <v/>
      </c>
      <c r="CB66" t="str">
        <f>""</f>
        <v/>
      </c>
      <c r="CC66" t="str">
        <f>""</f>
        <v/>
      </c>
      <c r="CD66" t="str">
        <f>""</f>
        <v/>
      </c>
      <c r="CE66" t="str">
        <f>""</f>
        <v/>
      </c>
      <c r="CF66" t="str">
        <f>""</f>
        <v/>
      </c>
      <c r="CG66" t="str">
        <f>""</f>
        <v/>
      </c>
      <c r="CH66" t="str">
        <f>""</f>
        <v/>
      </c>
      <c r="CI66" t="str">
        <f>""</f>
        <v/>
      </c>
      <c r="CJ66" t="str">
        <f>""</f>
        <v/>
      </c>
      <c r="CK66" t="str">
        <f>""</f>
        <v/>
      </c>
      <c r="CL66" t="str">
        <f>""</f>
        <v/>
      </c>
      <c r="CM66" t="str">
        <f>""</f>
        <v/>
      </c>
      <c r="CN66" t="str">
        <f>""</f>
        <v/>
      </c>
      <c r="CO66" t="str">
        <f>""</f>
        <v/>
      </c>
      <c r="CP66" t="str">
        <f>""</f>
        <v/>
      </c>
      <c r="CQ66" t="str">
        <f>""</f>
        <v/>
      </c>
      <c r="CR66" t="str">
        <f>""</f>
        <v/>
      </c>
      <c r="CS66" t="str">
        <f>""</f>
        <v/>
      </c>
      <c r="CT66" t="str">
        <f>""</f>
        <v/>
      </c>
      <c r="CU66" t="str">
        <f>""</f>
        <v/>
      </c>
      <c r="CV66" t="str">
        <f>""</f>
        <v/>
      </c>
      <c r="CW66" t="str">
        <f>""</f>
        <v/>
      </c>
      <c r="CX66" t="str">
        <f>""</f>
        <v/>
      </c>
      <c r="CY66" t="str">
        <f>""</f>
        <v/>
      </c>
      <c r="CZ66" t="str">
        <f>""</f>
        <v/>
      </c>
      <c r="DA66" t="str">
        <f>""</f>
        <v/>
      </c>
      <c r="DB66" t="str">
        <f>""</f>
        <v/>
      </c>
      <c r="DC66" t="str">
        <f>"0.150*"</f>
        <v>0.150*</v>
      </c>
      <c r="DD66" t="str">
        <f>"0.0944"</f>
        <v>0.0944</v>
      </c>
      <c r="DE66" t="str">
        <f>"0.0729*"</f>
        <v>0.0729*</v>
      </c>
      <c r="DF66" t="str">
        <f>""</f>
        <v/>
      </c>
      <c r="DG66" t="str">
        <f>""</f>
        <v/>
      </c>
      <c r="DH66" t="str">
        <f>""</f>
        <v/>
      </c>
      <c r="DI66" t="str">
        <f>""</f>
        <v/>
      </c>
      <c r="DJ66" t="str">
        <f>""</f>
        <v/>
      </c>
      <c r="DK66" t="str">
        <f>""</f>
        <v/>
      </c>
      <c r="DL66" t="str">
        <f>""</f>
        <v/>
      </c>
      <c r="DM66" t="str">
        <f>""</f>
        <v/>
      </c>
      <c r="DN66" t="str">
        <f>""</f>
        <v/>
      </c>
      <c r="DO66" t="str">
        <f>""</f>
        <v/>
      </c>
      <c r="DP66" t="str">
        <f>""</f>
        <v/>
      </c>
      <c r="DQ66" t="str">
        <f>""</f>
        <v/>
      </c>
      <c r="DR66" t="str">
        <f>""</f>
        <v/>
      </c>
      <c r="DS66" t="str">
        <f>""</f>
        <v/>
      </c>
      <c r="DT66" t="str">
        <f>""</f>
        <v/>
      </c>
      <c r="DU66" t="str">
        <f>""</f>
        <v/>
      </c>
      <c r="DV66" t="str">
        <f>""</f>
        <v/>
      </c>
      <c r="DW66" t="str">
        <f>""</f>
        <v/>
      </c>
      <c r="DX66" t="str">
        <f>""</f>
        <v/>
      </c>
      <c r="DY66" t="str">
        <f>""</f>
        <v/>
      </c>
      <c r="DZ66" t="str">
        <f>""</f>
        <v/>
      </c>
      <c r="EA66" t="str">
        <f>""</f>
        <v/>
      </c>
      <c r="EB66" t="str">
        <f>""</f>
        <v/>
      </c>
      <c r="EC66" t="str">
        <f>""</f>
        <v/>
      </c>
      <c r="ED66" t="str">
        <f>""</f>
        <v/>
      </c>
      <c r="EE66" t="str">
        <f>""</f>
        <v/>
      </c>
      <c r="EF66" t="str">
        <f>""</f>
        <v/>
      </c>
      <c r="EG66" t="str">
        <f>""</f>
        <v/>
      </c>
      <c r="EH66" t="str">
        <f>""</f>
        <v/>
      </c>
      <c r="EI66" t="str">
        <f>""</f>
        <v/>
      </c>
      <c r="EJ66" t="str">
        <f>""</f>
        <v/>
      </c>
      <c r="EK66" t="str">
        <f>""</f>
        <v/>
      </c>
      <c r="EL66" t="str">
        <f>""</f>
        <v/>
      </c>
      <c r="EM66" t="str">
        <f>""</f>
        <v/>
      </c>
      <c r="EN66" t="str">
        <f>""</f>
        <v/>
      </c>
      <c r="EO66" t="str">
        <f>""</f>
        <v/>
      </c>
      <c r="EP66" t="str">
        <f>""</f>
        <v/>
      </c>
      <c r="EQ66" t="str">
        <f>""</f>
        <v/>
      </c>
      <c r="ER66" t="str">
        <f>""</f>
        <v/>
      </c>
      <c r="ES66" t="str">
        <f>""</f>
        <v/>
      </c>
      <c r="ET66" t="str">
        <f>""</f>
        <v/>
      </c>
      <c r="EU66" t="str">
        <f>""</f>
        <v/>
      </c>
      <c r="EV66" t="str">
        <f>"0.125"</f>
        <v>0.125</v>
      </c>
      <c r="EW66" t="str">
        <f>"0.0871"</f>
        <v>0.0871</v>
      </c>
      <c r="EX66" t="str">
        <f>"0.0608"</f>
        <v>0.0608</v>
      </c>
      <c r="EY66" t="str">
        <f>""</f>
        <v/>
      </c>
      <c r="EZ66" t="str">
        <f>""</f>
        <v/>
      </c>
      <c r="FA66" t="str">
        <f>""</f>
        <v/>
      </c>
      <c r="FB66" t="str">
        <f>""</f>
        <v/>
      </c>
      <c r="FC66" t="str">
        <f>""</f>
        <v/>
      </c>
      <c r="FD66" t="str">
        <f>""</f>
        <v/>
      </c>
      <c r="FE66" t="str">
        <f>""</f>
        <v/>
      </c>
      <c r="FF66" t="str">
        <f>""</f>
        <v/>
      </c>
      <c r="FG66" t="str">
        <f>""</f>
        <v/>
      </c>
      <c r="FH66" t="str">
        <f>""</f>
        <v/>
      </c>
      <c r="FI66" t="str">
        <f>""</f>
        <v/>
      </c>
      <c r="FJ66" t="str">
        <f>""</f>
        <v/>
      </c>
      <c r="FK66" t="str">
        <f>""</f>
        <v/>
      </c>
      <c r="FL66" t="str">
        <f>""</f>
        <v/>
      </c>
      <c r="FM66" t="str">
        <f>""</f>
        <v/>
      </c>
      <c r="FN66" t="str">
        <f>""</f>
        <v/>
      </c>
      <c r="FO66" t="str">
        <f>""</f>
        <v/>
      </c>
      <c r="FP66" t="str">
        <f>""</f>
        <v/>
      </c>
      <c r="FQ66" t="str">
        <f>""</f>
        <v/>
      </c>
      <c r="FR66" t="str">
        <f>""</f>
        <v/>
      </c>
      <c r="FS66" t="str">
        <f>""</f>
        <v/>
      </c>
      <c r="FT66" t="str">
        <f>""</f>
        <v/>
      </c>
      <c r="FU66" t="str">
        <f>""</f>
        <v/>
      </c>
      <c r="FV66" t="str">
        <f>""</f>
        <v/>
      </c>
      <c r="FW66" t="str">
        <f>""</f>
        <v/>
      </c>
      <c r="FX66" t="str">
        <f>""</f>
        <v/>
      </c>
      <c r="FY66" t="str">
        <f>""</f>
        <v/>
      </c>
      <c r="FZ66" t="str">
        <f>""</f>
        <v/>
      </c>
      <c r="GA66" t="str">
        <f>""</f>
        <v/>
      </c>
      <c r="GB66" t="str">
        <f>""</f>
        <v/>
      </c>
      <c r="GC66" t="str">
        <f>""</f>
        <v/>
      </c>
      <c r="GD66" t="str">
        <f>""</f>
        <v/>
      </c>
      <c r="GE66" t="str">
        <f>""</f>
        <v/>
      </c>
      <c r="GF66" t="str">
        <f>""</f>
        <v/>
      </c>
      <c r="GG66" t="str">
        <f>""</f>
        <v/>
      </c>
      <c r="GH66" t="str">
        <f>""</f>
        <v/>
      </c>
      <c r="GI66" t="str">
        <f>""</f>
        <v/>
      </c>
      <c r="GJ66" t="str">
        <f>""</f>
        <v/>
      </c>
      <c r="GK66" t="str">
        <f>""</f>
        <v/>
      </c>
      <c r="GL66" t="str">
        <f>""</f>
        <v/>
      </c>
      <c r="GM66" t="str">
        <f>""</f>
        <v/>
      </c>
      <c r="GN66" t="str">
        <f>""</f>
        <v/>
      </c>
      <c r="GO66" t="str">
        <f>"0.0930"</f>
        <v>0.0930</v>
      </c>
      <c r="GP66" t="str">
        <f>"0.0355"</f>
        <v>0.0355</v>
      </c>
      <c r="GQ66" t="str">
        <f>"0.0481"</f>
        <v>0.0481</v>
      </c>
      <c r="GR66" t="str">
        <f>""</f>
        <v/>
      </c>
      <c r="GS66" t="str">
        <f>""</f>
        <v/>
      </c>
      <c r="GT66" t="str">
        <f>""</f>
        <v/>
      </c>
      <c r="GU66" t="str">
        <f>""</f>
        <v/>
      </c>
      <c r="GV66" t="str">
        <f>""</f>
        <v/>
      </c>
      <c r="GW66" t="str">
        <f>""</f>
        <v/>
      </c>
      <c r="GX66" t="str">
        <f>""</f>
        <v/>
      </c>
      <c r="GY66" t="str">
        <f>""</f>
        <v/>
      </c>
      <c r="GZ66" t="str">
        <f>""</f>
        <v/>
      </c>
      <c r="HA66" t="str">
        <f>""</f>
        <v/>
      </c>
      <c r="HB66" t="str">
        <f>""</f>
        <v/>
      </c>
      <c r="HC66" t="str">
        <f>""</f>
        <v/>
      </c>
      <c r="HD66" t="str">
        <f>""</f>
        <v/>
      </c>
      <c r="HE66" t="str">
        <f>""</f>
        <v/>
      </c>
      <c r="HF66" t="str">
        <f>""</f>
        <v/>
      </c>
      <c r="HG66" t="str">
        <f>""</f>
        <v/>
      </c>
      <c r="HH66" t="str">
        <f>""</f>
        <v/>
      </c>
      <c r="HI66" t="str">
        <f>""</f>
        <v/>
      </c>
      <c r="HJ66" t="str">
        <f>""</f>
        <v/>
      </c>
      <c r="HK66" t="str">
        <f>""</f>
        <v/>
      </c>
      <c r="HL66" t="str">
        <f>""</f>
        <v/>
      </c>
      <c r="HM66" t="str">
        <f>""</f>
        <v/>
      </c>
      <c r="HN66" t="str">
        <f>""</f>
        <v/>
      </c>
      <c r="HO66" t="str">
        <f>""</f>
        <v/>
      </c>
      <c r="HP66" t="str">
        <f>""</f>
        <v/>
      </c>
      <c r="HQ66" t="str">
        <f>""</f>
        <v/>
      </c>
      <c r="HR66" t="str">
        <f>""</f>
        <v/>
      </c>
      <c r="HS66" t="str">
        <f>""</f>
        <v/>
      </c>
      <c r="HT66" t="str">
        <f>""</f>
        <v/>
      </c>
      <c r="HU66" t="str">
        <f>""</f>
        <v/>
      </c>
      <c r="HV66" t="str">
        <f>""</f>
        <v/>
      </c>
      <c r="HW66" t="str">
        <f>""</f>
        <v/>
      </c>
      <c r="HX66" t="str">
        <f>""</f>
        <v/>
      </c>
      <c r="HY66" t="str">
        <f>""</f>
        <v/>
      </c>
      <c r="HZ66" t="str">
        <f>""</f>
        <v/>
      </c>
      <c r="IA66" t="str">
        <f>""</f>
        <v/>
      </c>
      <c r="IB66" t="str">
        <f>""</f>
        <v/>
      </c>
      <c r="IC66" t="str">
        <f>""</f>
        <v/>
      </c>
      <c r="ID66" t="str">
        <f>""</f>
        <v/>
      </c>
      <c r="IE66" t="str">
        <f>""</f>
        <v/>
      </c>
      <c r="IF66" t="str">
        <f>""</f>
        <v/>
      </c>
      <c r="IG66" t="str">
        <f>""</f>
        <v/>
      </c>
      <c r="IH66" t="str">
        <f>"0.130"</f>
        <v>0.130</v>
      </c>
      <c r="II66" t="str">
        <f>"0.0764"</f>
        <v>0.0764</v>
      </c>
      <c r="IJ66" t="str">
        <f>"0.0284"</f>
        <v>0.0284</v>
      </c>
      <c r="IK66" t="str">
        <f>""</f>
        <v/>
      </c>
      <c r="IL66" t="str">
        <f>""</f>
        <v/>
      </c>
      <c r="IM66" t="str">
        <f>""</f>
        <v/>
      </c>
      <c r="IN66" t="str">
        <f>""</f>
        <v/>
      </c>
      <c r="IO66" t="str">
        <f>""</f>
        <v/>
      </c>
      <c r="IP66" t="str">
        <f>""</f>
        <v/>
      </c>
      <c r="IQ66" t="str">
        <f>""</f>
        <v/>
      </c>
      <c r="IR66" t="str">
        <f>""</f>
        <v/>
      </c>
      <c r="IS66" t="str">
        <f>""</f>
        <v/>
      </c>
      <c r="IT66" t="str">
        <f>""</f>
        <v/>
      </c>
      <c r="IU66" t="str">
        <f>""</f>
        <v/>
      </c>
      <c r="IV66" t="str">
        <f>""</f>
        <v/>
      </c>
      <c r="IW66" t="str">
        <f>""</f>
        <v/>
      </c>
      <c r="IX66" t="str">
        <f>""</f>
        <v/>
      </c>
      <c r="IY66" t="str">
        <f>""</f>
        <v/>
      </c>
      <c r="IZ66" t="str">
        <f>""</f>
        <v/>
      </c>
      <c r="JA66" t="str">
        <f>""</f>
        <v/>
      </c>
      <c r="JB66" t="str">
        <f>""</f>
        <v/>
      </c>
      <c r="JC66" t="str">
        <f>""</f>
        <v/>
      </c>
      <c r="JD66" t="str">
        <f>""</f>
        <v/>
      </c>
      <c r="JE66" t="str">
        <f>""</f>
        <v/>
      </c>
      <c r="JF66" t="str">
        <f>""</f>
        <v/>
      </c>
      <c r="JG66" t="str">
        <f>""</f>
        <v/>
      </c>
      <c r="JH66" t="str">
        <f>""</f>
        <v/>
      </c>
      <c r="JI66" t="str">
        <f>""</f>
        <v/>
      </c>
      <c r="JJ66" t="str">
        <f>""</f>
        <v/>
      </c>
      <c r="JK66" t="str">
        <f>""</f>
        <v/>
      </c>
    </row>
    <row r="67" spans="1:271" x14ac:dyDescent="0.3">
      <c r="A67" t="str">
        <f>""</f>
        <v/>
      </c>
      <c r="B67" t="str">
        <f>""</f>
        <v/>
      </c>
      <c r="C67" t="str">
        <f>""</f>
        <v/>
      </c>
      <c r="D67" t="str">
        <f>""</f>
        <v/>
      </c>
      <c r="E67" t="str">
        <f>""</f>
        <v/>
      </c>
      <c r="F67" t="str">
        <f>""</f>
        <v/>
      </c>
      <c r="G67" t="str">
        <f>""</f>
        <v/>
      </c>
      <c r="H67" t="str">
        <f>""</f>
        <v/>
      </c>
      <c r="I67" t="str">
        <f>""</f>
        <v/>
      </c>
      <c r="J67" t="str">
        <f>""</f>
        <v/>
      </c>
      <c r="K67" t="str">
        <f>""</f>
        <v/>
      </c>
      <c r="L67" t="str">
        <f>""</f>
        <v/>
      </c>
      <c r="M67" t="str">
        <f>""</f>
        <v/>
      </c>
      <c r="N67" t="str">
        <f>""</f>
        <v/>
      </c>
      <c r="O67" t="str">
        <f>""</f>
        <v/>
      </c>
      <c r="P67" t="str">
        <f>""</f>
        <v/>
      </c>
      <c r="Q67" t="str">
        <f>"(0.0755)"</f>
        <v>(0.0755)</v>
      </c>
      <c r="R67" t="str">
        <f>"(0.0601)"</f>
        <v>(0.0601)</v>
      </c>
      <c r="S67" t="str">
        <f>"(0.0336)"</f>
        <v>(0.0336)</v>
      </c>
      <c r="T67" t="str">
        <f>""</f>
        <v/>
      </c>
      <c r="U67" t="str">
        <f>""</f>
        <v/>
      </c>
      <c r="V67" t="str">
        <f>""</f>
        <v/>
      </c>
      <c r="W67" t="str">
        <f>""</f>
        <v/>
      </c>
      <c r="X67" t="str">
        <f>""</f>
        <v/>
      </c>
      <c r="Y67" t="str">
        <f>""</f>
        <v/>
      </c>
      <c r="Z67" t="str">
        <f>""</f>
        <v/>
      </c>
      <c r="AA67" t="str">
        <f>""</f>
        <v/>
      </c>
      <c r="AB67" t="str">
        <f>""</f>
        <v/>
      </c>
      <c r="AC67" t="str">
        <f>""</f>
        <v/>
      </c>
      <c r="AD67" t="str">
        <f>""</f>
        <v/>
      </c>
      <c r="AE67" t="str">
        <f>""</f>
        <v/>
      </c>
      <c r="AF67" t="str">
        <f>""</f>
        <v/>
      </c>
      <c r="AG67" t="str">
        <f>""</f>
        <v/>
      </c>
      <c r="AH67" t="str">
        <f>""</f>
        <v/>
      </c>
      <c r="AI67" t="str">
        <f>""</f>
        <v/>
      </c>
      <c r="AJ67" t="str">
        <f>""</f>
        <v/>
      </c>
      <c r="AK67" t="str">
        <f>""</f>
        <v/>
      </c>
      <c r="AL67" t="str">
        <f>""</f>
        <v/>
      </c>
      <c r="AM67" t="str">
        <f>""</f>
        <v/>
      </c>
      <c r="AN67" t="str">
        <f>""</f>
        <v/>
      </c>
      <c r="AO67" t="str">
        <f>""</f>
        <v/>
      </c>
      <c r="AP67" t="str">
        <f>""</f>
        <v/>
      </c>
      <c r="AQ67" t="str">
        <f>""</f>
        <v/>
      </c>
      <c r="AR67" t="str">
        <f>""</f>
        <v/>
      </c>
      <c r="AS67" t="str">
        <f>""</f>
        <v/>
      </c>
      <c r="AT67" t="str">
        <f>""</f>
        <v/>
      </c>
      <c r="AU67" t="str">
        <f>""</f>
        <v/>
      </c>
      <c r="AV67" t="str">
        <f>""</f>
        <v/>
      </c>
      <c r="AW67" t="str">
        <f>""</f>
        <v/>
      </c>
      <c r="AX67" t="str">
        <f>""</f>
        <v/>
      </c>
      <c r="AY67" t="str">
        <f>""</f>
        <v/>
      </c>
      <c r="AZ67" t="str">
        <f>""</f>
        <v/>
      </c>
      <c r="BA67" t="str">
        <f>""</f>
        <v/>
      </c>
      <c r="BB67" t="str">
        <f>""</f>
        <v/>
      </c>
      <c r="BC67" t="str">
        <f>""</f>
        <v/>
      </c>
      <c r="BD67" t="str">
        <f>""</f>
        <v/>
      </c>
      <c r="BE67" t="str">
        <f>""</f>
        <v/>
      </c>
      <c r="BF67" t="str">
        <f>""</f>
        <v/>
      </c>
      <c r="BG67" t="str">
        <f>""</f>
        <v/>
      </c>
      <c r="BH67" t="str">
        <f>""</f>
        <v/>
      </c>
      <c r="BI67" t="str">
        <f>""</f>
        <v/>
      </c>
      <c r="BJ67" t="str">
        <f>"(0.0743)"</f>
        <v>(0.0743)</v>
      </c>
      <c r="BK67" t="str">
        <f>"(0.0589)"</f>
        <v>(0.0589)</v>
      </c>
      <c r="BL67" t="str">
        <f>"(0.0322)"</f>
        <v>(0.0322)</v>
      </c>
      <c r="BM67" t="str">
        <f>""</f>
        <v/>
      </c>
      <c r="BN67" t="str">
        <f>""</f>
        <v/>
      </c>
      <c r="BO67" t="str">
        <f>""</f>
        <v/>
      </c>
      <c r="BP67" t="str">
        <f>""</f>
        <v/>
      </c>
      <c r="BQ67" t="str">
        <f>""</f>
        <v/>
      </c>
      <c r="BR67" t="str">
        <f>""</f>
        <v/>
      </c>
      <c r="BS67" t="str">
        <f>""</f>
        <v/>
      </c>
      <c r="BT67" t="str">
        <f>""</f>
        <v/>
      </c>
      <c r="BU67" t="str">
        <f>""</f>
        <v/>
      </c>
      <c r="BV67" t="str">
        <f>""</f>
        <v/>
      </c>
      <c r="BW67" t="str">
        <f>""</f>
        <v/>
      </c>
      <c r="BX67" t="str">
        <f>""</f>
        <v/>
      </c>
      <c r="BY67" t="str">
        <f>""</f>
        <v/>
      </c>
      <c r="BZ67" t="str">
        <f>""</f>
        <v/>
      </c>
      <c r="CA67" t="str">
        <f>""</f>
        <v/>
      </c>
      <c r="CB67" t="str">
        <f>""</f>
        <v/>
      </c>
      <c r="CC67" t="str">
        <f>""</f>
        <v/>
      </c>
      <c r="CD67" t="str">
        <f>""</f>
        <v/>
      </c>
      <c r="CE67" t="str">
        <f>""</f>
        <v/>
      </c>
      <c r="CF67" t="str">
        <f>""</f>
        <v/>
      </c>
      <c r="CG67" t="str">
        <f>""</f>
        <v/>
      </c>
      <c r="CH67" t="str">
        <f>""</f>
        <v/>
      </c>
      <c r="CI67" t="str">
        <f>""</f>
        <v/>
      </c>
      <c r="CJ67" t="str">
        <f>""</f>
        <v/>
      </c>
      <c r="CK67" t="str">
        <f>""</f>
        <v/>
      </c>
      <c r="CL67" t="str">
        <f>""</f>
        <v/>
      </c>
      <c r="CM67" t="str">
        <f>""</f>
        <v/>
      </c>
      <c r="CN67" t="str">
        <f>""</f>
        <v/>
      </c>
      <c r="CO67" t="str">
        <f>""</f>
        <v/>
      </c>
      <c r="CP67" t="str">
        <f>""</f>
        <v/>
      </c>
      <c r="CQ67" t="str">
        <f>""</f>
        <v/>
      </c>
      <c r="CR67" t="str">
        <f>""</f>
        <v/>
      </c>
      <c r="CS67" t="str">
        <f>""</f>
        <v/>
      </c>
      <c r="CT67" t="str">
        <f>""</f>
        <v/>
      </c>
      <c r="CU67" t="str">
        <f>""</f>
        <v/>
      </c>
      <c r="CV67" t="str">
        <f>""</f>
        <v/>
      </c>
      <c r="CW67" t="str">
        <f>""</f>
        <v/>
      </c>
      <c r="CX67" t="str">
        <f>""</f>
        <v/>
      </c>
      <c r="CY67" t="str">
        <f>""</f>
        <v/>
      </c>
      <c r="CZ67" t="str">
        <f>""</f>
        <v/>
      </c>
      <c r="DA67" t="str">
        <f>""</f>
        <v/>
      </c>
      <c r="DB67" t="str">
        <f>""</f>
        <v/>
      </c>
      <c r="DC67" t="str">
        <f>"(0.0745)"</f>
        <v>(0.0745)</v>
      </c>
      <c r="DD67" t="str">
        <f>"(0.0560)"</f>
        <v>(0.0560)</v>
      </c>
      <c r="DE67" t="str">
        <f>"(0.0320)"</f>
        <v>(0.0320)</v>
      </c>
      <c r="DF67" t="str">
        <f>""</f>
        <v/>
      </c>
      <c r="DG67" t="str">
        <f>""</f>
        <v/>
      </c>
      <c r="DH67" t="str">
        <f>""</f>
        <v/>
      </c>
      <c r="DI67" t="str">
        <f>""</f>
        <v/>
      </c>
      <c r="DJ67" t="str">
        <f>""</f>
        <v/>
      </c>
      <c r="DK67" t="str">
        <f>""</f>
        <v/>
      </c>
      <c r="DL67" t="str">
        <f>""</f>
        <v/>
      </c>
      <c r="DM67" t="str">
        <f>""</f>
        <v/>
      </c>
      <c r="DN67" t="str">
        <f>""</f>
        <v/>
      </c>
      <c r="DO67" t="str">
        <f>""</f>
        <v/>
      </c>
      <c r="DP67" t="str">
        <f>""</f>
        <v/>
      </c>
      <c r="DQ67" t="str">
        <f>""</f>
        <v/>
      </c>
      <c r="DR67" t="str">
        <f>""</f>
        <v/>
      </c>
      <c r="DS67" t="str">
        <f>""</f>
        <v/>
      </c>
      <c r="DT67" t="str">
        <f>""</f>
        <v/>
      </c>
      <c r="DU67" t="str">
        <f>""</f>
        <v/>
      </c>
      <c r="DV67" t="str">
        <f>""</f>
        <v/>
      </c>
      <c r="DW67" t="str">
        <f>""</f>
        <v/>
      </c>
      <c r="DX67" t="str">
        <f>""</f>
        <v/>
      </c>
      <c r="DY67" t="str">
        <f>""</f>
        <v/>
      </c>
      <c r="DZ67" t="str">
        <f>""</f>
        <v/>
      </c>
      <c r="EA67" t="str">
        <f>""</f>
        <v/>
      </c>
      <c r="EB67" t="str">
        <f>""</f>
        <v/>
      </c>
      <c r="EC67" t="str">
        <f>""</f>
        <v/>
      </c>
      <c r="ED67" t="str">
        <f>""</f>
        <v/>
      </c>
      <c r="EE67" t="str">
        <f>""</f>
        <v/>
      </c>
      <c r="EF67" t="str">
        <f>""</f>
        <v/>
      </c>
      <c r="EG67" t="str">
        <f>""</f>
        <v/>
      </c>
      <c r="EH67" t="str">
        <f>""</f>
        <v/>
      </c>
      <c r="EI67" t="str">
        <f>""</f>
        <v/>
      </c>
      <c r="EJ67" t="str">
        <f>""</f>
        <v/>
      </c>
      <c r="EK67" t="str">
        <f>""</f>
        <v/>
      </c>
      <c r="EL67" t="str">
        <f>""</f>
        <v/>
      </c>
      <c r="EM67" t="str">
        <f>""</f>
        <v/>
      </c>
      <c r="EN67" t="str">
        <f>""</f>
        <v/>
      </c>
      <c r="EO67" t="str">
        <f>""</f>
        <v/>
      </c>
      <c r="EP67" t="str">
        <f>""</f>
        <v/>
      </c>
      <c r="EQ67" t="str">
        <f>""</f>
        <v/>
      </c>
      <c r="ER67" t="str">
        <f>""</f>
        <v/>
      </c>
      <c r="ES67" t="str">
        <f>""</f>
        <v/>
      </c>
      <c r="ET67" t="str">
        <f>""</f>
        <v/>
      </c>
      <c r="EU67" t="str">
        <f>""</f>
        <v/>
      </c>
      <c r="EV67" t="str">
        <f>"(0.0730)"</f>
        <v>(0.0730)</v>
      </c>
      <c r="EW67" t="str">
        <f>"(0.0608)"</f>
        <v>(0.0608)</v>
      </c>
      <c r="EX67" t="str">
        <f>"(0.0327)"</f>
        <v>(0.0327)</v>
      </c>
      <c r="EY67" t="str">
        <f>""</f>
        <v/>
      </c>
      <c r="EZ67" t="str">
        <f>""</f>
        <v/>
      </c>
      <c r="FA67" t="str">
        <f>""</f>
        <v/>
      </c>
      <c r="FB67" t="str">
        <f>""</f>
        <v/>
      </c>
      <c r="FC67" t="str">
        <f>""</f>
        <v/>
      </c>
      <c r="FD67" t="str">
        <f>""</f>
        <v/>
      </c>
      <c r="FE67" t="str">
        <f>""</f>
        <v/>
      </c>
      <c r="FF67" t="str">
        <f>""</f>
        <v/>
      </c>
      <c r="FG67" t="str">
        <f>""</f>
        <v/>
      </c>
      <c r="FH67" t="str">
        <f>""</f>
        <v/>
      </c>
      <c r="FI67" t="str">
        <f>""</f>
        <v/>
      </c>
      <c r="FJ67" t="str">
        <f>""</f>
        <v/>
      </c>
      <c r="FK67" t="str">
        <f>""</f>
        <v/>
      </c>
      <c r="FL67" t="str">
        <f>""</f>
        <v/>
      </c>
      <c r="FM67" t="str">
        <f>""</f>
        <v/>
      </c>
      <c r="FN67" t="str">
        <f>""</f>
        <v/>
      </c>
      <c r="FO67" t="str">
        <f>""</f>
        <v/>
      </c>
      <c r="FP67" t="str">
        <f>""</f>
        <v/>
      </c>
      <c r="FQ67" t="str">
        <f>""</f>
        <v/>
      </c>
      <c r="FR67" t="str">
        <f>""</f>
        <v/>
      </c>
      <c r="FS67" t="str">
        <f>""</f>
        <v/>
      </c>
      <c r="FT67" t="str">
        <f>""</f>
        <v/>
      </c>
      <c r="FU67" t="str">
        <f>""</f>
        <v/>
      </c>
      <c r="FV67" t="str">
        <f>""</f>
        <v/>
      </c>
      <c r="FW67" t="str">
        <f>""</f>
        <v/>
      </c>
      <c r="FX67" t="str">
        <f>""</f>
        <v/>
      </c>
      <c r="FY67" t="str">
        <f>""</f>
        <v/>
      </c>
      <c r="FZ67" t="str">
        <f>""</f>
        <v/>
      </c>
      <c r="GA67" t="str">
        <f>""</f>
        <v/>
      </c>
      <c r="GB67" t="str">
        <f>""</f>
        <v/>
      </c>
      <c r="GC67" t="str">
        <f>""</f>
        <v/>
      </c>
      <c r="GD67" t="str">
        <f>""</f>
        <v/>
      </c>
      <c r="GE67" t="str">
        <f>""</f>
        <v/>
      </c>
      <c r="GF67" t="str">
        <f>""</f>
        <v/>
      </c>
      <c r="GG67" t="str">
        <f>""</f>
        <v/>
      </c>
      <c r="GH67" t="str">
        <f>""</f>
        <v/>
      </c>
      <c r="GI67" t="str">
        <f>""</f>
        <v/>
      </c>
      <c r="GJ67" t="str">
        <f>""</f>
        <v/>
      </c>
      <c r="GK67" t="str">
        <f>""</f>
        <v/>
      </c>
      <c r="GL67" t="str">
        <f>""</f>
        <v/>
      </c>
      <c r="GM67" t="str">
        <f>""</f>
        <v/>
      </c>
      <c r="GN67" t="str">
        <f>""</f>
        <v/>
      </c>
      <c r="GO67" t="str">
        <f>"(0.0752)"</f>
        <v>(0.0752)</v>
      </c>
      <c r="GP67" t="str">
        <f>"(0.0623)"</f>
        <v>(0.0623)</v>
      </c>
      <c r="GQ67" t="str">
        <f>"(0.0335)"</f>
        <v>(0.0335)</v>
      </c>
      <c r="GR67" t="str">
        <f>""</f>
        <v/>
      </c>
      <c r="GS67" t="str">
        <f>""</f>
        <v/>
      </c>
      <c r="GT67" t="str">
        <f>""</f>
        <v/>
      </c>
      <c r="GU67" t="str">
        <f>""</f>
        <v/>
      </c>
      <c r="GV67" t="str">
        <f>""</f>
        <v/>
      </c>
      <c r="GW67" t="str">
        <f>""</f>
        <v/>
      </c>
      <c r="GX67" t="str">
        <f>""</f>
        <v/>
      </c>
      <c r="GY67" t="str">
        <f>""</f>
        <v/>
      </c>
      <c r="GZ67" t="str">
        <f>""</f>
        <v/>
      </c>
      <c r="HA67" t="str">
        <f>""</f>
        <v/>
      </c>
      <c r="HB67" t="str">
        <f>""</f>
        <v/>
      </c>
      <c r="HC67" t="str">
        <f>""</f>
        <v/>
      </c>
      <c r="HD67" t="str">
        <f>""</f>
        <v/>
      </c>
      <c r="HE67" t="str">
        <f>""</f>
        <v/>
      </c>
      <c r="HF67" t="str">
        <f>""</f>
        <v/>
      </c>
      <c r="HG67" t="str">
        <f>""</f>
        <v/>
      </c>
      <c r="HH67" t="str">
        <f>""</f>
        <v/>
      </c>
      <c r="HI67" t="str">
        <f>""</f>
        <v/>
      </c>
      <c r="HJ67" t="str">
        <f>""</f>
        <v/>
      </c>
      <c r="HK67" t="str">
        <f>""</f>
        <v/>
      </c>
      <c r="HL67" t="str">
        <f>""</f>
        <v/>
      </c>
      <c r="HM67" t="str">
        <f>""</f>
        <v/>
      </c>
      <c r="HN67" t="str">
        <f>""</f>
        <v/>
      </c>
      <c r="HO67" t="str">
        <f>""</f>
        <v/>
      </c>
      <c r="HP67" t="str">
        <f>""</f>
        <v/>
      </c>
      <c r="HQ67" t="str">
        <f>""</f>
        <v/>
      </c>
      <c r="HR67" t="str">
        <f>""</f>
        <v/>
      </c>
      <c r="HS67" t="str">
        <f>""</f>
        <v/>
      </c>
      <c r="HT67" t="str">
        <f>""</f>
        <v/>
      </c>
      <c r="HU67" t="str">
        <f>""</f>
        <v/>
      </c>
      <c r="HV67" t="str">
        <f>""</f>
        <v/>
      </c>
      <c r="HW67" t="str">
        <f>""</f>
        <v/>
      </c>
      <c r="HX67" t="str">
        <f>""</f>
        <v/>
      </c>
      <c r="HY67" t="str">
        <f>""</f>
        <v/>
      </c>
      <c r="HZ67" t="str">
        <f>""</f>
        <v/>
      </c>
      <c r="IA67" t="str">
        <f>""</f>
        <v/>
      </c>
      <c r="IB67" t="str">
        <f>""</f>
        <v/>
      </c>
      <c r="IC67" t="str">
        <f>""</f>
        <v/>
      </c>
      <c r="ID67" t="str">
        <f>""</f>
        <v/>
      </c>
      <c r="IE67" t="str">
        <f>""</f>
        <v/>
      </c>
      <c r="IF67" t="str">
        <f>""</f>
        <v/>
      </c>
      <c r="IG67" t="str">
        <f>""</f>
        <v/>
      </c>
      <c r="IH67" t="str">
        <f>"(0.0758)"</f>
        <v>(0.0758)</v>
      </c>
      <c r="II67" t="str">
        <f>"(0.0620)"</f>
        <v>(0.0620)</v>
      </c>
      <c r="IJ67" t="str">
        <f>"(0.0339)"</f>
        <v>(0.0339)</v>
      </c>
      <c r="IK67" t="str">
        <f>""</f>
        <v/>
      </c>
      <c r="IL67" t="str">
        <f>""</f>
        <v/>
      </c>
      <c r="IM67" t="str">
        <f>""</f>
        <v/>
      </c>
      <c r="IN67" t="str">
        <f>""</f>
        <v/>
      </c>
      <c r="IO67" t="str">
        <f>""</f>
        <v/>
      </c>
      <c r="IP67" t="str">
        <f>""</f>
        <v/>
      </c>
      <c r="IQ67" t="str">
        <f>""</f>
        <v/>
      </c>
      <c r="IR67" t="str">
        <f>""</f>
        <v/>
      </c>
      <c r="IS67" t="str">
        <f>""</f>
        <v/>
      </c>
      <c r="IT67" t="str">
        <f>""</f>
        <v/>
      </c>
      <c r="IU67" t="str">
        <f>""</f>
        <v/>
      </c>
      <c r="IV67" t="str">
        <f>""</f>
        <v/>
      </c>
      <c r="IW67" t="str">
        <f>""</f>
        <v/>
      </c>
      <c r="IX67" t="str">
        <f>""</f>
        <v/>
      </c>
      <c r="IY67" t="str">
        <f>""</f>
        <v/>
      </c>
      <c r="IZ67" t="str">
        <f>""</f>
        <v/>
      </c>
      <c r="JA67" t="str">
        <f>""</f>
        <v/>
      </c>
      <c r="JB67" t="str">
        <f>""</f>
        <v/>
      </c>
      <c r="JC67" t="str">
        <f>""</f>
        <v/>
      </c>
      <c r="JD67" t="str">
        <f>""</f>
        <v/>
      </c>
      <c r="JE67" t="str">
        <f>""</f>
        <v/>
      </c>
      <c r="JF67" t="str">
        <f>""</f>
        <v/>
      </c>
      <c r="JG67" t="str">
        <f>""</f>
        <v/>
      </c>
      <c r="JH67" t="str">
        <f>""</f>
        <v/>
      </c>
      <c r="JI67" t="str">
        <f>""</f>
        <v/>
      </c>
      <c r="JJ67" t="str">
        <f>""</f>
        <v/>
      </c>
      <c r="JK67" t="str">
        <f>""</f>
        <v/>
      </c>
    </row>
    <row r="69" spans="1:271" x14ac:dyDescent="0.3">
      <c r="A69" t="str">
        <f>"c.zMETAB6#c.PM1"</f>
        <v>c.zMETAB6#c.PM1</v>
      </c>
      <c r="B69" t="str">
        <f>""</f>
        <v/>
      </c>
      <c r="C69" t="str">
        <f>""</f>
        <v/>
      </c>
      <c r="D69" t="str">
        <f>""</f>
        <v/>
      </c>
      <c r="E69" t="str">
        <f>""</f>
        <v/>
      </c>
      <c r="F69" t="str">
        <f>""</f>
        <v/>
      </c>
      <c r="G69" t="str">
        <f>""</f>
        <v/>
      </c>
      <c r="H69" t="str">
        <f>""</f>
        <v/>
      </c>
      <c r="I69" t="str">
        <f>""</f>
        <v/>
      </c>
      <c r="J69" t="str">
        <f>""</f>
        <v/>
      </c>
      <c r="K69" t="str">
        <f>""</f>
        <v/>
      </c>
      <c r="L69" t="str">
        <f>""</f>
        <v/>
      </c>
      <c r="M69" t="str">
        <f>""</f>
        <v/>
      </c>
      <c r="N69" t="str">
        <f>""</f>
        <v/>
      </c>
      <c r="O69" t="str">
        <f>""</f>
        <v/>
      </c>
      <c r="P69" t="str">
        <f>""</f>
        <v/>
      </c>
      <c r="Q69" t="str">
        <f>"0.120"</f>
        <v>0.120</v>
      </c>
      <c r="R69" t="str">
        <f>"-0.0509"</f>
        <v>-0.0509</v>
      </c>
      <c r="S69" t="str">
        <f>"0.0271"</f>
        <v>0.0271</v>
      </c>
      <c r="T69" t="str">
        <f>""</f>
        <v/>
      </c>
      <c r="U69" t="str">
        <f>""</f>
        <v/>
      </c>
      <c r="V69" t="str">
        <f>""</f>
        <v/>
      </c>
      <c r="W69" t="str">
        <f>""</f>
        <v/>
      </c>
      <c r="X69" t="str">
        <f>""</f>
        <v/>
      </c>
      <c r="Y69" t="str">
        <f>""</f>
        <v/>
      </c>
      <c r="Z69" t="str">
        <f>""</f>
        <v/>
      </c>
      <c r="AA69" t="str">
        <f>""</f>
        <v/>
      </c>
      <c r="AB69" t="str">
        <f>""</f>
        <v/>
      </c>
      <c r="AC69" t="str">
        <f>""</f>
        <v/>
      </c>
      <c r="AD69" t="str">
        <f>""</f>
        <v/>
      </c>
      <c r="AE69" t="str">
        <f>""</f>
        <v/>
      </c>
      <c r="AF69" t="str">
        <f>""</f>
        <v/>
      </c>
      <c r="AG69" t="str">
        <f>""</f>
        <v/>
      </c>
      <c r="AH69" t="str">
        <f>""</f>
        <v/>
      </c>
      <c r="AI69" t="str">
        <f>""</f>
        <v/>
      </c>
      <c r="AJ69" t="str">
        <f>""</f>
        <v/>
      </c>
      <c r="AK69" t="str">
        <f>""</f>
        <v/>
      </c>
      <c r="AL69" t="str">
        <f>""</f>
        <v/>
      </c>
      <c r="AM69" t="str">
        <f>""</f>
        <v/>
      </c>
      <c r="AN69" t="str">
        <f>""</f>
        <v/>
      </c>
      <c r="AO69" t="str">
        <f>""</f>
        <v/>
      </c>
      <c r="AP69" t="str">
        <f>""</f>
        <v/>
      </c>
      <c r="AQ69" t="str">
        <f>""</f>
        <v/>
      </c>
      <c r="AR69" t="str">
        <f>""</f>
        <v/>
      </c>
      <c r="AS69" t="str">
        <f>""</f>
        <v/>
      </c>
      <c r="AT69" t="str">
        <f>""</f>
        <v/>
      </c>
      <c r="AU69" t="str">
        <f>""</f>
        <v/>
      </c>
      <c r="AV69" t="str">
        <f>""</f>
        <v/>
      </c>
      <c r="AW69" t="str">
        <f>""</f>
        <v/>
      </c>
      <c r="AX69" t="str">
        <f>""</f>
        <v/>
      </c>
      <c r="AY69" t="str">
        <f>""</f>
        <v/>
      </c>
      <c r="AZ69" t="str">
        <f>""</f>
        <v/>
      </c>
      <c r="BA69" t="str">
        <f>""</f>
        <v/>
      </c>
      <c r="BB69" t="str">
        <f>""</f>
        <v/>
      </c>
      <c r="BC69" t="str">
        <f>""</f>
        <v/>
      </c>
      <c r="BD69" t="str">
        <f>""</f>
        <v/>
      </c>
      <c r="BE69" t="str">
        <f>""</f>
        <v/>
      </c>
      <c r="BF69" t="str">
        <f>""</f>
        <v/>
      </c>
      <c r="BG69" t="str">
        <f>""</f>
        <v/>
      </c>
      <c r="BH69" t="str">
        <f>""</f>
        <v/>
      </c>
      <c r="BI69" t="str">
        <f>""</f>
        <v/>
      </c>
      <c r="BJ69" t="str">
        <f>""</f>
        <v/>
      </c>
      <c r="BK69" t="str">
        <f>""</f>
        <v/>
      </c>
      <c r="BL69" t="str">
        <f>""</f>
        <v/>
      </c>
      <c r="BM69" t="str">
        <f>""</f>
        <v/>
      </c>
      <c r="BN69" t="str">
        <f>""</f>
        <v/>
      </c>
      <c r="BO69" t="str">
        <f>""</f>
        <v/>
      </c>
      <c r="BP69" t="str">
        <f>""</f>
        <v/>
      </c>
      <c r="BQ69" t="str">
        <f>""</f>
        <v/>
      </c>
      <c r="BR69" t="str">
        <f>""</f>
        <v/>
      </c>
      <c r="BS69" t="str">
        <f>""</f>
        <v/>
      </c>
      <c r="BT69" t="str">
        <f>""</f>
        <v/>
      </c>
      <c r="BU69" t="str">
        <f>""</f>
        <v/>
      </c>
      <c r="BV69" t="str">
        <f>""</f>
        <v/>
      </c>
      <c r="BW69" t="str">
        <f>""</f>
        <v/>
      </c>
      <c r="BX69" t="str">
        <f>""</f>
        <v/>
      </c>
      <c r="BY69" t="str">
        <f>""</f>
        <v/>
      </c>
      <c r="BZ69" t="str">
        <f>""</f>
        <v/>
      </c>
      <c r="CA69" t="str">
        <f>""</f>
        <v/>
      </c>
      <c r="CB69" t="str">
        <f>""</f>
        <v/>
      </c>
      <c r="CC69" t="str">
        <f>""</f>
        <v/>
      </c>
      <c r="CD69" t="str">
        <f>""</f>
        <v/>
      </c>
      <c r="CE69" t="str">
        <f>""</f>
        <v/>
      </c>
      <c r="CF69" t="str">
        <f>""</f>
        <v/>
      </c>
      <c r="CG69" t="str">
        <f>""</f>
        <v/>
      </c>
      <c r="CH69" t="str">
        <f>""</f>
        <v/>
      </c>
      <c r="CI69" t="str">
        <f>""</f>
        <v/>
      </c>
      <c r="CJ69" t="str">
        <f>""</f>
        <v/>
      </c>
      <c r="CK69" t="str">
        <f>""</f>
        <v/>
      </c>
      <c r="CL69" t="str">
        <f>""</f>
        <v/>
      </c>
      <c r="CM69" t="str">
        <f>""</f>
        <v/>
      </c>
      <c r="CN69" t="str">
        <f>""</f>
        <v/>
      </c>
      <c r="CO69" t="str">
        <f>""</f>
        <v/>
      </c>
      <c r="CP69" t="str">
        <f>""</f>
        <v/>
      </c>
      <c r="CQ69" t="str">
        <f>""</f>
        <v/>
      </c>
      <c r="CR69" t="str">
        <f>""</f>
        <v/>
      </c>
      <c r="CS69" t="str">
        <f>""</f>
        <v/>
      </c>
      <c r="CT69" t="str">
        <f>""</f>
        <v/>
      </c>
      <c r="CU69" t="str">
        <f>""</f>
        <v/>
      </c>
      <c r="CV69" t="str">
        <f>""</f>
        <v/>
      </c>
      <c r="CW69" t="str">
        <f>""</f>
        <v/>
      </c>
      <c r="CX69" t="str">
        <f>""</f>
        <v/>
      </c>
      <c r="CY69" t="str">
        <f>""</f>
        <v/>
      </c>
      <c r="CZ69" t="str">
        <f>""</f>
        <v/>
      </c>
      <c r="DA69" t="str">
        <f>""</f>
        <v/>
      </c>
      <c r="DB69" t="str">
        <f>""</f>
        <v/>
      </c>
      <c r="DC69" t="str">
        <f>""</f>
        <v/>
      </c>
      <c r="DD69" t="str">
        <f>""</f>
        <v/>
      </c>
      <c r="DE69" t="str">
        <f>""</f>
        <v/>
      </c>
      <c r="DF69" t="str">
        <f>""</f>
        <v/>
      </c>
      <c r="DG69" t="str">
        <f>""</f>
        <v/>
      </c>
      <c r="DH69" t="str">
        <f>""</f>
        <v/>
      </c>
      <c r="DI69" t="str">
        <f>""</f>
        <v/>
      </c>
      <c r="DJ69" t="str">
        <f>""</f>
        <v/>
      </c>
      <c r="DK69" t="str">
        <f>""</f>
        <v/>
      </c>
      <c r="DL69" t="str">
        <f>""</f>
        <v/>
      </c>
      <c r="DM69" t="str">
        <f>""</f>
        <v/>
      </c>
      <c r="DN69" t="str">
        <f>""</f>
        <v/>
      </c>
      <c r="DO69" t="str">
        <f>""</f>
        <v/>
      </c>
      <c r="DP69" t="str">
        <f>""</f>
        <v/>
      </c>
      <c r="DQ69" t="str">
        <f>""</f>
        <v/>
      </c>
      <c r="DR69" t="str">
        <f>""</f>
        <v/>
      </c>
      <c r="DS69" t="str">
        <f>""</f>
        <v/>
      </c>
      <c r="DT69" t="str">
        <f>""</f>
        <v/>
      </c>
      <c r="DU69" t="str">
        <f>""</f>
        <v/>
      </c>
      <c r="DV69" t="str">
        <f>""</f>
        <v/>
      </c>
      <c r="DW69" t="str">
        <f>""</f>
        <v/>
      </c>
      <c r="DX69" t="str">
        <f>""</f>
        <v/>
      </c>
      <c r="DY69" t="str">
        <f>""</f>
        <v/>
      </c>
      <c r="DZ69" t="str">
        <f>""</f>
        <v/>
      </c>
      <c r="EA69" t="str">
        <f>""</f>
        <v/>
      </c>
      <c r="EB69" t="str">
        <f>""</f>
        <v/>
      </c>
      <c r="EC69" t="str">
        <f>""</f>
        <v/>
      </c>
      <c r="ED69" t="str">
        <f>""</f>
        <v/>
      </c>
      <c r="EE69" t="str">
        <f>""</f>
        <v/>
      </c>
      <c r="EF69" t="str">
        <f>""</f>
        <v/>
      </c>
      <c r="EG69" t="str">
        <f>""</f>
        <v/>
      </c>
      <c r="EH69" t="str">
        <f>""</f>
        <v/>
      </c>
      <c r="EI69" t="str">
        <f>""</f>
        <v/>
      </c>
      <c r="EJ69" t="str">
        <f>""</f>
        <v/>
      </c>
      <c r="EK69" t="str">
        <f>""</f>
        <v/>
      </c>
      <c r="EL69" t="str">
        <f>""</f>
        <v/>
      </c>
      <c r="EM69" t="str">
        <f>""</f>
        <v/>
      </c>
      <c r="EN69" t="str">
        <f>""</f>
        <v/>
      </c>
      <c r="EO69" t="str">
        <f>""</f>
        <v/>
      </c>
      <c r="EP69" t="str">
        <f>""</f>
        <v/>
      </c>
      <c r="EQ69" t="str">
        <f>""</f>
        <v/>
      </c>
      <c r="ER69" t="str">
        <f>""</f>
        <v/>
      </c>
      <c r="ES69" t="str">
        <f>""</f>
        <v/>
      </c>
      <c r="ET69" t="str">
        <f>""</f>
        <v/>
      </c>
      <c r="EU69" t="str">
        <f>""</f>
        <v/>
      </c>
      <c r="EV69" t="str">
        <f>""</f>
        <v/>
      </c>
      <c r="EW69" t="str">
        <f>""</f>
        <v/>
      </c>
      <c r="EX69" t="str">
        <f>""</f>
        <v/>
      </c>
      <c r="EY69" t="str">
        <f>""</f>
        <v/>
      </c>
      <c r="EZ69" t="str">
        <f>""</f>
        <v/>
      </c>
      <c r="FA69" t="str">
        <f>""</f>
        <v/>
      </c>
      <c r="FB69" t="str">
        <f>""</f>
        <v/>
      </c>
      <c r="FC69" t="str">
        <f>""</f>
        <v/>
      </c>
      <c r="FD69" t="str">
        <f>""</f>
        <v/>
      </c>
      <c r="FE69" t="str">
        <f>""</f>
        <v/>
      </c>
      <c r="FF69" t="str">
        <f>""</f>
        <v/>
      </c>
      <c r="FG69" t="str">
        <f>""</f>
        <v/>
      </c>
      <c r="FH69" t="str">
        <f>""</f>
        <v/>
      </c>
      <c r="FI69" t="str">
        <f>""</f>
        <v/>
      </c>
      <c r="FJ69" t="str">
        <f>""</f>
        <v/>
      </c>
      <c r="FK69" t="str">
        <f>""</f>
        <v/>
      </c>
      <c r="FL69" t="str">
        <f>""</f>
        <v/>
      </c>
      <c r="FM69" t="str">
        <f>""</f>
        <v/>
      </c>
      <c r="FN69" t="str">
        <f>""</f>
        <v/>
      </c>
      <c r="FO69" t="str">
        <f>""</f>
        <v/>
      </c>
      <c r="FP69" t="str">
        <f>""</f>
        <v/>
      </c>
      <c r="FQ69" t="str">
        <f>""</f>
        <v/>
      </c>
      <c r="FR69" t="str">
        <f>""</f>
        <v/>
      </c>
      <c r="FS69" t="str">
        <f>""</f>
        <v/>
      </c>
      <c r="FT69" t="str">
        <f>""</f>
        <v/>
      </c>
      <c r="FU69" t="str">
        <f>""</f>
        <v/>
      </c>
      <c r="FV69" t="str">
        <f>""</f>
        <v/>
      </c>
      <c r="FW69" t="str">
        <f>""</f>
        <v/>
      </c>
      <c r="FX69" t="str">
        <f>""</f>
        <v/>
      </c>
      <c r="FY69" t="str">
        <f>""</f>
        <v/>
      </c>
      <c r="FZ69" t="str">
        <f>""</f>
        <v/>
      </c>
      <c r="GA69" t="str">
        <f>""</f>
        <v/>
      </c>
      <c r="GB69" t="str">
        <f>""</f>
        <v/>
      </c>
      <c r="GC69" t="str">
        <f>""</f>
        <v/>
      </c>
      <c r="GD69" t="str">
        <f>""</f>
        <v/>
      </c>
      <c r="GE69" t="str">
        <f>""</f>
        <v/>
      </c>
      <c r="GF69" t="str">
        <f>""</f>
        <v/>
      </c>
      <c r="GG69" t="str">
        <f>""</f>
        <v/>
      </c>
      <c r="GH69" t="str">
        <f>""</f>
        <v/>
      </c>
      <c r="GI69" t="str">
        <f>""</f>
        <v/>
      </c>
      <c r="GJ69" t="str">
        <f>""</f>
        <v/>
      </c>
      <c r="GK69" t="str">
        <f>""</f>
        <v/>
      </c>
      <c r="GL69" t="str">
        <f>""</f>
        <v/>
      </c>
      <c r="GM69" t="str">
        <f>""</f>
        <v/>
      </c>
      <c r="GN69" t="str">
        <f>""</f>
        <v/>
      </c>
      <c r="GO69" t="str">
        <f>""</f>
        <v/>
      </c>
      <c r="GP69" t="str">
        <f>""</f>
        <v/>
      </c>
      <c r="GQ69" t="str">
        <f>""</f>
        <v/>
      </c>
      <c r="GR69" t="str">
        <f>""</f>
        <v/>
      </c>
      <c r="GS69" t="str">
        <f>""</f>
        <v/>
      </c>
      <c r="GT69" t="str">
        <f>""</f>
        <v/>
      </c>
      <c r="GU69" t="str">
        <f>""</f>
        <v/>
      </c>
      <c r="GV69" t="str">
        <f>""</f>
        <v/>
      </c>
      <c r="GW69" t="str">
        <f>""</f>
        <v/>
      </c>
      <c r="GX69" t="str">
        <f>""</f>
        <v/>
      </c>
      <c r="GY69" t="str">
        <f>""</f>
        <v/>
      </c>
      <c r="GZ69" t="str">
        <f>""</f>
        <v/>
      </c>
      <c r="HA69" t="str">
        <f>""</f>
        <v/>
      </c>
      <c r="HB69" t="str">
        <f>""</f>
        <v/>
      </c>
      <c r="HC69" t="str">
        <f>""</f>
        <v/>
      </c>
      <c r="HD69" t="str">
        <f>""</f>
        <v/>
      </c>
      <c r="HE69" t="str">
        <f>""</f>
        <v/>
      </c>
      <c r="HF69" t="str">
        <f>""</f>
        <v/>
      </c>
      <c r="HG69" t="str">
        <f>""</f>
        <v/>
      </c>
      <c r="HH69" t="str">
        <f>""</f>
        <v/>
      </c>
      <c r="HI69" t="str">
        <f>""</f>
        <v/>
      </c>
      <c r="HJ69" t="str">
        <f>""</f>
        <v/>
      </c>
      <c r="HK69" t="str">
        <f>""</f>
        <v/>
      </c>
      <c r="HL69" t="str">
        <f>""</f>
        <v/>
      </c>
      <c r="HM69" t="str">
        <f>""</f>
        <v/>
      </c>
      <c r="HN69" t="str">
        <f>""</f>
        <v/>
      </c>
      <c r="HO69" t="str">
        <f>""</f>
        <v/>
      </c>
      <c r="HP69" t="str">
        <f>""</f>
        <v/>
      </c>
      <c r="HQ69" t="str">
        <f>""</f>
        <v/>
      </c>
      <c r="HR69" t="str">
        <f>""</f>
        <v/>
      </c>
      <c r="HS69" t="str">
        <f>""</f>
        <v/>
      </c>
      <c r="HT69" t="str">
        <f>""</f>
        <v/>
      </c>
      <c r="HU69" t="str">
        <f>""</f>
        <v/>
      </c>
      <c r="HV69" t="str">
        <f>""</f>
        <v/>
      </c>
      <c r="HW69" t="str">
        <f>""</f>
        <v/>
      </c>
      <c r="HX69" t="str">
        <f>""</f>
        <v/>
      </c>
      <c r="HY69" t="str">
        <f>""</f>
        <v/>
      </c>
      <c r="HZ69" t="str">
        <f>""</f>
        <v/>
      </c>
      <c r="IA69" t="str">
        <f>""</f>
        <v/>
      </c>
      <c r="IB69" t="str">
        <f>""</f>
        <v/>
      </c>
      <c r="IC69" t="str">
        <f>""</f>
        <v/>
      </c>
      <c r="ID69" t="str">
        <f>""</f>
        <v/>
      </c>
      <c r="IE69" t="str">
        <f>""</f>
        <v/>
      </c>
      <c r="IF69" t="str">
        <f>""</f>
        <v/>
      </c>
      <c r="IG69" t="str">
        <f>""</f>
        <v/>
      </c>
      <c r="IH69" t="str">
        <f>""</f>
        <v/>
      </c>
      <c r="II69" t="str">
        <f>""</f>
        <v/>
      </c>
      <c r="IJ69" t="str">
        <f>""</f>
        <v/>
      </c>
      <c r="IK69" t="str">
        <f>""</f>
        <v/>
      </c>
      <c r="IL69" t="str">
        <f>""</f>
        <v/>
      </c>
      <c r="IM69" t="str">
        <f>""</f>
        <v/>
      </c>
      <c r="IN69" t="str">
        <f>""</f>
        <v/>
      </c>
      <c r="IO69" t="str">
        <f>""</f>
        <v/>
      </c>
      <c r="IP69" t="str">
        <f>""</f>
        <v/>
      </c>
      <c r="IQ69" t="str">
        <f>""</f>
        <v/>
      </c>
      <c r="IR69" t="str">
        <f>""</f>
        <v/>
      </c>
      <c r="IS69" t="str">
        <f>""</f>
        <v/>
      </c>
      <c r="IT69" t="str">
        <f>""</f>
        <v/>
      </c>
      <c r="IU69" t="str">
        <f>""</f>
        <v/>
      </c>
      <c r="IV69" t="str">
        <f>""</f>
        <v/>
      </c>
      <c r="IW69" t="str">
        <f>""</f>
        <v/>
      </c>
      <c r="IX69" t="str">
        <f>""</f>
        <v/>
      </c>
      <c r="IY69" t="str">
        <f>""</f>
        <v/>
      </c>
      <c r="IZ69" t="str">
        <f>""</f>
        <v/>
      </c>
      <c r="JA69" t="str">
        <f>""</f>
        <v/>
      </c>
      <c r="JB69" t="str">
        <f>""</f>
        <v/>
      </c>
      <c r="JC69" t="str">
        <f>""</f>
        <v/>
      </c>
      <c r="JD69" t="str">
        <f>""</f>
        <v/>
      </c>
      <c r="JE69" t="str">
        <f>""</f>
        <v/>
      </c>
      <c r="JF69" t="str">
        <f>""</f>
        <v/>
      </c>
      <c r="JG69" t="str">
        <f>""</f>
        <v/>
      </c>
      <c r="JH69" t="str">
        <f>""</f>
        <v/>
      </c>
      <c r="JI69" t="str">
        <f>""</f>
        <v/>
      </c>
      <c r="JJ69" t="str">
        <f>""</f>
        <v/>
      </c>
      <c r="JK69" t="str">
        <f>""</f>
        <v/>
      </c>
    </row>
    <row r="70" spans="1:271" x14ac:dyDescent="0.3">
      <c r="A70" t="str">
        <f>""</f>
        <v/>
      </c>
      <c r="B70" t="str">
        <f>""</f>
        <v/>
      </c>
      <c r="C70" t="str">
        <f>""</f>
        <v/>
      </c>
      <c r="D70" t="str">
        <f>""</f>
        <v/>
      </c>
      <c r="E70" t="str">
        <f>""</f>
        <v/>
      </c>
      <c r="F70" t="str">
        <f>""</f>
        <v/>
      </c>
      <c r="G70" t="str">
        <f>""</f>
        <v/>
      </c>
      <c r="H70" t="str">
        <f>""</f>
        <v/>
      </c>
      <c r="I70" t="str">
        <f>""</f>
        <v/>
      </c>
      <c r="J70" t="str">
        <f>""</f>
        <v/>
      </c>
      <c r="K70" t="str">
        <f>""</f>
        <v/>
      </c>
      <c r="L70" t="str">
        <f>""</f>
        <v/>
      </c>
      <c r="M70" t="str">
        <f>""</f>
        <v/>
      </c>
      <c r="N70" t="str">
        <f>""</f>
        <v/>
      </c>
      <c r="O70" t="str">
        <f>""</f>
        <v/>
      </c>
      <c r="P70" t="str">
        <f>""</f>
        <v/>
      </c>
      <c r="Q70" t="str">
        <f>"(0.103)"</f>
        <v>(0.103)</v>
      </c>
      <c r="R70" t="str">
        <f>"(0.0812)"</f>
        <v>(0.0812)</v>
      </c>
      <c r="S70" t="str">
        <f>"(0.0439)"</f>
        <v>(0.0439)</v>
      </c>
      <c r="T70" t="str">
        <f>""</f>
        <v/>
      </c>
      <c r="U70" t="str">
        <f>""</f>
        <v/>
      </c>
      <c r="V70" t="str">
        <f>""</f>
        <v/>
      </c>
      <c r="W70" t="str">
        <f>""</f>
        <v/>
      </c>
      <c r="X70" t="str">
        <f>""</f>
        <v/>
      </c>
      <c r="Y70" t="str">
        <f>""</f>
        <v/>
      </c>
      <c r="Z70" t="str">
        <f>""</f>
        <v/>
      </c>
      <c r="AA70" t="str">
        <f>""</f>
        <v/>
      </c>
      <c r="AB70" t="str">
        <f>""</f>
        <v/>
      </c>
      <c r="AC70" t="str">
        <f>""</f>
        <v/>
      </c>
      <c r="AD70" t="str">
        <f>""</f>
        <v/>
      </c>
      <c r="AE70" t="str">
        <f>""</f>
        <v/>
      </c>
      <c r="AF70" t="str">
        <f>""</f>
        <v/>
      </c>
      <c r="AG70" t="str">
        <f>""</f>
        <v/>
      </c>
      <c r="AH70" t="str">
        <f>""</f>
        <v/>
      </c>
      <c r="AI70" t="str">
        <f>""</f>
        <v/>
      </c>
      <c r="AJ70" t="str">
        <f>""</f>
        <v/>
      </c>
      <c r="AK70" t="str">
        <f>""</f>
        <v/>
      </c>
      <c r="AL70" t="str">
        <f>""</f>
        <v/>
      </c>
      <c r="AM70" t="str">
        <f>""</f>
        <v/>
      </c>
      <c r="AN70" t="str">
        <f>""</f>
        <v/>
      </c>
      <c r="AO70" t="str">
        <f>""</f>
        <v/>
      </c>
      <c r="AP70" t="str">
        <f>""</f>
        <v/>
      </c>
      <c r="AQ70" t="str">
        <f>""</f>
        <v/>
      </c>
      <c r="AR70" t="str">
        <f>""</f>
        <v/>
      </c>
      <c r="AS70" t="str">
        <f>""</f>
        <v/>
      </c>
      <c r="AT70" t="str">
        <f>""</f>
        <v/>
      </c>
      <c r="AU70" t="str">
        <f>""</f>
        <v/>
      </c>
      <c r="AV70" t="str">
        <f>""</f>
        <v/>
      </c>
      <c r="AW70" t="str">
        <f>""</f>
        <v/>
      </c>
      <c r="AX70" t="str">
        <f>""</f>
        <v/>
      </c>
      <c r="AY70" t="str">
        <f>""</f>
        <v/>
      </c>
      <c r="AZ70" t="str">
        <f>""</f>
        <v/>
      </c>
      <c r="BA70" t="str">
        <f>""</f>
        <v/>
      </c>
      <c r="BB70" t="str">
        <f>""</f>
        <v/>
      </c>
      <c r="BC70" t="str">
        <f>""</f>
        <v/>
      </c>
      <c r="BD70" t="str">
        <f>""</f>
        <v/>
      </c>
      <c r="BE70" t="str">
        <f>""</f>
        <v/>
      </c>
      <c r="BF70" t="str">
        <f>""</f>
        <v/>
      </c>
      <c r="BG70" t="str">
        <f>""</f>
        <v/>
      </c>
      <c r="BH70" t="str">
        <f>""</f>
        <v/>
      </c>
      <c r="BI70" t="str">
        <f>""</f>
        <v/>
      </c>
      <c r="BJ70" t="str">
        <f>""</f>
        <v/>
      </c>
      <c r="BK70" t="str">
        <f>""</f>
        <v/>
      </c>
      <c r="BL70" t="str">
        <f>""</f>
        <v/>
      </c>
      <c r="BM70" t="str">
        <f>""</f>
        <v/>
      </c>
      <c r="BN70" t="str">
        <f>""</f>
        <v/>
      </c>
      <c r="BO70" t="str">
        <f>""</f>
        <v/>
      </c>
      <c r="BP70" t="str">
        <f>""</f>
        <v/>
      </c>
      <c r="BQ70" t="str">
        <f>""</f>
        <v/>
      </c>
      <c r="BR70" t="str">
        <f>""</f>
        <v/>
      </c>
      <c r="BS70" t="str">
        <f>""</f>
        <v/>
      </c>
      <c r="BT70" t="str">
        <f>""</f>
        <v/>
      </c>
      <c r="BU70" t="str">
        <f>""</f>
        <v/>
      </c>
      <c r="BV70" t="str">
        <f>""</f>
        <v/>
      </c>
      <c r="BW70" t="str">
        <f>""</f>
        <v/>
      </c>
      <c r="BX70" t="str">
        <f>""</f>
        <v/>
      </c>
      <c r="BY70" t="str">
        <f>""</f>
        <v/>
      </c>
      <c r="BZ70" t="str">
        <f>""</f>
        <v/>
      </c>
      <c r="CA70" t="str">
        <f>""</f>
        <v/>
      </c>
      <c r="CB70" t="str">
        <f>""</f>
        <v/>
      </c>
      <c r="CC70" t="str">
        <f>""</f>
        <v/>
      </c>
      <c r="CD70" t="str">
        <f>""</f>
        <v/>
      </c>
      <c r="CE70" t="str">
        <f>""</f>
        <v/>
      </c>
      <c r="CF70" t="str">
        <f>""</f>
        <v/>
      </c>
      <c r="CG70" t="str">
        <f>""</f>
        <v/>
      </c>
      <c r="CH70" t="str">
        <f>""</f>
        <v/>
      </c>
      <c r="CI70" t="str">
        <f>""</f>
        <v/>
      </c>
      <c r="CJ70" t="str">
        <f>""</f>
        <v/>
      </c>
      <c r="CK70" t="str">
        <f>""</f>
        <v/>
      </c>
      <c r="CL70" t="str">
        <f>""</f>
        <v/>
      </c>
      <c r="CM70" t="str">
        <f>""</f>
        <v/>
      </c>
      <c r="CN70" t="str">
        <f>""</f>
        <v/>
      </c>
      <c r="CO70" t="str">
        <f>""</f>
        <v/>
      </c>
      <c r="CP70" t="str">
        <f>""</f>
        <v/>
      </c>
      <c r="CQ70" t="str">
        <f>""</f>
        <v/>
      </c>
      <c r="CR70" t="str">
        <f>""</f>
        <v/>
      </c>
      <c r="CS70" t="str">
        <f>""</f>
        <v/>
      </c>
      <c r="CT70" t="str">
        <f>""</f>
        <v/>
      </c>
      <c r="CU70" t="str">
        <f>""</f>
        <v/>
      </c>
      <c r="CV70" t="str">
        <f>""</f>
        <v/>
      </c>
      <c r="CW70" t="str">
        <f>""</f>
        <v/>
      </c>
      <c r="CX70" t="str">
        <f>""</f>
        <v/>
      </c>
      <c r="CY70" t="str">
        <f>""</f>
        <v/>
      </c>
      <c r="CZ70" t="str">
        <f>""</f>
        <v/>
      </c>
      <c r="DA70" t="str">
        <f>""</f>
        <v/>
      </c>
      <c r="DB70" t="str">
        <f>""</f>
        <v/>
      </c>
      <c r="DC70" t="str">
        <f>""</f>
        <v/>
      </c>
      <c r="DD70" t="str">
        <f>""</f>
        <v/>
      </c>
      <c r="DE70" t="str">
        <f>""</f>
        <v/>
      </c>
      <c r="DF70" t="str">
        <f>""</f>
        <v/>
      </c>
      <c r="DG70" t="str">
        <f>""</f>
        <v/>
      </c>
      <c r="DH70" t="str">
        <f>""</f>
        <v/>
      </c>
      <c r="DI70" t="str">
        <f>""</f>
        <v/>
      </c>
      <c r="DJ70" t="str">
        <f>""</f>
        <v/>
      </c>
      <c r="DK70" t="str">
        <f>""</f>
        <v/>
      </c>
      <c r="DL70" t="str">
        <f>""</f>
        <v/>
      </c>
      <c r="DM70" t="str">
        <f>""</f>
        <v/>
      </c>
      <c r="DN70" t="str">
        <f>""</f>
        <v/>
      </c>
      <c r="DO70" t="str">
        <f>""</f>
        <v/>
      </c>
      <c r="DP70" t="str">
        <f>""</f>
        <v/>
      </c>
      <c r="DQ70" t="str">
        <f>""</f>
        <v/>
      </c>
      <c r="DR70" t="str">
        <f>""</f>
        <v/>
      </c>
      <c r="DS70" t="str">
        <f>""</f>
        <v/>
      </c>
      <c r="DT70" t="str">
        <f>""</f>
        <v/>
      </c>
      <c r="DU70" t="str">
        <f>""</f>
        <v/>
      </c>
      <c r="DV70" t="str">
        <f>""</f>
        <v/>
      </c>
      <c r="DW70" t="str">
        <f>""</f>
        <v/>
      </c>
      <c r="DX70" t="str">
        <f>""</f>
        <v/>
      </c>
      <c r="DY70" t="str">
        <f>""</f>
        <v/>
      </c>
      <c r="DZ70" t="str">
        <f>""</f>
        <v/>
      </c>
      <c r="EA70" t="str">
        <f>""</f>
        <v/>
      </c>
      <c r="EB70" t="str">
        <f>""</f>
        <v/>
      </c>
      <c r="EC70" t="str">
        <f>""</f>
        <v/>
      </c>
      <c r="ED70" t="str">
        <f>""</f>
        <v/>
      </c>
      <c r="EE70" t="str">
        <f>""</f>
        <v/>
      </c>
      <c r="EF70" t="str">
        <f>""</f>
        <v/>
      </c>
      <c r="EG70" t="str">
        <f>""</f>
        <v/>
      </c>
      <c r="EH70" t="str">
        <f>""</f>
        <v/>
      </c>
      <c r="EI70" t="str">
        <f>""</f>
        <v/>
      </c>
      <c r="EJ70" t="str">
        <f>""</f>
        <v/>
      </c>
      <c r="EK70" t="str">
        <f>""</f>
        <v/>
      </c>
      <c r="EL70" t="str">
        <f>""</f>
        <v/>
      </c>
      <c r="EM70" t="str">
        <f>""</f>
        <v/>
      </c>
      <c r="EN70" t="str">
        <f>""</f>
        <v/>
      </c>
      <c r="EO70" t="str">
        <f>""</f>
        <v/>
      </c>
      <c r="EP70" t="str">
        <f>""</f>
        <v/>
      </c>
      <c r="EQ70" t="str">
        <f>""</f>
        <v/>
      </c>
      <c r="ER70" t="str">
        <f>""</f>
        <v/>
      </c>
      <c r="ES70" t="str">
        <f>""</f>
        <v/>
      </c>
      <c r="ET70" t="str">
        <f>""</f>
        <v/>
      </c>
      <c r="EU70" t="str">
        <f>""</f>
        <v/>
      </c>
      <c r="EV70" t="str">
        <f>""</f>
        <v/>
      </c>
      <c r="EW70" t="str">
        <f>""</f>
        <v/>
      </c>
      <c r="EX70" t="str">
        <f>""</f>
        <v/>
      </c>
      <c r="EY70" t="str">
        <f>""</f>
        <v/>
      </c>
      <c r="EZ70" t="str">
        <f>""</f>
        <v/>
      </c>
      <c r="FA70" t="str">
        <f>""</f>
        <v/>
      </c>
      <c r="FB70" t="str">
        <f>""</f>
        <v/>
      </c>
      <c r="FC70" t="str">
        <f>""</f>
        <v/>
      </c>
      <c r="FD70" t="str">
        <f>""</f>
        <v/>
      </c>
      <c r="FE70" t="str">
        <f>""</f>
        <v/>
      </c>
      <c r="FF70" t="str">
        <f>""</f>
        <v/>
      </c>
      <c r="FG70" t="str">
        <f>""</f>
        <v/>
      </c>
      <c r="FH70" t="str">
        <f>""</f>
        <v/>
      </c>
      <c r="FI70" t="str">
        <f>""</f>
        <v/>
      </c>
      <c r="FJ70" t="str">
        <f>""</f>
        <v/>
      </c>
      <c r="FK70" t="str">
        <f>""</f>
        <v/>
      </c>
      <c r="FL70" t="str">
        <f>""</f>
        <v/>
      </c>
      <c r="FM70" t="str">
        <f>""</f>
        <v/>
      </c>
      <c r="FN70" t="str">
        <f>""</f>
        <v/>
      </c>
      <c r="FO70" t="str">
        <f>""</f>
        <v/>
      </c>
      <c r="FP70" t="str">
        <f>""</f>
        <v/>
      </c>
      <c r="FQ70" t="str">
        <f>""</f>
        <v/>
      </c>
      <c r="FR70" t="str">
        <f>""</f>
        <v/>
      </c>
      <c r="FS70" t="str">
        <f>""</f>
        <v/>
      </c>
      <c r="FT70" t="str">
        <f>""</f>
        <v/>
      </c>
      <c r="FU70" t="str">
        <f>""</f>
        <v/>
      </c>
      <c r="FV70" t="str">
        <f>""</f>
        <v/>
      </c>
      <c r="FW70" t="str">
        <f>""</f>
        <v/>
      </c>
      <c r="FX70" t="str">
        <f>""</f>
        <v/>
      </c>
      <c r="FY70" t="str">
        <f>""</f>
        <v/>
      </c>
      <c r="FZ70" t="str">
        <f>""</f>
        <v/>
      </c>
      <c r="GA70" t="str">
        <f>""</f>
        <v/>
      </c>
      <c r="GB70" t="str">
        <f>""</f>
        <v/>
      </c>
      <c r="GC70" t="str">
        <f>""</f>
        <v/>
      </c>
      <c r="GD70" t="str">
        <f>""</f>
        <v/>
      </c>
      <c r="GE70" t="str">
        <f>""</f>
        <v/>
      </c>
      <c r="GF70" t="str">
        <f>""</f>
        <v/>
      </c>
      <c r="GG70" t="str">
        <f>""</f>
        <v/>
      </c>
      <c r="GH70" t="str">
        <f>""</f>
        <v/>
      </c>
      <c r="GI70" t="str">
        <f>""</f>
        <v/>
      </c>
      <c r="GJ70" t="str">
        <f>""</f>
        <v/>
      </c>
      <c r="GK70" t="str">
        <f>""</f>
        <v/>
      </c>
      <c r="GL70" t="str">
        <f>""</f>
        <v/>
      </c>
      <c r="GM70" t="str">
        <f>""</f>
        <v/>
      </c>
      <c r="GN70" t="str">
        <f>""</f>
        <v/>
      </c>
      <c r="GO70" t="str">
        <f>""</f>
        <v/>
      </c>
      <c r="GP70" t="str">
        <f>""</f>
        <v/>
      </c>
      <c r="GQ70" t="str">
        <f>""</f>
        <v/>
      </c>
      <c r="GR70" t="str">
        <f>""</f>
        <v/>
      </c>
      <c r="GS70" t="str">
        <f>""</f>
        <v/>
      </c>
      <c r="GT70" t="str">
        <f>""</f>
        <v/>
      </c>
      <c r="GU70" t="str">
        <f>""</f>
        <v/>
      </c>
      <c r="GV70" t="str">
        <f>""</f>
        <v/>
      </c>
      <c r="GW70" t="str">
        <f>""</f>
        <v/>
      </c>
      <c r="GX70" t="str">
        <f>""</f>
        <v/>
      </c>
      <c r="GY70" t="str">
        <f>""</f>
        <v/>
      </c>
      <c r="GZ70" t="str">
        <f>""</f>
        <v/>
      </c>
      <c r="HA70" t="str">
        <f>""</f>
        <v/>
      </c>
      <c r="HB70" t="str">
        <f>""</f>
        <v/>
      </c>
      <c r="HC70" t="str">
        <f>""</f>
        <v/>
      </c>
      <c r="HD70" t="str">
        <f>""</f>
        <v/>
      </c>
      <c r="HE70" t="str">
        <f>""</f>
        <v/>
      </c>
      <c r="HF70" t="str">
        <f>""</f>
        <v/>
      </c>
      <c r="HG70" t="str">
        <f>""</f>
        <v/>
      </c>
      <c r="HH70" t="str">
        <f>""</f>
        <v/>
      </c>
      <c r="HI70" t="str">
        <f>""</f>
        <v/>
      </c>
      <c r="HJ70" t="str">
        <f>""</f>
        <v/>
      </c>
      <c r="HK70" t="str">
        <f>""</f>
        <v/>
      </c>
      <c r="HL70" t="str">
        <f>""</f>
        <v/>
      </c>
      <c r="HM70" t="str">
        <f>""</f>
        <v/>
      </c>
      <c r="HN70" t="str">
        <f>""</f>
        <v/>
      </c>
      <c r="HO70" t="str">
        <f>""</f>
        <v/>
      </c>
      <c r="HP70" t="str">
        <f>""</f>
        <v/>
      </c>
      <c r="HQ70" t="str">
        <f>""</f>
        <v/>
      </c>
      <c r="HR70" t="str">
        <f>""</f>
        <v/>
      </c>
      <c r="HS70" t="str">
        <f>""</f>
        <v/>
      </c>
      <c r="HT70" t="str">
        <f>""</f>
        <v/>
      </c>
      <c r="HU70" t="str">
        <f>""</f>
        <v/>
      </c>
      <c r="HV70" t="str">
        <f>""</f>
        <v/>
      </c>
      <c r="HW70" t="str">
        <f>""</f>
        <v/>
      </c>
      <c r="HX70" t="str">
        <f>""</f>
        <v/>
      </c>
      <c r="HY70" t="str">
        <f>""</f>
        <v/>
      </c>
      <c r="HZ70" t="str">
        <f>""</f>
        <v/>
      </c>
      <c r="IA70" t="str">
        <f>""</f>
        <v/>
      </c>
      <c r="IB70" t="str">
        <f>""</f>
        <v/>
      </c>
      <c r="IC70" t="str">
        <f>""</f>
        <v/>
      </c>
      <c r="ID70" t="str">
        <f>""</f>
        <v/>
      </c>
      <c r="IE70" t="str">
        <f>""</f>
        <v/>
      </c>
      <c r="IF70" t="str">
        <f>""</f>
        <v/>
      </c>
      <c r="IG70" t="str">
        <f>""</f>
        <v/>
      </c>
      <c r="IH70" t="str">
        <f>""</f>
        <v/>
      </c>
      <c r="II70" t="str">
        <f>""</f>
        <v/>
      </c>
      <c r="IJ70" t="str">
        <f>""</f>
        <v/>
      </c>
      <c r="IK70" t="str">
        <f>""</f>
        <v/>
      </c>
      <c r="IL70" t="str">
        <f>""</f>
        <v/>
      </c>
      <c r="IM70" t="str">
        <f>""</f>
        <v/>
      </c>
      <c r="IN70" t="str">
        <f>""</f>
        <v/>
      </c>
      <c r="IO70" t="str">
        <f>""</f>
        <v/>
      </c>
      <c r="IP70" t="str">
        <f>""</f>
        <v/>
      </c>
      <c r="IQ70" t="str">
        <f>""</f>
        <v/>
      </c>
      <c r="IR70" t="str">
        <f>""</f>
        <v/>
      </c>
      <c r="IS70" t="str">
        <f>""</f>
        <v/>
      </c>
      <c r="IT70" t="str">
        <f>""</f>
        <v/>
      </c>
      <c r="IU70" t="str">
        <f>""</f>
        <v/>
      </c>
      <c r="IV70" t="str">
        <f>""</f>
        <v/>
      </c>
      <c r="IW70" t="str">
        <f>""</f>
        <v/>
      </c>
      <c r="IX70" t="str">
        <f>""</f>
        <v/>
      </c>
      <c r="IY70" t="str">
        <f>""</f>
        <v/>
      </c>
      <c r="IZ70" t="str">
        <f>""</f>
        <v/>
      </c>
      <c r="JA70" t="str">
        <f>""</f>
        <v/>
      </c>
      <c r="JB70" t="str">
        <f>""</f>
        <v/>
      </c>
      <c r="JC70" t="str">
        <f>""</f>
        <v/>
      </c>
      <c r="JD70" t="str">
        <f>""</f>
        <v/>
      </c>
      <c r="JE70" t="str">
        <f>""</f>
        <v/>
      </c>
      <c r="JF70" t="str">
        <f>""</f>
        <v/>
      </c>
      <c r="JG70" t="str">
        <f>""</f>
        <v/>
      </c>
      <c r="JH70" t="str">
        <f>""</f>
        <v/>
      </c>
      <c r="JI70" t="str">
        <f>""</f>
        <v/>
      </c>
      <c r="JJ70" t="str">
        <f>""</f>
        <v/>
      </c>
      <c r="JK70" t="str">
        <f>""</f>
        <v/>
      </c>
    </row>
    <row r="72" spans="1:271" x14ac:dyDescent="0.3">
      <c r="A72" t="str">
        <f>"zMETAB7"</f>
        <v>zMETAB7</v>
      </c>
      <c r="B72" t="str">
        <f>""</f>
        <v/>
      </c>
      <c r="C72" t="str">
        <f>""</f>
        <v/>
      </c>
      <c r="D72" t="str">
        <f>""</f>
        <v/>
      </c>
      <c r="E72" t="str">
        <f>""</f>
        <v/>
      </c>
      <c r="F72" t="str">
        <f>""</f>
        <v/>
      </c>
      <c r="G72" t="str">
        <f>""</f>
        <v/>
      </c>
      <c r="H72" t="str">
        <f>""</f>
        <v/>
      </c>
      <c r="I72" t="str">
        <f>""</f>
        <v/>
      </c>
      <c r="J72" t="str">
        <f>""</f>
        <v/>
      </c>
      <c r="K72" t="str">
        <f>""</f>
        <v/>
      </c>
      <c r="L72" t="str">
        <f>""</f>
        <v/>
      </c>
      <c r="M72" t="str">
        <f>""</f>
        <v/>
      </c>
      <c r="N72" t="str">
        <f>""</f>
        <v/>
      </c>
      <c r="O72" t="str">
        <f>""</f>
        <v/>
      </c>
      <c r="P72" t="str">
        <f>""</f>
        <v/>
      </c>
      <c r="Q72" t="str">
        <f>""</f>
        <v/>
      </c>
      <c r="R72" t="str">
        <f>""</f>
        <v/>
      </c>
      <c r="S72" t="str">
        <f>""</f>
        <v/>
      </c>
      <c r="T72" t="str">
        <f>"0.0174"</f>
        <v>0.0174</v>
      </c>
      <c r="U72" t="str">
        <f>"-0.0658"</f>
        <v>-0.0658</v>
      </c>
      <c r="V72" t="str">
        <f>"-0.134***"</f>
        <v>-0.134***</v>
      </c>
      <c r="W72" t="str">
        <f>""</f>
        <v/>
      </c>
      <c r="X72" t="str">
        <f>""</f>
        <v/>
      </c>
      <c r="Y72" t="str">
        <f>""</f>
        <v/>
      </c>
      <c r="Z72" t="str">
        <f>""</f>
        <v/>
      </c>
      <c r="AA72" t="str">
        <f>""</f>
        <v/>
      </c>
      <c r="AB72" t="str">
        <f>""</f>
        <v/>
      </c>
      <c r="AC72" t="str">
        <f>""</f>
        <v/>
      </c>
      <c r="AD72" t="str">
        <f>""</f>
        <v/>
      </c>
      <c r="AE72" t="str">
        <f>""</f>
        <v/>
      </c>
      <c r="AF72" t="str">
        <f>""</f>
        <v/>
      </c>
      <c r="AG72" t="str">
        <f>""</f>
        <v/>
      </c>
      <c r="AH72" t="str">
        <f>""</f>
        <v/>
      </c>
      <c r="AI72" t="str">
        <f>""</f>
        <v/>
      </c>
      <c r="AJ72" t="str">
        <f>""</f>
        <v/>
      </c>
      <c r="AK72" t="str">
        <f>""</f>
        <v/>
      </c>
      <c r="AL72" t="str">
        <f>""</f>
        <v/>
      </c>
      <c r="AM72" t="str">
        <f>""</f>
        <v/>
      </c>
      <c r="AN72" t="str">
        <f>""</f>
        <v/>
      </c>
      <c r="AO72" t="str">
        <f>""</f>
        <v/>
      </c>
      <c r="AP72" t="str">
        <f>""</f>
        <v/>
      </c>
      <c r="AQ72" t="str">
        <f>""</f>
        <v/>
      </c>
      <c r="AR72" t="str">
        <f>""</f>
        <v/>
      </c>
      <c r="AS72" t="str">
        <f>""</f>
        <v/>
      </c>
      <c r="AT72" t="str">
        <f>""</f>
        <v/>
      </c>
      <c r="AU72" t="str">
        <f>""</f>
        <v/>
      </c>
      <c r="AV72" t="str">
        <f>""</f>
        <v/>
      </c>
      <c r="AW72" t="str">
        <f>""</f>
        <v/>
      </c>
      <c r="AX72" t="str">
        <f>""</f>
        <v/>
      </c>
      <c r="AY72" t="str">
        <f>""</f>
        <v/>
      </c>
      <c r="AZ72" t="str">
        <f>""</f>
        <v/>
      </c>
      <c r="BA72" t="str">
        <f>""</f>
        <v/>
      </c>
      <c r="BB72" t="str">
        <f>""</f>
        <v/>
      </c>
      <c r="BC72" t="str">
        <f>""</f>
        <v/>
      </c>
      <c r="BD72" t="str">
        <f>""</f>
        <v/>
      </c>
      <c r="BE72" t="str">
        <f>""</f>
        <v/>
      </c>
      <c r="BF72" t="str">
        <f>""</f>
        <v/>
      </c>
      <c r="BG72" t="str">
        <f>""</f>
        <v/>
      </c>
      <c r="BH72" t="str">
        <f>""</f>
        <v/>
      </c>
      <c r="BI72" t="str">
        <f>""</f>
        <v/>
      </c>
      <c r="BJ72" t="str">
        <f>""</f>
        <v/>
      </c>
      <c r="BK72" t="str">
        <f>""</f>
        <v/>
      </c>
      <c r="BL72" t="str">
        <f>""</f>
        <v/>
      </c>
      <c r="BM72" t="str">
        <f>"0.0361"</f>
        <v>0.0361</v>
      </c>
      <c r="BN72" t="str">
        <f>"-0.0924"</f>
        <v>-0.0924</v>
      </c>
      <c r="BO72" t="str">
        <f>"-0.183***"</f>
        <v>-0.183***</v>
      </c>
      <c r="BP72" t="str">
        <f>""</f>
        <v/>
      </c>
      <c r="BQ72" t="str">
        <f>""</f>
        <v/>
      </c>
      <c r="BR72" t="str">
        <f>""</f>
        <v/>
      </c>
      <c r="BS72" t="str">
        <f>""</f>
        <v/>
      </c>
      <c r="BT72" t="str">
        <f>""</f>
        <v/>
      </c>
      <c r="BU72" t="str">
        <f>""</f>
        <v/>
      </c>
      <c r="BV72" t="str">
        <f>""</f>
        <v/>
      </c>
      <c r="BW72" t="str">
        <f>""</f>
        <v/>
      </c>
      <c r="BX72" t="str">
        <f>""</f>
        <v/>
      </c>
      <c r="BY72" t="str">
        <f>""</f>
        <v/>
      </c>
      <c r="BZ72" t="str">
        <f>""</f>
        <v/>
      </c>
      <c r="CA72" t="str">
        <f>""</f>
        <v/>
      </c>
      <c r="CB72" t="str">
        <f>""</f>
        <v/>
      </c>
      <c r="CC72" t="str">
        <f>""</f>
        <v/>
      </c>
      <c r="CD72" t="str">
        <f>""</f>
        <v/>
      </c>
      <c r="CE72" t="str">
        <f>""</f>
        <v/>
      </c>
      <c r="CF72" t="str">
        <f>""</f>
        <v/>
      </c>
      <c r="CG72" t="str">
        <f>""</f>
        <v/>
      </c>
      <c r="CH72" t="str">
        <f>""</f>
        <v/>
      </c>
      <c r="CI72" t="str">
        <f>""</f>
        <v/>
      </c>
      <c r="CJ72" t="str">
        <f>""</f>
        <v/>
      </c>
      <c r="CK72" t="str">
        <f>""</f>
        <v/>
      </c>
      <c r="CL72" t="str">
        <f>""</f>
        <v/>
      </c>
      <c r="CM72" t="str">
        <f>""</f>
        <v/>
      </c>
      <c r="CN72" t="str">
        <f>""</f>
        <v/>
      </c>
      <c r="CO72" t="str">
        <f>""</f>
        <v/>
      </c>
      <c r="CP72" t="str">
        <f>""</f>
        <v/>
      </c>
      <c r="CQ72" t="str">
        <f>""</f>
        <v/>
      </c>
      <c r="CR72" t="str">
        <f>""</f>
        <v/>
      </c>
      <c r="CS72" t="str">
        <f>""</f>
        <v/>
      </c>
      <c r="CT72" t="str">
        <f>""</f>
        <v/>
      </c>
      <c r="CU72" t="str">
        <f>""</f>
        <v/>
      </c>
      <c r="CV72" t="str">
        <f>""</f>
        <v/>
      </c>
      <c r="CW72" t="str">
        <f>""</f>
        <v/>
      </c>
      <c r="CX72" t="str">
        <f>""</f>
        <v/>
      </c>
      <c r="CY72" t="str">
        <f>""</f>
        <v/>
      </c>
      <c r="CZ72" t="str">
        <f>""</f>
        <v/>
      </c>
      <c r="DA72" t="str">
        <f>""</f>
        <v/>
      </c>
      <c r="DB72" t="str">
        <f>""</f>
        <v/>
      </c>
      <c r="DC72" t="str">
        <f>""</f>
        <v/>
      </c>
      <c r="DD72" t="str">
        <f>""</f>
        <v/>
      </c>
      <c r="DE72" t="str">
        <f>""</f>
        <v/>
      </c>
      <c r="DF72" t="str">
        <f>"0.0638"</f>
        <v>0.0638</v>
      </c>
      <c r="DG72" t="str">
        <f>"-0.0437"</f>
        <v>-0.0437</v>
      </c>
      <c r="DH72" t="str">
        <f>"-0.173***"</f>
        <v>-0.173***</v>
      </c>
      <c r="DI72" t="str">
        <f>""</f>
        <v/>
      </c>
      <c r="DJ72" t="str">
        <f>""</f>
        <v/>
      </c>
      <c r="DK72" t="str">
        <f>""</f>
        <v/>
      </c>
      <c r="DL72" t="str">
        <f>""</f>
        <v/>
      </c>
      <c r="DM72" t="str">
        <f>""</f>
        <v/>
      </c>
      <c r="DN72" t="str">
        <f>""</f>
        <v/>
      </c>
      <c r="DO72" t="str">
        <f>""</f>
        <v/>
      </c>
      <c r="DP72" t="str">
        <f>""</f>
        <v/>
      </c>
      <c r="DQ72" t="str">
        <f>""</f>
        <v/>
      </c>
      <c r="DR72" t="str">
        <f>""</f>
        <v/>
      </c>
      <c r="DS72" t="str">
        <f>""</f>
        <v/>
      </c>
      <c r="DT72" t="str">
        <f>""</f>
        <v/>
      </c>
      <c r="DU72" t="str">
        <f>""</f>
        <v/>
      </c>
      <c r="DV72" t="str">
        <f>""</f>
        <v/>
      </c>
      <c r="DW72" t="str">
        <f>""</f>
        <v/>
      </c>
      <c r="DX72" t="str">
        <f>""</f>
        <v/>
      </c>
      <c r="DY72" t="str">
        <f>""</f>
        <v/>
      </c>
      <c r="DZ72" t="str">
        <f>""</f>
        <v/>
      </c>
      <c r="EA72" t="str">
        <f>""</f>
        <v/>
      </c>
      <c r="EB72" t="str">
        <f>""</f>
        <v/>
      </c>
      <c r="EC72" t="str">
        <f>""</f>
        <v/>
      </c>
      <c r="ED72" t="str">
        <f>""</f>
        <v/>
      </c>
      <c r="EE72" t="str">
        <f>""</f>
        <v/>
      </c>
      <c r="EF72" t="str">
        <f>""</f>
        <v/>
      </c>
      <c r="EG72" t="str">
        <f>""</f>
        <v/>
      </c>
      <c r="EH72" t="str">
        <f>""</f>
        <v/>
      </c>
      <c r="EI72" t="str">
        <f>""</f>
        <v/>
      </c>
      <c r="EJ72" t="str">
        <f>""</f>
        <v/>
      </c>
      <c r="EK72" t="str">
        <f>""</f>
        <v/>
      </c>
      <c r="EL72" t="str">
        <f>""</f>
        <v/>
      </c>
      <c r="EM72" t="str">
        <f>""</f>
        <v/>
      </c>
      <c r="EN72" t="str">
        <f>""</f>
        <v/>
      </c>
      <c r="EO72" t="str">
        <f>""</f>
        <v/>
      </c>
      <c r="EP72" t="str">
        <f>""</f>
        <v/>
      </c>
      <c r="EQ72" t="str">
        <f>""</f>
        <v/>
      </c>
      <c r="ER72" t="str">
        <f>""</f>
        <v/>
      </c>
      <c r="ES72" t="str">
        <f>""</f>
        <v/>
      </c>
      <c r="ET72" t="str">
        <f>""</f>
        <v/>
      </c>
      <c r="EU72" t="str">
        <f>""</f>
        <v/>
      </c>
      <c r="EV72" t="str">
        <f>""</f>
        <v/>
      </c>
      <c r="EW72" t="str">
        <f>""</f>
        <v/>
      </c>
      <c r="EX72" t="str">
        <f>""</f>
        <v/>
      </c>
      <c r="EY72" t="str">
        <f>"-0.0212"</f>
        <v>-0.0212</v>
      </c>
      <c r="EZ72" t="str">
        <f>"-0.0550"</f>
        <v>-0.0550</v>
      </c>
      <c r="FA72" t="str">
        <f>"-0.138***"</f>
        <v>-0.138***</v>
      </c>
      <c r="FB72" t="str">
        <f>""</f>
        <v/>
      </c>
      <c r="FC72" t="str">
        <f>""</f>
        <v/>
      </c>
      <c r="FD72" t="str">
        <f>""</f>
        <v/>
      </c>
      <c r="FE72" t="str">
        <f>""</f>
        <v/>
      </c>
      <c r="FF72" t="str">
        <f>""</f>
        <v/>
      </c>
      <c r="FG72" t="str">
        <f>""</f>
        <v/>
      </c>
      <c r="FH72" t="str">
        <f>""</f>
        <v/>
      </c>
      <c r="FI72" t="str">
        <f>""</f>
        <v/>
      </c>
      <c r="FJ72" t="str">
        <f>""</f>
        <v/>
      </c>
      <c r="FK72" t="str">
        <f>""</f>
        <v/>
      </c>
      <c r="FL72" t="str">
        <f>""</f>
        <v/>
      </c>
      <c r="FM72" t="str">
        <f>""</f>
        <v/>
      </c>
      <c r="FN72" t="str">
        <f>""</f>
        <v/>
      </c>
      <c r="FO72" t="str">
        <f>""</f>
        <v/>
      </c>
      <c r="FP72" t="str">
        <f>""</f>
        <v/>
      </c>
      <c r="FQ72" t="str">
        <f>""</f>
        <v/>
      </c>
      <c r="FR72" t="str">
        <f>""</f>
        <v/>
      </c>
      <c r="FS72" t="str">
        <f>""</f>
        <v/>
      </c>
      <c r="FT72" t="str">
        <f>""</f>
        <v/>
      </c>
      <c r="FU72" t="str">
        <f>""</f>
        <v/>
      </c>
      <c r="FV72" t="str">
        <f>""</f>
        <v/>
      </c>
      <c r="FW72" t="str">
        <f>""</f>
        <v/>
      </c>
      <c r="FX72" t="str">
        <f>""</f>
        <v/>
      </c>
      <c r="FY72" t="str">
        <f>""</f>
        <v/>
      </c>
      <c r="FZ72" t="str">
        <f>""</f>
        <v/>
      </c>
      <c r="GA72" t="str">
        <f>""</f>
        <v/>
      </c>
      <c r="GB72" t="str">
        <f>""</f>
        <v/>
      </c>
      <c r="GC72" t="str">
        <f>""</f>
        <v/>
      </c>
      <c r="GD72" t="str">
        <f>""</f>
        <v/>
      </c>
      <c r="GE72" t="str">
        <f>""</f>
        <v/>
      </c>
      <c r="GF72" t="str">
        <f>""</f>
        <v/>
      </c>
      <c r="GG72" t="str">
        <f>""</f>
        <v/>
      </c>
      <c r="GH72" t="str">
        <f>""</f>
        <v/>
      </c>
      <c r="GI72" t="str">
        <f>""</f>
        <v/>
      </c>
      <c r="GJ72" t="str">
        <f>""</f>
        <v/>
      </c>
      <c r="GK72" t="str">
        <f>""</f>
        <v/>
      </c>
      <c r="GL72" t="str">
        <f>""</f>
        <v/>
      </c>
      <c r="GM72" t="str">
        <f>""</f>
        <v/>
      </c>
      <c r="GN72" t="str">
        <f>""</f>
        <v/>
      </c>
      <c r="GO72" t="str">
        <f>""</f>
        <v/>
      </c>
      <c r="GP72" t="str">
        <f>""</f>
        <v/>
      </c>
      <c r="GQ72" t="str">
        <f>""</f>
        <v/>
      </c>
      <c r="GR72" t="str">
        <f>"-0.0132"</f>
        <v>-0.0132</v>
      </c>
      <c r="GS72" t="str">
        <f>"-0.107"</f>
        <v>-0.107</v>
      </c>
      <c r="GT72" t="str">
        <f>"-0.129***"</f>
        <v>-0.129***</v>
      </c>
      <c r="GU72" t="str">
        <f>""</f>
        <v/>
      </c>
      <c r="GV72" t="str">
        <f>""</f>
        <v/>
      </c>
      <c r="GW72" t="str">
        <f>""</f>
        <v/>
      </c>
      <c r="GX72" t="str">
        <f>""</f>
        <v/>
      </c>
      <c r="GY72" t="str">
        <f>""</f>
        <v/>
      </c>
      <c r="GZ72" t="str">
        <f>""</f>
        <v/>
      </c>
      <c r="HA72" t="str">
        <f>""</f>
        <v/>
      </c>
      <c r="HB72" t="str">
        <f>""</f>
        <v/>
      </c>
      <c r="HC72" t="str">
        <f>""</f>
        <v/>
      </c>
      <c r="HD72" t="str">
        <f>""</f>
        <v/>
      </c>
      <c r="HE72" t="str">
        <f>""</f>
        <v/>
      </c>
      <c r="HF72" t="str">
        <f>""</f>
        <v/>
      </c>
      <c r="HG72" t="str">
        <f>""</f>
        <v/>
      </c>
      <c r="HH72" t="str">
        <f>""</f>
        <v/>
      </c>
      <c r="HI72" t="str">
        <f>""</f>
        <v/>
      </c>
      <c r="HJ72" t="str">
        <f>""</f>
        <v/>
      </c>
      <c r="HK72" t="str">
        <f>""</f>
        <v/>
      </c>
      <c r="HL72" t="str">
        <f>""</f>
        <v/>
      </c>
      <c r="HM72" t="str">
        <f>""</f>
        <v/>
      </c>
      <c r="HN72" t="str">
        <f>""</f>
        <v/>
      </c>
      <c r="HO72" t="str">
        <f>""</f>
        <v/>
      </c>
      <c r="HP72" t="str">
        <f>""</f>
        <v/>
      </c>
      <c r="HQ72" t="str">
        <f>""</f>
        <v/>
      </c>
      <c r="HR72" t="str">
        <f>""</f>
        <v/>
      </c>
      <c r="HS72" t="str">
        <f>""</f>
        <v/>
      </c>
      <c r="HT72" t="str">
        <f>""</f>
        <v/>
      </c>
      <c r="HU72" t="str">
        <f>""</f>
        <v/>
      </c>
      <c r="HV72" t="str">
        <f>""</f>
        <v/>
      </c>
      <c r="HW72" t="str">
        <f>""</f>
        <v/>
      </c>
      <c r="HX72" t="str">
        <f>""</f>
        <v/>
      </c>
      <c r="HY72" t="str">
        <f>""</f>
        <v/>
      </c>
      <c r="HZ72" t="str">
        <f>""</f>
        <v/>
      </c>
      <c r="IA72" t="str">
        <f>""</f>
        <v/>
      </c>
      <c r="IB72" t="str">
        <f>""</f>
        <v/>
      </c>
      <c r="IC72" t="str">
        <f>""</f>
        <v/>
      </c>
      <c r="ID72" t="str">
        <f>""</f>
        <v/>
      </c>
      <c r="IE72" t="str">
        <f>""</f>
        <v/>
      </c>
      <c r="IF72" t="str">
        <f>""</f>
        <v/>
      </c>
      <c r="IG72" t="str">
        <f>""</f>
        <v/>
      </c>
      <c r="IH72" t="str">
        <f>""</f>
        <v/>
      </c>
      <c r="II72" t="str">
        <f>""</f>
        <v/>
      </c>
      <c r="IJ72" t="str">
        <f>""</f>
        <v/>
      </c>
      <c r="IK72" t="str">
        <f>"-0.0140"</f>
        <v>-0.0140</v>
      </c>
      <c r="IL72" t="str">
        <f>"-0.0629"</f>
        <v>-0.0629</v>
      </c>
      <c r="IM72" t="str">
        <f>"-0.162***"</f>
        <v>-0.162***</v>
      </c>
      <c r="IN72" t="str">
        <f>""</f>
        <v/>
      </c>
      <c r="IO72" t="str">
        <f>""</f>
        <v/>
      </c>
      <c r="IP72" t="str">
        <f>""</f>
        <v/>
      </c>
      <c r="IQ72" t="str">
        <f>""</f>
        <v/>
      </c>
      <c r="IR72" t="str">
        <f>""</f>
        <v/>
      </c>
      <c r="IS72" t="str">
        <f>""</f>
        <v/>
      </c>
      <c r="IT72" t="str">
        <f>""</f>
        <v/>
      </c>
      <c r="IU72" t="str">
        <f>""</f>
        <v/>
      </c>
      <c r="IV72" t="str">
        <f>""</f>
        <v/>
      </c>
      <c r="IW72" t="str">
        <f>""</f>
        <v/>
      </c>
      <c r="IX72" t="str">
        <f>""</f>
        <v/>
      </c>
      <c r="IY72" t="str">
        <f>""</f>
        <v/>
      </c>
      <c r="IZ72" t="str">
        <f>""</f>
        <v/>
      </c>
      <c r="JA72" t="str">
        <f>""</f>
        <v/>
      </c>
      <c r="JB72" t="str">
        <f>""</f>
        <v/>
      </c>
      <c r="JC72" t="str">
        <f>""</f>
        <v/>
      </c>
      <c r="JD72" t="str">
        <f>""</f>
        <v/>
      </c>
      <c r="JE72" t="str">
        <f>""</f>
        <v/>
      </c>
      <c r="JF72" t="str">
        <f>""</f>
        <v/>
      </c>
      <c r="JG72" t="str">
        <f>""</f>
        <v/>
      </c>
      <c r="JH72" t="str">
        <f>""</f>
        <v/>
      </c>
      <c r="JI72" t="str">
        <f>""</f>
        <v/>
      </c>
      <c r="JJ72" t="str">
        <f>""</f>
        <v/>
      </c>
      <c r="JK72" t="str">
        <f>""</f>
        <v/>
      </c>
    </row>
    <row r="73" spans="1:271" x14ac:dyDescent="0.3">
      <c r="A73" t="str">
        <f>""</f>
        <v/>
      </c>
      <c r="B73" t="str">
        <f>""</f>
        <v/>
      </c>
      <c r="C73" t="str">
        <f>""</f>
        <v/>
      </c>
      <c r="D73" t="str">
        <f>""</f>
        <v/>
      </c>
      <c r="E73" t="str">
        <f>""</f>
        <v/>
      </c>
      <c r="F73" t="str">
        <f>""</f>
        <v/>
      </c>
      <c r="G73" t="str">
        <f>""</f>
        <v/>
      </c>
      <c r="H73" t="str">
        <f>""</f>
        <v/>
      </c>
      <c r="I73" t="str">
        <f>""</f>
        <v/>
      </c>
      <c r="J73" t="str">
        <f>""</f>
        <v/>
      </c>
      <c r="K73" t="str">
        <f>""</f>
        <v/>
      </c>
      <c r="L73" t="str">
        <f>""</f>
        <v/>
      </c>
      <c r="M73" t="str">
        <f>""</f>
        <v/>
      </c>
      <c r="N73" t="str">
        <f>""</f>
        <v/>
      </c>
      <c r="O73" t="str">
        <f>""</f>
        <v/>
      </c>
      <c r="P73" t="str">
        <f>""</f>
        <v/>
      </c>
      <c r="Q73" t="str">
        <f>""</f>
        <v/>
      </c>
      <c r="R73" t="str">
        <f>""</f>
        <v/>
      </c>
      <c r="S73" t="str">
        <f>""</f>
        <v/>
      </c>
      <c r="T73" t="str">
        <f>"(0.0742)"</f>
        <v>(0.0742)</v>
      </c>
      <c r="U73" t="str">
        <f>"(0.0597)"</f>
        <v>(0.0597)</v>
      </c>
      <c r="V73" t="str">
        <f>"(0.0341)"</f>
        <v>(0.0341)</v>
      </c>
      <c r="W73" t="str">
        <f>""</f>
        <v/>
      </c>
      <c r="X73" t="str">
        <f>""</f>
        <v/>
      </c>
      <c r="Y73" t="str">
        <f>""</f>
        <v/>
      </c>
      <c r="Z73" t="str">
        <f>""</f>
        <v/>
      </c>
      <c r="AA73" t="str">
        <f>""</f>
        <v/>
      </c>
      <c r="AB73" t="str">
        <f>""</f>
        <v/>
      </c>
      <c r="AC73" t="str">
        <f>""</f>
        <v/>
      </c>
      <c r="AD73" t="str">
        <f>""</f>
        <v/>
      </c>
      <c r="AE73" t="str">
        <f>""</f>
        <v/>
      </c>
      <c r="AF73" t="str">
        <f>""</f>
        <v/>
      </c>
      <c r="AG73" t="str">
        <f>""</f>
        <v/>
      </c>
      <c r="AH73" t="str">
        <f>""</f>
        <v/>
      </c>
      <c r="AI73" t="str">
        <f>""</f>
        <v/>
      </c>
      <c r="AJ73" t="str">
        <f>""</f>
        <v/>
      </c>
      <c r="AK73" t="str">
        <f>""</f>
        <v/>
      </c>
      <c r="AL73" t="str">
        <f>""</f>
        <v/>
      </c>
      <c r="AM73" t="str">
        <f>""</f>
        <v/>
      </c>
      <c r="AN73" t="str">
        <f>""</f>
        <v/>
      </c>
      <c r="AO73" t="str">
        <f>""</f>
        <v/>
      </c>
      <c r="AP73" t="str">
        <f>""</f>
        <v/>
      </c>
      <c r="AQ73" t="str">
        <f>""</f>
        <v/>
      </c>
      <c r="AR73" t="str">
        <f>""</f>
        <v/>
      </c>
      <c r="AS73" t="str">
        <f>""</f>
        <v/>
      </c>
      <c r="AT73" t="str">
        <f>""</f>
        <v/>
      </c>
      <c r="AU73" t="str">
        <f>""</f>
        <v/>
      </c>
      <c r="AV73" t="str">
        <f>""</f>
        <v/>
      </c>
      <c r="AW73" t="str">
        <f>""</f>
        <v/>
      </c>
      <c r="AX73" t="str">
        <f>""</f>
        <v/>
      </c>
      <c r="AY73" t="str">
        <f>""</f>
        <v/>
      </c>
      <c r="AZ73" t="str">
        <f>""</f>
        <v/>
      </c>
      <c r="BA73" t="str">
        <f>""</f>
        <v/>
      </c>
      <c r="BB73" t="str">
        <f>""</f>
        <v/>
      </c>
      <c r="BC73" t="str">
        <f>""</f>
        <v/>
      </c>
      <c r="BD73" t="str">
        <f>""</f>
        <v/>
      </c>
      <c r="BE73" t="str">
        <f>""</f>
        <v/>
      </c>
      <c r="BF73" t="str">
        <f>""</f>
        <v/>
      </c>
      <c r="BG73" t="str">
        <f>""</f>
        <v/>
      </c>
      <c r="BH73" t="str">
        <f>""</f>
        <v/>
      </c>
      <c r="BI73" t="str">
        <f>""</f>
        <v/>
      </c>
      <c r="BJ73" t="str">
        <f>""</f>
        <v/>
      </c>
      <c r="BK73" t="str">
        <f>""</f>
        <v/>
      </c>
      <c r="BL73" t="str">
        <f>""</f>
        <v/>
      </c>
      <c r="BM73" t="str">
        <f>"(0.0742)"</f>
        <v>(0.0742)</v>
      </c>
      <c r="BN73" t="str">
        <f>"(0.0600)"</f>
        <v>(0.0600)</v>
      </c>
      <c r="BO73" t="str">
        <f>"(0.0337)"</f>
        <v>(0.0337)</v>
      </c>
      <c r="BP73" t="str">
        <f>""</f>
        <v/>
      </c>
      <c r="BQ73" t="str">
        <f>""</f>
        <v/>
      </c>
      <c r="BR73" t="str">
        <f>""</f>
        <v/>
      </c>
      <c r="BS73" t="str">
        <f>""</f>
        <v/>
      </c>
      <c r="BT73" t="str">
        <f>""</f>
        <v/>
      </c>
      <c r="BU73" t="str">
        <f>""</f>
        <v/>
      </c>
      <c r="BV73" t="str">
        <f>""</f>
        <v/>
      </c>
      <c r="BW73" t="str">
        <f>""</f>
        <v/>
      </c>
      <c r="BX73" t="str">
        <f>""</f>
        <v/>
      </c>
      <c r="BY73" t="str">
        <f>""</f>
        <v/>
      </c>
      <c r="BZ73" t="str">
        <f>""</f>
        <v/>
      </c>
      <c r="CA73" t="str">
        <f>""</f>
        <v/>
      </c>
      <c r="CB73" t="str">
        <f>""</f>
        <v/>
      </c>
      <c r="CC73" t="str">
        <f>""</f>
        <v/>
      </c>
      <c r="CD73" t="str">
        <f>""</f>
        <v/>
      </c>
      <c r="CE73" t="str">
        <f>""</f>
        <v/>
      </c>
      <c r="CF73" t="str">
        <f>""</f>
        <v/>
      </c>
      <c r="CG73" t="str">
        <f>""</f>
        <v/>
      </c>
      <c r="CH73" t="str">
        <f>""</f>
        <v/>
      </c>
      <c r="CI73" t="str">
        <f>""</f>
        <v/>
      </c>
      <c r="CJ73" t="str">
        <f>""</f>
        <v/>
      </c>
      <c r="CK73" t="str">
        <f>""</f>
        <v/>
      </c>
      <c r="CL73" t="str">
        <f>""</f>
        <v/>
      </c>
      <c r="CM73" t="str">
        <f>""</f>
        <v/>
      </c>
      <c r="CN73" t="str">
        <f>""</f>
        <v/>
      </c>
      <c r="CO73" t="str">
        <f>""</f>
        <v/>
      </c>
      <c r="CP73" t="str">
        <f>""</f>
        <v/>
      </c>
      <c r="CQ73" t="str">
        <f>""</f>
        <v/>
      </c>
      <c r="CR73" t="str">
        <f>""</f>
        <v/>
      </c>
      <c r="CS73" t="str">
        <f>""</f>
        <v/>
      </c>
      <c r="CT73" t="str">
        <f>""</f>
        <v/>
      </c>
      <c r="CU73" t="str">
        <f>""</f>
        <v/>
      </c>
      <c r="CV73" t="str">
        <f>""</f>
        <v/>
      </c>
      <c r="CW73" t="str">
        <f>""</f>
        <v/>
      </c>
      <c r="CX73" t="str">
        <f>""</f>
        <v/>
      </c>
      <c r="CY73" t="str">
        <f>""</f>
        <v/>
      </c>
      <c r="CZ73" t="str">
        <f>""</f>
        <v/>
      </c>
      <c r="DA73" t="str">
        <f>""</f>
        <v/>
      </c>
      <c r="DB73" t="str">
        <f>""</f>
        <v/>
      </c>
      <c r="DC73" t="str">
        <f>""</f>
        <v/>
      </c>
      <c r="DD73" t="str">
        <f>""</f>
        <v/>
      </c>
      <c r="DE73" t="str">
        <f>""</f>
        <v/>
      </c>
      <c r="DF73" t="str">
        <f>"(0.0753)"</f>
        <v>(0.0753)</v>
      </c>
      <c r="DG73" t="str">
        <f>"(0.0578)"</f>
        <v>(0.0578)</v>
      </c>
      <c r="DH73" t="str">
        <f>"(0.0337)"</f>
        <v>(0.0337)</v>
      </c>
      <c r="DI73" t="str">
        <f>""</f>
        <v/>
      </c>
      <c r="DJ73" t="str">
        <f>""</f>
        <v/>
      </c>
      <c r="DK73" t="str">
        <f>""</f>
        <v/>
      </c>
      <c r="DL73" t="str">
        <f>""</f>
        <v/>
      </c>
      <c r="DM73" t="str">
        <f>""</f>
        <v/>
      </c>
      <c r="DN73" t="str">
        <f>""</f>
        <v/>
      </c>
      <c r="DO73" t="str">
        <f>""</f>
        <v/>
      </c>
      <c r="DP73" t="str">
        <f>""</f>
        <v/>
      </c>
      <c r="DQ73" t="str">
        <f>""</f>
        <v/>
      </c>
      <c r="DR73" t="str">
        <f>""</f>
        <v/>
      </c>
      <c r="DS73" t="str">
        <f>""</f>
        <v/>
      </c>
      <c r="DT73" t="str">
        <f>""</f>
        <v/>
      </c>
      <c r="DU73" t="str">
        <f>""</f>
        <v/>
      </c>
      <c r="DV73" t="str">
        <f>""</f>
        <v/>
      </c>
      <c r="DW73" t="str">
        <f>""</f>
        <v/>
      </c>
      <c r="DX73" t="str">
        <f>""</f>
        <v/>
      </c>
      <c r="DY73" t="str">
        <f>""</f>
        <v/>
      </c>
      <c r="DZ73" t="str">
        <f>""</f>
        <v/>
      </c>
      <c r="EA73" t="str">
        <f>""</f>
        <v/>
      </c>
      <c r="EB73" t="str">
        <f>""</f>
        <v/>
      </c>
      <c r="EC73" t="str">
        <f>""</f>
        <v/>
      </c>
      <c r="ED73" t="str">
        <f>""</f>
        <v/>
      </c>
      <c r="EE73" t="str">
        <f>""</f>
        <v/>
      </c>
      <c r="EF73" t="str">
        <f>""</f>
        <v/>
      </c>
      <c r="EG73" t="str">
        <f>""</f>
        <v/>
      </c>
      <c r="EH73" t="str">
        <f>""</f>
        <v/>
      </c>
      <c r="EI73" t="str">
        <f>""</f>
        <v/>
      </c>
      <c r="EJ73" t="str">
        <f>""</f>
        <v/>
      </c>
      <c r="EK73" t="str">
        <f>""</f>
        <v/>
      </c>
      <c r="EL73" t="str">
        <f>""</f>
        <v/>
      </c>
      <c r="EM73" t="str">
        <f>""</f>
        <v/>
      </c>
      <c r="EN73" t="str">
        <f>""</f>
        <v/>
      </c>
      <c r="EO73" t="str">
        <f>""</f>
        <v/>
      </c>
      <c r="EP73" t="str">
        <f>""</f>
        <v/>
      </c>
      <c r="EQ73" t="str">
        <f>""</f>
        <v/>
      </c>
      <c r="ER73" t="str">
        <f>""</f>
        <v/>
      </c>
      <c r="ES73" t="str">
        <f>""</f>
        <v/>
      </c>
      <c r="ET73" t="str">
        <f>""</f>
        <v/>
      </c>
      <c r="EU73" t="str">
        <f>""</f>
        <v/>
      </c>
      <c r="EV73" t="str">
        <f>""</f>
        <v/>
      </c>
      <c r="EW73" t="str">
        <f>""</f>
        <v/>
      </c>
      <c r="EX73" t="str">
        <f>""</f>
        <v/>
      </c>
      <c r="EY73" t="str">
        <f>"(0.0730)"</f>
        <v>(0.0730)</v>
      </c>
      <c r="EZ73" t="str">
        <f>"(0.0611)"</f>
        <v>(0.0611)</v>
      </c>
      <c r="FA73" t="str">
        <f>"(0.0337)"</f>
        <v>(0.0337)</v>
      </c>
      <c r="FB73" t="str">
        <f>""</f>
        <v/>
      </c>
      <c r="FC73" t="str">
        <f>""</f>
        <v/>
      </c>
      <c r="FD73" t="str">
        <f>""</f>
        <v/>
      </c>
      <c r="FE73" t="str">
        <f>""</f>
        <v/>
      </c>
      <c r="FF73" t="str">
        <f>""</f>
        <v/>
      </c>
      <c r="FG73" t="str">
        <f>""</f>
        <v/>
      </c>
      <c r="FH73" t="str">
        <f>""</f>
        <v/>
      </c>
      <c r="FI73" t="str">
        <f>""</f>
        <v/>
      </c>
      <c r="FJ73" t="str">
        <f>""</f>
        <v/>
      </c>
      <c r="FK73" t="str">
        <f>""</f>
        <v/>
      </c>
      <c r="FL73" t="str">
        <f>""</f>
        <v/>
      </c>
      <c r="FM73" t="str">
        <f>""</f>
        <v/>
      </c>
      <c r="FN73" t="str">
        <f>""</f>
        <v/>
      </c>
      <c r="FO73" t="str">
        <f>""</f>
        <v/>
      </c>
      <c r="FP73" t="str">
        <f>""</f>
        <v/>
      </c>
      <c r="FQ73" t="str">
        <f>""</f>
        <v/>
      </c>
      <c r="FR73" t="str">
        <f>""</f>
        <v/>
      </c>
      <c r="FS73" t="str">
        <f>""</f>
        <v/>
      </c>
      <c r="FT73" t="str">
        <f>""</f>
        <v/>
      </c>
      <c r="FU73" t="str">
        <f>""</f>
        <v/>
      </c>
      <c r="FV73" t="str">
        <f>""</f>
        <v/>
      </c>
      <c r="FW73" t="str">
        <f>""</f>
        <v/>
      </c>
      <c r="FX73" t="str">
        <f>""</f>
        <v/>
      </c>
      <c r="FY73" t="str">
        <f>""</f>
        <v/>
      </c>
      <c r="FZ73" t="str">
        <f>""</f>
        <v/>
      </c>
      <c r="GA73" t="str">
        <f>""</f>
        <v/>
      </c>
      <c r="GB73" t="str">
        <f>""</f>
        <v/>
      </c>
      <c r="GC73" t="str">
        <f>""</f>
        <v/>
      </c>
      <c r="GD73" t="str">
        <f>""</f>
        <v/>
      </c>
      <c r="GE73" t="str">
        <f>""</f>
        <v/>
      </c>
      <c r="GF73" t="str">
        <f>""</f>
        <v/>
      </c>
      <c r="GG73" t="str">
        <f>""</f>
        <v/>
      </c>
      <c r="GH73" t="str">
        <f>""</f>
        <v/>
      </c>
      <c r="GI73" t="str">
        <f>""</f>
        <v/>
      </c>
      <c r="GJ73" t="str">
        <f>""</f>
        <v/>
      </c>
      <c r="GK73" t="str">
        <f>""</f>
        <v/>
      </c>
      <c r="GL73" t="str">
        <f>""</f>
        <v/>
      </c>
      <c r="GM73" t="str">
        <f>""</f>
        <v/>
      </c>
      <c r="GN73" t="str">
        <f>""</f>
        <v/>
      </c>
      <c r="GO73" t="str">
        <f>""</f>
        <v/>
      </c>
      <c r="GP73" t="str">
        <f>""</f>
        <v/>
      </c>
      <c r="GQ73" t="str">
        <f>""</f>
        <v/>
      </c>
      <c r="GR73" t="str">
        <f>"(0.0742)"</f>
        <v>(0.0742)</v>
      </c>
      <c r="GS73" t="str">
        <f>"(0.0621)"</f>
        <v>(0.0621)</v>
      </c>
      <c r="GT73" t="str">
        <f>"(0.0340)"</f>
        <v>(0.0340)</v>
      </c>
      <c r="GU73" t="str">
        <f>""</f>
        <v/>
      </c>
      <c r="GV73" t="str">
        <f>""</f>
        <v/>
      </c>
      <c r="GW73" t="str">
        <f>""</f>
        <v/>
      </c>
      <c r="GX73" t="str">
        <f>""</f>
        <v/>
      </c>
      <c r="GY73" t="str">
        <f>""</f>
        <v/>
      </c>
      <c r="GZ73" t="str">
        <f>""</f>
        <v/>
      </c>
      <c r="HA73" t="str">
        <f>""</f>
        <v/>
      </c>
      <c r="HB73" t="str">
        <f>""</f>
        <v/>
      </c>
      <c r="HC73" t="str">
        <f>""</f>
        <v/>
      </c>
      <c r="HD73" t="str">
        <f>""</f>
        <v/>
      </c>
      <c r="HE73" t="str">
        <f>""</f>
        <v/>
      </c>
      <c r="HF73" t="str">
        <f>""</f>
        <v/>
      </c>
      <c r="HG73" t="str">
        <f>""</f>
        <v/>
      </c>
      <c r="HH73" t="str">
        <f>""</f>
        <v/>
      </c>
      <c r="HI73" t="str">
        <f>""</f>
        <v/>
      </c>
      <c r="HJ73" t="str">
        <f>""</f>
        <v/>
      </c>
      <c r="HK73" t="str">
        <f>""</f>
        <v/>
      </c>
      <c r="HL73" t="str">
        <f>""</f>
        <v/>
      </c>
      <c r="HM73" t="str">
        <f>""</f>
        <v/>
      </c>
      <c r="HN73" t="str">
        <f>""</f>
        <v/>
      </c>
      <c r="HO73" t="str">
        <f>""</f>
        <v/>
      </c>
      <c r="HP73" t="str">
        <f>""</f>
        <v/>
      </c>
      <c r="HQ73" t="str">
        <f>""</f>
        <v/>
      </c>
      <c r="HR73" t="str">
        <f>""</f>
        <v/>
      </c>
      <c r="HS73" t="str">
        <f>""</f>
        <v/>
      </c>
      <c r="HT73" t="str">
        <f>""</f>
        <v/>
      </c>
      <c r="HU73" t="str">
        <f>""</f>
        <v/>
      </c>
      <c r="HV73" t="str">
        <f>""</f>
        <v/>
      </c>
      <c r="HW73" t="str">
        <f>""</f>
        <v/>
      </c>
      <c r="HX73" t="str">
        <f>""</f>
        <v/>
      </c>
      <c r="HY73" t="str">
        <f>""</f>
        <v/>
      </c>
      <c r="HZ73" t="str">
        <f>""</f>
        <v/>
      </c>
      <c r="IA73" t="str">
        <f>""</f>
        <v/>
      </c>
      <c r="IB73" t="str">
        <f>""</f>
        <v/>
      </c>
      <c r="IC73" t="str">
        <f>""</f>
        <v/>
      </c>
      <c r="ID73" t="str">
        <f>""</f>
        <v/>
      </c>
      <c r="IE73" t="str">
        <f>""</f>
        <v/>
      </c>
      <c r="IF73" t="str">
        <f>""</f>
        <v/>
      </c>
      <c r="IG73" t="str">
        <f>""</f>
        <v/>
      </c>
      <c r="IH73" t="str">
        <f>""</f>
        <v/>
      </c>
      <c r="II73" t="str">
        <f>""</f>
        <v/>
      </c>
      <c r="IJ73" t="str">
        <f>""</f>
        <v/>
      </c>
      <c r="IK73" t="str">
        <f>"(0.0748)"</f>
        <v>(0.0748)</v>
      </c>
      <c r="IL73" t="str">
        <f>"(0.0620)"</f>
        <v>(0.0620)</v>
      </c>
      <c r="IM73" t="str">
        <f>"(0.0346)"</f>
        <v>(0.0346)</v>
      </c>
      <c r="IN73" t="str">
        <f>""</f>
        <v/>
      </c>
      <c r="IO73" t="str">
        <f>""</f>
        <v/>
      </c>
      <c r="IP73" t="str">
        <f>""</f>
        <v/>
      </c>
      <c r="IQ73" t="str">
        <f>""</f>
        <v/>
      </c>
      <c r="IR73" t="str">
        <f>""</f>
        <v/>
      </c>
      <c r="IS73" t="str">
        <f>""</f>
        <v/>
      </c>
      <c r="IT73" t="str">
        <f>""</f>
        <v/>
      </c>
      <c r="IU73" t="str">
        <f>""</f>
        <v/>
      </c>
      <c r="IV73" t="str">
        <f>""</f>
        <v/>
      </c>
      <c r="IW73" t="str">
        <f>""</f>
        <v/>
      </c>
      <c r="IX73" t="str">
        <f>""</f>
        <v/>
      </c>
      <c r="IY73" t="str">
        <f>""</f>
        <v/>
      </c>
      <c r="IZ73" t="str">
        <f>""</f>
        <v/>
      </c>
      <c r="JA73" t="str">
        <f>""</f>
        <v/>
      </c>
      <c r="JB73" t="str">
        <f>""</f>
        <v/>
      </c>
      <c r="JC73" t="str">
        <f>""</f>
        <v/>
      </c>
      <c r="JD73" t="str">
        <f>""</f>
        <v/>
      </c>
      <c r="JE73" t="str">
        <f>""</f>
        <v/>
      </c>
      <c r="JF73" t="str">
        <f>""</f>
        <v/>
      </c>
      <c r="JG73" t="str">
        <f>""</f>
        <v/>
      </c>
      <c r="JH73" t="str">
        <f>""</f>
        <v/>
      </c>
      <c r="JI73" t="str">
        <f>""</f>
        <v/>
      </c>
      <c r="JJ73" t="str">
        <f>""</f>
        <v/>
      </c>
      <c r="JK73" t="str">
        <f>""</f>
        <v/>
      </c>
    </row>
    <row r="75" spans="1:271" x14ac:dyDescent="0.3">
      <c r="A75" t="str">
        <f>"c.zMETAB7#c.PM1"</f>
        <v>c.zMETAB7#c.PM1</v>
      </c>
      <c r="B75" t="str">
        <f>""</f>
        <v/>
      </c>
      <c r="C75" t="str">
        <f>""</f>
        <v/>
      </c>
      <c r="D75" t="str">
        <f>""</f>
        <v/>
      </c>
      <c r="E75" t="str">
        <f>""</f>
        <v/>
      </c>
      <c r="F75" t="str">
        <f>""</f>
        <v/>
      </c>
      <c r="G75" t="str">
        <f>""</f>
        <v/>
      </c>
      <c r="H75" t="str">
        <f>""</f>
        <v/>
      </c>
      <c r="I75" t="str">
        <f>""</f>
        <v/>
      </c>
      <c r="J75" t="str">
        <f>""</f>
        <v/>
      </c>
      <c r="K75" t="str">
        <f>""</f>
        <v/>
      </c>
      <c r="L75" t="str">
        <f>""</f>
        <v/>
      </c>
      <c r="M75" t="str">
        <f>""</f>
        <v/>
      </c>
      <c r="N75" t="str">
        <f>""</f>
        <v/>
      </c>
      <c r="O75" t="str">
        <f>""</f>
        <v/>
      </c>
      <c r="P75" t="str">
        <f>""</f>
        <v/>
      </c>
      <c r="Q75" t="str">
        <f>""</f>
        <v/>
      </c>
      <c r="R75" t="str">
        <f>""</f>
        <v/>
      </c>
      <c r="S75" t="str">
        <f>""</f>
        <v/>
      </c>
      <c r="T75" t="str">
        <f>"-0.0124"</f>
        <v>-0.0124</v>
      </c>
      <c r="U75" t="str">
        <f>"-0.0454"</f>
        <v>-0.0454</v>
      </c>
      <c r="V75" t="str">
        <f>"-0.0601"</f>
        <v>-0.0601</v>
      </c>
      <c r="W75" t="str">
        <f>""</f>
        <v/>
      </c>
      <c r="X75" t="str">
        <f>""</f>
        <v/>
      </c>
      <c r="Y75" t="str">
        <f>""</f>
        <v/>
      </c>
      <c r="Z75" t="str">
        <f>""</f>
        <v/>
      </c>
      <c r="AA75" t="str">
        <f>""</f>
        <v/>
      </c>
      <c r="AB75" t="str">
        <f>""</f>
        <v/>
      </c>
      <c r="AC75" t="str">
        <f>""</f>
        <v/>
      </c>
      <c r="AD75" t="str">
        <f>""</f>
        <v/>
      </c>
      <c r="AE75" t="str">
        <f>""</f>
        <v/>
      </c>
      <c r="AF75" t="str">
        <f>""</f>
        <v/>
      </c>
      <c r="AG75" t="str">
        <f>""</f>
        <v/>
      </c>
      <c r="AH75" t="str">
        <f>""</f>
        <v/>
      </c>
      <c r="AI75" t="str">
        <f>""</f>
        <v/>
      </c>
      <c r="AJ75" t="str">
        <f>""</f>
        <v/>
      </c>
      <c r="AK75" t="str">
        <f>""</f>
        <v/>
      </c>
      <c r="AL75" t="str">
        <f>""</f>
        <v/>
      </c>
      <c r="AM75" t="str">
        <f>""</f>
        <v/>
      </c>
      <c r="AN75" t="str">
        <f>""</f>
        <v/>
      </c>
      <c r="AO75" t="str">
        <f>""</f>
        <v/>
      </c>
      <c r="AP75" t="str">
        <f>""</f>
        <v/>
      </c>
      <c r="AQ75" t="str">
        <f>""</f>
        <v/>
      </c>
      <c r="AR75" t="str">
        <f>""</f>
        <v/>
      </c>
      <c r="AS75" t="str">
        <f>""</f>
        <v/>
      </c>
      <c r="AT75" t="str">
        <f>""</f>
        <v/>
      </c>
      <c r="AU75" t="str">
        <f>""</f>
        <v/>
      </c>
      <c r="AV75" t="str">
        <f>""</f>
        <v/>
      </c>
      <c r="AW75" t="str">
        <f>""</f>
        <v/>
      </c>
      <c r="AX75" t="str">
        <f>""</f>
        <v/>
      </c>
      <c r="AY75" t="str">
        <f>""</f>
        <v/>
      </c>
      <c r="AZ75" t="str">
        <f>""</f>
        <v/>
      </c>
      <c r="BA75" t="str">
        <f>""</f>
        <v/>
      </c>
      <c r="BB75" t="str">
        <f>""</f>
        <v/>
      </c>
      <c r="BC75" t="str">
        <f>""</f>
        <v/>
      </c>
      <c r="BD75" t="str">
        <f>""</f>
        <v/>
      </c>
      <c r="BE75" t="str">
        <f>""</f>
        <v/>
      </c>
      <c r="BF75" t="str">
        <f>""</f>
        <v/>
      </c>
      <c r="BG75" t="str">
        <f>""</f>
        <v/>
      </c>
      <c r="BH75" t="str">
        <f>""</f>
        <v/>
      </c>
      <c r="BI75" t="str">
        <f>""</f>
        <v/>
      </c>
      <c r="BJ75" t="str">
        <f>""</f>
        <v/>
      </c>
      <c r="BK75" t="str">
        <f>""</f>
        <v/>
      </c>
      <c r="BL75" t="str">
        <f>""</f>
        <v/>
      </c>
      <c r="BM75" t="str">
        <f>""</f>
        <v/>
      </c>
      <c r="BN75" t="str">
        <f>""</f>
        <v/>
      </c>
      <c r="BO75" t="str">
        <f>""</f>
        <v/>
      </c>
      <c r="BP75" t="str">
        <f>""</f>
        <v/>
      </c>
      <c r="BQ75" t="str">
        <f>""</f>
        <v/>
      </c>
      <c r="BR75" t="str">
        <f>""</f>
        <v/>
      </c>
      <c r="BS75" t="str">
        <f>""</f>
        <v/>
      </c>
      <c r="BT75" t="str">
        <f>""</f>
        <v/>
      </c>
      <c r="BU75" t="str">
        <f>""</f>
        <v/>
      </c>
      <c r="BV75" t="str">
        <f>""</f>
        <v/>
      </c>
      <c r="BW75" t="str">
        <f>""</f>
        <v/>
      </c>
      <c r="BX75" t="str">
        <f>""</f>
        <v/>
      </c>
      <c r="BY75" t="str">
        <f>""</f>
        <v/>
      </c>
      <c r="BZ75" t="str">
        <f>""</f>
        <v/>
      </c>
      <c r="CA75" t="str">
        <f>""</f>
        <v/>
      </c>
      <c r="CB75" t="str">
        <f>""</f>
        <v/>
      </c>
      <c r="CC75" t="str">
        <f>""</f>
        <v/>
      </c>
      <c r="CD75" t="str">
        <f>""</f>
        <v/>
      </c>
      <c r="CE75" t="str">
        <f>""</f>
        <v/>
      </c>
      <c r="CF75" t="str">
        <f>""</f>
        <v/>
      </c>
      <c r="CG75" t="str">
        <f>""</f>
        <v/>
      </c>
      <c r="CH75" t="str">
        <f>""</f>
        <v/>
      </c>
      <c r="CI75" t="str">
        <f>""</f>
        <v/>
      </c>
      <c r="CJ75" t="str">
        <f>""</f>
        <v/>
      </c>
      <c r="CK75" t="str">
        <f>""</f>
        <v/>
      </c>
      <c r="CL75" t="str">
        <f>""</f>
        <v/>
      </c>
      <c r="CM75" t="str">
        <f>""</f>
        <v/>
      </c>
      <c r="CN75" t="str">
        <f>""</f>
        <v/>
      </c>
      <c r="CO75" t="str">
        <f>""</f>
        <v/>
      </c>
      <c r="CP75" t="str">
        <f>""</f>
        <v/>
      </c>
      <c r="CQ75" t="str">
        <f>""</f>
        <v/>
      </c>
      <c r="CR75" t="str">
        <f>""</f>
        <v/>
      </c>
      <c r="CS75" t="str">
        <f>""</f>
        <v/>
      </c>
      <c r="CT75" t="str">
        <f>""</f>
        <v/>
      </c>
      <c r="CU75" t="str">
        <f>""</f>
        <v/>
      </c>
      <c r="CV75" t="str">
        <f>""</f>
        <v/>
      </c>
      <c r="CW75" t="str">
        <f>""</f>
        <v/>
      </c>
      <c r="CX75" t="str">
        <f>""</f>
        <v/>
      </c>
      <c r="CY75" t="str">
        <f>""</f>
        <v/>
      </c>
      <c r="CZ75" t="str">
        <f>""</f>
        <v/>
      </c>
      <c r="DA75" t="str">
        <f>""</f>
        <v/>
      </c>
      <c r="DB75" t="str">
        <f>""</f>
        <v/>
      </c>
      <c r="DC75" t="str">
        <f>""</f>
        <v/>
      </c>
      <c r="DD75" t="str">
        <f>""</f>
        <v/>
      </c>
      <c r="DE75" t="str">
        <f>""</f>
        <v/>
      </c>
      <c r="DF75" t="str">
        <f>""</f>
        <v/>
      </c>
      <c r="DG75" t="str">
        <f>""</f>
        <v/>
      </c>
      <c r="DH75" t="str">
        <f>""</f>
        <v/>
      </c>
      <c r="DI75" t="str">
        <f>""</f>
        <v/>
      </c>
      <c r="DJ75" t="str">
        <f>""</f>
        <v/>
      </c>
      <c r="DK75" t="str">
        <f>""</f>
        <v/>
      </c>
      <c r="DL75" t="str">
        <f>""</f>
        <v/>
      </c>
      <c r="DM75" t="str">
        <f>""</f>
        <v/>
      </c>
      <c r="DN75" t="str">
        <f>""</f>
        <v/>
      </c>
      <c r="DO75" t="str">
        <f>""</f>
        <v/>
      </c>
      <c r="DP75" t="str">
        <f>""</f>
        <v/>
      </c>
      <c r="DQ75" t="str">
        <f>""</f>
        <v/>
      </c>
      <c r="DR75" t="str">
        <f>""</f>
        <v/>
      </c>
      <c r="DS75" t="str">
        <f>""</f>
        <v/>
      </c>
      <c r="DT75" t="str">
        <f>""</f>
        <v/>
      </c>
      <c r="DU75" t="str">
        <f>""</f>
        <v/>
      </c>
      <c r="DV75" t="str">
        <f>""</f>
        <v/>
      </c>
      <c r="DW75" t="str">
        <f>""</f>
        <v/>
      </c>
      <c r="DX75" t="str">
        <f>""</f>
        <v/>
      </c>
      <c r="DY75" t="str">
        <f>""</f>
        <v/>
      </c>
      <c r="DZ75" t="str">
        <f>""</f>
        <v/>
      </c>
      <c r="EA75" t="str">
        <f>""</f>
        <v/>
      </c>
      <c r="EB75" t="str">
        <f>""</f>
        <v/>
      </c>
      <c r="EC75" t="str">
        <f>""</f>
        <v/>
      </c>
      <c r="ED75" t="str">
        <f>""</f>
        <v/>
      </c>
      <c r="EE75" t="str">
        <f>""</f>
        <v/>
      </c>
      <c r="EF75" t="str">
        <f>""</f>
        <v/>
      </c>
      <c r="EG75" t="str">
        <f>""</f>
        <v/>
      </c>
      <c r="EH75" t="str">
        <f>""</f>
        <v/>
      </c>
      <c r="EI75" t="str">
        <f>""</f>
        <v/>
      </c>
      <c r="EJ75" t="str">
        <f>""</f>
        <v/>
      </c>
      <c r="EK75" t="str">
        <f>""</f>
        <v/>
      </c>
      <c r="EL75" t="str">
        <f>""</f>
        <v/>
      </c>
      <c r="EM75" t="str">
        <f>""</f>
        <v/>
      </c>
      <c r="EN75" t="str">
        <f>""</f>
        <v/>
      </c>
      <c r="EO75" t="str">
        <f>""</f>
        <v/>
      </c>
      <c r="EP75" t="str">
        <f>""</f>
        <v/>
      </c>
      <c r="EQ75" t="str">
        <f>""</f>
        <v/>
      </c>
      <c r="ER75" t="str">
        <f>""</f>
        <v/>
      </c>
      <c r="ES75" t="str">
        <f>""</f>
        <v/>
      </c>
      <c r="ET75" t="str">
        <f>""</f>
        <v/>
      </c>
      <c r="EU75" t="str">
        <f>""</f>
        <v/>
      </c>
      <c r="EV75" t="str">
        <f>""</f>
        <v/>
      </c>
      <c r="EW75" t="str">
        <f>""</f>
        <v/>
      </c>
      <c r="EX75" t="str">
        <f>""</f>
        <v/>
      </c>
      <c r="EY75" t="str">
        <f>""</f>
        <v/>
      </c>
      <c r="EZ75" t="str">
        <f>""</f>
        <v/>
      </c>
      <c r="FA75" t="str">
        <f>""</f>
        <v/>
      </c>
      <c r="FB75" t="str">
        <f>""</f>
        <v/>
      </c>
      <c r="FC75" t="str">
        <f>""</f>
        <v/>
      </c>
      <c r="FD75" t="str">
        <f>""</f>
        <v/>
      </c>
      <c r="FE75" t="str">
        <f>""</f>
        <v/>
      </c>
      <c r="FF75" t="str">
        <f>""</f>
        <v/>
      </c>
      <c r="FG75" t="str">
        <f>""</f>
        <v/>
      </c>
      <c r="FH75" t="str">
        <f>""</f>
        <v/>
      </c>
      <c r="FI75" t="str">
        <f>""</f>
        <v/>
      </c>
      <c r="FJ75" t="str">
        <f>""</f>
        <v/>
      </c>
      <c r="FK75" t="str">
        <f>""</f>
        <v/>
      </c>
      <c r="FL75" t="str">
        <f>""</f>
        <v/>
      </c>
      <c r="FM75" t="str">
        <f>""</f>
        <v/>
      </c>
      <c r="FN75" t="str">
        <f>""</f>
        <v/>
      </c>
      <c r="FO75" t="str">
        <f>""</f>
        <v/>
      </c>
      <c r="FP75" t="str">
        <f>""</f>
        <v/>
      </c>
      <c r="FQ75" t="str">
        <f>""</f>
        <v/>
      </c>
      <c r="FR75" t="str">
        <f>""</f>
        <v/>
      </c>
      <c r="FS75" t="str">
        <f>""</f>
        <v/>
      </c>
      <c r="FT75" t="str">
        <f>""</f>
        <v/>
      </c>
      <c r="FU75" t="str">
        <f>""</f>
        <v/>
      </c>
      <c r="FV75" t="str">
        <f>""</f>
        <v/>
      </c>
      <c r="FW75" t="str">
        <f>""</f>
        <v/>
      </c>
      <c r="FX75" t="str">
        <f>""</f>
        <v/>
      </c>
      <c r="FY75" t="str">
        <f>""</f>
        <v/>
      </c>
      <c r="FZ75" t="str">
        <f>""</f>
        <v/>
      </c>
      <c r="GA75" t="str">
        <f>""</f>
        <v/>
      </c>
      <c r="GB75" t="str">
        <f>""</f>
        <v/>
      </c>
      <c r="GC75" t="str">
        <f>""</f>
        <v/>
      </c>
      <c r="GD75" t="str">
        <f>""</f>
        <v/>
      </c>
      <c r="GE75" t="str">
        <f>""</f>
        <v/>
      </c>
      <c r="GF75" t="str">
        <f>""</f>
        <v/>
      </c>
      <c r="GG75" t="str">
        <f>""</f>
        <v/>
      </c>
      <c r="GH75" t="str">
        <f>""</f>
        <v/>
      </c>
      <c r="GI75" t="str">
        <f>""</f>
        <v/>
      </c>
      <c r="GJ75" t="str">
        <f>""</f>
        <v/>
      </c>
      <c r="GK75" t="str">
        <f>""</f>
        <v/>
      </c>
      <c r="GL75" t="str">
        <f>""</f>
        <v/>
      </c>
      <c r="GM75" t="str">
        <f>""</f>
        <v/>
      </c>
      <c r="GN75" t="str">
        <f>""</f>
        <v/>
      </c>
      <c r="GO75" t="str">
        <f>""</f>
        <v/>
      </c>
      <c r="GP75" t="str">
        <f>""</f>
        <v/>
      </c>
      <c r="GQ75" t="str">
        <f>""</f>
        <v/>
      </c>
      <c r="GR75" t="str">
        <f>""</f>
        <v/>
      </c>
      <c r="GS75" t="str">
        <f>""</f>
        <v/>
      </c>
      <c r="GT75" t="str">
        <f>""</f>
        <v/>
      </c>
      <c r="GU75" t="str">
        <f>""</f>
        <v/>
      </c>
      <c r="GV75" t="str">
        <f>""</f>
        <v/>
      </c>
      <c r="GW75" t="str">
        <f>""</f>
        <v/>
      </c>
      <c r="GX75" t="str">
        <f>""</f>
        <v/>
      </c>
      <c r="GY75" t="str">
        <f>""</f>
        <v/>
      </c>
      <c r="GZ75" t="str">
        <f>""</f>
        <v/>
      </c>
      <c r="HA75" t="str">
        <f>""</f>
        <v/>
      </c>
      <c r="HB75" t="str">
        <f>""</f>
        <v/>
      </c>
      <c r="HC75" t="str">
        <f>""</f>
        <v/>
      </c>
      <c r="HD75" t="str">
        <f>""</f>
        <v/>
      </c>
      <c r="HE75" t="str">
        <f>""</f>
        <v/>
      </c>
      <c r="HF75" t="str">
        <f>""</f>
        <v/>
      </c>
      <c r="HG75" t="str">
        <f>""</f>
        <v/>
      </c>
      <c r="HH75" t="str">
        <f>""</f>
        <v/>
      </c>
      <c r="HI75" t="str">
        <f>""</f>
        <v/>
      </c>
      <c r="HJ75" t="str">
        <f>""</f>
        <v/>
      </c>
      <c r="HK75" t="str">
        <f>""</f>
        <v/>
      </c>
      <c r="HL75" t="str">
        <f>""</f>
        <v/>
      </c>
      <c r="HM75" t="str">
        <f>""</f>
        <v/>
      </c>
      <c r="HN75" t="str">
        <f>""</f>
        <v/>
      </c>
      <c r="HO75" t="str">
        <f>""</f>
        <v/>
      </c>
      <c r="HP75" t="str">
        <f>""</f>
        <v/>
      </c>
      <c r="HQ75" t="str">
        <f>""</f>
        <v/>
      </c>
      <c r="HR75" t="str">
        <f>""</f>
        <v/>
      </c>
      <c r="HS75" t="str">
        <f>""</f>
        <v/>
      </c>
      <c r="HT75" t="str">
        <f>""</f>
        <v/>
      </c>
      <c r="HU75" t="str">
        <f>""</f>
        <v/>
      </c>
      <c r="HV75" t="str">
        <f>""</f>
        <v/>
      </c>
      <c r="HW75" t="str">
        <f>""</f>
        <v/>
      </c>
      <c r="HX75" t="str">
        <f>""</f>
        <v/>
      </c>
      <c r="HY75" t="str">
        <f>""</f>
        <v/>
      </c>
      <c r="HZ75" t="str">
        <f>""</f>
        <v/>
      </c>
      <c r="IA75" t="str">
        <f>""</f>
        <v/>
      </c>
      <c r="IB75" t="str">
        <f>""</f>
        <v/>
      </c>
      <c r="IC75" t="str">
        <f>""</f>
        <v/>
      </c>
      <c r="ID75" t="str">
        <f>""</f>
        <v/>
      </c>
      <c r="IE75" t="str">
        <f>""</f>
        <v/>
      </c>
      <c r="IF75" t="str">
        <f>""</f>
        <v/>
      </c>
      <c r="IG75" t="str">
        <f>""</f>
        <v/>
      </c>
      <c r="IH75" t="str">
        <f>""</f>
        <v/>
      </c>
      <c r="II75" t="str">
        <f>""</f>
        <v/>
      </c>
      <c r="IJ75" t="str">
        <f>""</f>
        <v/>
      </c>
      <c r="IK75" t="str">
        <f>""</f>
        <v/>
      </c>
      <c r="IL75" t="str">
        <f>""</f>
        <v/>
      </c>
      <c r="IM75" t="str">
        <f>""</f>
        <v/>
      </c>
      <c r="IN75" t="str">
        <f>""</f>
        <v/>
      </c>
      <c r="IO75" t="str">
        <f>""</f>
        <v/>
      </c>
      <c r="IP75" t="str">
        <f>""</f>
        <v/>
      </c>
      <c r="IQ75" t="str">
        <f>""</f>
        <v/>
      </c>
      <c r="IR75" t="str">
        <f>""</f>
        <v/>
      </c>
      <c r="IS75" t="str">
        <f>""</f>
        <v/>
      </c>
      <c r="IT75" t="str">
        <f>""</f>
        <v/>
      </c>
      <c r="IU75" t="str">
        <f>""</f>
        <v/>
      </c>
      <c r="IV75" t="str">
        <f>""</f>
        <v/>
      </c>
      <c r="IW75" t="str">
        <f>""</f>
        <v/>
      </c>
      <c r="IX75" t="str">
        <f>""</f>
        <v/>
      </c>
      <c r="IY75" t="str">
        <f>""</f>
        <v/>
      </c>
      <c r="IZ75" t="str">
        <f>""</f>
        <v/>
      </c>
      <c r="JA75" t="str">
        <f>""</f>
        <v/>
      </c>
      <c r="JB75" t="str">
        <f>""</f>
        <v/>
      </c>
      <c r="JC75" t="str">
        <f>""</f>
        <v/>
      </c>
      <c r="JD75" t="str">
        <f>""</f>
        <v/>
      </c>
      <c r="JE75" t="str">
        <f>""</f>
        <v/>
      </c>
      <c r="JF75" t="str">
        <f>""</f>
        <v/>
      </c>
      <c r="JG75" t="str">
        <f>""</f>
        <v/>
      </c>
      <c r="JH75" t="str">
        <f>""</f>
        <v/>
      </c>
      <c r="JI75" t="str">
        <f>""</f>
        <v/>
      </c>
      <c r="JJ75" t="str">
        <f>""</f>
        <v/>
      </c>
      <c r="JK75" t="str">
        <f>""</f>
        <v/>
      </c>
    </row>
    <row r="76" spans="1:271" x14ac:dyDescent="0.3">
      <c r="A76" t="str">
        <f>""</f>
        <v/>
      </c>
      <c r="B76" t="str">
        <f>""</f>
        <v/>
      </c>
      <c r="C76" t="str">
        <f>""</f>
        <v/>
      </c>
      <c r="D76" t="str">
        <f>""</f>
        <v/>
      </c>
      <c r="E76" t="str">
        <f>""</f>
        <v/>
      </c>
      <c r="F76" t="str">
        <f>""</f>
        <v/>
      </c>
      <c r="G76" t="str">
        <f>""</f>
        <v/>
      </c>
      <c r="H76" t="str">
        <f>""</f>
        <v/>
      </c>
      <c r="I76" t="str">
        <f>""</f>
        <v/>
      </c>
      <c r="J76" t="str">
        <f>""</f>
        <v/>
      </c>
      <c r="K76" t="str">
        <f>""</f>
        <v/>
      </c>
      <c r="L76" t="str">
        <f>""</f>
        <v/>
      </c>
      <c r="M76" t="str">
        <f>""</f>
        <v/>
      </c>
      <c r="N76" t="str">
        <f>""</f>
        <v/>
      </c>
      <c r="O76" t="str">
        <f>""</f>
        <v/>
      </c>
      <c r="P76" t="str">
        <f>""</f>
        <v/>
      </c>
      <c r="Q76" t="str">
        <f>""</f>
        <v/>
      </c>
      <c r="R76" t="str">
        <f>""</f>
        <v/>
      </c>
      <c r="S76" t="str">
        <f>""</f>
        <v/>
      </c>
      <c r="T76" t="str">
        <f>"(0.104)"</f>
        <v>(0.104)</v>
      </c>
      <c r="U76" t="str">
        <f>"(0.0825)"</f>
        <v>(0.0825)</v>
      </c>
      <c r="V76" t="str">
        <f>"(0.0455)"</f>
        <v>(0.0455)</v>
      </c>
      <c r="W76" t="str">
        <f>""</f>
        <v/>
      </c>
      <c r="X76" t="str">
        <f>""</f>
        <v/>
      </c>
      <c r="Y76" t="str">
        <f>""</f>
        <v/>
      </c>
      <c r="Z76" t="str">
        <f>""</f>
        <v/>
      </c>
      <c r="AA76" t="str">
        <f>""</f>
        <v/>
      </c>
      <c r="AB76" t="str">
        <f>""</f>
        <v/>
      </c>
      <c r="AC76" t="str">
        <f>""</f>
        <v/>
      </c>
      <c r="AD76" t="str">
        <f>""</f>
        <v/>
      </c>
      <c r="AE76" t="str">
        <f>""</f>
        <v/>
      </c>
      <c r="AF76" t="str">
        <f>""</f>
        <v/>
      </c>
      <c r="AG76" t="str">
        <f>""</f>
        <v/>
      </c>
      <c r="AH76" t="str">
        <f>""</f>
        <v/>
      </c>
      <c r="AI76" t="str">
        <f>""</f>
        <v/>
      </c>
      <c r="AJ76" t="str">
        <f>""</f>
        <v/>
      </c>
      <c r="AK76" t="str">
        <f>""</f>
        <v/>
      </c>
      <c r="AL76" t="str">
        <f>""</f>
        <v/>
      </c>
      <c r="AM76" t="str">
        <f>""</f>
        <v/>
      </c>
      <c r="AN76" t="str">
        <f>""</f>
        <v/>
      </c>
      <c r="AO76" t="str">
        <f>""</f>
        <v/>
      </c>
      <c r="AP76" t="str">
        <f>""</f>
        <v/>
      </c>
      <c r="AQ76" t="str">
        <f>""</f>
        <v/>
      </c>
      <c r="AR76" t="str">
        <f>""</f>
        <v/>
      </c>
      <c r="AS76" t="str">
        <f>""</f>
        <v/>
      </c>
      <c r="AT76" t="str">
        <f>""</f>
        <v/>
      </c>
      <c r="AU76" t="str">
        <f>""</f>
        <v/>
      </c>
      <c r="AV76" t="str">
        <f>""</f>
        <v/>
      </c>
      <c r="AW76" t="str">
        <f>""</f>
        <v/>
      </c>
      <c r="AX76" t="str">
        <f>""</f>
        <v/>
      </c>
      <c r="AY76" t="str">
        <f>""</f>
        <v/>
      </c>
      <c r="AZ76" t="str">
        <f>""</f>
        <v/>
      </c>
      <c r="BA76" t="str">
        <f>""</f>
        <v/>
      </c>
      <c r="BB76" t="str">
        <f>""</f>
        <v/>
      </c>
      <c r="BC76" t="str">
        <f>""</f>
        <v/>
      </c>
      <c r="BD76" t="str">
        <f>""</f>
        <v/>
      </c>
      <c r="BE76" t="str">
        <f>""</f>
        <v/>
      </c>
      <c r="BF76" t="str">
        <f>""</f>
        <v/>
      </c>
      <c r="BG76" t="str">
        <f>""</f>
        <v/>
      </c>
      <c r="BH76" t="str">
        <f>""</f>
        <v/>
      </c>
      <c r="BI76" t="str">
        <f>""</f>
        <v/>
      </c>
      <c r="BJ76" t="str">
        <f>""</f>
        <v/>
      </c>
      <c r="BK76" t="str">
        <f>""</f>
        <v/>
      </c>
      <c r="BL76" t="str">
        <f>""</f>
        <v/>
      </c>
      <c r="BM76" t="str">
        <f>""</f>
        <v/>
      </c>
      <c r="BN76" t="str">
        <f>""</f>
        <v/>
      </c>
      <c r="BO76" t="str">
        <f>""</f>
        <v/>
      </c>
      <c r="BP76" t="str">
        <f>""</f>
        <v/>
      </c>
      <c r="BQ76" t="str">
        <f>""</f>
        <v/>
      </c>
      <c r="BR76" t="str">
        <f>""</f>
        <v/>
      </c>
      <c r="BS76" t="str">
        <f>""</f>
        <v/>
      </c>
      <c r="BT76" t="str">
        <f>""</f>
        <v/>
      </c>
      <c r="BU76" t="str">
        <f>""</f>
        <v/>
      </c>
      <c r="BV76" t="str">
        <f>""</f>
        <v/>
      </c>
      <c r="BW76" t="str">
        <f>""</f>
        <v/>
      </c>
      <c r="BX76" t="str">
        <f>""</f>
        <v/>
      </c>
      <c r="BY76" t="str">
        <f>""</f>
        <v/>
      </c>
      <c r="BZ76" t="str">
        <f>""</f>
        <v/>
      </c>
      <c r="CA76" t="str">
        <f>""</f>
        <v/>
      </c>
      <c r="CB76" t="str">
        <f>""</f>
        <v/>
      </c>
      <c r="CC76" t="str">
        <f>""</f>
        <v/>
      </c>
      <c r="CD76" t="str">
        <f>""</f>
        <v/>
      </c>
      <c r="CE76" t="str">
        <f>""</f>
        <v/>
      </c>
      <c r="CF76" t="str">
        <f>""</f>
        <v/>
      </c>
      <c r="CG76" t="str">
        <f>""</f>
        <v/>
      </c>
      <c r="CH76" t="str">
        <f>""</f>
        <v/>
      </c>
      <c r="CI76" t="str">
        <f>""</f>
        <v/>
      </c>
      <c r="CJ76" t="str">
        <f>""</f>
        <v/>
      </c>
      <c r="CK76" t="str">
        <f>""</f>
        <v/>
      </c>
      <c r="CL76" t="str">
        <f>""</f>
        <v/>
      </c>
      <c r="CM76" t="str">
        <f>""</f>
        <v/>
      </c>
      <c r="CN76" t="str">
        <f>""</f>
        <v/>
      </c>
      <c r="CO76" t="str">
        <f>""</f>
        <v/>
      </c>
      <c r="CP76" t="str">
        <f>""</f>
        <v/>
      </c>
      <c r="CQ76" t="str">
        <f>""</f>
        <v/>
      </c>
      <c r="CR76" t="str">
        <f>""</f>
        <v/>
      </c>
      <c r="CS76" t="str">
        <f>""</f>
        <v/>
      </c>
      <c r="CT76" t="str">
        <f>""</f>
        <v/>
      </c>
      <c r="CU76" t="str">
        <f>""</f>
        <v/>
      </c>
      <c r="CV76" t="str">
        <f>""</f>
        <v/>
      </c>
      <c r="CW76" t="str">
        <f>""</f>
        <v/>
      </c>
      <c r="CX76" t="str">
        <f>""</f>
        <v/>
      </c>
      <c r="CY76" t="str">
        <f>""</f>
        <v/>
      </c>
      <c r="CZ76" t="str">
        <f>""</f>
        <v/>
      </c>
      <c r="DA76" t="str">
        <f>""</f>
        <v/>
      </c>
      <c r="DB76" t="str">
        <f>""</f>
        <v/>
      </c>
      <c r="DC76" t="str">
        <f>""</f>
        <v/>
      </c>
      <c r="DD76" t="str">
        <f>""</f>
        <v/>
      </c>
      <c r="DE76" t="str">
        <f>""</f>
        <v/>
      </c>
      <c r="DF76" t="str">
        <f>""</f>
        <v/>
      </c>
      <c r="DG76" t="str">
        <f>""</f>
        <v/>
      </c>
      <c r="DH76" t="str">
        <f>""</f>
        <v/>
      </c>
      <c r="DI76" t="str">
        <f>""</f>
        <v/>
      </c>
      <c r="DJ76" t="str">
        <f>""</f>
        <v/>
      </c>
      <c r="DK76" t="str">
        <f>""</f>
        <v/>
      </c>
      <c r="DL76" t="str">
        <f>""</f>
        <v/>
      </c>
      <c r="DM76" t="str">
        <f>""</f>
        <v/>
      </c>
      <c r="DN76" t="str">
        <f>""</f>
        <v/>
      </c>
      <c r="DO76" t="str">
        <f>""</f>
        <v/>
      </c>
      <c r="DP76" t="str">
        <f>""</f>
        <v/>
      </c>
      <c r="DQ76" t="str">
        <f>""</f>
        <v/>
      </c>
      <c r="DR76" t="str">
        <f>""</f>
        <v/>
      </c>
      <c r="DS76" t="str">
        <f>""</f>
        <v/>
      </c>
      <c r="DT76" t="str">
        <f>""</f>
        <v/>
      </c>
      <c r="DU76" t="str">
        <f>""</f>
        <v/>
      </c>
      <c r="DV76" t="str">
        <f>""</f>
        <v/>
      </c>
      <c r="DW76" t="str">
        <f>""</f>
        <v/>
      </c>
      <c r="DX76" t="str">
        <f>""</f>
        <v/>
      </c>
      <c r="DY76" t="str">
        <f>""</f>
        <v/>
      </c>
      <c r="DZ76" t="str">
        <f>""</f>
        <v/>
      </c>
      <c r="EA76" t="str">
        <f>""</f>
        <v/>
      </c>
      <c r="EB76" t="str">
        <f>""</f>
        <v/>
      </c>
      <c r="EC76" t="str">
        <f>""</f>
        <v/>
      </c>
      <c r="ED76" t="str">
        <f>""</f>
        <v/>
      </c>
      <c r="EE76" t="str">
        <f>""</f>
        <v/>
      </c>
      <c r="EF76" t="str">
        <f>""</f>
        <v/>
      </c>
      <c r="EG76" t="str">
        <f>""</f>
        <v/>
      </c>
      <c r="EH76" t="str">
        <f>""</f>
        <v/>
      </c>
      <c r="EI76" t="str">
        <f>""</f>
        <v/>
      </c>
      <c r="EJ76" t="str">
        <f>""</f>
        <v/>
      </c>
      <c r="EK76" t="str">
        <f>""</f>
        <v/>
      </c>
      <c r="EL76" t="str">
        <f>""</f>
        <v/>
      </c>
      <c r="EM76" t="str">
        <f>""</f>
        <v/>
      </c>
      <c r="EN76" t="str">
        <f>""</f>
        <v/>
      </c>
      <c r="EO76" t="str">
        <f>""</f>
        <v/>
      </c>
      <c r="EP76" t="str">
        <f>""</f>
        <v/>
      </c>
      <c r="EQ76" t="str">
        <f>""</f>
        <v/>
      </c>
      <c r="ER76" t="str">
        <f>""</f>
        <v/>
      </c>
      <c r="ES76" t="str">
        <f>""</f>
        <v/>
      </c>
      <c r="ET76" t="str">
        <f>""</f>
        <v/>
      </c>
      <c r="EU76" t="str">
        <f>""</f>
        <v/>
      </c>
      <c r="EV76" t="str">
        <f>""</f>
        <v/>
      </c>
      <c r="EW76" t="str">
        <f>""</f>
        <v/>
      </c>
      <c r="EX76" t="str">
        <f>""</f>
        <v/>
      </c>
      <c r="EY76" t="str">
        <f>""</f>
        <v/>
      </c>
      <c r="EZ76" t="str">
        <f>""</f>
        <v/>
      </c>
      <c r="FA76" t="str">
        <f>""</f>
        <v/>
      </c>
      <c r="FB76" t="str">
        <f>""</f>
        <v/>
      </c>
      <c r="FC76" t="str">
        <f>""</f>
        <v/>
      </c>
      <c r="FD76" t="str">
        <f>""</f>
        <v/>
      </c>
      <c r="FE76" t="str">
        <f>""</f>
        <v/>
      </c>
      <c r="FF76" t="str">
        <f>""</f>
        <v/>
      </c>
      <c r="FG76" t="str">
        <f>""</f>
        <v/>
      </c>
      <c r="FH76" t="str">
        <f>""</f>
        <v/>
      </c>
      <c r="FI76" t="str">
        <f>""</f>
        <v/>
      </c>
      <c r="FJ76" t="str">
        <f>""</f>
        <v/>
      </c>
      <c r="FK76" t="str">
        <f>""</f>
        <v/>
      </c>
      <c r="FL76" t="str">
        <f>""</f>
        <v/>
      </c>
      <c r="FM76" t="str">
        <f>""</f>
        <v/>
      </c>
      <c r="FN76" t="str">
        <f>""</f>
        <v/>
      </c>
      <c r="FO76" t="str">
        <f>""</f>
        <v/>
      </c>
      <c r="FP76" t="str">
        <f>""</f>
        <v/>
      </c>
      <c r="FQ76" t="str">
        <f>""</f>
        <v/>
      </c>
      <c r="FR76" t="str">
        <f>""</f>
        <v/>
      </c>
      <c r="FS76" t="str">
        <f>""</f>
        <v/>
      </c>
      <c r="FT76" t="str">
        <f>""</f>
        <v/>
      </c>
      <c r="FU76" t="str">
        <f>""</f>
        <v/>
      </c>
      <c r="FV76" t="str">
        <f>""</f>
        <v/>
      </c>
      <c r="FW76" t="str">
        <f>""</f>
        <v/>
      </c>
      <c r="FX76" t="str">
        <f>""</f>
        <v/>
      </c>
      <c r="FY76" t="str">
        <f>""</f>
        <v/>
      </c>
      <c r="FZ76" t="str">
        <f>""</f>
        <v/>
      </c>
      <c r="GA76" t="str">
        <f>""</f>
        <v/>
      </c>
      <c r="GB76" t="str">
        <f>""</f>
        <v/>
      </c>
      <c r="GC76" t="str">
        <f>""</f>
        <v/>
      </c>
      <c r="GD76" t="str">
        <f>""</f>
        <v/>
      </c>
      <c r="GE76" t="str">
        <f>""</f>
        <v/>
      </c>
      <c r="GF76" t="str">
        <f>""</f>
        <v/>
      </c>
      <c r="GG76" t="str">
        <f>""</f>
        <v/>
      </c>
      <c r="GH76" t="str">
        <f>""</f>
        <v/>
      </c>
      <c r="GI76" t="str">
        <f>""</f>
        <v/>
      </c>
      <c r="GJ76" t="str">
        <f>""</f>
        <v/>
      </c>
      <c r="GK76" t="str">
        <f>""</f>
        <v/>
      </c>
      <c r="GL76" t="str">
        <f>""</f>
        <v/>
      </c>
      <c r="GM76" t="str">
        <f>""</f>
        <v/>
      </c>
      <c r="GN76" t="str">
        <f>""</f>
        <v/>
      </c>
      <c r="GO76" t="str">
        <f>""</f>
        <v/>
      </c>
      <c r="GP76" t="str">
        <f>""</f>
        <v/>
      </c>
      <c r="GQ76" t="str">
        <f>""</f>
        <v/>
      </c>
      <c r="GR76" t="str">
        <f>""</f>
        <v/>
      </c>
      <c r="GS76" t="str">
        <f>""</f>
        <v/>
      </c>
      <c r="GT76" t="str">
        <f>""</f>
        <v/>
      </c>
      <c r="GU76" t="str">
        <f>""</f>
        <v/>
      </c>
      <c r="GV76" t="str">
        <f>""</f>
        <v/>
      </c>
      <c r="GW76" t="str">
        <f>""</f>
        <v/>
      </c>
      <c r="GX76" t="str">
        <f>""</f>
        <v/>
      </c>
      <c r="GY76" t="str">
        <f>""</f>
        <v/>
      </c>
      <c r="GZ76" t="str">
        <f>""</f>
        <v/>
      </c>
      <c r="HA76" t="str">
        <f>""</f>
        <v/>
      </c>
      <c r="HB76" t="str">
        <f>""</f>
        <v/>
      </c>
      <c r="HC76" t="str">
        <f>""</f>
        <v/>
      </c>
      <c r="HD76" t="str">
        <f>""</f>
        <v/>
      </c>
      <c r="HE76" t="str">
        <f>""</f>
        <v/>
      </c>
      <c r="HF76" t="str">
        <f>""</f>
        <v/>
      </c>
      <c r="HG76" t="str">
        <f>""</f>
        <v/>
      </c>
      <c r="HH76" t="str">
        <f>""</f>
        <v/>
      </c>
      <c r="HI76" t="str">
        <f>""</f>
        <v/>
      </c>
      <c r="HJ76" t="str">
        <f>""</f>
        <v/>
      </c>
      <c r="HK76" t="str">
        <f>""</f>
        <v/>
      </c>
      <c r="HL76" t="str">
        <f>""</f>
        <v/>
      </c>
      <c r="HM76" t="str">
        <f>""</f>
        <v/>
      </c>
      <c r="HN76" t="str">
        <f>""</f>
        <v/>
      </c>
      <c r="HO76" t="str">
        <f>""</f>
        <v/>
      </c>
      <c r="HP76" t="str">
        <f>""</f>
        <v/>
      </c>
      <c r="HQ76" t="str">
        <f>""</f>
        <v/>
      </c>
      <c r="HR76" t="str">
        <f>""</f>
        <v/>
      </c>
      <c r="HS76" t="str">
        <f>""</f>
        <v/>
      </c>
      <c r="HT76" t="str">
        <f>""</f>
        <v/>
      </c>
      <c r="HU76" t="str">
        <f>""</f>
        <v/>
      </c>
      <c r="HV76" t="str">
        <f>""</f>
        <v/>
      </c>
      <c r="HW76" t="str">
        <f>""</f>
        <v/>
      </c>
      <c r="HX76" t="str">
        <f>""</f>
        <v/>
      </c>
      <c r="HY76" t="str">
        <f>""</f>
        <v/>
      </c>
      <c r="HZ76" t="str">
        <f>""</f>
        <v/>
      </c>
      <c r="IA76" t="str">
        <f>""</f>
        <v/>
      </c>
      <c r="IB76" t="str">
        <f>""</f>
        <v/>
      </c>
      <c r="IC76" t="str">
        <f>""</f>
        <v/>
      </c>
      <c r="ID76" t="str">
        <f>""</f>
        <v/>
      </c>
      <c r="IE76" t="str">
        <f>""</f>
        <v/>
      </c>
      <c r="IF76" t="str">
        <f>""</f>
        <v/>
      </c>
      <c r="IG76" t="str">
        <f>""</f>
        <v/>
      </c>
      <c r="IH76" t="str">
        <f>""</f>
        <v/>
      </c>
      <c r="II76" t="str">
        <f>""</f>
        <v/>
      </c>
      <c r="IJ76" t="str">
        <f>""</f>
        <v/>
      </c>
      <c r="IK76" t="str">
        <f>""</f>
        <v/>
      </c>
      <c r="IL76" t="str">
        <f>""</f>
        <v/>
      </c>
      <c r="IM76" t="str">
        <f>""</f>
        <v/>
      </c>
      <c r="IN76" t="str">
        <f>""</f>
        <v/>
      </c>
      <c r="IO76" t="str">
        <f>""</f>
        <v/>
      </c>
      <c r="IP76" t="str">
        <f>""</f>
        <v/>
      </c>
      <c r="IQ76" t="str">
        <f>""</f>
        <v/>
      </c>
      <c r="IR76" t="str">
        <f>""</f>
        <v/>
      </c>
      <c r="IS76" t="str">
        <f>""</f>
        <v/>
      </c>
      <c r="IT76" t="str">
        <f>""</f>
        <v/>
      </c>
      <c r="IU76" t="str">
        <f>""</f>
        <v/>
      </c>
      <c r="IV76" t="str">
        <f>""</f>
        <v/>
      </c>
      <c r="IW76" t="str">
        <f>""</f>
        <v/>
      </c>
      <c r="IX76" t="str">
        <f>""</f>
        <v/>
      </c>
      <c r="IY76" t="str">
        <f>""</f>
        <v/>
      </c>
      <c r="IZ76" t="str">
        <f>""</f>
        <v/>
      </c>
      <c r="JA76" t="str">
        <f>""</f>
        <v/>
      </c>
      <c r="JB76" t="str">
        <f>""</f>
        <v/>
      </c>
      <c r="JC76" t="str">
        <f>""</f>
        <v/>
      </c>
      <c r="JD76" t="str">
        <f>""</f>
        <v/>
      </c>
      <c r="JE76" t="str">
        <f>""</f>
        <v/>
      </c>
      <c r="JF76" t="str">
        <f>""</f>
        <v/>
      </c>
      <c r="JG76" t="str">
        <f>""</f>
        <v/>
      </c>
      <c r="JH76" t="str">
        <f>""</f>
        <v/>
      </c>
      <c r="JI76" t="str">
        <f>""</f>
        <v/>
      </c>
      <c r="JJ76" t="str">
        <f>""</f>
        <v/>
      </c>
      <c r="JK76" t="str">
        <f>""</f>
        <v/>
      </c>
    </row>
    <row r="78" spans="1:271" x14ac:dyDescent="0.3">
      <c r="A78" t="str">
        <f>"zMETAB8"</f>
        <v>zMETAB8</v>
      </c>
      <c r="B78" t="str">
        <f>""</f>
        <v/>
      </c>
      <c r="C78" t="str">
        <f>""</f>
        <v/>
      </c>
      <c r="D78" t="str">
        <f>""</f>
        <v/>
      </c>
      <c r="E78" t="str">
        <f>""</f>
        <v/>
      </c>
      <c r="F78" t="str">
        <f>""</f>
        <v/>
      </c>
      <c r="G78" t="str">
        <f>""</f>
        <v/>
      </c>
      <c r="H78" t="str">
        <f>""</f>
        <v/>
      </c>
      <c r="I78" t="str">
        <f>""</f>
        <v/>
      </c>
      <c r="J78" t="str">
        <f>""</f>
        <v/>
      </c>
      <c r="K78" t="str">
        <f>""</f>
        <v/>
      </c>
      <c r="L78" t="str">
        <f>""</f>
        <v/>
      </c>
      <c r="M78" t="str">
        <f>""</f>
        <v/>
      </c>
      <c r="N78" t="str">
        <f>""</f>
        <v/>
      </c>
      <c r="O78" t="str">
        <f>""</f>
        <v/>
      </c>
      <c r="P78" t="str">
        <f>""</f>
        <v/>
      </c>
      <c r="Q78" t="str">
        <f>""</f>
        <v/>
      </c>
      <c r="R78" t="str">
        <f>""</f>
        <v/>
      </c>
      <c r="S78" t="str">
        <f>""</f>
        <v/>
      </c>
      <c r="T78" t="str">
        <f>""</f>
        <v/>
      </c>
      <c r="U78" t="str">
        <f>""</f>
        <v/>
      </c>
      <c r="V78" t="str">
        <f>""</f>
        <v/>
      </c>
      <c r="W78" t="str">
        <f>"-0.122"</f>
        <v>-0.122</v>
      </c>
      <c r="X78" t="str">
        <f>"-0.208**"</f>
        <v>-0.208**</v>
      </c>
      <c r="Y78" t="str">
        <f>"-0.0265"</f>
        <v>-0.0265</v>
      </c>
      <c r="Z78" t="str">
        <f>""</f>
        <v/>
      </c>
      <c r="AA78" t="str">
        <f>""</f>
        <v/>
      </c>
      <c r="AB78" t="str">
        <f>""</f>
        <v/>
      </c>
      <c r="AC78" t="str">
        <f>""</f>
        <v/>
      </c>
      <c r="AD78" t="str">
        <f>""</f>
        <v/>
      </c>
      <c r="AE78" t="str">
        <f>""</f>
        <v/>
      </c>
      <c r="AF78" t="str">
        <f>""</f>
        <v/>
      </c>
      <c r="AG78" t="str">
        <f>""</f>
        <v/>
      </c>
      <c r="AH78" t="str">
        <f>""</f>
        <v/>
      </c>
      <c r="AI78" t="str">
        <f>""</f>
        <v/>
      </c>
      <c r="AJ78" t="str">
        <f>""</f>
        <v/>
      </c>
      <c r="AK78" t="str">
        <f>""</f>
        <v/>
      </c>
      <c r="AL78" t="str">
        <f>""</f>
        <v/>
      </c>
      <c r="AM78" t="str">
        <f>""</f>
        <v/>
      </c>
      <c r="AN78" t="str">
        <f>""</f>
        <v/>
      </c>
      <c r="AO78" t="str">
        <f>""</f>
        <v/>
      </c>
      <c r="AP78" t="str">
        <f>""</f>
        <v/>
      </c>
      <c r="AQ78" t="str">
        <f>""</f>
        <v/>
      </c>
      <c r="AR78" t="str">
        <f>""</f>
        <v/>
      </c>
      <c r="AS78" t="str">
        <f>""</f>
        <v/>
      </c>
      <c r="AT78" t="str">
        <f>""</f>
        <v/>
      </c>
      <c r="AU78" t="str">
        <f>""</f>
        <v/>
      </c>
      <c r="AV78" t="str">
        <f>""</f>
        <v/>
      </c>
      <c r="AW78" t="str">
        <f>""</f>
        <v/>
      </c>
      <c r="AX78" t="str">
        <f>""</f>
        <v/>
      </c>
      <c r="AY78" t="str">
        <f>""</f>
        <v/>
      </c>
      <c r="AZ78" t="str">
        <f>""</f>
        <v/>
      </c>
      <c r="BA78" t="str">
        <f>""</f>
        <v/>
      </c>
      <c r="BB78" t="str">
        <f>""</f>
        <v/>
      </c>
      <c r="BC78" t="str">
        <f>""</f>
        <v/>
      </c>
      <c r="BD78" t="str">
        <f>""</f>
        <v/>
      </c>
      <c r="BE78" t="str">
        <f>""</f>
        <v/>
      </c>
      <c r="BF78" t="str">
        <f>""</f>
        <v/>
      </c>
      <c r="BG78" t="str">
        <f>""</f>
        <v/>
      </c>
      <c r="BH78" t="str">
        <f>""</f>
        <v/>
      </c>
      <c r="BI78" t="str">
        <f>""</f>
        <v/>
      </c>
      <c r="BJ78" t="str">
        <f>""</f>
        <v/>
      </c>
      <c r="BK78" t="str">
        <f>""</f>
        <v/>
      </c>
      <c r="BL78" t="str">
        <f>""</f>
        <v/>
      </c>
      <c r="BM78" t="str">
        <f>""</f>
        <v/>
      </c>
      <c r="BN78" t="str">
        <f>""</f>
        <v/>
      </c>
      <c r="BO78" t="str">
        <f>""</f>
        <v/>
      </c>
      <c r="BP78" t="str">
        <f>"-0.104"</f>
        <v>-0.104</v>
      </c>
      <c r="BQ78" t="str">
        <f>"-0.188**"</f>
        <v>-0.188**</v>
      </c>
      <c r="BR78" t="str">
        <f>"-0.0225"</f>
        <v>-0.0225</v>
      </c>
      <c r="BS78" t="str">
        <f>""</f>
        <v/>
      </c>
      <c r="BT78" t="str">
        <f>""</f>
        <v/>
      </c>
      <c r="BU78" t="str">
        <f>""</f>
        <v/>
      </c>
      <c r="BV78" t="str">
        <f>""</f>
        <v/>
      </c>
      <c r="BW78" t="str">
        <f>""</f>
        <v/>
      </c>
      <c r="BX78" t="str">
        <f>""</f>
        <v/>
      </c>
      <c r="BY78" t="str">
        <f>""</f>
        <v/>
      </c>
      <c r="BZ78" t="str">
        <f>""</f>
        <v/>
      </c>
      <c r="CA78" t="str">
        <f>""</f>
        <v/>
      </c>
      <c r="CB78" t="str">
        <f>""</f>
        <v/>
      </c>
      <c r="CC78" t="str">
        <f>""</f>
        <v/>
      </c>
      <c r="CD78" t="str">
        <f>""</f>
        <v/>
      </c>
      <c r="CE78" t="str">
        <f>""</f>
        <v/>
      </c>
      <c r="CF78" t="str">
        <f>""</f>
        <v/>
      </c>
      <c r="CG78" t="str">
        <f>""</f>
        <v/>
      </c>
      <c r="CH78" t="str">
        <f>""</f>
        <v/>
      </c>
      <c r="CI78" t="str">
        <f>""</f>
        <v/>
      </c>
      <c r="CJ78" t="str">
        <f>""</f>
        <v/>
      </c>
      <c r="CK78" t="str">
        <f>""</f>
        <v/>
      </c>
      <c r="CL78" t="str">
        <f>""</f>
        <v/>
      </c>
      <c r="CM78" t="str">
        <f>""</f>
        <v/>
      </c>
      <c r="CN78" t="str">
        <f>""</f>
        <v/>
      </c>
      <c r="CO78" t="str">
        <f>""</f>
        <v/>
      </c>
      <c r="CP78" t="str">
        <f>""</f>
        <v/>
      </c>
      <c r="CQ78" t="str">
        <f>""</f>
        <v/>
      </c>
      <c r="CR78" t="str">
        <f>""</f>
        <v/>
      </c>
      <c r="CS78" t="str">
        <f>""</f>
        <v/>
      </c>
      <c r="CT78" t="str">
        <f>""</f>
        <v/>
      </c>
      <c r="CU78" t="str">
        <f>""</f>
        <v/>
      </c>
      <c r="CV78" t="str">
        <f>""</f>
        <v/>
      </c>
      <c r="CW78" t="str">
        <f>""</f>
        <v/>
      </c>
      <c r="CX78" t="str">
        <f>""</f>
        <v/>
      </c>
      <c r="CY78" t="str">
        <f>""</f>
        <v/>
      </c>
      <c r="CZ78" t="str">
        <f>""</f>
        <v/>
      </c>
      <c r="DA78" t="str">
        <f>""</f>
        <v/>
      </c>
      <c r="DB78" t="str">
        <f>""</f>
        <v/>
      </c>
      <c r="DC78" t="str">
        <f>""</f>
        <v/>
      </c>
      <c r="DD78" t="str">
        <f>""</f>
        <v/>
      </c>
      <c r="DE78" t="str">
        <f>""</f>
        <v/>
      </c>
      <c r="DF78" t="str">
        <f>""</f>
        <v/>
      </c>
      <c r="DG78" t="str">
        <f>""</f>
        <v/>
      </c>
      <c r="DH78" t="str">
        <f>""</f>
        <v/>
      </c>
      <c r="DI78" t="str">
        <f>"-0.0815"</f>
        <v>-0.0815</v>
      </c>
      <c r="DJ78" t="str">
        <f>"-0.181**"</f>
        <v>-0.181**</v>
      </c>
      <c r="DK78" t="str">
        <f>"-0.0567"</f>
        <v>-0.0567</v>
      </c>
      <c r="DL78" t="str">
        <f>""</f>
        <v/>
      </c>
      <c r="DM78" t="str">
        <f>""</f>
        <v/>
      </c>
      <c r="DN78" t="str">
        <f>""</f>
        <v/>
      </c>
      <c r="DO78" t="str">
        <f>""</f>
        <v/>
      </c>
      <c r="DP78" t="str">
        <f>""</f>
        <v/>
      </c>
      <c r="DQ78" t="str">
        <f>""</f>
        <v/>
      </c>
      <c r="DR78" t="str">
        <f>""</f>
        <v/>
      </c>
      <c r="DS78" t="str">
        <f>""</f>
        <v/>
      </c>
      <c r="DT78" t="str">
        <f>""</f>
        <v/>
      </c>
      <c r="DU78" t="str">
        <f>""</f>
        <v/>
      </c>
      <c r="DV78" t="str">
        <f>""</f>
        <v/>
      </c>
      <c r="DW78" t="str">
        <f>""</f>
        <v/>
      </c>
      <c r="DX78" t="str">
        <f>""</f>
        <v/>
      </c>
      <c r="DY78" t="str">
        <f>""</f>
        <v/>
      </c>
      <c r="DZ78" t="str">
        <f>""</f>
        <v/>
      </c>
      <c r="EA78" t="str">
        <f>""</f>
        <v/>
      </c>
      <c r="EB78" t="str">
        <f>""</f>
        <v/>
      </c>
      <c r="EC78" t="str">
        <f>""</f>
        <v/>
      </c>
      <c r="ED78" t="str">
        <f>""</f>
        <v/>
      </c>
      <c r="EE78" t="str">
        <f>""</f>
        <v/>
      </c>
      <c r="EF78" t="str">
        <f>""</f>
        <v/>
      </c>
      <c r="EG78" t="str">
        <f>""</f>
        <v/>
      </c>
      <c r="EH78" t="str">
        <f>""</f>
        <v/>
      </c>
      <c r="EI78" t="str">
        <f>""</f>
        <v/>
      </c>
      <c r="EJ78" t="str">
        <f>""</f>
        <v/>
      </c>
      <c r="EK78" t="str">
        <f>""</f>
        <v/>
      </c>
      <c r="EL78" t="str">
        <f>""</f>
        <v/>
      </c>
      <c r="EM78" t="str">
        <f>""</f>
        <v/>
      </c>
      <c r="EN78" t="str">
        <f>""</f>
        <v/>
      </c>
      <c r="EO78" t="str">
        <f>""</f>
        <v/>
      </c>
      <c r="EP78" t="str">
        <f>""</f>
        <v/>
      </c>
      <c r="EQ78" t="str">
        <f>""</f>
        <v/>
      </c>
      <c r="ER78" t="str">
        <f>""</f>
        <v/>
      </c>
      <c r="ES78" t="str">
        <f>""</f>
        <v/>
      </c>
      <c r="ET78" t="str">
        <f>""</f>
        <v/>
      </c>
      <c r="EU78" t="str">
        <f>""</f>
        <v/>
      </c>
      <c r="EV78" t="str">
        <f>""</f>
        <v/>
      </c>
      <c r="EW78" t="str">
        <f>""</f>
        <v/>
      </c>
      <c r="EX78" t="str">
        <f>""</f>
        <v/>
      </c>
      <c r="EY78" t="str">
        <f>""</f>
        <v/>
      </c>
      <c r="EZ78" t="str">
        <f>""</f>
        <v/>
      </c>
      <c r="FA78" t="str">
        <f>""</f>
        <v/>
      </c>
      <c r="FB78" t="str">
        <f>"-0.0694"</f>
        <v>-0.0694</v>
      </c>
      <c r="FC78" t="str">
        <f>"-0.157*"</f>
        <v>-0.157*</v>
      </c>
      <c r="FD78" t="str">
        <f>"-0.0572"</f>
        <v>-0.0572</v>
      </c>
      <c r="FE78" t="str">
        <f>""</f>
        <v/>
      </c>
      <c r="FF78" t="str">
        <f>""</f>
        <v/>
      </c>
      <c r="FG78" t="str">
        <f>""</f>
        <v/>
      </c>
      <c r="FH78" t="str">
        <f>""</f>
        <v/>
      </c>
      <c r="FI78" t="str">
        <f>""</f>
        <v/>
      </c>
      <c r="FJ78" t="str">
        <f>""</f>
        <v/>
      </c>
      <c r="FK78" t="str">
        <f>""</f>
        <v/>
      </c>
      <c r="FL78" t="str">
        <f>""</f>
        <v/>
      </c>
      <c r="FM78" t="str">
        <f>""</f>
        <v/>
      </c>
      <c r="FN78" t="str">
        <f>""</f>
        <v/>
      </c>
      <c r="FO78" t="str">
        <f>""</f>
        <v/>
      </c>
      <c r="FP78" t="str">
        <f>""</f>
        <v/>
      </c>
      <c r="FQ78" t="str">
        <f>""</f>
        <v/>
      </c>
      <c r="FR78" t="str">
        <f>""</f>
        <v/>
      </c>
      <c r="FS78" t="str">
        <f>""</f>
        <v/>
      </c>
      <c r="FT78" t="str">
        <f>""</f>
        <v/>
      </c>
      <c r="FU78" t="str">
        <f>""</f>
        <v/>
      </c>
      <c r="FV78" t="str">
        <f>""</f>
        <v/>
      </c>
      <c r="FW78" t="str">
        <f>""</f>
        <v/>
      </c>
      <c r="FX78" t="str">
        <f>""</f>
        <v/>
      </c>
      <c r="FY78" t="str">
        <f>""</f>
        <v/>
      </c>
      <c r="FZ78" t="str">
        <f>""</f>
        <v/>
      </c>
      <c r="GA78" t="str">
        <f>""</f>
        <v/>
      </c>
      <c r="GB78" t="str">
        <f>""</f>
        <v/>
      </c>
      <c r="GC78" t="str">
        <f>""</f>
        <v/>
      </c>
      <c r="GD78" t="str">
        <f>""</f>
        <v/>
      </c>
      <c r="GE78" t="str">
        <f>""</f>
        <v/>
      </c>
      <c r="GF78" t="str">
        <f>""</f>
        <v/>
      </c>
      <c r="GG78" t="str">
        <f>""</f>
        <v/>
      </c>
      <c r="GH78" t="str">
        <f>""</f>
        <v/>
      </c>
      <c r="GI78" t="str">
        <f>""</f>
        <v/>
      </c>
      <c r="GJ78" t="str">
        <f>""</f>
        <v/>
      </c>
      <c r="GK78" t="str">
        <f>""</f>
        <v/>
      </c>
      <c r="GL78" t="str">
        <f>""</f>
        <v/>
      </c>
      <c r="GM78" t="str">
        <f>""</f>
        <v/>
      </c>
      <c r="GN78" t="str">
        <f>""</f>
        <v/>
      </c>
      <c r="GO78" t="str">
        <f>""</f>
        <v/>
      </c>
      <c r="GP78" t="str">
        <f>""</f>
        <v/>
      </c>
      <c r="GQ78" t="str">
        <f>""</f>
        <v/>
      </c>
      <c r="GR78" t="str">
        <f>""</f>
        <v/>
      </c>
      <c r="GS78" t="str">
        <f>""</f>
        <v/>
      </c>
      <c r="GT78" t="str">
        <f>""</f>
        <v/>
      </c>
      <c r="GU78" t="str">
        <f>"-0.0468"</f>
        <v>-0.0468</v>
      </c>
      <c r="GV78" t="str">
        <f>"-0.152*"</f>
        <v>-0.152*</v>
      </c>
      <c r="GW78" t="str">
        <f>"-0.0405"</f>
        <v>-0.0405</v>
      </c>
      <c r="GX78" t="str">
        <f>""</f>
        <v/>
      </c>
      <c r="GY78" t="str">
        <f>""</f>
        <v/>
      </c>
      <c r="GZ78" t="str">
        <f>""</f>
        <v/>
      </c>
      <c r="HA78" t="str">
        <f>""</f>
        <v/>
      </c>
      <c r="HB78" t="str">
        <f>""</f>
        <v/>
      </c>
      <c r="HC78" t="str">
        <f>""</f>
        <v/>
      </c>
      <c r="HD78" t="str">
        <f>""</f>
        <v/>
      </c>
      <c r="HE78" t="str">
        <f>""</f>
        <v/>
      </c>
      <c r="HF78" t="str">
        <f>""</f>
        <v/>
      </c>
      <c r="HG78" t="str">
        <f>""</f>
        <v/>
      </c>
      <c r="HH78" t="str">
        <f>""</f>
        <v/>
      </c>
      <c r="HI78" t="str">
        <f>""</f>
        <v/>
      </c>
      <c r="HJ78" t="str">
        <f>""</f>
        <v/>
      </c>
      <c r="HK78" t="str">
        <f>""</f>
        <v/>
      </c>
      <c r="HL78" t="str">
        <f>""</f>
        <v/>
      </c>
      <c r="HM78" t="str">
        <f>""</f>
        <v/>
      </c>
      <c r="HN78" t="str">
        <f>""</f>
        <v/>
      </c>
      <c r="HO78" t="str">
        <f>""</f>
        <v/>
      </c>
      <c r="HP78" t="str">
        <f>""</f>
        <v/>
      </c>
      <c r="HQ78" t="str">
        <f>""</f>
        <v/>
      </c>
      <c r="HR78" t="str">
        <f>""</f>
        <v/>
      </c>
      <c r="HS78" t="str">
        <f>""</f>
        <v/>
      </c>
      <c r="HT78" t="str">
        <f>""</f>
        <v/>
      </c>
      <c r="HU78" t="str">
        <f>""</f>
        <v/>
      </c>
      <c r="HV78" t="str">
        <f>""</f>
        <v/>
      </c>
      <c r="HW78" t="str">
        <f>""</f>
        <v/>
      </c>
      <c r="HX78" t="str">
        <f>""</f>
        <v/>
      </c>
      <c r="HY78" t="str">
        <f>""</f>
        <v/>
      </c>
      <c r="HZ78" t="str">
        <f>""</f>
        <v/>
      </c>
      <c r="IA78" t="str">
        <f>""</f>
        <v/>
      </c>
      <c r="IB78" t="str">
        <f>""</f>
        <v/>
      </c>
      <c r="IC78" t="str">
        <f>""</f>
        <v/>
      </c>
      <c r="ID78" t="str">
        <f>""</f>
        <v/>
      </c>
      <c r="IE78" t="str">
        <f>""</f>
        <v/>
      </c>
      <c r="IF78" t="str">
        <f>""</f>
        <v/>
      </c>
      <c r="IG78" t="str">
        <f>""</f>
        <v/>
      </c>
      <c r="IH78" t="str">
        <f>""</f>
        <v/>
      </c>
      <c r="II78" t="str">
        <f>""</f>
        <v/>
      </c>
      <c r="IJ78" t="str">
        <f>""</f>
        <v/>
      </c>
      <c r="IK78" t="str">
        <f>""</f>
        <v/>
      </c>
      <c r="IL78" t="str">
        <f>""</f>
        <v/>
      </c>
      <c r="IM78" t="str">
        <f>""</f>
        <v/>
      </c>
      <c r="IN78" t="str">
        <f>"-0.105"</f>
        <v>-0.105</v>
      </c>
      <c r="IO78" t="str">
        <f>"-0.206**"</f>
        <v>-0.206**</v>
      </c>
      <c r="IP78" t="str">
        <f>"-0.0320"</f>
        <v>-0.0320</v>
      </c>
      <c r="IQ78" t="str">
        <f>""</f>
        <v/>
      </c>
      <c r="IR78" t="str">
        <f>""</f>
        <v/>
      </c>
      <c r="IS78" t="str">
        <f>""</f>
        <v/>
      </c>
      <c r="IT78" t="str">
        <f>""</f>
        <v/>
      </c>
      <c r="IU78" t="str">
        <f>""</f>
        <v/>
      </c>
      <c r="IV78" t="str">
        <f>""</f>
        <v/>
      </c>
      <c r="IW78" t="str">
        <f>""</f>
        <v/>
      </c>
      <c r="IX78" t="str">
        <f>""</f>
        <v/>
      </c>
      <c r="IY78" t="str">
        <f>""</f>
        <v/>
      </c>
      <c r="IZ78" t="str">
        <f>""</f>
        <v/>
      </c>
      <c r="JA78" t="str">
        <f>""</f>
        <v/>
      </c>
      <c r="JB78" t="str">
        <f>""</f>
        <v/>
      </c>
      <c r="JC78" t="str">
        <f>""</f>
        <v/>
      </c>
      <c r="JD78" t="str">
        <f>""</f>
        <v/>
      </c>
      <c r="JE78" t="str">
        <f>""</f>
        <v/>
      </c>
      <c r="JF78" t="str">
        <f>""</f>
        <v/>
      </c>
      <c r="JG78" t="str">
        <f>""</f>
        <v/>
      </c>
      <c r="JH78" t="str">
        <f>""</f>
        <v/>
      </c>
      <c r="JI78" t="str">
        <f>""</f>
        <v/>
      </c>
      <c r="JJ78" t="str">
        <f>""</f>
        <v/>
      </c>
      <c r="JK78" t="str">
        <f>""</f>
        <v/>
      </c>
    </row>
    <row r="79" spans="1:271" x14ac:dyDescent="0.3">
      <c r="A79" t="str">
        <f>""</f>
        <v/>
      </c>
      <c r="B79" t="str">
        <f>""</f>
        <v/>
      </c>
      <c r="C79" t="str">
        <f>""</f>
        <v/>
      </c>
      <c r="D79" t="str">
        <f>""</f>
        <v/>
      </c>
      <c r="E79" t="str">
        <f>""</f>
        <v/>
      </c>
      <c r="F79" t="str">
        <f>""</f>
        <v/>
      </c>
      <c r="G79" t="str">
        <f>""</f>
        <v/>
      </c>
      <c r="H79" t="str">
        <f>""</f>
        <v/>
      </c>
      <c r="I79" t="str">
        <f>""</f>
        <v/>
      </c>
      <c r="J79" t="str">
        <f>""</f>
        <v/>
      </c>
      <c r="K79" t="str">
        <f>""</f>
        <v/>
      </c>
      <c r="L79" t="str">
        <f>""</f>
        <v/>
      </c>
      <c r="M79" t="str">
        <f>""</f>
        <v/>
      </c>
      <c r="N79" t="str">
        <f>""</f>
        <v/>
      </c>
      <c r="O79" t="str">
        <f>""</f>
        <v/>
      </c>
      <c r="P79" t="str">
        <f>""</f>
        <v/>
      </c>
      <c r="Q79" t="str">
        <f>""</f>
        <v/>
      </c>
      <c r="R79" t="str">
        <f>""</f>
        <v/>
      </c>
      <c r="S79" t="str">
        <f>""</f>
        <v/>
      </c>
      <c r="T79" t="str">
        <f>""</f>
        <v/>
      </c>
      <c r="U79" t="str">
        <f>""</f>
        <v/>
      </c>
      <c r="V79" t="str">
        <f>""</f>
        <v/>
      </c>
      <c r="W79" t="str">
        <f>"(0.0789)"</f>
        <v>(0.0789)</v>
      </c>
      <c r="X79" t="str">
        <f>"(0.0648)"</f>
        <v>(0.0648)</v>
      </c>
      <c r="Y79" t="str">
        <f>"(0.0343)"</f>
        <v>(0.0343)</v>
      </c>
      <c r="Z79" t="str">
        <f>""</f>
        <v/>
      </c>
      <c r="AA79" t="str">
        <f>""</f>
        <v/>
      </c>
      <c r="AB79" t="str">
        <f>""</f>
        <v/>
      </c>
      <c r="AC79" t="str">
        <f>""</f>
        <v/>
      </c>
      <c r="AD79" t="str">
        <f>""</f>
        <v/>
      </c>
      <c r="AE79" t="str">
        <f>""</f>
        <v/>
      </c>
      <c r="AF79" t="str">
        <f>""</f>
        <v/>
      </c>
      <c r="AG79" t="str">
        <f>""</f>
        <v/>
      </c>
      <c r="AH79" t="str">
        <f>""</f>
        <v/>
      </c>
      <c r="AI79" t="str">
        <f>""</f>
        <v/>
      </c>
      <c r="AJ79" t="str">
        <f>""</f>
        <v/>
      </c>
      <c r="AK79" t="str">
        <f>""</f>
        <v/>
      </c>
      <c r="AL79" t="str">
        <f>""</f>
        <v/>
      </c>
      <c r="AM79" t="str">
        <f>""</f>
        <v/>
      </c>
      <c r="AN79" t="str">
        <f>""</f>
        <v/>
      </c>
      <c r="AO79" t="str">
        <f>""</f>
        <v/>
      </c>
      <c r="AP79" t="str">
        <f>""</f>
        <v/>
      </c>
      <c r="AQ79" t="str">
        <f>""</f>
        <v/>
      </c>
      <c r="AR79" t="str">
        <f>""</f>
        <v/>
      </c>
      <c r="AS79" t="str">
        <f>""</f>
        <v/>
      </c>
      <c r="AT79" t="str">
        <f>""</f>
        <v/>
      </c>
      <c r="AU79" t="str">
        <f>""</f>
        <v/>
      </c>
      <c r="AV79" t="str">
        <f>""</f>
        <v/>
      </c>
      <c r="AW79" t="str">
        <f>""</f>
        <v/>
      </c>
      <c r="AX79" t="str">
        <f>""</f>
        <v/>
      </c>
      <c r="AY79" t="str">
        <f>""</f>
        <v/>
      </c>
      <c r="AZ79" t="str">
        <f>""</f>
        <v/>
      </c>
      <c r="BA79" t="str">
        <f>""</f>
        <v/>
      </c>
      <c r="BB79" t="str">
        <f>""</f>
        <v/>
      </c>
      <c r="BC79" t="str">
        <f>""</f>
        <v/>
      </c>
      <c r="BD79" t="str">
        <f>""</f>
        <v/>
      </c>
      <c r="BE79" t="str">
        <f>""</f>
        <v/>
      </c>
      <c r="BF79" t="str">
        <f>""</f>
        <v/>
      </c>
      <c r="BG79" t="str">
        <f>""</f>
        <v/>
      </c>
      <c r="BH79" t="str">
        <f>""</f>
        <v/>
      </c>
      <c r="BI79" t="str">
        <f>""</f>
        <v/>
      </c>
      <c r="BJ79" t="str">
        <f>""</f>
        <v/>
      </c>
      <c r="BK79" t="str">
        <f>""</f>
        <v/>
      </c>
      <c r="BL79" t="str">
        <f>""</f>
        <v/>
      </c>
      <c r="BM79" t="str">
        <f>""</f>
        <v/>
      </c>
      <c r="BN79" t="str">
        <f>""</f>
        <v/>
      </c>
      <c r="BO79" t="str">
        <f>""</f>
        <v/>
      </c>
      <c r="BP79" t="str">
        <f>"(0.0765)"</f>
        <v>(0.0765)</v>
      </c>
      <c r="BQ79" t="str">
        <f>"(0.0623)"</f>
        <v>(0.0623)</v>
      </c>
      <c r="BR79" t="str">
        <f>"(0.0327)"</f>
        <v>(0.0327)</v>
      </c>
      <c r="BS79" t="str">
        <f>""</f>
        <v/>
      </c>
      <c r="BT79" t="str">
        <f>""</f>
        <v/>
      </c>
      <c r="BU79" t="str">
        <f>""</f>
        <v/>
      </c>
      <c r="BV79" t="str">
        <f>""</f>
        <v/>
      </c>
      <c r="BW79" t="str">
        <f>""</f>
        <v/>
      </c>
      <c r="BX79" t="str">
        <f>""</f>
        <v/>
      </c>
      <c r="BY79" t="str">
        <f>""</f>
        <v/>
      </c>
      <c r="BZ79" t="str">
        <f>""</f>
        <v/>
      </c>
      <c r="CA79" t="str">
        <f>""</f>
        <v/>
      </c>
      <c r="CB79" t="str">
        <f>""</f>
        <v/>
      </c>
      <c r="CC79" t="str">
        <f>""</f>
        <v/>
      </c>
      <c r="CD79" t="str">
        <f>""</f>
        <v/>
      </c>
      <c r="CE79" t="str">
        <f>""</f>
        <v/>
      </c>
      <c r="CF79" t="str">
        <f>""</f>
        <v/>
      </c>
      <c r="CG79" t="str">
        <f>""</f>
        <v/>
      </c>
      <c r="CH79" t="str">
        <f>""</f>
        <v/>
      </c>
      <c r="CI79" t="str">
        <f>""</f>
        <v/>
      </c>
      <c r="CJ79" t="str">
        <f>""</f>
        <v/>
      </c>
      <c r="CK79" t="str">
        <f>""</f>
        <v/>
      </c>
      <c r="CL79" t="str">
        <f>""</f>
        <v/>
      </c>
      <c r="CM79" t="str">
        <f>""</f>
        <v/>
      </c>
      <c r="CN79" t="str">
        <f>""</f>
        <v/>
      </c>
      <c r="CO79" t="str">
        <f>""</f>
        <v/>
      </c>
      <c r="CP79" t="str">
        <f>""</f>
        <v/>
      </c>
      <c r="CQ79" t="str">
        <f>""</f>
        <v/>
      </c>
      <c r="CR79" t="str">
        <f>""</f>
        <v/>
      </c>
      <c r="CS79" t="str">
        <f>""</f>
        <v/>
      </c>
      <c r="CT79" t="str">
        <f>""</f>
        <v/>
      </c>
      <c r="CU79" t="str">
        <f>""</f>
        <v/>
      </c>
      <c r="CV79" t="str">
        <f>""</f>
        <v/>
      </c>
      <c r="CW79" t="str">
        <f>""</f>
        <v/>
      </c>
      <c r="CX79" t="str">
        <f>""</f>
        <v/>
      </c>
      <c r="CY79" t="str">
        <f>""</f>
        <v/>
      </c>
      <c r="CZ79" t="str">
        <f>""</f>
        <v/>
      </c>
      <c r="DA79" t="str">
        <f>""</f>
        <v/>
      </c>
      <c r="DB79" t="str">
        <f>""</f>
        <v/>
      </c>
      <c r="DC79" t="str">
        <f>""</f>
        <v/>
      </c>
      <c r="DD79" t="str">
        <f>""</f>
        <v/>
      </c>
      <c r="DE79" t="str">
        <f>""</f>
        <v/>
      </c>
      <c r="DF79" t="str">
        <f>""</f>
        <v/>
      </c>
      <c r="DG79" t="str">
        <f>""</f>
        <v/>
      </c>
      <c r="DH79" t="str">
        <f>""</f>
        <v/>
      </c>
      <c r="DI79" t="str">
        <f>"(0.0771)"</f>
        <v>(0.0771)</v>
      </c>
      <c r="DJ79" t="str">
        <f>"(0.0595)"</f>
        <v>(0.0595)</v>
      </c>
      <c r="DK79" t="str">
        <f>"(0.0329)"</f>
        <v>(0.0329)</v>
      </c>
      <c r="DL79" t="str">
        <f>""</f>
        <v/>
      </c>
      <c r="DM79" t="str">
        <f>""</f>
        <v/>
      </c>
      <c r="DN79" t="str">
        <f>""</f>
        <v/>
      </c>
      <c r="DO79" t="str">
        <f>""</f>
        <v/>
      </c>
      <c r="DP79" t="str">
        <f>""</f>
        <v/>
      </c>
      <c r="DQ79" t="str">
        <f>""</f>
        <v/>
      </c>
      <c r="DR79" t="str">
        <f>""</f>
        <v/>
      </c>
      <c r="DS79" t="str">
        <f>""</f>
        <v/>
      </c>
      <c r="DT79" t="str">
        <f>""</f>
        <v/>
      </c>
      <c r="DU79" t="str">
        <f>""</f>
        <v/>
      </c>
      <c r="DV79" t="str">
        <f>""</f>
        <v/>
      </c>
      <c r="DW79" t="str">
        <f>""</f>
        <v/>
      </c>
      <c r="DX79" t="str">
        <f>""</f>
        <v/>
      </c>
      <c r="DY79" t="str">
        <f>""</f>
        <v/>
      </c>
      <c r="DZ79" t="str">
        <f>""</f>
        <v/>
      </c>
      <c r="EA79" t="str">
        <f>""</f>
        <v/>
      </c>
      <c r="EB79" t="str">
        <f>""</f>
        <v/>
      </c>
      <c r="EC79" t="str">
        <f>""</f>
        <v/>
      </c>
      <c r="ED79" t="str">
        <f>""</f>
        <v/>
      </c>
      <c r="EE79" t="str">
        <f>""</f>
        <v/>
      </c>
      <c r="EF79" t="str">
        <f>""</f>
        <v/>
      </c>
      <c r="EG79" t="str">
        <f>""</f>
        <v/>
      </c>
      <c r="EH79" t="str">
        <f>""</f>
        <v/>
      </c>
      <c r="EI79" t="str">
        <f>""</f>
        <v/>
      </c>
      <c r="EJ79" t="str">
        <f>""</f>
        <v/>
      </c>
      <c r="EK79" t="str">
        <f>""</f>
        <v/>
      </c>
      <c r="EL79" t="str">
        <f>""</f>
        <v/>
      </c>
      <c r="EM79" t="str">
        <f>""</f>
        <v/>
      </c>
      <c r="EN79" t="str">
        <f>""</f>
        <v/>
      </c>
      <c r="EO79" t="str">
        <f>""</f>
        <v/>
      </c>
      <c r="EP79" t="str">
        <f>""</f>
        <v/>
      </c>
      <c r="EQ79" t="str">
        <f>""</f>
        <v/>
      </c>
      <c r="ER79" t="str">
        <f>""</f>
        <v/>
      </c>
      <c r="ES79" t="str">
        <f>""</f>
        <v/>
      </c>
      <c r="ET79" t="str">
        <f>""</f>
        <v/>
      </c>
      <c r="EU79" t="str">
        <f>""</f>
        <v/>
      </c>
      <c r="EV79" t="str">
        <f>""</f>
        <v/>
      </c>
      <c r="EW79" t="str">
        <f>""</f>
        <v/>
      </c>
      <c r="EX79" t="str">
        <f>""</f>
        <v/>
      </c>
      <c r="EY79" t="str">
        <f>""</f>
        <v/>
      </c>
      <c r="EZ79" t="str">
        <f>""</f>
        <v/>
      </c>
      <c r="FA79" t="str">
        <f>""</f>
        <v/>
      </c>
      <c r="FB79" t="str">
        <f>"(0.0744)"</f>
        <v>(0.0744)</v>
      </c>
      <c r="FC79" t="str">
        <f>"(0.0633)"</f>
        <v>(0.0633)</v>
      </c>
      <c r="FD79" t="str">
        <f>"(0.0335)"</f>
        <v>(0.0335)</v>
      </c>
      <c r="FE79" t="str">
        <f>""</f>
        <v/>
      </c>
      <c r="FF79" t="str">
        <f>""</f>
        <v/>
      </c>
      <c r="FG79" t="str">
        <f>""</f>
        <v/>
      </c>
      <c r="FH79" t="str">
        <f>""</f>
        <v/>
      </c>
      <c r="FI79" t="str">
        <f>""</f>
        <v/>
      </c>
      <c r="FJ79" t="str">
        <f>""</f>
        <v/>
      </c>
      <c r="FK79" t="str">
        <f>""</f>
        <v/>
      </c>
      <c r="FL79" t="str">
        <f>""</f>
        <v/>
      </c>
      <c r="FM79" t="str">
        <f>""</f>
        <v/>
      </c>
      <c r="FN79" t="str">
        <f>""</f>
        <v/>
      </c>
      <c r="FO79" t="str">
        <f>""</f>
        <v/>
      </c>
      <c r="FP79" t="str">
        <f>""</f>
        <v/>
      </c>
      <c r="FQ79" t="str">
        <f>""</f>
        <v/>
      </c>
      <c r="FR79" t="str">
        <f>""</f>
        <v/>
      </c>
      <c r="FS79" t="str">
        <f>""</f>
        <v/>
      </c>
      <c r="FT79" t="str">
        <f>""</f>
        <v/>
      </c>
      <c r="FU79" t="str">
        <f>""</f>
        <v/>
      </c>
      <c r="FV79" t="str">
        <f>""</f>
        <v/>
      </c>
      <c r="FW79" t="str">
        <f>""</f>
        <v/>
      </c>
      <c r="FX79" t="str">
        <f>""</f>
        <v/>
      </c>
      <c r="FY79" t="str">
        <f>""</f>
        <v/>
      </c>
      <c r="FZ79" t="str">
        <f>""</f>
        <v/>
      </c>
      <c r="GA79" t="str">
        <f>""</f>
        <v/>
      </c>
      <c r="GB79" t="str">
        <f>""</f>
        <v/>
      </c>
      <c r="GC79" t="str">
        <f>""</f>
        <v/>
      </c>
      <c r="GD79" t="str">
        <f>""</f>
        <v/>
      </c>
      <c r="GE79" t="str">
        <f>""</f>
        <v/>
      </c>
      <c r="GF79" t="str">
        <f>""</f>
        <v/>
      </c>
      <c r="GG79" t="str">
        <f>""</f>
        <v/>
      </c>
      <c r="GH79" t="str">
        <f>""</f>
        <v/>
      </c>
      <c r="GI79" t="str">
        <f>""</f>
        <v/>
      </c>
      <c r="GJ79" t="str">
        <f>""</f>
        <v/>
      </c>
      <c r="GK79" t="str">
        <f>""</f>
        <v/>
      </c>
      <c r="GL79" t="str">
        <f>""</f>
        <v/>
      </c>
      <c r="GM79" t="str">
        <f>""</f>
        <v/>
      </c>
      <c r="GN79" t="str">
        <f>""</f>
        <v/>
      </c>
      <c r="GO79" t="str">
        <f>""</f>
        <v/>
      </c>
      <c r="GP79" t="str">
        <f>""</f>
        <v/>
      </c>
      <c r="GQ79" t="str">
        <f>""</f>
        <v/>
      </c>
      <c r="GR79" t="str">
        <f>""</f>
        <v/>
      </c>
      <c r="GS79" t="str">
        <f>""</f>
        <v/>
      </c>
      <c r="GT79" t="str">
        <f>""</f>
        <v/>
      </c>
      <c r="GU79" t="str">
        <f>"(0.0756)"</f>
        <v>(0.0756)</v>
      </c>
      <c r="GV79" t="str">
        <f>"(0.0645)"</f>
        <v>(0.0645)</v>
      </c>
      <c r="GW79" t="str">
        <f>"(0.0339)"</f>
        <v>(0.0339)</v>
      </c>
      <c r="GX79" t="str">
        <f>""</f>
        <v/>
      </c>
      <c r="GY79" t="str">
        <f>""</f>
        <v/>
      </c>
      <c r="GZ79" t="str">
        <f>""</f>
        <v/>
      </c>
      <c r="HA79" t="str">
        <f>""</f>
        <v/>
      </c>
      <c r="HB79" t="str">
        <f>""</f>
        <v/>
      </c>
      <c r="HC79" t="str">
        <f>""</f>
        <v/>
      </c>
      <c r="HD79" t="str">
        <f>""</f>
        <v/>
      </c>
      <c r="HE79" t="str">
        <f>""</f>
        <v/>
      </c>
      <c r="HF79" t="str">
        <f>""</f>
        <v/>
      </c>
      <c r="HG79" t="str">
        <f>""</f>
        <v/>
      </c>
      <c r="HH79" t="str">
        <f>""</f>
        <v/>
      </c>
      <c r="HI79" t="str">
        <f>""</f>
        <v/>
      </c>
      <c r="HJ79" t="str">
        <f>""</f>
        <v/>
      </c>
      <c r="HK79" t="str">
        <f>""</f>
        <v/>
      </c>
      <c r="HL79" t="str">
        <f>""</f>
        <v/>
      </c>
      <c r="HM79" t="str">
        <f>""</f>
        <v/>
      </c>
      <c r="HN79" t="str">
        <f>""</f>
        <v/>
      </c>
      <c r="HO79" t="str">
        <f>""</f>
        <v/>
      </c>
      <c r="HP79" t="str">
        <f>""</f>
        <v/>
      </c>
      <c r="HQ79" t="str">
        <f>""</f>
        <v/>
      </c>
      <c r="HR79" t="str">
        <f>""</f>
        <v/>
      </c>
      <c r="HS79" t="str">
        <f>""</f>
        <v/>
      </c>
      <c r="HT79" t="str">
        <f>""</f>
        <v/>
      </c>
      <c r="HU79" t="str">
        <f>""</f>
        <v/>
      </c>
      <c r="HV79" t="str">
        <f>""</f>
        <v/>
      </c>
      <c r="HW79" t="str">
        <f>""</f>
        <v/>
      </c>
      <c r="HX79" t="str">
        <f>""</f>
        <v/>
      </c>
      <c r="HY79" t="str">
        <f>""</f>
        <v/>
      </c>
      <c r="HZ79" t="str">
        <f>""</f>
        <v/>
      </c>
      <c r="IA79" t="str">
        <f>""</f>
        <v/>
      </c>
      <c r="IB79" t="str">
        <f>""</f>
        <v/>
      </c>
      <c r="IC79" t="str">
        <f>""</f>
        <v/>
      </c>
      <c r="ID79" t="str">
        <f>""</f>
        <v/>
      </c>
      <c r="IE79" t="str">
        <f>""</f>
        <v/>
      </c>
      <c r="IF79" t="str">
        <f>""</f>
        <v/>
      </c>
      <c r="IG79" t="str">
        <f>""</f>
        <v/>
      </c>
      <c r="IH79" t="str">
        <f>""</f>
        <v/>
      </c>
      <c r="II79" t="str">
        <f>""</f>
        <v/>
      </c>
      <c r="IJ79" t="str">
        <f>""</f>
        <v/>
      </c>
      <c r="IK79" t="str">
        <f>""</f>
        <v/>
      </c>
      <c r="IL79" t="str">
        <f>""</f>
        <v/>
      </c>
      <c r="IM79" t="str">
        <f>""</f>
        <v/>
      </c>
      <c r="IN79" t="str">
        <f>"(0.0779)"</f>
        <v>(0.0779)</v>
      </c>
      <c r="IO79" t="str">
        <f>"(0.0657)"</f>
        <v>(0.0657)</v>
      </c>
      <c r="IP79" t="str">
        <f>"(0.0343)"</f>
        <v>(0.0343)</v>
      </c>
      <c r="IQ79" t="str">
        <f>""</f>
        <v/>
      </c>
      <c r="IR79" t="str">
        <f>""</f>
        <v/>
      </c>
      <c r="IS79" t="str">
        <f>""</f>
        <v/>
      </c>
      <c r="IT79" t="str">
        <f>""</f>
        <v/>
      </c>
      <c r="IU79" t="str">
        <f>""</f>
        <v/>
      </c>
      <c r="IV79" t="str">
        <f>""</f>
        <v/>
      </c>
      <c r="IW79" t="str">
        <f>""</f>
        <v/>
      </c>
      <c r="IX79" t="str">
        <f>""</f>
        <v/>
      </c>
      <c r="IY79" t="str">
        <f>""</f>
        <v/>
      </c>
      <c r="IZ79" t="str">
        <f>""</f>
        <v/>
      </c>
      <c r="JA79" t="str">
        <f>""</f>
        <v/>
      </c>
      <c r="JB79" t="str">
        <f>""</f>
        <v/>
      </c>
      <c r="JC79" t="str">
        <f>""</f>
        <v/>
      </c>
      <c r="JD79" t="str">
        <f>""</f>
        <v/>
      </c>
      <c r="JE79" t="str">
        <f>""</f>
        <v/>
      </c>
      <c r="JF79" t="str">
        <f>""</f>
        <v/>
      </c>
      <c r="JG79" t="str">
        <f>""</f>
        <v/>
      </c>
      <c r="JH79" t="str">
        <f>""</f>
        <v/>
      </c>
      <c r="JI79" t="str">
        <f>""</f>
        <v/>
      </c>
      <c r="JJ79" t="str">
        <f>""</f>
        <v/>
      </c>
      <c r="JK79" t="str">
        <f>""</f>
        <v/>
      </c>
    </row>
    <row r="81" spans="1:271" x14ac:dyDescent="0.3">
      <c r="A81" t="str">
        <f>"c.zMETAB8#c.PM1"</f>
        <v>c.zMETAB8#c.PM1</v>
      </c>
      <c r="B81" t="str">
        <f>""</f>
        <v/>
      </c>
      <c r="C81" t="str">
        <f>""</f>
        <v/>
      </c>
      <c r="D81" t="str">
        <f>""</f>
        <v/>
      </c>
      <c r="E81" t="str">
        <f>""</f>
        <v/>
      </c>
      <c r="F81" t="str">
        <f>""</f>
        <v/>
      </c>
      <c r="G81" t="str">
        <f>""</f>
        <v/>
      </c>
      <c r="H81" t="str">
        <f>""</f>
        <v/>
      </c>
      <c r="I81" t="str">
        <f>""</f>
        <v/>
      </c>
      <c r="J81" t="str">
        <f>""</f>
        <v/>
      </c>
      <c r="K81" t="str">
        <f>""</f>
        <v/>
      </c>
      <c r="L81" t="str">
        <f>""</f>
        <v/>
      </c>
      <c r="M81" t="str">
        <f>""</f>
        <v/>
      </c>
      <c r="N81" t="str">
        <f>""</f>
        <v/>
      </c>
      <c r="O81" t="str">
        <f>""</f>
        <v/>
      </c>
      <c r="P81" t="str">
        <f>""</f>
        <v/>
      </c>
      <c r="Q81" t="str">
        <f>""</f>
        <v/>
      </c>
      <c r="R81" t="str">
        <f>""</f>
        <v/>
      </c>
      <c r="S81" t="str">
        <f>""</f>
        <v/>
      </c>
      <c r="T81" t="str">
        <f>""</f>
        <v/>
      </c>
      <c r="U81" t="str">
        <f>""</f>
        <v/>
      </c>
      <c r="V81" t="str">
        <f>""</f>
        <v/>
      </c>
      <c r="W81" t="str">
        <f>"0.0617"</f>
        <v>0.0617</v>
      </c>
      <c r="X81" t="str">
        <f>"0.141"</f>
        <v>0.141</v>
      </c>
      <c r="Y81" t="str">
        <f>"-0.00783"</f>
        <v>-0.00783</v>
      </c>
      <c r="Z81" t="str">
        <f>""</f>
        <v/>
      </c>
      <c r="AA81" t="str">
        <f>""</f>
        <v/>
      </c>
      <c r="AB81" t="str">
        <f>""</f>
        <v/>
      </c>
      <c r="AC81" t="str">
        <f>""</f>
        <v/>
      </c>
      <c r="AD81" t="str">
        <f>""</f>
        <v/>
      </c>
      <c r="AE81" t="str">
        <f>""</f>
        <v/>
      </c>
      <c r="AF81" t="str">
        <f>""</f>
        <v/>
      </c>
      <c r="AG81" t="str">
        <f>""</f>
        <v/>
      </c>
      <c r="AH81" t="str">
        <f>""</f>
        <v/>
      </c>
      <c r="AI81" t="str">
        <f>""</f>
        <v/>
      </c>
      <c r="AJ81" t="str">
        <f>""</f>
        <v/>
      </c>
      <c r="AK81" t="str">
        <f>""</f>
        <v/>
      </c>
      <c r="AL81" t="str">
        <f>""</f>
        <v/>
      </c>
      <c r="AM81" t="str">
        <f>""</f>
        <v/>
      </c>
      <c r="AN81" t="str">
        <f>""</f>
        <v/>
      </c>
      <c r="AO81" t="str">
        <f>""</f>
        <v/>
      </c>
      <c r="AP81" t="str">
        <f>""</f>
        <v/>
      </c>
      <c r="AQ81" t="str">
        <f>""</f>
        <v/>
      </c>
      <c r="AR81" t="str">
        <f>""</f>
        <v/>
      </c>
      <c r="AS81" t="str">
        <f>""</f>
        <v/>
      </c>
      <c r="AT81" t="str">
        <f>""</f>
        <v/>
      </c>
      <c r="AU81" t="str">
        <f>""</f>
        <v/>
      </c>
      <c r="AV81" t="str">
        <f>""</f>
        <v/>
      </c>
      <c r="AW81" t="str">
        <f>""</f>
        <v/>
      </c>
      <c r="AX81" t="str">
        <f>""</f>
        <v/>
      </c>
      <c r="AY81" t="str">
        <f>""</f>
        <v/>
      </c>
      <c r="AZ81" t="str">
        <f>""</f>
        <v/>
      </c>
      <c r="BA81" t="str">
        <f>""</f>
        <v/>
      </c>
      <c r="BB81" t="str">
        <f>""</f>
        <v/>
      </c>
      <c r="BC81" t="str">
        <f>""</f>
        <v/>
      </c>
      <c r="BD81" t="str">
        <f>""</f>
        <v/>
      </c>
      <c r="BE81" t="str">
        <f>""</f>
        <v/>
      </c>
      <c r="BF81" t="str">
        <f>""</f>
        <v/>
      </c>
      <c r="BG81" t="str">
        <f>""</f>
        <v/>
      </c>
      <c r="BH81" t="str">
        <f>""</f>
        <v/>
      </c>
      <c r="BI81" t="str">
        <f>""</f>
        <v/>
      </c>
      <c r="BJ81" t="str">
        <f>""</f>
        <v/>
      </c>
      <c r="BK81" t="str">
        <f>""</f>
        <v/>
      </c>
      <c r="BL81" t="str">
        <f>""</f>
        <v/>
      </c>
      <c r="BM81" t="str">
        <f>""</f>
        <v/>
      </c>
      <c r="BN81" t="str">
        <f>""</f>
        <v/>
      </c>
      <c r="BO81" t="str">
        <f>""</f>
        <v/>
      </c>
      <c r="BP81" t="str">
        <f>""</f>
        <v/>
      </c>
      <c r="BQ81" t="str">
        <f>""</f>
        <v/>
      </c>
      <c r="BR81" t="str">
        <f>""</f>
        <v/>
      </c>
      <c r="BS81" t="str">
        <f>""</f>
        <v/>
      </c>
      <c r="BT81" t="str">
        <f>""</f>
        <v/>
      </c>
      <c r="BU81" t="str">
        <f>""</f>
        <v/>
      </c>
      <c r="BV81" t="str">
        <f>""</f>
        <v/>
      </c>
      <c r="BW81" t="str">
        <f>""</f>
        <v/>
      </c>
      <c r="BX81" t="str">
        <f>""</f>
        <v/>
      </c>
      <c r="BY81" t="str">
        <f>""</f>
        <v/>
      </c>
      <c r="BZ81" t="str">
        <f>""</f>
        <v/>
      </c>
      <c r="CA81" t="str">
        <f>""</f>
        <v/>
      </c>
      <c r="CB81" t="str">
        <f>""</f>
        <v/>
      </c>
      <c r="CC81" t="str">
        <f>""</f>
        <v/>
      </c>
      <c r="CD81" t="str">
        <f>""</f>
        <v/>
      </c>
      <c r="CE81" t="str">
        <f>""</f>
        <v/>
      </c>
      <c r="CF81" t="str">
        <f>""</f>
        <v/>
      </c>
      <c r="CG81" t="str">
        <f>""</f>
        <v/>
      </c>
      <c r="CH81" t="str">
        <f>""</f>
        <v/>
      </c>
      <c r="CI81" t="str">
        <f>""</f>
        <v/>
      </c>
      <c r="CJ81" t="str">
        <f>""</f>
        <v/>
      </c>
      <c r="CK81" t="str">
        <f>""</f>
        <v/>
      </c>
      <c r="CL81" t="str">
        <f>""</f>
        <v/>
      </c>
      <c r="CM81" t="str">
        <f>""</f>
        <v/>
      </c>
      <c r="CN81" t="str">
        <f>""</f>
        <v/>
      </c>
      <c r="CO81" t="str">
        <f>""</f>
        <v/>
      </c>
      <c r="CP81" t="str">
        <f>""</f>
        <v/>
      </c>
      <c r="CQ81" t="str">
        <f>""</f>
        <v/>
      </c>
      <c r="CR81" t="str">
        <f>""</f>
        <v/>
      </c>
      <c r="CS81" t="str">
        <f>""</f>
        <v/>
      </c>
      <c r="CT81" t="str">
        <f>""</f>
        <v/>
      </c>
      <c r="CU81" t="str">
        <f>""</f>
        <v/>
      </c>
      <c r="CV81" t="str">
        <f>""</f>
        <v/>
      </c>
      <c r="CW81" t="str">
        <f>""</f>
        <v/>
      </c>
      <c r="CX81" t="str">
        <f>""</f>
        <v/>
      </c>
      <c r="CY81" t="str">
        <f>""</f>
        <v/>
      </c>
      <c r="CZ81" t="str">
        <f>""</f>
        <v/>
      </c>
      <c r="DA81" t="str">
        <f>""</f>
        <v/>
      </c>
      <c r="DB81" t="str">
        <f>""</f>
        <v/>
      </c>
      <c r="DC81" t="str">
        <f>""</f>
        <v/>
      </c>
      <c r="DD81" t="str">
        <f>""</f>
        <v/>
      </c>
      <c r="DE81" t="str">
        <f>""</f>
        <v/>
      </c>
      <c r="DF81" t="str">
        <f>""</f>
        <v/>
      </c>
      <c r="DG81" t="str">
        <f>""</f>
        <v/>
      </c>
      <c r="DH81" t="str">
        <f>""</f>
        <v/>
      </c>
      <c r="DI81" t="str">
        <f>""</f>
        <v/>
      </c>
      <c r="DJ81" t="str">
        <f>""</f>
        <v/>
      </c>
      <c r="DK81" t="str">
        <f>""</f>
        <v/>
      </c>
      <c r="DL81" t="str">
        <f>""</f>
        <v/>
      </c>
      <c r="DM81" t="str">
        <f>""</f>
        <v/>
      </c>
      <c r="DN81" t="str">
        <f>""</f>
        <v/>
      </c>
      <c r="DO81" t="str">
        <f>""</f>
        <v/>
      </c>
      <c r="DP81" t="str">
        <f>""</f>
        <v/>
      </c>
      <c r="DQ81" t="str">
        <f>""</f>
        <v/>
      </c>
      <c r="DR81" t="str">
        <f>""</f>
        <v/>
      </c>
      <c r="DS81" t="str">
        <f>""</f>
        <v/>
      </c>
      <c r="DT81" t="str">
        <f>""</f>
        <v/>
      </c>
      <c r="DU81" t="str">
        <f>""</f>
        <v/>
      </c>
      <c r="DV81" t="str">
        <f>""</f>
        <v/>
      </c>
      <c r="DW81" t="str">
        <f>""</f>
        <v/>
      </c>
      <c r="DX81" t="str">
        <f>""</f>
        <v/>
      </c>
      <c r="DY81" t="str">
        <f>""</f>
        <v/>
      </c>
      <c r="DZ81" t="str">
        <f>""</f>
        <v/>
      </c>
      <c r="EA81" t="str">
        <f>""</f>
        <v/>
      </c>
      <c r="EB81" t="str">
        <f>""</f>
        <v/>
      </c>
      <c r="EC81" t="str">
        <f>""</f>
        <v/>
      </c>
      <c r="ED81" t="str">
        <f>""</f>
        <v/>
      </c>
      <c r="EE81" t="str">
        <f>""</f>
        <v/>
      </c>
      <c r="EF81" t="str">
        <f>""</f>
        <v/>
      </c>
      <c r="EG81" t="str">
        <f>""</f>
        <v/>
      </c>
      <c r="EH81" t="str">
        <f>""</f>
        <v/>
      </c>
      <c r="EI81" t="str">
        <f>""</f>
        <v/>
      </c>
      <c r="EJ81" t="str">
        <f>""</f>
        <v/>
      </c>
      <c r="EK81" t="str">
        <f>""</f>
        <v/>
      </c>
      <c r="EL81" t="str">
        <f>""</f>
        <v/>
      </c>
      <c r="EM81" t="str">
        <f>""</f>
        <v/>
      </c>
      <c r="EN81" t="str">
        <f>""</f>
        <v/>
      </c>
      <c r="EO81" t="str">
        <f>""</f>
        <v/>
      </c>
      <c r="EP81" t="str">
        <f>""</f>
        <v/>
      </c>
      <c r="EQ81" t="str">
        <f>""</f>
        <v/>
      </c>
      <c r="ER81" t="str">
        <f>""</f>
        <v/>
      </c>
      <c r="ES81" t="str">
        <f>""</f>
        <v/>
      </c>
      <c r="ET81" t="str">
        <f>""</f>
        <v/>
      </c>
      <c r="EU81" t="str">
        <f>""</f>
        <v/>
      </c>
      <c r="EV81" t="str">
        <f>""</f>
        <v/>
      </c>
      <c r="EW81" t="str">
        <f>""</f>
        <v/>
      </c>
      <c r="EX81" t="str">
        <f>""</f>
        <v/>
      </c>
      <c r="EY81" t="str">
        <f>""</f>
        <v/>
      </c>
      <c r="EZ81" t="str">
        <f>""</f>
        <v/>
      </c>
      <c r="FA81" t="str">
        <f>""</f>
        <v/>
      </c>
      <c r="FB81" t="str">
        <f>""</f>
        <v/>
      </c>
      <c r="FC81" t="str">
        <f>""</f>
        <v/>
      </c>
      <c r="FD81" t="str">
        <f>""</f>
        <v/>
      </c>
      <c r="FE81" t="str">
        <f>""</f>
        <v/>
      </c>
      <c r="FF81" t="str">
        <f>""</f>
        <v/>
      </c>
      <c r="FG81" t="str">
        <f>""</f>
        <v/>
      </c>
      <c r="FH81" t="str">
        <f>""</f>
        <v/>
      </c>
      <c r="FI81" t="str">
        <f>""</f>
        <v/>
      </c>
      <c r="FJ81" t="str">
        <f>""</f>
        <v/>
      </c>
      <c r="FK81" t="str">
        <f>""</f>
        <v/>
      </c>
      <c r="FL81" t="str">
        <f>""</f>
        <v/>
      </c>
      <c r="FM81" t="str">
        <f>""</f>
        <v/>
      </c>
      <c r="FN81" t="str">
        <f>""</f>
        <v/>
      </c>
      <c r="FO81" t="str">
        <f>""</f>
        <v/>
      </c>
      <c r="FP81" t="str">
        <f>""</f>
        <v/>
      </c>
      <c r="FQ81" t="str">
        <f>""</f>
        <v/>
      </c>
      <c r="FR81" t="str">
        <f>""</f>
        <v/>
      </c>
      <c r="FS81" t="str">
        <f>""</f>
        <v/>
      </c>
      <c r="FT81" t="str">
        <f>""</f>
        <v/>
      </c>
      <c r="FU81" t="str">
        <f>""</f>
        <v/>
      </c>
      <c r="FV81" t="str">
        <f>""</f>
        <v/>
      </c>
      <c r="FW81" t="str">
        <f>""</f>
        <v/>
      </c>
      <c r="FX81" t="str">
        <f>""</f>
        <v/>
      </c>
      <c r="FY81" t="str">
        <f>""</f>
        <v/>
      </c>
      <c r="FZ81" t="str">
        <f>""</f>
        <v/>
      </c>
      <c r="GA81" t="str">
        <f>""</f>
        <v/>
      </c>
      <c r="GB81" t="str">
        <f>""</f>
        <v/>
      </c>
      <c r="GC81" t="str">
        <f>""</f>
        <v/>
      </c>
      <c r="GD81" t="str">
        <f>""</f>
        <v/>
      </c>
      <c r="GE81" t="str">
        <f>""</f>
        <v/>
      </c>
      <c r="GF81" t="str">
        <f>""</f>
        <v/>
      </c>
      <c r="GG81" t="str">
        <f>""</f>
        <v/>
      </c>
      <c r="GH81" t="str">
        <f>""</f>
        <v/>
      </c>
      <c r="GI81" t="str">
        <f>""</f>
        <v/>
      </c>
      <c r="GJ81" t="str">
        <f>""</f>
        <v/>
      </c>
      <c r="GK81" t="str">
        <f>""</f>
        <v/>
      </c>
      <c r="GL81" t="str">
        <f>""</f>
        <v/>
      </c>
      <c r="GM81" t="str">
        <f>""</f>
        <v/>
      </c>
      <c r="GN81" t="str">
        <f>""</f>
        <v/>
      </c>
      <c r="GO81" t="str">
        <f>""</f>
        <v/>
      </c>
      <c r="GP81" t="str">
        <f>""</f>
        <v/>
      </c>
      <c r="GQ81" t="str">
        <f>""</f>
        <v/>
      </c>
      <c r="GR81" t="str">
        <f>""</f>
        <v/>
      </c>
      <c r="GS81" t="str">
        <f>""</f>
        <v/>
      </c>
      <c r="GT81" t="str">
        <f>""</f>
        <v/>
      </c>
      <c r="GU81" t="str">
        <f>""</f>
        <v/>
      </c>
      <c r="GV81" t="str">
        <f>""</f>
        <v/>
      </c>
      <c r="GW81" t="str">
        <f>""</f>
        <v/>
      </c>
      <c r="GX81" t="str">
        <f>""</f>
        <v/>
      </c>
      <c r="GY81" t="str">
        <f>""</f>
        <v/>
      </c>
      <c r="GZ81" t="str">
        <f>""</f>
        <v/>
      </c>
      <c r="HA81" t="str">
        <f>""</f>
        <v/>
      </c>
      <c r="HB81" t="str">
        <f>""</f>
        <v/>
      </c>
      <c r="HC81" t="str">
        <f>""</f>
        <v/>
      </c>
      <c r="HD81" t="str">
        <f>""</f>
        <v/>
      </c>
      <c r="HE81" t="str">
        <f>""</f>
        <v/>
      </c>
      <c r="HF81" t="str">
        <f>""</f>
        <v/>
      </c>
      <c r="HG81" t="str">
        <f>""</f>
        <v/>
      </c>
      <c r="HH81" t="str">
        <f>""</f>
        <v/>
      </c>
      <c r="HI81" t="str">
        <f>""</f>
        <v/>
      </c>
      <c r="HJ81" t="str">
        <f>""</f>
        <v/>
      </c>
      <c r="HK81" t="str">
        <f>""</f>
        <v/>
      </c>
      <c r="HL81" t="str">
        <f>""</f>
        <v/>
      </c>
      <c r="HM81" t="str">
        <f>""</f>
        <v/>
      </c>
      <c r="HN81" t="str">
        <f>""</f>
        <v/>
      </c>
      <c r="HO81" t="str">
        <f>""</f>
        <v/>
      </c>
      <c r="HP81" t="str">
        <f>""</f>
        <v/>
      </c>
      <c r="HQ81" t="str">
        <f>""</f>
        <v/>
      </c>
      <c r="HR81" t="str">
        <f>""</f>
        <v/>
      </c>
      <c r="HS81" t="str">
        <f>""</f>
        <v/>
      </c>
      <c r="HT81" t="str">
        <f>""</f>
        <v/>
      </c>
      <c r="HU81" t="str">
        <f>""</f>
        <v/>
      </c>
      <c r="HV81" t="str">
        <f>""</f>
        <v/>
      </c>
      <c r="HW81" t="str">
        <f>""</f>
        <v/>
      </c>
      <c r="HX81" t="str">
        <f>""</f>
        <v/>
      </c>
      <c r="HY81" t="str">
        <f>""</f>
        <v/>
      </c>
      <c r="HZ81" t="str">
        <f>""</f>
        <v/>
      </c>
      <c r="IA81" t="str">
        <f>""</f>
        <v/>
      </c>
      <c r="IB81" t="str">
        <f>""</f>
        <v/>
      </c>
      <c r="IC81" t="str">
        <f>""</f>
        <v/>
      </c>
      <c r="ID81" t="str">
        <f>""</f>
        <v/>
      </c>
      <c r="IE81" t="str">
        <f>""</f>
        <v/>
      </c>
      <c r="IF81" t="str">
        <f>""</f>
        <v/>
      </c>
      <c r="IG81" t="str">
        <f>""</f>
        <v/>
      </c>
      <c r="IH81" t="str">
        <f>""</f>
        <v/>
      </c>
      <c r="II81" t="str">
        <f>""</f>
        <v/>
      </c>
      <c r="IJ81" t="str">
        <f>""</f>
        <v/>
      </c>
      <c r="IK81" t="str">
        <f>""</f>
        <v/>
      </c>
      <c r="IL81" t="str">
        <f>""</f>
        <v/>
      </c>
      <c r="IM81" t="str">
        <f>""</f>
        <v/>
      </c>
      <c r="IN81" t="str">
        <f>""</f>
        <v/>
      </c>
      <c r="IO81" t="str">
        <f>""</f>
        <v/>
      </c>
      <c r="IP81" t="str">
        <f>""</f>
        <v/>
      </c>
      <c r="IQ81" t="str">
        <f>""</f>
        <v/>
      </c>
      <c r="IR81" t="str">
        <f>""</f>
        <v/>
      </c>
      <c r="IS81" t="str">
        <f>""</f>
        <v/>
      </c>
      <c r="IT81" t="str">
        <f>""</f>
        <v/>
      </c>
      <c r="IU81" t="str">
        <f>""</f>
        <v/>
      </c>
      <c r="IV81" t="str">
        <f>""</f>
        <v/>
      </c>
      <c r="IW81" t="str">
        <f>""</f>
        <v/>
      </c>
      <c r="IX81" t="str">
        <f>""</f>
        <v/>
      </c>
      <c r="IY81" t="str">
        <f>""</f>
        <v/>
      </c>
      <c r="IZ81" t="str">
        <f>""</f>
        <v/>
      </c>
      <c r="JA81" t="str">
        <f>""</f>
        <v/>
      </c>
      <c r="JB81" t="str">
        <f>""</f>
        <v/>
      </c>
      <c r="JC81" t="str">
        <f>""</f>
        <v/>
      </c>
      <c r="JD81" t="str">
        <f>""</f>
        <v/>
      </c>
      <c r="JE81" t="str">
        <f>""</f>
        <v/>
      </c>
      <c r="JF81" t="str">
        <f>""</f>
        <v/>
      </c>
      <c r="JG81" t="str">
        <f>""</f>
        <v/>
      </c>
      <c r="JH81" t="str">
        <f>""</f>
        <v/>
      </c>
      <c r="JI81" t="str">
        <f>""</f>
        <v/>
      </c>
      <c r="JJ81" t="str">
        <f>""</f>
        <v/>
      </c>
      <c r="JK81" t="str">
        <f>""</f>
        <v/>
      </c>
    </row>
    <row r="82" spans="1:271" x14ac:dyDescent="0.3">
      <c r="A82" t="str">
        <f>""</f>
        <v/>
      </c>
      <c r="B82" t="str">
        <f>""</f>
        <v/>
      </c>
      <c r="C82" t="str">
        <f>""</f>
        <v/>
      </c>
      <c r="D82" t="str">
        <f>""</f>
        <v/>
      </c>
      <c r="E82" t="str">
        <f>""</f>
        <v/>
      </c>
      <c r="F82" t="str">
        <f>""</f>
        <v/>
      </c>
      <c r="G82" t="str">
        <f>""</f>
        <v/>
      </c>
      <c r="H82" t="str">
        <f>""</f>
        <v/>
      </c>
      <c r="I82" t="str">
        <f>""</f>
        <v/>
      </c>
      <c r="J82" t="str">
        <f>""</f>
        <v/>
      </c>
      <c r="K82" t="str">
        <f>""</f>
        <v/>
      </c>
      <c r="L82" t="str">
        <f>""</f>
        <v/>
      </c>
      <c r="M82" t="str">
        <f>""</f>
        <v/>
      </c>
      <c r="N82" t="str">
        <f>""</f>
        <v/>
      </c>
      <c r="O82" t="str">
        <f>""</f>
        <v/>
      </c>
      <c r="P82" t="str">
        <f>""</f>
        <v/>
      </c>
      <c r="Q82" t="str">
        <f>""</f>
        <v/>
      </c>
      <c r="R82" t="str">
        <f>""</f>
        <v/>
      </c>
      <c r="S82" t="str">
        <f>""</f>
        <v/>
      </c>
      <c r="T82" t="str">
        <f>""</f>
        <v/>
      </c>
      <c r="U82" t="str">
        <f>""</f>
        <v/>
      </c>
      <c r="V82" t="str">
        <f>""</f>
        <v/>
      </c>
      <c r="W82" t="str">
        <f>"(0.108)"</f>
        <v>(0.108)</v>
      </c>
      <c r="X82" t="str">
        <f>"(0.0863)"</f>
        <v>(0.0863)</v>
      </c>
      <c r="Y82" t="str">
        <f>"(0.0455)"</f>
        <v>(0.0455)</v>
      </c>
      <c r="Z82" t="str">
        <f>""</f>
        <v/>
      </c>
      <c r="AA82" t="str">
        <f>""</f>
        <v/>
      </c>
      <c r="AB82" t="str">
        <f>""</f>
        <v/>
      </c>
      <c r="AC82" t="str">
        <f>""</f>
        <v/>
      </c>
      <c r="AD82" t="str">
        <f>""</f>
        <v/>
      </c>
      <c r="AE82" t="str">
        <f>""</f>
        <v/>
      </c>
      <c r="AF82" t="str">
        <f>""</f>
        <v/>
      </c>
      <c r="AG82" t="str">
        <f>""</f>
        <v/>
      </c>
      <c r="AH82" t="str">
        <f>""</f>
        <v/>
      </c>
      <c r="AI82" t="str">
        <f>""</f>
        <v/>
      </c>
      <c r="AJ82" t="str">
        <f>""</f>
        <v/>
      </c>
      <c r="AK82" t="str">
        <f>""</f>
        <v/>
      </c>
      <c r="AL82" t="str">
        <f>""</f>
        <v/>
      </c>
      <c r="AM82" t="str">
        <f>""</f>
        <v/>
      </c>
      <c r="AN82" t="str">
        <f>""</f>
        <v/>
      </c>
      <c r="AO82" t="str">
        <f>""</f>
        <v/>
      </c>
      <c r="AP82" t="str">
        <f>""</f>
        <v/>
      </c>
      <c r="AQ82" t="str">
        <f>""</f>
        <v/>
      </c>
      <c r="AR82" t="str">
        <f>""</f>
        <v/>
      </c>
      <c r="AS82" t="str">
        <f>""</f>
        <v/>
      </c>
      <c r="AT82" t="str">
        <f>""</f>
        <v/>
      </c>
      <c r="AU82" t="str">
        <f>""</f>
        <v/>
      </c>
      <c r="AV82" t="str">
        <f>""</f>
        <v/>
      </c>
      <c r="AW82" t="str">
        <f>""</f>
        <v/>
      </c>
      <c r="AX82" t="str">
        <f>""</f>
        <v/>
      </c>
      <c r="AY82" t="str">
        <f>""</f>
        <v/>
      </c>
      <c r="AZ82" t="str">
        <f>""</f>
        <v/>
      </c>
      <c r="BA82" t="str">
        <f>""</f>
        <v/>
      </c>
      <c r="BB82" t="str">
        <f>""</f>
        <v/>
      </c>
      <c r="BC82" t="str">
        <f>""</f>
        <v/>
      </c>
      <c r="BD82" t="str">
        <f>""</f>
        <v/>
      </c>
      <c r="BE82" t="str">
        <f>""</f>
        <v/>
      </c>
      <c r="BF82" t="str">
        <f>""</f>
        <v/>
      </c>
      <c r="BG82" t="str">
        <f>""</f>
        <v/>
      </c>
      <c r="BH82" t="str">
        <f>""</f>
        <v/>
      </c>
      <c r="BI82" t="str">
        <f>""</f>
        <v/>
      </c>
      <c r="BJ82" t="str">
        <f>""</f>
        <v/>
      </c>
      <c r="BK82" t="str">
        <f>""</f>
        <v/>
      </c>
      <c r="BL82" t="str">
        <f>""</f>
        <v/>
      </c>
      <c r="BM82" t="str">
        <f>""</f>
        <v/>
      </c>
      <c r="BN82" t="str">
        <f>""</f>
        <v/>
      </c>
      <c r="BO82" t="str">
        <f>""</f>
        <v/>
      </c>
      <c r="BP82" t="str">
        <f>""</f>
        <v/>
      </c>
      <c r="BQ82" t="str">
        <f>""</f>
        <v/>
      </c>
      <c r="BR82" t="str">
        <f>""</f>
        <v/>
      </c>
      <c r="BS82" t="str">
        <f>""</f>
        <v/>
      </c>
      <c r="BT82" t="str">
        <f>""</f>
        <v/>
      </c>
      <c r="BU82" t="str">
        <f>""</f>
        <v/>
      </c>
      <c r="BV82" t="str">
        <f>""</f>
        <v/>
      </c>
      <c r="BW82" t="str">
        <f>""</f>
        <v/>
      </c>
      <c r="BX82" t="str">
        <f>""</f>
        <v/>
      </c>
      <c r="BY82" t="str">
        <f>""</f>
        <v/>
      </c>
      <c r="BZ82" t="str">
        <f>""</f>
        <v/>
      </c>
      <c r="CA82" t="str">
        <f>""</f>
        <v/>
      </c>
      <c r="CB82" t="str">
        <f>""</f>
        <v/>
      </c>
      <c r="CC82" t="str">
        <f>""</f>
        <v/>
      </c>
      <c r="CD82" t="str">
        <f>""</f>
        <v/>
      </c>
      <c r="CE82" t="str">
        <f>""</f>
        <v/>
      </c>
      <c r="CF82" t="str">
        <f>""</f>
        <v/>
      </c>
      <c r="CG82" t="str">
        <f>""</f>
        <v/>
      </c>
      <c r="CH82" t="str">
        <f>""</f>
        <v/>
      </c>
      <c r="CI82" t="str">
        <f>""</f>
        <v/>
      </c>
      <c r="CJ82" t="str">
        <f>""</f>
        <v/>
      </c>
      <c r="CK82" t="str">
        <f>""</f>
        <v/>
      </c>
      <c r="CL82" t="str">
        <f>""</f>
        <v/>
      </c>
      <c r="CM82" t="str">
        <f>""</f>
        <v/>
      </c>
      <c r="CN82" t="str">
        <f>""</f>
        <v/>
      </c>
      <c r="CO82" t="str">
        <f>""</f>
        <v/>
      </c>
      <c r="CP82" t="str">
        <f>""</f>
        <v/>
      </c>
      <c r="CQ82" t="str">
        <f>""</f>
        <v/>
      </c>
      <c r="CR82" t="str">
        <f>""</f>
        <v/>
      </c>
      <c r="CS82" t="str">
        <f>""</f>
        <v/>
      </c>
      <c r="CT82" t="str">
        <f>""</f>
        <v/>
      </c>
      <c r="CU82" t="str">
        <f>""</f>
        <v/>
      </c>
      <c r="CV82" t="str">
        <f>""</f>
        <v/>
      </c>
      <c r="CW82" t="str">
        <f>""</f>
        <v/>
      </c>
      <c r="CX82" t="str">
        <f>""</f>
        <v/>
      </c>
      <c r="CY82" t="str">
        <f>""</f>
        <v/>
      </c>
      <c r="CZ82" t="str">
        <f>""</f>
        <v/>
      </c>
      <c r="DA82" t="str">
        <f>""</f>
        <v/>
      </c>
      <c r="DB82" t="str">
        <f>""</f>
        <v/>
      </c>
      <c r="DC82" t="str">
        <f>""</f>
        <v/>
      </c>
      <c r="DD82" t="str">
        <f>""</f>
        <v/>
      </c>
      <c r="DE82" t="str">
        <f>""</f>
        <v/>
      </c>
      <c r="DF82" t="str">
        <f>""</f>
        <v/>
      </c>
      <c r="DG82" t="str">
        <f>""</f>
        <v/>
      </c>
      <c r="DH82" t="str">
        <f>""</f>
        <v/>
      </c>
      <c r="DI82" t="str">
        <f>""</f>
        <v/>
      </c>
      <c r="DJ82" t="str">
        <f>""</f>
        <v/>
      </c>
      <c r="DK82" t="str">
        <f>""</f>
        <v/>
      </c>
      <c r="DL82" t="str">
        <f>""</f>
        <v/>
      </c>
      <c r="DM82" t="str">
        <f>""</f>
        <v/>
      </c>
      <c r="DN82" t="str">
        <f>""</f>
        <v/>
      </c>
      <c r="DO82" t="str">
        <f>""</f>
        <v/>
      </c>
      <c r="DP82" t="str">
        <f>""</f>
        <v/>
      </c>
      <c r="DQ82" t="str">
        <f>""</f>
        <v/>
      </c>
      <c r="DR82" t="str">
        <f>""</f>
        <v/>
      </c>
      <c r="DS82" t="str">
        <f>""</f>
        <v/>
      </c>
      <c r="DT82" t="str">
        <f>""</f>
        <v/>
      </c>
      <c r="DU82" t="str">
        <f>""</f>
        <v/>
      </c>
      <c r="DV82" t="str">
        <f>""</f>
        <v/>
      </c>
      <c r="DW82" t="str">
        <f>""</f>
        <v/>
      </c>
      <c r="DX82" t="str">
        <f>""</f>
        <v/>
      </c>
      <c r="DY82" t="str">
        <f>""</f>
        <v/>
      </c>
      <c r="DZ82" t="str">
        <f>""</f>
        <v/>
      </c>
      <c r="EA82" t="str">
        <f>""</f>
        <v/>
      </c>
      <c r="EB82" t="str">
        <f>""</f>
        <v/>
      </c>
      <c r="EC82" t="str">
        <f>""</f>
        <v/>
      </c>
      <c r="ED82" t="str">
        <f>""</f>
        <v/>
      </c>
      <c r="EE82" t="str">
        <f>""</f>
        <v/>
      </c>
      <c r="EF82" t="str">
        <f>""</f>
        <v/>
      </c>
      <c r="EG82" t="str">
        <f>""</f>
        <v/>
      </c>
      <c r="EH82" t="str">
        <f>""</f>
        <v/>
      </c>
      <c r="EI82" t="str">
        <f>""</f>
        <v/>
      </c>
      <c r="EJ82" t="str">
        <f>""</f>
        <v/>
      </c>
      <c r="EK82" t="str">
        <f>""</f>
        <v/>
      </c>
      <c r="EL82" t="str">
        <f>""</f>
        <v/>
      </c>
      <c r="EM82" t="str">
        <f>""</f>
        <v/>
      </c>
      <c r="EN82" t="str">
        <f>""</f>
        <v/>
      </c>
      <c r="EO82" t="str">
        <f>""</f>
        <v/>
      </c>
      <c r="EP82" t="str">
        <f>""</f>
        <v/>
      </c>
      <c r="EQ82" t="str">
        <f>""</f>
        <v/>
      </c>
      <c r="ER82" t="str">
        <f>""</f>
        <v/>
      </c>
      <c r="ES82" t="str">
        <f>""</f>
        <v/>
      </c>
      <c r="ET82" t="str">
        <f>""</f>
        <v/>
      </c>
      <c r="EU82" t="str">
        <f>""</f>
        <v/>
      </c>
      <c r="EV82" t="str">
        <f>""</f>
        <v/>
      </c>
      <c r="EW82" t="str">
        <f>""</f>
        <v/>
      </c>
      <c r="EX82" t="str">
        <f>""</f>
        <v/>
      </c>
      <c r="EY82" t="str">
        <f>""</f>
        <v/>
      </c>
      <c r="EZ82" t="str">
        <f>""</f>
        <v/>
      </c>
      <c r="FA82" t="str">
        <f>""</f>
        <v/>
      </c>
      <c r="FB82" t="str">
        <f>""</f>
        <v/>
      </c>
      <c r="FC82" t="str">
        <f>""</f>
        <v/>
      </c>
      <c r="FD82" t="str">
        <f>""</f>
        <v/>
      </c>
      <c r="FE82" t="str">
        <f>""</f>
        <v/>
      </c>
      <c r="FF82" t="str">
        <f>""</f>
        <v/>
      </c>
      <c r="FG82" t="str">
        <f>""</f>
        <v/>
      </c>
      <c r="FH82" t="str">
        <f>""</f>
        <v/>
      </c>
      <c r="FI82" t="str">
        <f>""</f>
        <v/>
      </c>
      <c r="FJ82" t="str">
        <f>""</f>
        <v/>
      </c>
      <c r="FK82" t="str">
        <f>""</f>
        <v/>
      </c>
      <c r="FL82" t="str">
        <f>""</f>
        <v/>
      </c>
      <c r="FM82" t="str">
        <f>""</f>
        <v/>
      </c>
      <c r="FN82" t="str">
        <f>""</f>
        <v/>
      </c>
      <c r="FO82" t="str">
        <f>""</f>
        <v/>
      </c>
      <c r="FP82" t="str">
        <f>""</f>
        <v/>
      </c>
      <c r="FQ82" t="str">
        <f>""</f>
        <v/>
      </c>
      <c r="FR82" t="str">
        <f>""</f>
        <v/>
      </c>
      <c r="FS82" t="str">
        <f>""</f>
        <v/>
      </c>
      <c r="FT82" t="str">
        <f>""</f>
        <v/>
      </c>
      <c r="FU82" t="str">
        <f>""</f>
        <v/>
      </c>
      <c r="FV82" t="str">
        <f>""</f>
        <v/>
      </c>
      <c r="FW82" t="str">
        <f>""</f>
        <v/>
      </c>
      <c r="FX82" t="str">
        <f>""</f>
        <v/>
      </c>
      <c r="FY82" t="str">
        <f>""</f>
        <v/>
      </c>
      <c r="FZ82" t="str">
        <f>""</f>
        <v/>
      </c>
      <c r="GA82" t="str">
        <f>""</f>
        <v/>
      </c>
      <c r="GB82" t="str">
        <f>""</f>
        <v/>
      </c>
      <c r="GC82" t="str">
        <f>""</f>
        <v/>
      </c>
      <c r="GD82" t="str">
        <f>""</f>
        <v/>
      </c>
      <c r="GE82" t="str">
        <f>""</f>
        <v/>
      </c>
      <c r="GF82" t="str">
        <f>""</f>
        <v/>
      </c>
      <c r="GG82" t="str">
        <f>""</f>
        <v/>
      </c>
      <c r="GH82" t="str">
        <f>""</f>
        <v/>
      </c>
      <c r="GI82" t="str">
        <f>""</f>
        <v/>
      </c>
      <c r="GJ82" t="str">
        <f>""</f>
        <v/>
      </c>
      <c r="GK82" t="str">
        <f>""</f>
        <v/>
      </c>
      <c r="GL82" t="str">
        <f>""</f>
        <v/>
      </c>
      <c r="GM82" t="str">
        <f>""</f>
        <v/>
      </c>
      <c r="GN82" t="str">
        <f>""</f>
        <v/>
      </c>
      <c r="GO82" t="str">
        <f>""</f>
        <v/>
      </c>
      <c r="GP82" t="str">
        <f>""</f>
        <v/>
      </c>
      <c r="GQ82" t="str">
        <f>""</f>
        <v/>
      </c>
      <c r="GR82" t="str">
        <f>""</f>
        <v/>
      </c>
      <c r="GS82" t="str">
        <f>""</f>
        <v/>
      </c>
      <c r="GT82" t="str">
        <f>""</f>
        <v/>
      </c>
      <c r="GU82" t="str">
        <f>""</f>
        <v/>
      </c>
      <c r="GV82" t="str">
        <f>""</f>
        <v/>
      </c>
      <c r="GW82" t="str">
        <f>""</f>
        <v/>
      </c>
      <c r="GX82" t="str">
        <f>""</f>
        <v/>
      </c>
      <c r="GY82" t="str">
        <f>""</f>
        <v/>
      </c>
      <c r="GZ82" t="str">
        <f>""</f>
        <v/>
      </c>
      <c r="HA82" t="str">
        <f>""</f>
        <v/>
      </c>
      <c r="HB82" t="str">
        <f>""</f>
        <v/>
      </c>
      <c r="HC82" t="str">
        <f>""</f>
        <v/>
      </c>
      <c r="HD82" t="str">
        <f>""</f>
        <v/>
      </c>
      <c r="HE82" t="str">
        <f>""</f>
        <v/>
      </c>
      <c r="HF82" t="str">
        <f>""</f>
        <v/>
      </c>
      <c r="HG82" t="str">
        <f>""</f>
        <v/>
      </c>
      <c r="HH82" t="str">
        <f>""</f>
        <v/>
      </c>
      <c r="HI82" t="str">
        <f>""</f>
        <v/>
      </c>
      <c r="HJ82" t="str">
        <f>""</f>
        <v/>
      </c>
      <c r="HK82" t="str">
        <f>""</f>
        <v/>
      </c>
      <c r="HL82" t="str">
        <f>""</f>
        <v/>
      </c>
      <c r="HM82" t="str">
        <f>""</f>
        <v/>
      </c>
      <c r="HN82" t="str">
        <f>""</f>
        <v/>
      </c>
      <c r="HO82" t="str">
        <f>""</f>
        <v/>
      </c>
      <c r="HP82" t="str">
        <f>""</f>
        <v/>
      </c>
      <c r="HQ82" t="str">
        <f>""</f>
        <v/>
      </c>
      <c r="HR82" t="str">
        <f>""</f>
        <v/>
      </c>
      <c r="HS82" t="str">
        <f>""</f>
        <v/>
      </c>
      <c r="HT82" t="str">
        <f>""</f>
        <v/>
      </c>
      <c r="HU82" t="str">
        <f>""</f>
        <v/>
      </c>
      <c r="HV82" t="str">
        <f>""</f>
        <v/>
      </c>
      <c r="HW82" t="str">
        <f>""</f>
        <v/>
      </c>
      <c r="HX82" t="str">
        <f>""</f>
        <v/>
      </c>
      <c r="HY82" t="str">
        <f>""</f>
        <v/>
      </c>
      <c r="HZ82" t="str">
        <f>""</f>
        <v/>
      </c>
      <c r="IA82" t="str">
        <f>""</f>
        <v/>
      </c>
      <c r="IB82" t="str">
        <f>""</f>
        <v/>
      </c>
      <c r="IC82" t="str">
        <f>""</f>
        <v/>
      </c>
      <c r="ID82" t="str">
        <f>""</f>
        <v/>
      </c>
      <c r="IE82" t="str">
        <f>""</f>
        <v/>
      </c>
      <c r="IF82" t="str">
        <f>""</f>
        <v/>
      </c>
      <c r="IG82" t="str">
        <f>""</f>
        <v/>
      </c>
      <c r="IH82" t="str">
        <f>""</f>
        <v/>
      </c>
      <c r="II82" t="str">
        <f>""</f>
        <v/>
      </c>
      <c r="IJ82" t="str">
        <f>""</f>
        <v/>
      </c>
      <c r="IK82" t="str">
        <f>""</f>
        <v/>
      </c>
      <c r="IL82" t="str">
        <f>""</f>
        <v/>
      </c>
      <c r="IM82" t="str">
        <f>""</f>
        <v/>
      </c>
      <c r="IN82" t="str">
        <f>""</f>
        <v/>
      </c>
      <c r="IO82" t="str">
        <f>""</f>
        <v/>
      </c>
      <c r="IP82" t="str">
        <f>""</f>
        <v/>
      </c>
      <c r="IQ82" t="str">
        <f>""</f>
        <v/>
      </c>
      <c r="IR82" t="str">
        <f>""</f>
        <v/>
      </c>
      <c r="IS82" t="str">
        <f>""</f>
        <v/>
      </c>
      <c r="IT82" t="str">
        <f>""</f>
        <v/>
      </c>
      <c r="IU82" t="str">
        <f>""</f>
        <v/>
      </c>
      <c r="IV82" t="str">
        <f>""</f>
        <v/>
      </c>
      <c r="IW82" t="str">
        <f>""</f>
        <v/>
      </c>
      <c r="IX82" t="str">
        <f>""</f>
        <v/>
      </c>
      <c r="IY82" t="str">
        <f>""</f>
        <v/>
      </c>
      <c r="IZ82" t="str">
        <f>""</f>
        <v/>
      </c>
      <c r="JA82" t="str">
        <f>""</f>
        <v/>
      </c>
      <c r="JB82" t="str">
        <f>""</f>
        <v/>
      </c>
      <c r="JC82" t="str">
        <f>""</f>
        <v/>
      </c>
      <c r="JD82" t="str">
        <f>""</f>
        <v/>
      </c>
      <c r="JE82" t="str">
        <f>""</f>
        <v/>
      </c>
      <c r="JF82" t="str">
        <f>""</f>
        <v/>
      </c>
      <c r="JG82" t="str">
        <f>""</f>
        <v/>
      </c>
      <c r="JH82" t="str">
        <f>""</f>
        <v/>
      </c>
      <c r="JI82" t="str">
        <f>""</f>
        <v/>
      </c>
      <c r="JJ82" t="str">
        <f>""</f>
        <v/>
      </c>
      <c r="JK82" t="str">
        <f>""</f>
        <v/>
      </c>
    </row>
    <row r="84" spans="1:271" x14ac:dyDescent="0.3">
      <c r="A84" t="str">
        <f>"zMETAB9"</f>
        <v>zMETAB9</v>
      </c>
      <c r="B84" t="str">
        <f>""</f>
        <v/>
      </c>
      <c r="C84" t="str">
        <f>""</f>
        <v/>
      </c>
      <c r="D84" t="str">
        <f>""</f>
        <v/>
      </c>
      <c r="E84" t="str">
        <f>""</f>
        <v/>
      </c>
      <c r="F84" t="str">
        <f>""</f>
        <v/>
      </c>
      <c r="G84" t="str">
        <f>""</f>
        <v/>
      </c>
      <c r="H84" t="str">
        <f>""</f>
        <v/>
      </c>
      <c r="I84" t="str">
        <f>""</f>
        <v/>
      </c>
      <c r="J84" t="str">
        <f>""</f>
        <v/>
      </c>
      <c r="K84" t="str">
        <f>""</f>
        <v/>
      </c>
      <c r="L84" t="str">
        <f>""</f>
        <v/>
      </c>
      <c r="M84" t="str">
        <f>""</f>
        <v/>
      </c>
      <c r="N84" t="str">
        <f>""</f>
        <v/>
      </c>
      <c r="O84" t="str">
        <f>""</f>
        <v/>
      </c>
      <c r="P84" t="str">
        <f>""</f>
        <v/>
      </c>
      <c r="Q84" t="str">
        <f>""</f>
        <v/>
      </c>
      <c r="R84" t="str">
        <f>""</f>
        <v/>
      </c>
      <c r="S84" t="str">
        <f>""</f>
        <v/>
      </c>
      <c r="T84" t="str">
        <f>""</f>
        <v/>
      </c>
      <c r="U84" t="str">
        <f>""</f>
        <v/>
      </c>
      <c r="V84" t="str">
        <f>""</f>
        <v/>
      </c>
      <c r="W84" t="str">
        <f>""</f>
        <v/>
      </c>
      <c r="X84" t="str">
        <f>""</f>
        <v/>
      </c>
      <c r="Y84" t="str">
        <f>""</f>
        <v/>
      </c>
      <c r="Z84" t="str">
        <f>"-0.0263"</f>
        <v>-0.0263</v>
      </c>
      <c r="AA84" t="str">
        <f>"-0.146*"</f>
        <v>-0.146*</v>
      </c>
      <c r="AB84" t="str">
        <f>"-0.130***"</f>
        <v>-0.130***</v>
      </c>
      <c r="AC84" t="str">
        <f>""</f>
        <v/>
      </c>
      <c r="AD84" t="str">
        <f>""</f>
        <v/>
      </c>
      <c r="AE84" t="str">
        <f>""</f>
        <v/>
      </c>
      <c r="AF84" t="str">
        <f>""</f>
        <v/>
      </c>
      <c r="AG84" t="str">
        <f>""</f>
        <v/>
      </c>
      <c r="AH84" t="str">
        <f>""</f>
        <v/>
      </c>
      <c r="AI84" t="str">
        <f>""</f>
        <v/>
      </c>
      <c r="AJ84" t="str">
        <f>""</f>
        <v/>
      </c>
      <c r="AK84" t="str">
        <f>""</f>
        <v/>
      </c>
      <c r="AL84" t="str">
        <f>""</f>
        <v/>
      </c>
      <c r="AM84" t="str">
        <f>""</f>
        <v/>
      </c>
      <c r="AN84" t="str">
        <f>""</f>
        <v/>
      </c>
      <c r="AO84" t="str">
        <f>""</f>
        <v/>
      </c>
      <c r="AP84" t="str">
        <f>""</f>
        <v/>
      </c>
      <c r="AQ84" t="str">
        <f>""</f>
        <v/>
      </c>
      <c r="AR84" t="str">
        <f>""</f>
        <v/>
      </c>
      <c r="AS84" t="str">
        <f>""</f>
        <v/>
      </c>
      <c r="AT84" t="str">
        <f>""</f>
        <v/>
      </c>
      <c r="AU84" t="str">
        <f>""</f>
        <v/>
      </c>
      <c r="AV84" t="str">
        <f>""</f>
        <v/>
      </c>
      <c r="AW84" t="str">
        <f>""</f>
        <v/>
      </c>
      <c r="AX84" t="str">
        <f>""</f>
        <v/>
      </c>
      <c r="AY84" t="str">
        <f>""</f>
        <v/>
      </c>
      <c r="AZ84" t="str">
        <f>""</f>
        <v/>
      </c>
      <c r="BA84" t="str">
        <f>""</f>
        <v/>
      </c>
      <c r="BB84" t="str">
        <f>""</f>
        <v/>
      </c>
      <c r="BC84" t="str">
        <f>""</f>
        <v/>
      </c>
      <c r="BD84" t="str">
        <f>""</f>
        <v/>
      </c>
      <c r="BE84" t="str">
        <f>""</f>
        <v/>
      </c>
      <c r="BF84" t="str">
        <f>""</f>
        <v/>
      </c>
      <c r="BG84" t="str">
        <f>""</f>
        <v/>
      </c>
      <c r="BH84" t="str">
        <f>""</f>
        <v/>
      </c>
      <c r="BI84" t="str">
        <f>""</f>
        <v/>
      </c>
      <c r="BJ84" t="str">
        <f>""</f>
        <v/>
      </c>
      <c r="BK84" t="str">
        <f>""</f>
        <v/>
      </c>
      <c r="BL84" t="str">
        <f>""</f>
        <v/>
      </c>
      <c r="BM84" t="str">
        <f>""</f>
        <v/>
      </c>
      <c r="BN84" t="str">
        <f>""</f>
        <v/>
      </c>
      <c r="BO84" t="str">
        <f>""</f>
        <v/>
      </c>
      <c r="BP84" t="str">
        <f>""</f>
        <v/>
      </c>
      <c r="BQ84" t="str">
        <f>""</f>
        <v/>
      </c>
      <c r="BR84" t="str">
        <f>""</f>
        <v/>
      </c>
      <c r="BS84" t="str">
        <f>"-0.122"</f>
        <v>-0.122</v>
      </c>
      <c r="BT84" t="str">
        <f>"-0.141*"</f>
        <v>-0.141*</v>
      </c>
      <c r="BU84" t="str">
        <f>"-0.107**"</f>
        <v>-0.107**</v>
      </c>
      <c r="BV84" t="str">
        <f>""</f>
        <v/>
      </c>
      <c r="BW84" t="str">
        <f>""</f>
        <v/>
      </c>
      <c r="BX84" t="str">
        <f>""</f>
        <v/>
      </c>
      <c r="BY84" t="str">
        <f>""</f>
        <v/>
      </c>
      <c r="BZ84" t="str">
        <f>""</f>
        <v/>
      </c>
      <c r="CA84" t="str">
        <f>""</f>
        <v/>
      </c>
      <c r="CB84" t="str">
        <f>""</f>
        <v/>
      </c>
      <c r="CC84" t="str">
        <f>""</f>
        <v/>
      </c>
      <c r="CD84" t="str">
        <f>""</f>
        <v/>
      </c>
      <c r="CE84" t="str">
        <f>""</f>
        <v/>
      </c>
      <c r="CF84" t="str">
        <f>""</f>
        <v/>
      </c>
      <c r="CG84" t="str">
        <f>""</f>
        <v/>
      </c>
      <c r="CH84" t="str">
        <f>""</f>
        <v/>
      </c>
      <c r="CI84" t="str">
        <f>""</f>
        <v/>
      </c>
      <c r="CJ84" t="str">
        <f>""</f>
        <v/>
      </c>
      <c r="CK84" t="str">
        <f>""</f>
        <v/>
      </c>
      <c r="CL84" t="str">
        <f>""</f>
        <v/>
      </c>
      <c r="CM84" t="str">
        <f>""</f>
        <v/>
      </c>
      <c r="CN84" t="str">
        <f>""</f>
        <v/>
      </c>
      <c r="CO84" t="str">
        <f>""</f>
        <v/>
      </c>
      <c r="CP84" t="str">
        <f>""</f>
        <v/>
      </c>
      <c r="CQ84" t="str">
        <f>""</f>
        <v/>
      </c>
      <c r="CR84" t="str">
        <f>""</f>
        <v/>
      </c>
      <c r="CS84" t="str">
        <f>""</f>
        <v/>
      </c>
      <c r="CT84" t="str">
        <f>""</f>
        <v/>
      </c>
      <c r="CU84" t="str">
        <f>""</f>
        <v/>
      </c>
      <c r="CV84" t="str">
        <f>""</f>
        <v/>
      </c>
      <c r="CW84" t="str">
        <f>""</f>
        <v/>
      </c>
      <c r="CX84" t="str">
        <f>""</f>
        <v/>
      </c>
      <c r="CY84" t="str">
        <f>""</f>
        <v/>
      </c>
      <c r="CZ84" t="str">
        <f>""</f>
        <v/>
      </c>
      <c r="DA84" t="str">
        <f>""</f>
        <v/>
      </c>
      <c r="DB84" t="str">
        <f>""</f>
        <v/>
      </c>
      <c r="DC84" t="str">
        <f>""</f>
        <v/>
      </c>
      <c r="DD84" t="str">
        <f>""</f>
        <v/>
      </c>
      <c r="DE84" t="str">
        <f>""</f>
        <v/>
      </c>
      <c r="DF84" t="str">
        <f>""</f>
        <v/>
      </c>
      <c r="DG84" t="str">
        <f>""</f>
        <v/>
      </c>
      <c r="DH84" t="str">
        <f>""</f>
        <v/>
      </c>
      <c r="DI84" t="str">
        <f>""</f>
        <v/>
      </c>
      <c r="DJ84" t="str">
        <f>""</f>
        <v/>
      </c>
      <c r="DK84" t="str">
        <f>""</f>
        <v/>
      </c>
      <c r="DL84" t="str">
        <f>"-0.142"</f>
        <v>-0.142</v>
      </c>
      <c r="DM84" t="str">
        <f>"-0.0803"</f>
        <v>-0.0803</v>
      </c>
      <c r="DN84" t="str">
        <f>"-0.102**"</f>
        <v>-0.102**</v>
      </c>
      <c r="DO84" t="str">
        <f>""</f>
        <v/>
      </c>
      <c r="DP84" t="str">
        <f>""</f>
        <v/>
      </c>
      <c r="DQ84" t="str">
        <f>""</f>
        <v/>
      </c>
      <c r="DR84" t="str">
        <f>""</f>
        <v/>
      </c>
      <c r="DS84" t="str">
        <f>""</f>
        <v/>
      </c>
      <c r="DT84" t="str">
        <f>""</f>
        <v/>
      </c>
      <c r="DU84" t="str">
        <f>""</f>
        <v/>
      </c>
      <c r="DV84" t="str">
        <f>""</f>
        <v/>
      </c>
      <c r="DW84" t="str">
        <f>""</f>
        <v/>
      </c>
      <c r="DX84" t="str">
        <f>""</f>
        <v/>
      </c>
      <c r="DY84" t="str">
        <f>""</f>
        <v/>
      </c>
      <c r="DZ84" t="str">
        <f>""</f>
        <v/>
      </c>
      <c r="EA84" t="str">
        <f>""</f>
        <v/>
      </c>
      <c r="EB84" t="str">
        <f>""</f>
        <v/>
      </c>
      <c r="EC84" t="str">
        <f>""</f>
        <v/>
      </c>
      <c r="ED84" t="str">
        <f>""</f>
        <v/>
      </c>
      <c r="EE84" t="str">
        <f>""</f>
        <v/>
      </c>
      <c r="EF84" t="str">
        <f>""</f>
        <v/>
      </c>
      <c r="EG84" t="str">
        <f>""</f>
        <v/>
      </c>
      <c r="EH84" t="str">
        <f>""</f>
        <v/>
      </c>
      <c r="EI84" t="str">
        <f>""</f>
        <v/>
      </c>
      <c r="EJ84" t="str">
        <f>""</f>
        <v/>
      </c>
      <c r="EK84" t="str">
        <f>""</f>
        <v/>
      </c>
      <c r="EL84" t="str">
        <f>""</f>
        <v/>
      </c>
      <c r="EM84" t="str">
        <f>""</f>
        <v/>
      </c>
      <c r="EN84" t="str">
        <f>""</f>
        <v/>
      </c>
      <c r="EO84" t="str">
        <f>""</f>
        <v/>
      </c>
      <c r="EP84" t="str">
        <f>""</f>
        <v/>
      </c>
      <c r="EQ84" t="str">
        <f>""</f>
        <v/>
      </c>
      <c r="ER84" t="str">
        <f>""</f>
        <v/>
      </c>
      <c r="ES84" t="str">
        <f>""</f>
        <v/>
      </c>
      <c r="ET84" t="str">
        <f>""</f>
        <v/>
      </c>
      <c r="EU84" t="str">
        <f>""</f>
        <v/>
      </c>
      <c r="EV84" t="str">
        <f>""</f>
        <v/>
      </c>
      <c r="EW84" t="str">
        <f>""</f>
        <v/>
      </c>
      <c r="EX84" t="str">
        <f>""</f>
        <v/>
      </c>
      <c r="EY84" t="str">
        <f>""</f>
        <v/>
      </c>
      <c r="EZ84" t="str">
        <f>""</f>
        <v/>
      </c>
      <c r="FA84" t="str">
        <f>""</f>
        <v/>
      </c>
      <c r="FB84" t="str">
        <f>""</f>
        <v/>
      </c>
      <c r="FC84" t="str">
        <f>""</f>
        <v/>
      </c>
      <c r="FD84" t="str">
        <f>""</f>
        <v/>
      </c>
      <c r="FE84" t="str">
        <f>"-0.127"</f>
        <v>-0.127</v>
      </c>
      <c r="FF84" t="str">
        <f>"-0.117"</f>
        <v>-0.117</v>
      </c>
      <c r="FG84" t="str">
        <f>"-0.105**"</f>
        <v>-0.105**</v>
      </c>
      <c r="FH84" t="str">
        <f>""</f>
        <v/>
      </c>
      <c r="FI84" t="str">
        <f>""</f>
        <v/>
      </c>
      <c r="FJ84" t="str">
        <f>""</f>
        <v/>
      </c>
      <c r="FK84" t="str">
        <f>""</f>
        <v/>
      </c>
      <c r="FL84" t="str">
        <f>""</f>
        <v/>
      </c>
      <c r="FM84" t="str">
        <f>""</f>
        <v/>
      </c>
      <c r="FN84" t="str">
        <f>""</f>
        <v/>
      </c>
      <c r="FO84" t="str">
        <f>""</f>
        <v/>
      </c>
      <c r="FP84" t="str">
        <f>""</f>
        <v/>
      </c>
      <c r="FQ84" t="str">
        <f>""</f>
        <v/>
      </c>
      <c r="FR84" t="str">
        <f>""</f>
        <v/>
      </c>
      <c r="FS84" t="str">
        <f>""</f>
        <v/>
      </c>
      <c r="FT84" t="str">
        <f>""</f>
        <v/>
      </c>
      <c r="FU84" t="str">
        <f>""</f>
        <v/>
      </c>
      <c r="FV84" t="str">
        <f>""</f>
        <v/>
      </c>
      <c r="FW84" t="str">
        <f>""</f>
        <v/>
      </c>
      <c r="FX84" t="str">
        <f>""</f>
        <v/>
      </c>
      <c r="FY84" t="str">
        <f>""</f>
        <v/>
      </c>
      <c r="FZ84" t="str">
        <f>""</f>
        <v/>
      </c>
      <c r="GA84" t="str">
        <f>""</f>
        <v/>
      </c>
      <c r="GB84" t="str">
        <f>""</f>
        <v/>
      </c>
      <c r="GC84" t="str">
        <f>""</f>
        <v/>
      </c>
      <c r="GD84" t="str">
        <f>""</f>
        <v/>
      </c>
      <c r="GE84" t="str">
        <f>""</f>
        <v/>
      </c>
      <c r="GF84" t="str">
        <f>""</f>
        <v/>
      </c>
      <c r="GG84" t="str">
        <f>""</f>
        <v/>
      </c>
      <c r="GH84" t="str">
        <f>""</f>
        <v/>
      </c>
      <c r="GI84" t="str">
        <f>""</f>
        <v/>
      </c>
      <c r="GJ84" t="str">
        <f>""</f>
        <v/>
      </c>
      <c r="GK84" t="str">
        <f>""</f>
        <v/>
      </c>
      <c r="GL84" t="str">
        <f>""</f>
        <v/>
      </c>
      <c r="GM84" t="str">
        <f>""</f>
        <v/>
      </c>
      <c r="GN84" t="str">
        <f>""</f>
        <v/>
      </c>
      <c r="GO84" t="str">
        <f>""</f>
        <v/>
      </c>
      <c r="GP84" t="str">
        <f>""</f>
        <v/>
      </c>
      <c r="GQ84" t="str">
        <f>""</f>
        <v/>
      </c>
      <c r="GR84" t="str">
        <f>""</f>
        <v/>
      </c>
      <c r="GS84" t="str">
        <f>""</f>
        <v/>
      </c>
      <c r="GT84" t="str">
        <f>""</f>
        <v/>
      </c>
      <c r="GU84" t="str">
        <f>""</f>
        <v/>
      </c>
      <c r="GV84" t="str">
        <f>""</f>
        <v/>
      </c>
      <c r="GW84" t="str">
        <f>""</f>
        <v/>
      </c>
      <c r="GX84" t="str">
        <f>"-0.107"</f>
        <v>-0.107</v>
      </c>
      <c r="GY84" t="str">
        <f>"-0.114"</f>
        <v>-0.114</v>
      </c>
      <c r="GZ84" t="str">
        <f>"-0.107**"</f>
        <v>-0.107**</v>
      </c>
      <c r="HA84" t="str">
        <f>""</f>
        <v/>
      </c>
      <c r="HB84" t="str">
        <f>""</f>
        <v/>
      </c>
      <c r="HC84" t="str">
        <f>""</f>
        <v/>
      </c>
      <c r="HD84" t="str">
        <f>""</f>
        <v/>
      </c>
      <c r="HE84" t="str">
        <f>""</f>
        <v/>
      </c>
      <c r="HF84" t="str">
        <f>""</f>
        <v/>
      </c>
      <c r="HG84" t="str">
        <f>""</f>
        <v/>
      </c>
      <c r="HH84" t="str">
        <f>""</f>
        <v/>
      </c>
      <c r="HI84" t="str">
        <f>""</f>
        <v/>
      </c>
      <c r="HJ84" t="str">
        <f>""</f>
        <v/>
      </c>
      <c r="HK84" t="str">
        <f>""</f>
        <v/>
      </c>
      <c r="HL84" t="str">
        <f>""</f>
        <v/>
      </c>
      <c r="HM84" t="str">
        <f>""</f>
        <v/>
      </c>
      <c r="HN84" t="str">
        <f>""</f>
        <v/>
      </c>
      <c r="HO84" t="str">
        <f>""</f>
        <v/>
      </c>
      <c r="HP84" t="str">
        <f>""</f>
        <v/>
      </c>
      <c r="HQ84" t="str">
        <f>""</f>
        <v/>
      </c>
      <c r="HR84" t="str">
        <f>""</f>
        <v/>
      </c>
      <c r="HS84" t="str">
        <f>""</f>
        <v/>
      </c>
      <c r="HT84" t="str">
        <f>""</f>
        <v/>
      </c>
      <c r="HU84" t="str">
        <f>""</f>
        <v/>
      </c>
      <c r="HV84" t="str">
        <f>""</f>
        <v/>
      </c>
      <c r="HW84" t="str">
        <f>""</f>
        <v/>
      </c>
      <c r="HX84" t="str">
        <f>""</f>
        <v/>
      </c>
      <c r="HY84" t="str">
        <f>""</f>
        <v/>
      </c>
      <c r="HZ84" t="str">
        <f>""</f>
        <v/>
      </c>
      <c r="IA84" t="str">
        <f>""</f>
        <v/>
      </c>
      <c r="IB84" t="str">
        <f>""</f>
        <v/>
      </c>
      <c r="IC84" t="str">
        <f>""</f>
        <v/>
      </c>
      <c r="ID84" t="str">
        <f>""</f>
        <v/>
      </c>
      <c r="IE84" t="str">
        <f>""</f>
        <v/>
      </c>
      <c r="IF84" t="str">
        <f>""</f>
        <v/>
      </c>
      <c r="IG84" t="str">
        <f>""</f>
        <v/>
      </c>
      <c r="IH84" t="str">
        <f>""</f>
        <v/>
      </c>
      <c r="II84" t="str">
        <f>""</f>
        <v/>
      </c>
      <c r="IJ84" t="str">
        <f>""</f>
        <v/>
      </c>
      <c r="IK84" t="str">
        <f>""</f>
        <v/>
      </c>
      <c r="IL84" t="str">
        <f>""</f>
        <v/>
      </c>
      <c r="IM84" t="str">
        <f>""</f>
        <v/>
      </c>
      <c r="IN84" t="str">
        <f>""</f>
        <v/>
      </c>
      <c r="IO84" t="str">
        <f>""</f>
        <v/>
      </c>
      <c r="IP84" t="str">
        <f>""</f>
        <v/>
      </c>
      <c r="IQ84" t="str">
        <f>"-0.0979"</f>
        <v>-0.0979</v>
      </c>
      <c r="IR84" t="str">
        <f>"-0.168**"</f>
        <v>-0.168**</v>
      </c>
      <c r="IS84" t="str">
        <f>"-0.105**"</f>
        <v>-0.105**</v>
      </c>
      <c r="IT84" t="str">
        <f>""</f>
        <v/>
      </c>
      <c r="IU84" t="str">
        <f>""</f>
        <v/>
      </c>
      <c r="IV84" t="str">
        <f>""</f>
        <v/>
      </c>
      <c r="IW84" t="str">
        <f>""</f>
        <v/>
      </c>
      <c r="IX84" t="str">
        <f>""</f>
        <v/>
      </c>
      <c r="IY84" t="str">
        <f>""</f>
        <v/>
      </c>
      <c r="IZ84" t="str">
        <f>""</f>
        <v/>
      </c>
      <c r="JA84" t="str">
        <f>""</f>
        <v/>
      </c>
      <c r="JB84" t="str">
        <f>""</f>
        <v/>
      </c>
      <c r="JC84" t="str">
        <f>""</f>
        <v/>
      </c>
      <c r="JD84" t="str">
        <f>""</f>
        <v/>
      </c>
      <c r="JE84" t="str">
        <f>""</f>
        <v/>
      </c>
      <c r="JF84" t="str">
        <f>""</f>
        <v/>
      </c>
      <c r="JG84" t="str">
        <f>""</f>
        <v/>
      </c>
      <c r="JH84" t="str">
        <f>""</f>
        <v/>
      </c>
      <c r="JI84" t="str">
        <f>""</f>
        <v/>
      </c>
      <c r="JJ84" t="str">
        <f>""</f>
        <v/>
      </c>
      <c r="JK84" t="str">
        <f>""</f>
        <v/>
      </c>
    </row>
    <row r="85" spans="1:271" x14ac:dyDescent="0.3">
      <c r="A85" t="str">
        <f>""</f>
        <v/>
      </c>
      <c r="B85" t="str">
        <f>""</f>
        <v/>
      </c>
      <c r="C85" t="str">
        <f>""</f>
        <v/>
      </c>
      <c r="D85" t="str">
        <f>""</f>
        <v/>
      </c>
      <c r="E85" t="str">
        <f>""</f>
        <v/>
      </c>
      <c r="F85" t="str">
        <f>""</f>
        <v/>
      </c>
      <c r="G85" t="str">
        <f>""</f>
        <v/>
      </c>
      <c r="H85" t="str">
        <f>""</f>
        <v/>
      </c>
      <c r="I85" t="str">
        <f>""</f>
        <v/>
      </c>
      <c r="J85" t="str">
        <f>""</f>
        <v/>
      </c>
      <c r="K85" t="str">
        <f>""</f>
        <v/>
      </c>
      <c r="L85" t="str">
        <f>""</f>
        <v/>
      </c>
      <c r="M85" t="str">
        <f>""</f>
        <v/>
      </c>
      <c r="N85" t="str">
        <f>""</f>
        <v/>
      </c>
      <c r="O85" t="str">
        <f>""</f>
        <v/>
      </c>
      <c r="P85" t="str">
        <f>""</f>
        <v/>
      </c>
      <c r="Q85" t="str">
        <f>""</f>
        <v/>
      </c>
      <c r="R85" t="str">
        <f>""</f>
        <v/>
      </c>
      <c r="S85" t="str">
        <f>""</f>
        <v/>
      </c>
      <c r="T85" t="str">
        <f>""</f>
        <v/>
      </c>
      <c r="U85" t="str">
        <f>""</f>
        <v/>
      </c>
      <c r="V85" t="str">
        <f>""</f>
        <v/>
      </c>
      <c r="W85" t="str">
        <f>""</f>
        <v/>
      </c>
      <c r="X85" t="str">
        <f>""</f>
        <v/>
      </c>
      <c r="Y85" t="str">
        <f>""</f>
        <v/>
      </c>
      <c r="Z85" t="str">
        <f>"(0.0758)"</f>
        <v>(0.0758)</v>
      </c>
      <c r="AA85" t="str">
        <f>"(0.0598)"</f>
        <v>(0.0598)</v>
      </c>
      <c r="AB85" t="str">
        <f>"(0.0344)"</f>
        <v>(0.0344)</v>
      </c>
      <c r="AC85" t="str">
        <f>""</f>
        <v/>
      </c>
      <c r="AD85" t="str">
        <f>""</f>
        <v/>
      </c>
      <c r="AE85" t="str">
        <f>""</f>
        <v/>
      </c>
      <c r="AF85" t="str">
        <f>""</f>
        <v/>
      </c>
      <c r="AG85" t="str">
        <f>""</f>
        <v/>
      </c>
      <c r="AH85" t="str">
        <f>""</f>
        <v/>
      </c>
      <c r="AI85" t="str">
        <f>""</f>
        <v/>
      </c>
      <c r="AJ85" t="str">
        <f>""</f>
        <v/>
      </c>
      <c r="AK85" t="str">
        <f>""</f>
        <v/>
      </c>
      <c r="AL85" t="str">
        <f>""</f>
        <v/>
      </c>
      <c r="AM85" t="str">
        <f>""</f>
        <v/>
      </c>
      <c r="AN85" t="str">
        <f>""</f>
        <v/>
      </c>
      <c r="AO85" t="str">
        <f>""</f>
        <v/>
      </c>
      <c r="AP85" t="str">
        <f>""</f>
        <v/>
      </c>
      <c r="AQ85" t="str">
        <f>""</f>
        <v/>
      </c>
      <c r="AR85" t="str">
        <f>""</f>
        <v/>
      </c>
      <c r="AS85" t="str">
        <f>""</f>
        <v/>
      </c>
      <c r="AT85" t="str">
        <f>""</f>
        <v/>
      </c>
      <c r="AU85" t="str">
        <f>""</f>
        <v/>
      </c>
      <c r="AV85" t="str">
        <f>""</f>
        <v/>
      </c>
      <c r="AW85" t="str">
        <f>""</f>
        <v/>
      </c>
      <c r="AX85" t="str">
        <f>""</f>
        <v/>
      </c>
      <c r="AY85" t="str">
        <f>""</f>
        <v/>
      </c>
      <c r="AZ85" t="str">
        <f>""</f>
        <v/>
      </c>
      <c r="BA85" t="str">
        <f>""</f>
        <v/>
      </c>
      <c r="BB85" t="str">
        <f>""</f>
        <v/>
      </c>
      <c r="BC85" t="str">
        <f>""</f>
        <v/>
      </c>
      <c r="BD85" t="str">
        <f>""</f>
        <v/>
      </c>
      <c r="BE85" t="str">
        <f>""</f>
        <v/>
      </c>
      <c r="BF85" t="str">
        <f>""</f>
        <v/>
      </c>
      <c r="BG85" t="str">
        <f>""</f>
        <v/>
      </c>
      <c r="BH85" t="str">
        <f>""</f>
        <v/>
      </c>
      <c r="BI85" t="str">
        <f>""</f>
        <v/>
      </c>
      <c r="BJ85" t="str">
        <f>""</f>
        <v/>
      </c>
      <c r="BK85" t="str">
        <f>""</f>
        <v/>
      </c>
      <c r="BL85" t="str">
        <f>""</f>
        <v/>
      </c>
      <c r="BM85" t="str">
        <f>""</f>
        <v/>
      </c>
      <c r="BN85" t="str">
        <f>""</f>
        <v/>
      </c>
      <c r="BO85" t="str">
        <f>""</f>
        <v/>
      </c>
      <c r="BP85" t="str">
        <f>""</f>
        <v/>
      </c>
      <c r="BQ85" t="str">
        <f>""</f>
        <v/>
      </c>
      <c r="BR85" t="str">
        <f>""</f>
        <v/>
      </c>
      <c r="BS85" t="str">
        <f>"(0.0750)"</f>
        <v>(0.0750)</v>
      </c>
      <c r="BT85" t="str">
        <f>"(0.0590)"</f>
        <v>(0.0590)</v>
      </c>
      <c r="BU85" t="str">
        <f>"(0.0331)"</f>
        <v>(0.0331)</v>
      </c>
      <c r="BV85" t="str">
        <f>""</f>
        <v/>
      </c>
      <c r="BW85" t="str">
        <f>""</f>
        <v/>
      </c>
      <c r="BX85" t="str">
        <f>""</f>
        <v/>
      </c>
      <c r="BY85" t="str">
        <f>""</f>
        <v/>
      </c>
      <c r="BZ85" t="str">
        <f>""</f>
        <v/>
      </c>
      <c r="CA85" t="str">
        <f>""</f>
        <v/>
      </c>
      <c r="CB85" t="str">
        <f>""</f>
        <v/>
      </c>
      <c r="CC85" t="str">
        <f>""</f>
        <v/>
      </c>
      <c r="CD85" t="str">
        <f>""</f>
        <v/>
      </c>
      <c r="CE85" t="str">
        <f>""</f>
        <v/>
      </c>
      <c r="CF85" t="str">
        <f>""</f>
        <v/>
      </c>
      <c r="CG85" t="str">
        <f>""</f>
        <v/>
      </c>
      <c r="CH85" t="str">
        <f>""</f>
        <v/>
      </c>
      <c r="CI85" t="str">
        <f>""</f>
        <v/>
      </c>
      <c r="CJ85" t="str">
        <f>""</f>
        <v/>
      </c>
      <c r="CK85" t="str">
        <f>""</f>
        <v/>
      </c>
      <c r="CL85" t="str">
        <f>""</f>
        <v/>
      </c>
      <c r="CM85" t="str">
        <f>""</f>
        <v/>
      </c>
      <c r="CN85" t="str">
        <f>""</f>
        <v/>
      </c>
      <c r="CO85" t="str">
        <f>""</f>
        <v/>
      </c>
      <c r="CP85" t="str">
        <f>""</f>
        <v/>
      </c>
      <c r="CQ85" t="str">
        <f>""</f>
        <v/>
      </c>
      <c r="CR85" t="str">
        <f>""</f>
        <v/>
      </c>
      <c r="CS85" t="str">
        <f>""</f>
        <v/>
      </c>
      <c r="CT85" t="str">
        <f>""</f>
        <v/>
      </c>
      <c r="CU85" t="str">
        <f>""</f>
        <v/>
      </c>
      <c r="CV85" t="str">
        <f>""</f>
        <v/>
      </c>
      <c r="CW85" t="str">
        <f>""</f>
        <v/>
      </c>
      <c r="CX85" t="str">
        <f>""</f>
        <v/>
      </c>
      <c r="CY85" t="str">
        <f>""</f>
        <v/>
      </c>
      <c r="CZ85" t="str">
        <f>""</f>
        <v/>
      </c>
      <c r="DA85" t="str">
        <f>""</f>
        <v/>
      </c>
      <c r="DB85" t="str">
        <f>""</f>
        <v/>
      </c>
      <c r="DC85" t="str">
        <f>""</f>
        <v/>
      </c>
      <c r="DD85" t="str">
        <f>""</f>
        <v/>
      </c>
      <c r="DE85" t="str">
        <f>""</f>
        <v/>
      </c>
      <c r="DF85" t="str">
        <f>""</f>
        <v/>
      </c>
      <c r="DG85" t="str">
        <f>""</f>
        <v/>
      </c>
      <c r="DH85" t="str">
        <f>""</f>
        <v/>
      </c>
      <c r="DI85" t="str">
        <f>""</f>
        <v/>
      </c>
      <c r="DJ85" t="str">
        <f>""</f>
        <v/>
      </c>
      <c r="DK85" t="str">
        <f>""</f>
        <v/>
      </c>
      <c r="DL85" t="str">
        <f>"(0.0752)"</f>
        <v>(0.0752)</v>
      </c>
      <c r="DM85" t="str">
        <f>"(0.0559)"</f>
        <v>(0.0559)</v>
      </c>
      <c r="DN85" t="str">
        <f>"(0.0327)"</f>
        <v>(0.0327)</v>
      </c>
      <c r="DO85" t="str">
        <f>""</f>
        <v/>
      </c>
      <c r="DP85" t="str">
        <f>""</f>
        <v/>
      </c>
      <c r="DQ85" t="str">
        <f>""</f>
        <v/>
      </c>
      <c r="DR85" t="str">
        <f>""</f>
        <v/>
      </c>
      <c r="DS85" t="str">
        <f>""</f>
        <v/>
      </c>
      <c r="DT85" t="str">
        <f>""</f>
        <v/>
      </c>
      <c r="DU85" t="str">
        <f>""</f>
        <v/>
      </c>
      <c r="DV85" t="str">
        <f>""</f>
        <v/>
      </c>
      <c r="DW85" t="str">
        <f>""</f>
        <v/>
      </c>
      <c r="DX85" t="str">
        <f>""</f>
        <v/>
      </c>
      <c r="DY85" t="str">
        <f>""</f>
        <v/>
      </c>
      <c r="DZ85" t="str">
        <f>""</f>
        <v/>
      </c>
      <c r="EA85" t="str">
        <f>""</f>
        <v/>
      </c>
      <c r="EB85" t="str">
        <f>""</f>
        <v/>
      </c>
      <c r="EC85" t="str">
        <f>""</f>
        <v/>
      </c>
      <c r="ED85" t="str">
        <f>""</f>
        <v/>
      </c>
      <c r="EE85" t="str">
        <f>""</f>
        <v/>
      </c>
      <c r="EF85" t="str">
        <f>""</f>
        <v/>
      </c>
      <c r="EG85" t="str">
        <f>""</f>
        <v/>
      </c>
      <c r="EH85" t="str">
        <f>""</f>
        <v/>
      </c>
      <c r="EI85" t="str">
        <f>""</f>
        <v/>
      </c>
      <c r="EJ85" t="str">
        <f>""</f>
        <v/>
      </c>
      <c r="EK85" t="str">
        <f>""</f>
        <v/>
      </c>
      <c r="EL85" t="str">
        <f>""</f>
        <v/>
      </c>
      <c r="EM85" t="str">
        <f>""</f>
        <v/>
      </c>
      <c r="EN85" t="str">
        <f>""</f>
        <v/>
      </c>
      <c r="EO85" t="str">
        <f>""</f>
        <v/>
      </c>
      <c r="EP85" t="str">
        <f>""</f>
        <v/>
      </c>
      <c r="EQ85" t="str">
        <f>""</f>
        <v/>
      </c>
      <c r="ER85" t="str">
        <f>""</f>
        <v/>
      </c>
      <c r="ES85" t="str">
        <f>""</f>
        <v/>
      </c>
      <c r="ET85" t="str">
        <f>""</f>
        <v/>
      </c>
      <c r="EU85" t="str">
        <f>""</f>
        <v/>
      </c>
      <c r="EV85" t="str">
        <f>""</f>
        <v/>
      </c>
      <c r="EW85" t="str">
        <f>""</f>
        <v/>
      </c>
      <c r="EX85" t="str">
        <f>""</f>
        <v/>
      </c>
      <c r="EY85" t="str">
        <f>""</f>
        <v/>
      </c>
      <c r="EZ85" t="str">
        <f>""</f>
        <v/>
      </c>
      <c r="FA85" t="str">
        <f>""</f>
        <v/>
      </c>
      <c r="FB85" t="str">
        <f>""</f>
        <v/>
      </c>
      <c r="FC85" t="str">
        <f>""</f>
        <v/>
      </c>
      <c r="FD85" t="str">
        <f>""</f>
        <v/>
      </c>
      <c r="FE85" t="str">
        <f>"(0.0732)"</f>
        <v>(0.0732)</v>
      </c>
      <c r="FF85" t="str">
        <f>"(0.0603)"</f>
        <v>(0.0603)</v>
      </c>
      <c r="FG85" t="str">
        <f>"(0.0332)"</f>
        <v>(0.0332)</v>
      </c>
      <c r="FH85" t="str">
        <f>""</f>
        <v/>
      </c>
      <c r="FI85" t="str">
        <f>""</f>
        <v/>
      </c>
      <c r="FJ85" t="str">
        <f>""</f>
        <v/>
      </c>
      <c r="FK85" t="str">
        <f>""</f>
        <v/>
      </c>
      <c r="FL85" t="str">
        <f>""</f>
        <v/>
      </c>
      <c r="FM85" t="str">
        <f>""</f>
        <v/>
      </c>
      <c r="FN85" t="str">
        <f>""</f>
        <v/>
      </c>
      <c r="FO85" t="str">
        <f>""</f>
        <v/>
      </c>
      <c r="FP85" t="str">
        <f>""</f>
        <v/>
      </c>
      <c r="FQ85" t="str">
        <f>""</f>
        <v/>
      </c>
      <c r="FR85" t="str">
        <f>""</f>
        <v/>
      </c>
      <c r="FS85" t="str">
        <f>""</f>
        <v/>
      </c>
      <c r="FT85" t="str">
        <f>""</f>
        <v/>
      </c>
      <c r="FU85" t="str">
        <f>""</f>
        <v/>
      </c>
      <c r="FV85" t="str">
        <f>""</f>
        <v/>
      </c>
      <c r="FW85" t="str">
        <f>""</f>
        <v/>
      </c>
      <c r="FX85" t="str">
        <f>""</f>
        <v/>
      </c>
      <c r="FY85" t="str">
        <f>""</f>
        <v/>
      </c>
      <c r="FZ85" t="str">
        <f>""</f>
        <v/>
      </c>
      <c r="GA85" t="str">
        <f>""</f>
        <v/>
      </c>
      <c r="GB85" t="str">
        <f>""</f>
        <v/>
      </c>
      <c r="GC85" t="str">
        <f>""</f>
        <v/>
      </c>
      <c r="GD85" t="str">
        <f>""</f>
        <v/>
      </c>
      <c r="GE85" t="str">
        <f>""</f>
        <v/>
      </c>
      <c r="GF85" t="str">
        <f>""</f>
        <v/>
      </c>
      <c r="GG85" t="str">
        <f>""</f>
        <v/>
      </c>
      <c r="GH85" t="str">
        <f>""</f>
        <v/>
      </c>
      <c r="GI85" t="str">
        <f>""</f>
        <v/>
      </c>
      <c r="GJ85" t="str">
        <f>""</f>
        <v/>
      </c>
      <c r="GK85" t="str">
        <f>""</f>
        <v/>
      </c>
      <c r="GL85" t="str">
        <f>""</f>
        <v/>
      </c>
      <c r="GM85" t="str">
        <f>""</f>
        <v/>
      </c>
      <c r="GN85" t="str">
        <f>""</f>
        <v/>
      </c>
      <c r="GO85" t="str">
        <f>""</f>
        <v/>
      </c>
      <c r="GP85" t="str">
        <f>""</f>
        <v/>
      </c>
      <c r="GQ85" t="str">
        <f>""</f>
        <v/>
      </c>
      <c r="GR85" t="str">
        <f>""</f>
        <v/>
      </c>
      <c r="GS85" t="str">
        <f>""</f>
        <v/>
      </c>
      <c r="GT85" t="str">
        <f>""</f>
        <v/>
      </c>
      <c r="GU85" t="str">
        <f>""</f>
        <v/>
      </c>
      <c r="GV85" t="str">
        <f>""</f>
        <v/>
      </c>
      <c r="GW85" t="str">
        <f>""</f>
        <v/>
      </c>
      <c r="GX85" t="str">
        <f>"(0.0749)"</f>
        <v>(0.0749)</v>
      </c>
      <c r="GY85" t="str">
        <f>"(0.0617)"</f>
        <v>(0.0617)</v>
      </c>
      <c r="GZ85" t="str">
        <f>"(0.0340)"</f>
        <v>(0.0340)</v>
      </c>
      <c r="HA85" t="str">
        <f>""</f>
        <v/>
      </c>
      <c r="HB85" t="str">
        <f>""</f>
        <v/>
      </c>
      <c r="HC85" t="str">
        <f>""</f>
        <v/>
      </c>
      <c r="HD85" t="str">
        <f>""</f>
        <v/>
      </c>
      <c r="HE85" t="str">
        <f>""</f>
        <v/>
      </c>
      <c r="HF85" t="str">
        <f>""</f>
        <v/>
      </c>
      <c r="HG85" t="str">
        <f>""</f>
        <v/>
      </c>
      <c r="HH85" t="str">
        <f>""</f>
        <v/>
      </c>
      <c r="HI85" t="str">
        <f>""</f>
        <v/>
      </c>
      <c r="HJ85" t="str">
        <f>""</f>
        <v/>
      </c>
      <c r="HK85" t="str">
        <f>""</f>
        <v/>
      </c>
      <c r="HL85" t="str">
        <f>""</f>
        <v/>
      </c>
      <c r="HM85" t="str">
        <f>""</f>
        <v/>
      </c>
      <c r="HN85" t="str">
        <f>""</f>
        <v/>
      </c>
      <c r="HO85" t="str">
        <f>""</f>
        <v/>
      </c>
      <c r="HP85" t="str">
        <f>""</f>
        <v/>
      </c>
      <c r="HQ85" t="str">
        <f>""</f>
        <v/>
      </c>
      <c r="HR85" t="str">
        <f>""</f>
        <v/>
      </c>
      <c r="HS85" t="str">
        <f>""</f>
        <v/>
      </c>
      <c r="HT85" t="str">
        <f>""</f>
        <v/>
      </c>
      <c r="HU85" t="str">
        <f>""</f>
        <v/>
      </c>
      <c r="HV85" t="str">
        <f>""</f>
        <v/>
      </c>
      <c r="HW85" t="str">
        <f>""</f>
        <v/>
      </c>
      <c r="HX85" t="str">
        <f>""</f>
        <v/>
      </c>
      <c r="HY85" t="str">
        <f>""</f>
        <v/>
      </c>
      <c r="HZ85" t="str">
        <f>""</f>
        <v/>
      </c>
      <c r="IA85" t="str">
        <f>""</f>
        <v/>
      </c>
      <c r="IB85" t="str">
        <f>""</f>
        <v/>
      </c>
      <c r="IC85" t="str">
        <f>""</f>
        <v/>
      </c>
      <c r="ID85" t="str">
        <f>""</f>
        <v/>
      </c>
      <c r="IE85" t="str">
        <f>""</f>
        <v/>
      </c>
      <c r="IF85" t="str">
        <f>""</f>
        <v/>
      </c>
      <c r="IG85" t="str">
        <f>""</f>
        <v/>
      </c>
      <c r="IH85" t="str">
        <f>""</f>
        <v/>
      </c>
      <c r="II85" t="str">
        <f>""</f>
        <v/>
      </c>
      <c r="IJ85" t="str">
        <f>""</f>
        <v/>
      </c>
      <c r="IK85" t="str">
        <f>""</f>
        <v/>
      </c>
      <c r="IL85" t="str">
        <f>""</f>
        <v/>
      </c>
      <c r="IM85" t="str">
        <f>""</f>
        <v/>
      </c>
      <c r="IN85" t="str">
        <f>""</f>
        <v/>
      </c>
      <c r="IO85" t="str">
        <f>""</f>
        <v/>
      </c>
      <c r="IP85" t="str">
        <f>""</f>
        <v/>
      </c>
      <c r="IQ85" t="str">
        <f>"(0.0758)"</f>
        <v>(0.0758)</v>
      </c>
      <c r="IR85" t="str">
        <f>"(0.0619)"</f>
        <v>(0.0619)</v>
      </c>
      <c r="IS85" t="str">
        <f>"(0.0344)"</f>
        <v>(0.0344)</v>
      </c>
      <c r="IT85" t="str">
        <f>""</f>
        <v/>
      </c>
      <c r="IU85" t="str">
        <f>""</f>
        <v/>
      </c>
      <c r="IV85" t="str">
        <f>""</f>
        <v/>
      </c>
      <c r="IW85" t="str">
        <f>""</f>
        <v/>
      </c>
      <c r="IX85" t="str">
        <f>""</f>
        <v/>
      </c>
      <c r="IY85" t="str">
        <f>""</f>
        <v/>
      </c>
      <c r="IZ85" t="str">
        <f>""</f>
        <v/>
      </c>
      <c r="JA85" t="str">
        <f>""</f>
        <v/>
      </c>
      <c r="JB85" t="str">
        <f>""</f>
        <v/>
      </c>
      <c r="JC85" t="str">
        <f>""</f>
        <v/>
      </c>
      <c r="JD85" t="str">
        <f>""</f>
        <v/>
      </c>
      <c r="JE85" t="str">
        <f>""</f>
        <v/>
      </c>
      <c r="JF85" t="str">
        <f>""</f>
        <v/>
      </c>
      <c r="JG85" t="str">
        <f>""</f>
        <v/>
      </c>
      <c r="JH85" t="str">
        <f>""</f>
        <v/>
      </c>
      <c r="JI85" t="str">
        <f>""</f>
        <v/>
      </c>
      <c r="JJ85" t="str">
        <f>""</f>
        <v/>
      </c>
      <c r="JK85" t="str">
        <f>""</f>
        <v/>
      </c>
    </row>
    <row r="87" spans="1:271" x14ac:dyDescent="0.3">
      <c r="A87" t="str">
        <f>"c.zMETAB9#c.PM1"</f>
        <v>c.zMETAB9#c.PM1</v>
      </c>
      <c r="B87" t="str">
        <f>""</f>
        <v/>
      </c>
      <c r="C87" t="str">
        <f>""</f>
        <v/>
      </c>
      <c r="D87" t="str">
        <f>""</f>
        <v/>
      </c>
      <c r="E87" t="str">
        <f>""</f>
        <v/>
      </c>
      <c r="F87" t="str">
        <f>""</f>
        <v/>
      </c>
      <c r="G87" t="str">
        <f>""</f>
        <v/>
      </c>
      <c r="H87" t="str">
        <f>""</f>
        <v/>
      </c>
      <c r="I87" t="str">
        <f>""</f>
        <v/>
      </c>
      <c r="J87" t="str">
        <f>""</f>
        <v/>
      </c>
      <c r="K87" t="str">
        <f>""</f>
        <v/>
      </c>
      <c r="L87" t="str">
        <f>""</f>
        <v/>
      </c>
      <c r="M87" t="str">
        <f>""</f>
        <v/>
      </c>
      <c r="N87" t="str">
        <f>""</f>
        <v/>
      </c>
      <c r="O87" t="str">
        <f>""</f>
        <v/>
      </c>
      <c r="P87" t="str">
        <f>""</f>
        <v/>
      </c>
      <c r="Q87" t="str">
        <f>""</f>
        <v/>
      </c>
      <c r="R87" t="str">
        <f>""</f>
        <v/>
      </c>
      <c r="S87" t="str">
        <f>""</f>
        <v/>
      </c>
      <c r="T87" t="str">
        <f>""</f>
        <v/>
      </c>
      <c r="U87" t="str">
        <f>""</f>
        <v/>
      </c>
      <c r="V87" t="str">
        <f>""</f>
        <v/>
      </c>
      <c r="W87" t="str">
        <f>""</f>
        <v/>
      </c>
      <c r="X87" t="str">
        <f>""</f>
        <v/>
      </c>
      <c r="Y87" t="str">
        <f>""</f>
        <v/>
      </c>
      <c r="Z87" t="str">
        <f>"-0.140"</f>
        <v>-0.140</v>
      </c>
      <c r="AA87" t="str">
        <f>"0.118"</f>
        <v>0.118</v>
      </c>
      <c r="AB87" t="str">
        <f>"0.0317"</f>
        <v>0.0317</v>
      </c>
      <c r="AC87" t="str">
        <f>""</f>
        <v/>
      </c>
      <c r="AD87" t="str">
        <f>""</f>
        <v/>
      </c>
      <c r="AE87" t="str">
        <f>""</f>
        <v/>
      </c>
      <c r="AF87" t="str">
        <f>""</f>
        <v/>
      </c>
      <c r="AG87" t="str">
        <f>""</f>
        <v/>
      </c>
      <c r="AH87" t="str">
        <f>""</f>
        <v/>
      </c>
      <c r="AI87" t="str">
        <f>""</f>
        <v/>
      </c>
      <c r="AJ87" t="str">
        <f>""</f>
        <v/>
      </c>
      <c r="AK87" t="str">
        <f>""</f>
        <v/>
      </c>
      <c r="AL87" t="str">
        <f>""</f>
        <v/>
      </c>
      <c r="AM87" t="str">
        <f>""</f>
        <v/>
      </c>
      <c r="AN87" t="str">
        <f>""</f>
        <v/>
      </c>
      <c r="AO87" t="str">
        <f>""</f>
        <v/>
      </c>
      <c r="AP87" t="str">
        <f>""</f>
        <v/>
      </c>
      <c r="AQ87" t="str">
        <f>""</f>
        <v/>
      </c>
      <c r="AR87" t="str">
        <f>""</f>
        <v/>
      </c>
      <c r="AS87" t="str">
        <f>""</f>
        <v/>
      </c>
      <c r="AT87" t="str">
        <f>""</f>
        <v/>
      </c>
      <c r="AU87" t="str">
        <f>""</f>
        <v/>
      </c>
      <c r="AV87" t="str">
        <f>""</f>
        <v/>
      </c>
      <c r="AW87" t="str">
        <f>""</f>
        <v/>
      </c>
      <c r="AX87" t="str">
        <f>""</f>
        <v/>
      </c>
      <c r="AY87" t="str">
        <f>""</f>
        <v/>
      </c>
      <c r="AZ87" t="str">
        <f>""</f>
        <v/>
      </c>
      <c r="BA87" t="str">
        <f>""</f>
        <v/>
      </c>
      <c r="BB87" t="str">
        <f>""</f>
        <v/>
      </c>
      <c r="BC87" t="str">
        <f>""</f>
        <v/>
      </c>
      <c r="BD87" t="str">
        <f>""</f>
        <v/>
      </c>
      <c r="BE87" t="str">
        <f>""</f>
        <v/>
      </c>
      <c r="BF87" t="str">
        <f>""</f>
        <v/>
      </c>
      <c r="BG87" t="str">
        <f>""</f>
        <v/>
      </c>
      <c r="BH87" t="str">
        <f>""</f>
        <v/>
      </c>
      <c r="BI87" t="str">
        <f>""</f>
        <v/>
      </c>
      <c r="BJ87" t="str">
        <f>""</f>
        <v/>
      </c>
      <c r="BK87" t="str">
        <f>""</f>
        <v/>
      </c>
      <c r="BL87" t="str">
        <f>""</f>
        <v/>
      </c>
      <c r="BM87" t="str">
        <f>""</f>
        <v/>
      </c>
      <c r="BN87" t="str">
        <f>""</f>
        <v/>
      </c>
      <c r="BO87" t="str">
        <f>""</f>
        <v/>
      </c>
      <c r="BP87" t="str">
        <f>""</f>
        <v/>
      </c>
      <c r="BQ87" t="str">
        <f>""</f>
        <v/>
      </c>
      <c r="BR87" t="str">
        <f>""</f>
        <v/>
      </c>
      <c r="BS87" t="str">
        <f>""</f>
        <v/>
      </c>
      <c r="BT87" t="str">
        <f>""</f>
        <v/>
      </c>
      <c r="BU87" t="str">
        <f>""</f>
        <v/>
      </c>
      <c r="BV87" t="str">
        <f>""</f>
        <v/>
      </c>
      <c r="BW87" t="str">
        <f>""</f>
        <v/>
      </c>
      <c r="BX87" t="str">
        <f>""</f>
        <v/>
      </c>
      <c r="BY87" t="str">
        <f>""</f>
        <v/>
      </c>
      <c r="BZ87" t="str">
        <f>""</f>
        <v/>
      </c>
      <c r="CA87" t="str">
        <f>""</f>
        <v/>
      </c>
      <c r="CB87" t="str">
        <f>""</f>
        <v/>
      </c>
      <c r="CC87" t="str">
        <f>""</f>
        <v/>
      </c>
      <c r="CD87" t="str">
        <f>""</f>
        <v/>
      </c>
      <c r="CE87" t="str">
        <f>""</f>
        <v/>
      </c>
      <c r="CF87" t="str">
        <f>""</f>
        <v/>
      </c>
      <c r="CG87" t="str">
        <f>""</f>
        <v/>
      </c>
      <c r="CH87" t="str">
        <f>""</f>
        <v/>
      </c>
      <c r="CI87" t="str">
        <f>""</f>
        <v/>
      </c>
      <c r="CJ87" t="str">
        <f>""</f>
        <v/>
      </c>
      <c r="CK87" t="str">
        <f>""</f>
        <v/>
      </c>
      <c r="CL87" t="str">
        <f>""</f>
        <v/>
      </c>
      <c r="CM87" t="str">
        <f>""</f>
        <v/>
      </c>
      <c r="CN87" t="str">
        <f>""</f>
        <v/>
      </c>
      <c r="CO87" t="str">
        <f>""</f>
        <v/>
      </c>
      <c r="CP87" t="str">
        <f>""</f>
        <v/>
      </c>
      <c r="CQ87" t="str">
        <f>""</f>
        <v/>
      </c>
      <c r="CR87" t="str">
        <f>""</f>
        <v/>
      </c>
      <c r="CS87" t="str">
        <f>""</f>
        <v/>
      </c>
      <c r="CT87" t="str">
        <f>""</f>
        <v/>
      </c>
      <c r="CU87" t="str">
        <f>""</f>
        <v/>
      </c>
      <c r="CV87" t="str">
        <f>""</f>
        <v/>
      </c>
      <c r="CW87" t="str">
        <f>""</f>
        <v/>
      </c>
      <c r="CX87" t="str">
        <f>""</f>
        <v/>
      </c>
      <c r="CY87" t="str">
        <f>""</f>
        <v/>
      </c>
      <c r="CZ87" t="str">
        <f>""</f>
        <v/>
      </c>
      <c r="DA87" t="str">
        <f>""</f>
        <v/>
      </c>
      <c r="DB87" t="str">
        <f>""</f>
        <v/>
      </c>
      <c r="DC87" t="str">
        <f>""</f>
        <v/>
      </c>
      <c r="DD87" t="str">
        <f>""</f>
        <v/>
      </c>
      <c r="DE87" t="str">
        <f>""</f>
        <v/>
      </c>
      <c r="DF87" t="str">
        <f>""</f>
        <v/>
      </c>
      <c r="DG87" t="str">
        <f>""</f>
        <v/>
      </c>
      <c r="DH87" t="str">
        <f>""</f>
        <v/>
      </c>
      <c r="DI87" t="str">
        <f>""</f>
        <v/>
      </c>
      <c r="DJ87" t="str">
        <f>""</f>
        <v/>
      </c>
      <c r="DK87" t="str">
        <f>""</f>
        <v/>
      </c>
      <c r="DL87" t="str">
        <f>""</f>
        <v/>
      </c>
      <c r="DM87" t="str">
        <f>""</f>
        <v/>
      </c>
      <c r="DN87" t="str">
        <f>""</f>
        <v/>
      </c>
      <c r="DO87" t="str">
        <f>""</f>
        <v/>
      </c>
      <c r="DP87" t="str">
        <f>""</f>
        <v/>
      </c>
      <c r="DQ87" t="str">
        <f>""</f>
        <v/>
      </c>
      <c r="DR87" t="str">
        <f>""</f>
        <v/>
      </c>
      <c r="DS87" t="str">
        <f>""</f>
        <v/>
      </c>
      <c r="DT87" t="str">
        <f>""</f>
        <v/>
      </c>
      <c r="DU87" t="str">
        <f>""</f>
        <v/>
      </c>
      <c r="DV87" t="str">
        <f>""</f>
        <v/>
      </c>
      <c r="DW87" t="str">
        <f>""</f>
        <v/>
      </c>
      <c r="DX87" t="str">
        <f>""</f>
        <v/>
      </c>
      <c r="DY87" t="str">
        <f>""</f>
        <v/>
      </c>
      <c r="DZ87" t="str">
        <f>""</f>
        <v/>
      </c>
      <c r="EA87" t="str">
        <f>""</f>
        <v/>
      </c>
      <c r="EB87" t="str">
        <f>""</f>
        <v/>
      </c>
      <c r="EC87" t="str">
        <f>""</f>
        <v/>
      </c>
      <c r="ED87" t="str">
        <f>""</f>
        <v/>
      </c>
      <c r="EE87" t="str">
        <f>""</f>
        <v/>
      </c>
      <c r="EF87" t="str">
        <f>""</f>
        <v/>
      </c>
      <c r="EG87" t="str">
        <f>""</f>
        <v/>
      </c>
      <c r="EH87" t="str">
        <f>""</f>
        <v/>
      </c>
      <c r="EI87" t="str">
        <f>""</f>
        <v/>
      </c>
      <c r="EJ87" t="str">
        <f>""</f>
        <v/>
      </c>
      <c r="EK87" t="str">
        <f>""</f>
        <v/>
      </c>
      <c r="EL87" t="str">
        <f>""</f>
        <v/>
      </c>
      <c r="EM87" t="str">
        <f>""</f>
        <v/>
      </c>
      <c r="EN87" t="str">
        <f>""</f>
        <v/>
      </c>
      <c r="EO87" t="str">
        <f>""</f>
        <v/>
      </c>
      <c r="EP87" t="str">
        <f>""</f>
        <v/>
      </c>
      <c r="EQ87" t="str">
        <f>""</f>
        <v/>
      </c>
      <c r="ER87" t="str">
        <f>""</f>
        <v/>
      </c>
      <c r="ES87" t="str">
        <f>""</f>
        <v/>
      </c>
      <c r="ET87" t="str">
        <f>""</f>
        <v/>
      </c>
      <c r="EU87" t="str">
        <f>""</f>
        <v/>
      </c>
      <c r="EV87" t="str">
        <f>""</f>
        <v/>
      </c>
      <c r="EW87" t="str">
        <f>""</f>
        <v/>
      </c>
      <c r="EX87" t="str">
        <f>""</f>
        <v/>
      </c>
      <c r="EY87" t="str">
        <f>""</f>
        <v/>
      </c>
      <c r="EZ87" t="str">
        <f>""</f>
        <v/>
      </c>
      <c r="FA87" t="str">
        <f>""</f>
        <v/>
      </c>
      <c r="FB87" t="str">
        <f>""</f>
        <v/>
      </c>
      <c r="FC87" t="str">
        <f>""</f>
        <v/>
      </c>
      <c r="FD87" t="str">
        <f>""</f>
        <v/>
      </c>
      <c r="FE87" t="str">
        <f>""</f>
        <v/>
      </c>
      <c r="FF87" t="str">
        <f>""</f>
        <v/>
      </c>
      <c r="FG87" t="str">
        <f>""</f>
        <v/>
      </c>
      <c r="FH87" t="str">
        <f>""</f>
        <v/>
      </c>
      <c r="FI87" t="str">
        <f>""</f>
        <v/>
      </c>
      <c r="FJ87" t="str">
        <f>""</f>
        <v/>
      </c>
      <c r="FK87" t="str">
        <f>""</f>
        <v/>
      </c>
      <c r="FL87" t="str">
        <f>""</f>
        <v/>
      </c>
      <c r="FM87" t="str">
        <f>""</f>
        <v/>
      </c>
      <c r="FN87" t="str">
        <f>""</f>
        <v/>
      </c>
      <c r="FO87" t="str">
        <f>""</f>
        <v/>
      </c>
      <c r="FP87" t="str">
        <f>""</f>
        <v/>
      </c>
      <c r="FQ87" t="str">
        <f>""</f>
        <v/>
      </c>
      <c r="FR87" t="str">
        <f>""</f>
        <v/>
      </c>
      <c r="FS87" t="str">
        <f>""</f>
        <v/>
      </c>
      <c r="FT87" t="str">
        <f>""</f>
        <v/>
      </c>
      <c r="FU87" t="str">
        <f>""</f>
        <v/>
      </c>
      <c r="FV87" t="str">
        <f>""</f>
        <v/>
      </c>
      <c r="FW87" t="str">
        <f>""</f>
        <v/>
      </c>
      <c r="FX87" t="str">
        <f>""</f>
        <v/>
      </c>
      <c r="FY87" t="str">
        <f>""</f>
        <v/>
      </c>
      <c r="FZ87" t="str">
        <f>""</f>
        <v/>
      </c>
      <c r="GA87" t="str">
        <f>""</f>
        <v/>
      </c>
      <c r="GB87" t="str">
        <f>""</f>
        <v/>
      </c>
      <c r="GC87" t="str">
        <f>""</f>
        <v/>
      </c>
      <c r="GD87" t="str">
        <f>""</f>
        <v/>
      </c>
      <c r="GE87" t="str">
        <f>""</f>
        <v/>
      </c>
      <c r="GF87" t="str">
        <f>""</f>
        <v/>
      </c>
      <c r="GG87" t="str">
        <f>""</f>
        <v/>
      </c>
      <c r="GH87" t="str">
        <f>""</f>
        <v/>
      </c>
      <c r="GI87" t="str">
        <f>""</f>
        <v/>
      </c>
      <c r="GJ87" t="str">
        <f>""</f>
        <v/>
      </c>
      <c r="GK87" t="str">
        <f>""</f>
        <v/>
      </c>
      <c r="GL87" t="str">
        <f>""</f>
        <v/>
      </c>
      <c r="GM87" t="str">
        <f>""</f>
        <v/>
      </c>
      <c r="GN87" t="str">
        <f>""</f>
        <v/>
      </c>
      <c r="GO87" t="str">
        <f>""</f>
        <v/>
      </c>
      <c r="GP87" t="str">
        <f>""</f>
        <v/>
      </c>
      <c r="GQ87" t="str">
        <f>""</f>
        <v/>
      </c>
      <c r="GR87" t="str">
        <f>""</f>
        <v/>
      </c>
      <c r="GS87" t="str">
        <f>""</f>
        <v/>
      </c>
      <c r="GT87" t="str">
        <f>""</f>
        <v/>
      </c>
      <c r="GU87" t="str">
        <f>""</f>
        <v/>
      </c>
      <c r="GV87" t="str">
        <f>""</f>
        <v/>
      </c>
      <c r="GW87" t="str">
        <f>""</f>
        <v/>
      </c>
      <c r="GX87" t="str">
        <f>""</f>
        <v/>
      </c>
      <c r="GY87" t="str">
        <f>""</f>
        <v/>
      </c>
      <c r="GZ87" t="str">
        <f>""</f>
        <v/>
      </c>
      <c r="HA87" t="str">
        <f>""</f>
        <v/>
      </c>
      <c r="HB87" t="str">
        <f>""</f>
        <v/>
      </c>
      <c r="HC87" t="str">
        <f>""</f>
        <v/>
      </c>
      <c r="HD87" t="str">
        <f>""</f>
        <v/>
      </c>
      <c r="HE87" t="str">
        <f>""</f>
        <v/>
      </c>
      <c r="HF87" t="str">
        <f>""</f>
        <v/>
      </c>
      <c r="HG87" t="str">
        <f>""</f>
        <v/>
      </c>
      <c r="HH87" t="str">
        <f>""</f>
        <v/>
      </c>
      <c r="HI87" t="str">
        <f>""</f>
        <v/>
      </c>
      <c r="HJ87" t="str">
        <f>""</f>
        <v/>
      </c>
      <c r="HK87" t="str">
        <f>""</f>
        <v/>
      </c>
      <c r="HL87" t="str">
        <f>""</f>
        <v/>
      </c>
      <c r="HM87" t="str">
        <f>""</f>
        <v/>
      </c>
      <c r="HN87" t="str">
        <f>""</f>
        <v/>
      </c>
      <c r="HO87" t="str">
        <f>""</f>
        <v/>
      </c>
      <c r="HP87" t="str">
        <f>""</f>
        <v/>
      </c>
      <c r="HQ87" t="str">
        <f>""</f>
        <v/>
      </c>
      <c r="HR87" t="str">
        <f>""</f>
        <v/>
      </c>
      <c r="HS87" t="str">
        <f>""</f>
        <v/>
      </c>
      <c r="HT87" t="str">
        <f>""</f>
        <v/>
      </c>
      <c r="HU87" t="str">
        <f>""</f>
        <v/>
      </c>
      <c r="HV87" t="str">
        <f>""</f>
        <v/>
      </c>
      <c r="HW87" t="str">
        <f>""</f>
        <v/>
      </c>
      <c r="HX87" t="str">
        <f>""</f>
        <v/>
      </c>
      <c r="HY87" t="str">
        <f>""</f>
        <v/>
      </c>
      <c r="HZ87" t="str">
        <f>""</f>
        <v/>
      </c>
      <c r="IA87" t="str">
        <f>""</f>
        <v/>
      </c>
      <c r="IB87" t="str">
        <f>""</f>
        <v/>
      </c>
      <c r="IC87" t="str">
        <f>""</f>
        <v/>
      </c>
      <c r="ID87" t="str">
        <f>""</f>
        <v/>
      </c>
      <c r="IE87" t="str">
        <f>""</f>
        <v/>
      </c>
      <c r="IF87" t="str">
        <f>""</f>
        <v/>
      </c>
      <c r="IG87" t="str">
        <f>""</f>
        <v/>
      </c>
      <c r="IH87" t="str">
        <f>""</f>
        <v/>
      </c>
      <c r="II87" t="str">
        <f>""</f>
        <v/>
      </c>
      <c r="IJ87" t="str">
        <f>""</f>
        <v/>
      </c>
      <c r="IK87" t="str">
        <f>""</f>
        <v/>
      </c>
      <c r="IL87" t="str">
        <f>""</f>
        <v/>
      </c>
      <c r="IM87" t="str">
        <f>""</f>
        <v/>
      </c>
      <c r="IN87" t="str">
        <f>""</f>
        <v/>
      </c>
      <c r="IO87" t="str">
        <f>""</f>
        <v/>
      </c>
      <c r="IP87" t="str">
        <f>""</f>
        <v/>
      </c>
      <c r="IQ87" t="str">
        <f>""</f>
        <v/>
      </c>
      <c r="IR87" t="str">
        <f>""</f>
        <v/>
      </c>
      <c r="IS87" t="str">
        <f>""</f>
        <v/>
      </c>
      <c r="IT87" t="str">
        <f>""</f>
        <v/>
      </c>
      <c r="IU87" t="str">
        <f>""</f>
        <v/>
      </c>
      <c r="IV87" t="str">
        <f>""</f>
        <v/>
      </c>
      <c r="IW87" t="str">
        <f>""</f>
        <v/>
      </c>
      <c r="IX87" t="str">
        <f>""</f>
        <v/>
      </c>
      <c r="IY87" t="str">
        <f>""</f>
        <v/>
      </c>
      <c r="IZ87" t="str">
        <f>""</f>
        <v/>
      </c>
      <c r="JA87" t="str">
        <f>""</f>
        <v/>
      </c>
      <c r="JB87" t="str">
        <f>""</f>
        <v/>
      </c>
      <c r="JC87" t="str">
        <f>""</f>
        <v/>
      </c>
      <c r="JD87" t="str">
        <f>""</f>
        <v/>
      </c>
      <c r="JE87" t="str">
        <f>""</f>
        <v/>
      </c>
      <c r="JF87" t="str">
        <f>""</f>
        <v/>
      </c>
      <c r="JG87" t="str">
        <f>""</f>
        <v/>
      </c>
      <c r="JH87" t="str">
        <f>""</f>
        <v/>
      </c>
      <c r="JI87" t="str">
        <f>""</f>
        <v/>
      </c>
      <c r="JJ87" t="str">
        <f>""</f>
        <v/>
      </c>
      <c r="JK87" t="str">
        <f>""</f>
        <v/>
      </c>
    </row>
    <row r="88" spans="1:271" x14ac:dyDescent="0.3">
      <c r="A88" t="str">
        <f>""</f>
        <v/>
      </c>
      <c r="B88" t="str">
        <f>""</f>
        <v/>
      </c>
      <c r="C88" t="str">
        <f>""</f>
        <v/>
      </c>
      <c r="D88" t="str">
        <f>""</f>
        <v/>
      </c>
      <c r="E88" t="str">
        <f>""</f>
        <v/>
      </c>
      <c r="F88" t="str">
        <f>""</f>
        <v/>
      </c>
      <c r="G88" t="str">
        <f>""</f>
        <v/>
      </c>
      <c r="H88" t="str">
        <f>""</f>
        <v/>
      </c>
      <c r="I88" t="str">
        <f>""</f>
        <v/>
      </c>
      <c r="J88" t="str">
        <f>""</f>
        <v/>
      </c>
      <c r="K88" t="str">
        <f>""</f>
        <v/>
      </c>
      <c r="L88" t="str">
        <f>""</f>
        <v/>
      </c>
      <c r="M88" t="str">
        <f>""</f>
        <v/>
      </c>
      <c r="N88" t="str">
        <f>""</f>
        <v/>
      </c>
      <c r="O88" t="str">
        <f>""</f>
        <v/>
      </c>
      <c r="P88" t="str">
        <f>""</f>
        <v/>
      </c>
      <c r="Q88" t="str">
        <f>""</f>
        <v/>
      </c>
      <c r="R88" t="str">
        <f>""</f>
        <v/>
      </c>
      <c r="S88" t="str">
        <f>""</f>
        <v/>
      </c>
      <c r="T88" t="str">
        <f>""</f>
        <v/>
      </c>
      <c r="U88" t="str">
        <f>""</f>
        <v/>
      </c>
      <c r="V88" t="str">
        <f>""</f>
        <v/>
      </c>
      <c r="W88" t="str">
        <f>""</f>
        <v/>
      </c>
      <c r="X88" t="str">
        <f>""</f>
        <v/>
      </c>
      <c r="Y88" t="str">
        <f>""</f>
        <v/>
      </c>
      <c r="Z88" t="str">
        <f>"(0.105)"</f>
        <v>(0.105)</v>
      </c>
      <c r="AA88" t="str">
        <f>"(0.0824)"</f>
        <v>(0.0824)</v>
      </c>
      <c r="AB88" t="str">
        <f>"(0.0457)"</f>
        <v>(0.0457)</v>
      </c>
      <c r="AC88" t="str">
        <f>""</f>
        <v/>
      </c>
      <c r="AD88" t="str">
        <f>""</f>
        <v/>
      </c>
      <c r="AE88" t="str">
        <f>""</f>
        <v/>
      </c>
      <c r="AF88" t="str">
        <f>""</f>
        <v/>
      </c>
      <c r="AG88" t="str">
        <f>""</f>
        <v/>
      </c>
      <c r="AH88" t="str">
        <f>""</f>
        <v/>
      </c>
      <c r="AI88" t="str">
        <f>""</f>
        <v/>
      </c>
      <c r="AJ88" t="str">
        <f>""</f>
        <v/>
      </c>
      <c r="AK88" t="str">
        <f>""</f>
        <v/>
      </c>
      <c r="AL88" t="str">
        <f>""</f>
        <v/>
      </c>
      <c r="AM88" t="str">
        <f>""</f>
        <v/>
      </c>
      <c r="AN88" t="str">
        <f>""</f>
        <v/>
      </c>
      <c r="AO88" t="str">
        <f>""</f>
        <v/>
      </c>
      <c r="AP88" t="str">
        <f>""</f>
        <v/>
      </c>
      <c r="AQ88" t="str">
        <f>""</f>
        <v/>
      </c>
      <c r="AR88" t="str">
        <f>""</f>
        <v/>
      </c>
      <c r="AS88" t="str">
        <f>""</f>
        <v/>
      </c>
      <c r="AT88" t="str">
        <f>""</f>
        <v/>
      </c>
      <c r="AU88" t="str">
        <f>""</f>
        <v/>
      </c>
      <c r="AV88" t="str">
        <f>""</f>
        <v/>
      </c>
      <c r="AW88" t="str">
        <f>""</f>
        <v/>
      </c>
      <c r="AX88" t="str">
        <f>""</f>
        <v/>
      </c>
      <c r="AY88" t="str">
        <f>""</f>
        <v/>
      </c>
      <c r="AZ88" t="str">
        <f>""</f>
        <v/>
      </c>
      <c r="BA88" t="str">
        <f>""</f>
        <v/>
      </c>
      <c r="BB88" t="str">
        <f>""</f>
        <v/>
      </c>
      <c r="BC88" t="str">
        <f>""</f>
        <v/>
      </c>
      <c r="BD88" t="str">
        <f>""</f>
        <v/>
      </c>
      <c r="BE88" t="str">
        <f>""</f>
        <v/>
      </c>
      <c r="BF88" t="str">
        <f>""</f>
        <v/>
      </c>
      <c r="BG88" t="str">
        <f>""</f>
        <v/>
      </c>
      <c r="BH88" t="str">
        <f>""</f>
        <v/>
      </c>
      <c r="BI88" t="str">
        <f>""</f>
        <v/>
      </c>
      <c r="BJ88" t="str">
        <f>""</f>
        <v/>
      </c>
      <c r="BK88" t="str">
        <f>""</f>
        <v/>
      </c>
      <c r="BL88" t="str">
        <f>""</f>
        <v/>
      </c>
      <c r="BM88" t="str">
        <f>""</f>
        <v/>
      </c>
      <c r="BN88" t="str">
        <f>""</f>
        <v/>
      </c>
      <c r="BO88" t="str">
        <f>""</f>
        <v/>
      </c>
      <c r="BP88" t="str">
        <f>""</f>
        <v/>
      </c>
      <c r="BQ88" t="str">
        <f>""</f>
        <v/>
      </c>
      <c r="BR88" t="str">
        <f>""</f>
        <v/>
      </c>
      <c r="BS88" t="str">
        <f>""</f>
        <v/>
      </c>
      <c r="BT88" t="str">
        <f>""</f>
        <v/>
      </c>
      <c r="BU88" t="str">
        <f>""</f>
        <v/>
      </c>
      <c r="BV88" t="str">
        <f>""</f>
        <v/>
      </c>
      <c r="BW88" t="str">
        <f>""</f>
        <v/>
      </c>
      <c r="BX88" t="str">
        <f>""</f>
        <v/>
      </c>
      <c r="BY88" t="str">
        <f>""</f>
        <v/>
      </c>
      <c r="BZ88" t="str">
        <f>""</f>
        <v/>
      </c>
      <c r="CA88" t="str">
        <f>""</f>
        <v/>
      </c>
      <c r="CB88" t="str">
        <f>""</f>
        <v/>
      </c>
      <c r="CC88" t="str">
        <f>""</f>
        <v/>
      </c>
      <c r="CD88" t="str">
        <f>""</f>
        <v/>
      </c>
      <c r="CE88" t="str">
        <f>""</f>
        <v/>
      </c>
      <c r="CF88" t="str">
        <f>""</f>
        <v/>
      </c>
      <c r="CG88" t="str">
        <f>""</f>
        <v/>
      </c>
      <c r="CH88" t="str">
        <f>""</f>
        <v/>
      </c>
      <c r="CI88" t="str">
        <f>""</f>
        <v/>
      </c>
      <c r="CJ88" t="str">
        <f>""</f>
        <v/>
      </c>
      <c r="CK88" t="str">
        <f>""</f>
        <v/>
      </c>
      <c r="CL88" t="str">
        <f>""</f>
        <v/>
      </c>
      <c r="CM88" t="str">
        <f>""</f>
        <v/>
      </c>
      <c r="CN88" t="str">
        <f>""</f>
        <v/>
      </c>
      <c r="CO88" t="str">
        <f>""</f>
        <v/>
      </c>
      <c r="CP88" t="str">
        <f>""</f>
        <v/>
      </c>
      <c r="CQ88" t="str">
        <f>""</f>
        <v/>
      </c>
      <c r="CR88" t="str">
        <f>""</f>
        <v/>
      </c>
      <c r="CS88" t="str">
        <f>""</f>
        <v/>
      </c>
      <c r="CT88" t="str">
        <f>""</f>
        <v/>
      </c>
      <c r="CU88" t="str">
        <f>""</f>
        <v/>
      </c>
      <c r="CV88" t="str">
        <f>""</f>
        <v/>
      </c>
      <c r="CW88" t="str">
        <f>""</f>
        <v/>
      </c>
      <c r="CX88" t="str">
        <f>""</f>
        <v/>
      </c>
      <c r="CY88" t="str">
        <f>""</f>
        <v/>
      </c>
      <c r="CZ88" t="str">
        <f>""</f>
        <v/>
      </c>
      <c r="DA88" t="str">
        <f>""</f>
        <v/>
      </c>
      <c r="DB88" t="str">
        <f>""</f>
        <v/>
      </c>
      <c r="DC88" t="str">
        <f>""</f>
        <v/>
      </c>
      <c r="DD88" t="str">
        <f>""</f>
        <v/>
      </c>
      <c r="DE88" t="str">
        <f>""</f>
        <v/>
      </c>
      <c r="DF88" t="str">
        <f>""</f>
        <v/>
      </c>
      <c r="DG88" t="str">
        <f>""</f>
        <v/>
      </c>
      <c r="DH88" t="str">
        <f>""</f>
        <v/>
      </c>
      <c r="DI88" t="str">
        <f>""</f>
        <v/>
      </c>
      <c r="DJ88" t="str">
        <f>""</f>
        <v/>
      </c>
      <c r="DK88" t="str">
        <f>""</f>
        <v/>
      </c>
      <c r="DL88" t="str">
        <f>""</f>
        <v/>
      </c>
      <c r="DM88" t="str">
        <f>""</f>
        <v/>
      </c>
      <c r="DN88" t="str">
        <f>""</f>
        <v/>
      </c>
      <c r="DO88" t="str">
        <f>""</f>
        <v/>
      </c>
      <c r="DP88" t="str">
        <f>""</f>
        <v/>
      </c>
      <c r="DQ88" t="str">
        <f>""</f>
        <v/>
      </c>
      <c r="DR88" t="str">
        <f>""</f>
        <v/>
      </c>
      <c r="DS88" t="str">
        <f>""</f>
        <v/>
      </c>
      <c r="DT88" t="str">
        <f>""</f>
        <v/>
      </c>
      <c r="DU88" t="str">
        <f>""</f>
        <v/>
      </c>
      <c r="DV88" t="str">
        <f>""</f>
        <v/>
      </c>
      <c r="DW88" t="str">
        <f>""</f>
        <v/>
      </c>
      <c r="DX88" t="str">
        <f>""</f>
        <v/>
      </c>
      <c r="DY88" t="str">
        <f>""</f>
        <v/>
      </c>
      <c r="DZ88" t="str">
        <f>""</f>
        <v/>
      </c>
      <c r="EA88" t="str">
        <f>""</f>
        <v/>
      </c>
      <c r="EB88" t="str">
        <f>""</f>
        <v/>
      </c>
      <c r="EC88" t="str">
        <f>""</f>
        <v/>
      </c>
      <c r="ED88" t="str">
        <f>""</f>
        <v/>
      </c>
      <c r="EE88" t="str">
        <f>""</f>
        <v/>
      </c>
      <c r="EF88" t="str">
        <f>""</f>
        <v/>
      </c>
      <c r="EG88" t="str">
        <f>""</f>
        <v/>
      </c>
      <c r="EH88" t="str">
        <f>""</f>
        <v/>
      </c>
      <c r="EI88" t="str">
        <f>""</f>
        <v/>
      </c>
      <c r="EJ88" t="str">
        <f>""</f>
        <v/>
      </c>
      <c r="EK88" t="str">
        <f>""</f>
        <v/>
      </c>
      <c r="EL88" t="str">
        <f>""</f>
        <v/>
      </c>
      <c r="EM88" t="str">
        <f>""</f>
        <v/>
      </c>
      <c r="EN88" t="str">
        <f>""</f>
        <v/>
      </c>
      <c r="EO88" t="str">
        <f>""</f>
        <v/>
      </c>
      <c r="EP88" t="str">
        <f>""</f>
        <v/>
      </c>
      <c r="EQ88" t="str">
        <f>""</f>
        <v/>
      </c>
      <c r="ER88" t="str">
        <f>""</f>
        <v/>
      </c>
      <c r="ES88" t="str">
        <f>""</f>
        <v/>
      </c>
      <c r="ET88" t="str">
        <f>""</f>
        <v/>
      </c>
      <c r="EU88" t="str">
        <f>""</f>
        <v/>
      </c>
      <c r="EV88" t="str">
        <f>""</f>
        <v/>
      </c>
      <c r="EW88" t="str">
        <f>""</f>
        <v/>
      </c>
      <c r="EX88" t="str">
        <f>""</f>
        <v/>
      </c>
      <c r="EY88" t="str">
        <f>""</f>
        <v/>
      </c>
      <c r="EZ88" t="str">
        <f>""</f>
        <v/>
      </c>
      <c r="FA88" t="str">
        <f>""</f>
        <v/>
      </c>
      <c r="FB88" t="str">
        <f>""</f>
        <v/>
      </c>
      <c r="FC88" t="str">
        <f>""</f>
        <v/>
      </c>
      <c r="FD88" t="str">
        <f>""</f>
        <v/>
      </c>
      <c r="FE88" t="str">
        <f>""</f>
        <v/>
      </c>
      <c r="FF88" t="str">
        <f>""</f>
        <v/>
      </c>
      <c r="FG88" t="str">
        <f>""</f>
        <v/>
      </c>
      <c r="FH88" t="str">
        <f>""</f>
        <v/>
      </c>
      <c r="FI88" t="str">
        <f>""</f>
        <v/>
      </c>
      <c r="FJ88" t="str">
        <f>""</f>
        <v/>
      </c>
      <c r="FK88" t="str">
        <f>""</f>
        <v/>
      </c>
      <c r="FL88" t="str">
        <f>""</f>
        <v/>
      </c>
      <c r="FM88" t="str">
        <f>""</f>
        <v/>
      </c>
      <c r="FN88" t="str">
        <f>""</f>
        <v/>
      </c>
      <c r="FO88" t="str">
        <f>""</f>
        <v/>
      </c>
      <c r="FP88" t="str">
        <f>""</f>
        <v/>
      </c>
      <c r="FQ88" t="str">
        <f>""</f>
        <v/>
      </c>
      <c r="FR88" t="str">
        <f>""</f>
        <v/>
      </c>
      <c r="FS88" t="str">
        <f>""</f>
        <v/>
      </c>
      <c r="FT88" t="str">
        <f>""</f>
        <v/>
      </c>
      <c r="FU88" t="str">
        <f>""</f>
        <v/>
      </c>
      <c r="FV88" t="str">
        <f>""</f>
        <v/>
      </c>
      <c r="FW88" t="str">
        <f>""</f>
        <v/>
      </c>
      <c r="FX88" t="str">
        <f>""</f>
        <v/>
      </c>
      <c r="FY88" t="str">
        <f>""</f>
        <v/>
      </c>
      <c r="FZ88" t="str">
        <f>""</f>
        <v/>
      </c>
      <c r="GA88" t="str">
        <f>""</f>
        <v/>
      </c>
      <c r="GB88" t="str">
        <f>""</f>
        <v/>
      </c>
      <c r="GC88" t="str">
        <f>""</f>
        <v/>
      </c>
      <c r="GD88" t="str">
        <f>""</f>
        <v/>
      </c>
      <c r="GE88" t="str">
        <f>""</f>
        <v/>
      </c>
      <c r="GF88" t="str">
        <f>""</f>
        <v/>
      </c>
      <c r="GG88" t="str">
        <f>""</f>
        <v/>
      </c>
      <c r="GH88" t="str">
        <f>""</f>
        <v/>
      </c>
      <c r="GI88" t="str">
        <f>""</f>
        <v/>
      </c>
      <c r="GJ88" t="str">
        <f>""</f>
        <v/>
      </c>
      <c r="GK88" t="str">
        <f>""</f>
        <v/>
      </c>
      <c r="GL88" t="str">
        <f>""</f>
        <v/>
      </c>
      <c r="GM88" t="str">
        <f>""</f>
        <v/>
      </c>
      <c r="GN88" t="str">
        <f>""</f>
        <v/>
      </c>
      <c r="GO88" t="str">
        <f>""</f>
        <v/>
      </c>
      <c r="GP88" t="str">
        <f>""</f>
        <v/>
      </c>
      <c r="GQ88" t="str">
        <f>""</f>
        <v/>
      </c>
      <c r="GR88" t="str">
        <f>""</f>
        <v/>
      </c>
      <c r="GS88" t="str">
        <f>""</f>
        <v/>
      </c>
      <c r="GT88" t="str">
        <f>""</f>
        <v/>
      </c>
      <c r="GU88" t="str">
        <f>""</f>
        <v/>
      </c>
      <c r="GV88" t="str">
        <f>""</f>
        <v/>
      </c>
      <c r="GW88" t="str">
        <f>""</f>
        <v/>
      </c>
      <c r="GX88" t="str">
        <f>""</f>
        <v/>
      </c>
      <c r="GY88" t="str">
        <f>""</f>
        <v/>
      </c>
      <c r="GZ88" t="str">
        <f>""</f>
        <v/>
      </c>
      <c r="HA88" t="str">
        <f>""</f>
        <v/>
      </c>
      <c r="HB88" t="str">
        <f>""</f>
        <v/>
      </c>
      <c r="HC88" t="str">
        <f>""</f>
        <v/>
      </c>
      <c r="HD88" t="str">
        <f>""</f>
        <v/>
      </c>
      <c r="HE88" t="str">
        <f>""</f>
        <v/>
      </c>
      <c r="HF88" t="str">
        <f>""</f>
        <v/>
      </c>
      <c r="HG88" t="str">
        <f>""</f>
        <v/>
      </c>
      <c r="HH88" t="str">
        <f>""</f>
        <v/>
      </c>
      <c r="HI88" t="str">
        <f>""</f>
        <v/>
      </c>
      <c r="HJ88" t="str">
        <f>""</f>
        <v/>
      </c>
      <c r="HK88" t="str">
        <f>""</f>
        <v/>
      </c>
      <c r="HL88" t="str">
        <f>""</f>
        <v/>
      </c>
      <c r="HM88" t="str">
        <f>""</f>
        <v/>
      </c>
      <c r="HN88" t="str">
        <f>""</f>
        <v/>
      </c>
      <c r="HO88" t="str">
        <f>""</f>
        <v/>
      </c>
      <c r="HP88" t="str">
        <f>""</f>
        <v/>
      </c>
      <c r="HQ88" t="str">
        <f>""</f>
        <v/>
      </c>
      <c r="HR88" t="str">
        <f>""</f>
        <v/>
      </c>
      <c r="HS88" t="str">
        <f>""</f>
        <v/>
      </c>
      <c r="HT88" t="str">
        <f>""</f>
        <v/>
      </c>
      <c r="HU88" t="str">
        <f>""</f>
        <v/>
      </c>
      <c r="HV88" t="str">
        <f>""</f>
        <v/>
      </c>
      <c r="HW88" t="str">
        <f>""</f>
        <v/>
      </c>
      <c r="HX88" t="str">
        <f>""</f>
        <v/>
      </c>
      <c r="HY88" t="str">
        <f>""</f>
        <v/>
      </c>
      <c r="HZ88" t="str">
        <f>""</f>
        <v/>
      </c>
      <c r="IA88" t="str">
        <f>""</f>
        <v/>
      </c>
      <c r="IB88" t="str">
        <f>""</f>
        <v/>
      </c>
      <c r="IC88" t="str">
        <f>""</f>
        <v/>
      </c>
      <c r="ID88" t="str">
        <f>""</f>
        <v/>
      </c>
      <c r="IE88" t="str">
        <f>""</f>
        <v/>
      </c>
      <c r="IF88" t="str">
        <f>""</f>
        <v/>
      </c>
      <c r="IG88" t="str">
        <f>""</f>
        <v/>
      </c>
      <c r="IH88" t="str">
        <f>""</f>
        <v/>
      </c>
      <c r="II88" t="str">
        <f>""</f>
        <v/>
      </c>
      <c r="IJ88" t="str">
        <f>""</f>
        <v/>
      </c>
      <c r="IK88" t="str">
        <f>""</f>
        <v/>
      </c>
      <c r="IL88" t="str">
        <f>""</f>
        <v/>
      </c>
      <c r="IM88" t="str">
        <f>""</f>
        <v/>
      </c>
      <c r="IN88" t="str">
        <f>""</f>
        <v/>
      </c>
      <c r="IO88" t="str">
        <f>""</f>
        <v/>
      </c>
      <c r="IP88" t="str">
        <f>""</f>
        <v/>
      </c>
      <c r="IQ88" t="str">
        <f>""</f>
        <v/>
      </c>
      <c r="IR88" t="str">
        <f>""</f>
        <v/>
      </c>
      <c r="IS88" t="str">
        <f>""</f>
        <v/>
      </c>
      <c r="IT88" t="str">
        <f>""</f>
        <v/>
      </c>
      <c r="IU88" t="str">
        <f>""</f>
        <v/>
      </c>
      <c r="IV88" t="str">
        <f>""</f>
        <v/>
      </c>
      <c r="IW88" t="str">
        <f>""</f>
        <v/>
      </c>
      <c r="IX88" t="str">
        <f>""</f>
        <v/>
      </c>
      <c r="IY88" t="str">
        <f>""</f>
        <v/>
      </c>
      <c r="IZ88" t="str">
        <f>""</f>
        <v/>
      </c>
      <c r="JA88" t="str">
        <f>""</f>
        <v/>
      </c>
      <c r="JB88" t="str">
        <f>""</f>
        <v/>
      </c>
      <c r="JC88" t="str">
        <f>""</f>
        <v/>
      </c>
      <c r="JD88" t="str">
        <f>""</f>
        <v/>
      </c>
      <c r="JE88" t="str">
        <f>""</f>
        <v/>
      </c>
      <c r="JF88" t="str">
        <f>""</f>
        <v/>
      </c>
      <c r="JG88" t="str">
        <f>""</f>
        <v/>
      </c>
      <c r="JH88" t="str">
        <f>""</f>
        <v/>
      </c>
      <c r="JI88" t="str">
        <f>""</f>
        <v/>
      </c>
      <c r="JJ88" t="str">
        <f>""</f>
        <v/>
      </c>
      <c r="JK88" t="str">
        <f>""</f>
        <v/>
      </c>
    </row>
    <row r="90" spans="1:271" x14ac:dyDescent="0.3">
      <c r="A90" t="str">
        <f>"zMETAB10"</f>
        <v>zMETAB10</v>
      </c>
      <c r="B90" t="str">
        <f>""</f>
        <v/>
      </c>
      <c r="C90" t="str">
        <f>""</f>
        <v/>
      </c>
      <c r="D90" t="str">
        <f>""</f>
        <v/>
      </c>
      <c r="E90" t="str">
        <f>""</f>
        <v/>
      </c>
      <c r="F90" t="str">
        <f>""</f>
        <v/>
      </c>
      <c r="G90" t="str">
        <f>""</f>
        <v/>
      </c>
      <c r="H90" t="str">
        <f>""</f>
        <v/>
      </c>
      <c r="I90" t="str">
        <f>""</f>
        <v/>
      </c>
      <c r="J90" t="str">
        <f>""</f>
        <v/>
      </c>
      <c r="K90" t="str">
        <f>""</f>
        <v/>
      </c>
      <c r="L90" t="str">
        <f>""</f>
        <v/>
      </c>
      <c r="M90" t="str">
        <f>""</f>
        <v/>
      </c>
      <c r="N90" t="str">
        <f>""</f>
        <v/>
      </c>
      <c r="O90" t="str">
        <f>""</f>
        <v/>
      </c>
      <c r="P90" t="str">
        <f>""</f>
        <v/>
      </c>
      <c r="Q90" t="str">
        <f>""</f>
        <v/>
      </c>
      <c r="R90" t="str">
        <f>""</f>
        <v/>
      </c>
      <c r="S90" t="str">
        <f>""</f>
        <v/>
      </c>
      <c r="T90" t="str">
        <f>""</f>
        <v/>
      </c>
      <c r="U90" t="str">
        <f>""</f>
        <v/>
      </c>
      <c r="V90" t="str">
        <f>""</f>
        <v/>
      </c>
      <c r="W90" t="str">
        <f>""</f>
        <v/>
      </c>
      <c r="X90" t="str">
        <f>""</f>
        <v/>
      </c>
      <c r="Y90" t="str">
        <f>""</f>
        <v/>
      </c>
      <c r="Z90" t="str">
        <f>""</f>
        <v/>
      </c>
      <c r="AA90" t="str">
        <f>""</f>
        <v/>
      </c>
      <c r="AB90" t="str">
        <f>""</f>
        <v/>
      </c>
      <c r="AC90" t="str">
        <f>"-0.0977"</f>
        <v>-0.0977</v>
      </c>
      <c r="AD90" t="str">
        <f>"-0.0146"</f>
        <v>-0.0146</v>
      </c>
      <c r="AE90" t="str">
        <f>"0.0643*"</f>
        <v>0.0643*</v>
      </c>
      <c r="AF90" t="str">
        <f>""</f>
        <v/>
      </c>
      <c r="AG90" t="str">
        <f>""</f>
        <v/>
      </c>
      <c r="AH90" t="str">
        <f>""</f>
        <v/>
      </c>
      <c r="AI90" t="str">
        <f>""</f>
        <v/>
      </c>
      <c r="AJ90" t="str">
        <f>""</f>
        <v/>
      </c>
      <c r="AK90" t="str">
        <f>""</f>
        <v/>
      </c>
      <c r="AL90" t="str">
        <f>""</f>
        <v/>
      </c>
      <c r="AM90" t="str">
        <f>""</f>
        <v/>
      </c>
      <c r="AN90" t="str">
        <f>""</f>
        <v/>
      </c>
      <c r="AO90" t="str">
        <f>""</f>
        <v/>
      </c>
      <c r="AP90" t="str">
        <f>""</f>
        <v/>
      </c>
      <c r="AQ90" t="str">
        <f>""</f>
        <v/>
      </c>
      <c r="AR90" t="str">
        <f>""</f>
        <v/>
      </c>
      <c r="AS90" t="str">
        <f>""</f>
        <v/>
      </c>
      <c r="AT90" t="str">
        <f>""</f>
        <v/>
      </c>
      <c r="AU90" t="str">
        <f>""</f>
        <v/>
      </c>
      <c r="AV90" t="str">
        <f>""</f>
        <v/>
      </c>
      <c r="AW90" t="str">
        <f>""</f>
        <v/>
      </c>
      <c r="AX90" t="str">
        <f>""</f>
        <v/>
      </c>
      <c r="AY90" t="str">
        <f>""</f>
        <v/>
      </c>
      <c r="AZ90" t="str">
        <f>""</f>
        <v/>
      </c>
      <c r="BA90" t="str">
        <f>""</f>
        <v/>
      </c>
      <c r="BB90" t="str">
        <f>""</f>
        <v/>
      </c>
      <c r="BC90" t="str">
        <f>""</f>
        <v/>
      </c>
      <c r="BD90" t="str">
        <f>""</f>
        <v/>
      </c>
      <c r="BE90" t="str">
        <f>""</f>
        <v/>
      </c>
      <c r="BF90" t="str">
        <f>""</f>
        <v/>
      </c>
      <c r="BG90" t="str">
        <f>""</f>
        <v/>
      </c>
      <c r="BH90" t="str">
        <f>""</f>
        <v/>
      </c>
      <c r="BI90" t="str">
        <f>""</f>
        <v/>
      </c>
      <c r="BJ90" t="str">
        <f>""</f>
        <v/>
      </c>
      <c r="BK90" t="str">
        <f>""</f>
        <v/>
      </c>
      <c r="BL90" t="str">
        <f>""</f>
        <v/>
      </c>
      <c r="BM90" t="str">
        <f>""</f>
        <v/>
      </c>
      <c r="BN90" t="str">
        <f>""</f>
        <v/>
      </c>
      <c r="BO90" t="str">
        <f>""</f>
        <v/>
      </c>
      <c r="BP90" t="str">
        <f>""</f>
        <v/>
      </c>
      <c r="BQ90" t="str">
        <f>""</f>
        <v/>
      </c>
      <c r="BR90" t="str">
        <f>""</f>
        <v/>
      </c>
      <c r="BS90" t="str">
        <f>""</f>
        <v/>
      </c>
      <c r="BT90" t="str">
        <f>""</f>
        <v/>
      </c>
      <c r="BU90" t="str">
        <f>""</f>
        <v/>
      </c>
      <c r="BV90" t="str">
        <f>"0.0676"</f>
        <v>0.0676</v>
      </c>
      <c r="BW90" t="str">
        <f>"0.0248"</f>
        <v>0.0248</v>
      </c>
      <c r="BX90" t="str">
        <f>"0.0685*"</f>
        <v>0.0685*</v>
      </c>
      <c r="BY90" t="str">
        <f>""</f>
        <v/>
      </c>
      <c r="BZ90" t="str">
        <f>""</f>
        <v/>
      </c>
      <c r="CA90" t="str">
        <f>""</f>
        <v/>
      </c>
      <c r="CB90" t="str">
        <f>""</f>
        <v/>
      </c>
      <c r="CC90" t="str">
        <f>""</f>
        <v/>
      </c>
      <c r="CD90" t="str">
        <f>""</f>
        <v/>
      </c>
      <c r="CE90" t="str">
        <f>""</f>
        <v/>
      </c>
      <c r="CF90" t="str">
        <f>""</f>
        <v/>
      </c>
      <c r="CG90" t="str">
        <f>""</f>
        <v/>
      </c>
      <c r="CH90" t="str">
        <f>""</f>
        <v/>
      </c>
      <c r="CI90" t="str">
        <f>""</f>
        <v/>
      </c>
      <c r="CJ90" t="str">
        <f>""</f>
        <v/>
      </c>
      <c r="CK90" t="str">
        <f>""</f>
        <v/>
      </c>
      <c r="CL90" t="str">
        <f>""</f>
        <v/>
      </c>
      <c r="CM90" t="str">
        <f>""</f>
        <v/>
      </c>
      <c r="CN90" t="str">
        <f>""</f>
        <v/>
      </c>
      <c r="CO90" t="str">
        <f>""</f>
        <v/>
      </c>
      <c r="CP90" t="str">
        <f>""</f>
        <v/>
      </c>
      <c r="CQ90" t="str">
        <f>""</f>
        <v/>
      </c>
      <c r="CR90" t="str">
        <f>""</f>
        <v/>
      </c>
      <c r="CS90" t="str">
        <f>""</f>
        <v/>
      </c>
      <c r="CT90" t="str">
        <f>""</f>
        <v/>
      </c>
      <c r="CU90" t="str">
        <f>""</f>
        <v/>
      </c>
      <c r="CV90" t="str">
        <f>""</f>
        <v/>
      </c>
      <c r="CW90" t="str">
        <f>""</f>
        <v/>
      </c>
      <c r="CX90" t="str">
        <f>""</f>
        <v/>
      </c>
      <c r="CY90" t="str">
        <f>""</f>
        <v/>
      </c>
      <c r="CZ90" t="str">
        <f>""</f>
        <v/>
      </c>
      <c r="DA90" t="str">
        <f>""</f>
        <v/>
      </c>
      <c r="DB90" t="str">
        <f>""</f>
        <v/>
      </c>
      <c r="DC90" t="str">
        <f>""</f>
        <v/>
      </c>
      <c r="DD90" t="str">
        <f>""</f>
        <v/>
      </c>
      <c r="DE90" t="str">
        <f>""</f>
        <v/>
      </c>
      <c r="DF90" t="str">
        <f>""</f>
        <v/>
      </c>
      <c r="DG90" t="str">
        <f>""</f>
        <v/>
      </c>
      <c r="DH90" t="str">
        <f>""</f>
        <v/>
      </c>
      <c r="DI90" t="str">
        <f>""</f>
        <v/>
      </c>
      <c r="DJ90" t="str">
        <f>""</f>
        <v/>
      </c>
      <c r="DK90" t="str">
        <f>""</f>
        <v/>
      </c>
      <c r="DL90" t="str">
        <f>""</f>
        <v/>
      </c>
      <c r="DM90" t="str">
        <f>""</f>
        <v/>
      </c>
      <c r="DN90" t="str">
        <f>""</f>
        <v/>
      </c>
      <c r="DO90" t="str">
        <f>"0.111"</f>
        <v>0.111</v>
      </c>
      <c r="DP90" t="str">
        <f>"0.0155"</f>
        <v>0.0155</v>
      </c>
      <c r="DQ90" t="str">
        <f>"0.0652*"</f>
        <v>0.0652*</v>
      </c>
      <c r="DR90" t="str">
        <f>""</f>
        <v/>
      </c>
      <c r="DS90" t="str">
        <f>""</f>
        <v/>
      </c>
      <c r="DT90" t="str">
        <f>""</f>
        <v/>
      </c>
      <c r="DU90" t="str">
        <f>""</f>
        <v/>
      </c>
      <c r="DV90" t="str">
        <f>""</f>
        <v/>
      </c>
      <c r="DW90" t="str">
        <f>""</f>
        <v/>
      </c>
      <c r="DX90" t="str">
        <f>""</f>
        <v/>
      </c>
      <c r="DY90" t="str">
        <f>""</f>
        <v/>
      </c>
      <c r="DZ90" t="str">
        <f>""</f>
        <v/>
      </c>
      <c r="EA90" t="str">
        <f>""</f>
        <v/>
      </c>
      <c r="EB90" t="str">
        <f>""</f>
        <v/>
      </c>
      <c r="EC90" t="str">
        <f>""</f>
        <v/>
      </c>
      <c r="ED90" t="str">
        <f>""</f>
        <v/>
      </c>
      <c r="EE90" t="str">
        <f>""</f>
        <v/>
      </c>
      <c r="EF90" t="str">
        <f>""</f>
        <v/>
      </c>
      <c r="EG90" t="str">
        <f>""</f>
        <v/>
      </c>
      <c r="EH90" t="str">
        <f>""</f>
        <v/>
      </c>
      <c r="EI90" t="str">
        <f>""</f>
        <v/>
      </c>
      <c r="EJ90" t="str">
        <f>""</f>
        <v/>
      </c>
      <c r="EK90" t="str">
        <f>""</f>
        <v/>
      </c>
      <c r="EL90" t="str">
        <f>""</f>
        <v/>
      </c>
      <c r="EM90" t="str">
        <f>""</f>
        <v/>
      </c>
      <c r="EN90" t="str">
        <f>""</f>
        <v/>
      </c>
      <c r="EO90" t="str">
        <f>""</f>
        <v/>
      </c>
      <c r="EP90" t="str">
        <f>""</f>
        <v/>
      </c>
      <c r="EQ90" t="str">
        <f>""</f>
        <v/>
      </c>
      <c r="ER90" t="str">
        <f>""</f>
        <v/>
      </c>
      <c r="ES90" t="str">
        <f>""</f>
        <v/>
      </c>
      <c r="ET90" t="str">
        <f>""</f>
        <v/>
      </c>
      <c r="EU90" t="str">
        <f>""</f>
        <v/>
      </c>
      <c r="EV90" t="str">
        <f>""</f>
        <v/>
      </c>
      <c r="EW90" t="str">
        <f>""</f>
        <v/>
      </c>
      <c r="EX90" t="str">
        <f>""</f>
        <v/>
      </c>
      <c r="EY90" t="str">
        <f>""</f>
        <v/>
      </c>
      <c r="EZ90" t="str">
        <f>""</f>
        <v/>
      </c>
      <c r="FA90" t="str">
        <f>""</f>
        <v/>
      </c>
      <c r="FB90" t="str">
        <f>""</f>
        <v/>
      </c>
      <c r="FC90" t="str">
        <f>""</f>
        <v/>
      </c>
      <c r="FD90" t="str">
        <f>""</f>
        <v/>
      </c>
      <c r="FE90" t="str">
        <f>""</f>
        <v/>
      </c>
      <c r="FF90" t="str">
        <f>""</f>
        <v/>
      </c>
      <c r="FG90" t="str">
        <f>""</f>
        <v/>
      </c>
      <c r="FH90" t="str">
        <f>"0.0268"</f>
        <v>0.0268</v>
      </c>
      <c r="FI90" t="str">
        <f>"-0.00613"</f>
        <v>-0.00613</v>
      </c>
      <c r="FJ90" t="str">
        <f>"0.0666*"</f>
        <v>0.0666*</v>
      </c>
      <c r="FK90" t="str">
        <f>""</f>
        <v/>
      </c>
      <c r="FL90" t="str">
        <f>""</f>
        <v/>
      </c>
      <c r="FM90" t="str">
        <f>""</f>
        <v/>
      </c>
      <c r="FN90" t="str">
        <f>""</f>
        <v/>
      </c>
      <c r="FO90" t="str">
        <f>""</f>
        <v/>
      </c>
      <c r="FP90" t="str">
        <f>""</f>
        <v/>
      </c>
      <c r="FQ90" t="str">
        <f>""</f>
        <v/>
      </c>
      <c r="FR90" t="str">
        <f>""</f>
        <v/>
      </c>
      <c r="FS90" t="str">
        <f>""</f>
        <v/>
      </c>
      <c r="FT90" t="str">
        <f>""</f>
        <v/>
      </c>
      <c r="FU90" t="str">
        <f>""</f>
        <v/>
      </c>
      <c r="FV90" t="str">
        <f>""</f>
        <v/>
      </c>
      <c r="FW90" t="str">
        <f>""</f>
        <v/>
      </c>
      <c r="FX90" t="str">
        <f>""</f>
        <v/>
      </c>
      <c r="FY90" t="str">
        <f>""</f>
        <v/>
      </c>
      <c r="FZ90" t="str">
        <f>""</f>
        <v/>
      </c>
      <c r="GA90" t="str">
        <f>""</f>
        <v/>
      </c>
      <c r="GB90" t="str">
        <f>""</f>
        <v/>
      </c>
      <c r="GC90" t="str">
        <f>""</f>
        <v/>
      </c>
      <c r="GD90" t="str">
        <f>""</f>
        <v/>
      </c>
      <c r="GE90" t="str">
        <f>""</f>
        <v/>
      </c>
      <c r="GF90" t="str">
        <f>""</f>
        <v/>
      </c>
      <c r="GG90" t="str">
        <f>""</f>
        <v/>
      </c>
      <c r="GH90" t="str">
        <f>""</f>
        <v/>
      </c>
      <c r="GI90" t="str">
        <f>""</f>
        <v/>
      </c>
      <c r="GJ90" t="str">
        <f>""</f>
        <v/>
      </c>
      <c r="GK90" t="str">
        <f>""</f>
        <v/>
      </c>
      <c r="GL90" t="str">
        <f>""</f>
        <v/>
      </c>
      <c r="GM90" t="str">
        <f>""</f>
        <v/>
      </c>
      <c r="GN90" t="str">
        <f>""</f>
        <v/>
      </c>
      <c r="GO90" t="str">
        <f>""</f>
        <v/>
      </c>
      <c r="GP90" t="str">
        <f>""</f>
        <v/>
      </c>
      <c r="GQ90" t="str">
        <f>""</f>
        <v/>
      </c>
      <c r="GR90" t="str">
        <f>""</f>
        <v/>
      </c>
      <c r="GS90" t="str">
        <f>""</f>
        <v/>
      </c>
      <c r="GT90" t="str">
        <f>""</f>
        <v/>
      </c>
      <c r="GU90" t="str">
        <f>""</f>
        <v/>
      </c>
      <c r="GV90" t="str">
        <f>""</f>
        <v/>
      </c>
      <c r="GW90" t="str">
        <f>""</f>
        <v/>
      </c>
      <c r="GX90" t="str">
        <f>""</f>
        <v/>
      </c>
      <c r="GY90" t="str">
        <f>""</f>
        <v/>
      </c>
      <c r="GZ90" t="str">
        <f>""</f>
        <v/>
      </c>
      <c r="HA90" t="str">
        <f>"-0.0572"</f>
        <v>-0.0572</v>
      </c>
      <c r="HB90" t="str">
        <f>"-0.0551"</f>
        <v>-0.0551</v>
      </c>
      <c r="HC90" t="str">
        <f>"0.0656*"</f>
        <v>0.0656*</v>
      </c>
      <c r="HD90" t="str">
        <f>""</f>
        <v/>
      </c>
      <c r="HE90" t="str">
        <f>""</f>
        <v/>
      </c>
      <c r="HF90" t="str">
        <f>""</f>
        <v/>
      </c>
      <c r="HG90" t="str">
        <f>""</f>
        <v/>
      </c>
      <c r="HH90" t="str">
        <f>""</f>
        <v/>
      </c>
      <c r="HI90" t="str">
        <f>""</f>
        <v/>
      </c>
      <c r="HJ90" t="str">
        <f>""</f>
        <v/>
      </c>
      <c r="HK90" t="str">
        <f>""</f>
        <v/>
      </c>
      <c r="HL90" t="str">
        <f>""</f>
        <v/>
      </c>
      <c r="HM90" t="str">
        <f>""</f>
        <v/>
      </c>
      <c r="HN90" t="str">
        <f>""</f>
        <v/>
      </c>
      <c r="HO90" t="str">
        <f>""</f>
        <v/>
      </c>
      <c r="HP90" t="str">
        <f>""</f>
        <v/>
      </c>
      <c r="HQ90" t="str">
        <f>""</f>
        <v/>
      </c>
      <c r="HR90" t="str">
        <f>""</f>
        <v/>
      </c>
      <c r="HS90" t="str">
        <f>""</f>
        <v/>
      </c>
      <c r="HT90" t="str">
        <f>""</f>
        <v/>
      </c>
      <c r="HU90" t="str">
        <f>""</f>
        <v/>
      </c>
      <c r="HV90" t="str">
        <f>""</f>
        <v/>
      </c>
      <c r="HW90" t="str">
        <f>""</f>
        <v/>
      </c>
      <c r="HX90" t="str">
        <f>""</f>
        <v/>
      </c>
      <c r="HY90" t="str">
        <f>""</f>
        <v/>
      </c>
      <c r="HZ90" t="str">
        <f>""</f>
        <v/>
      </c>
      <c r="IA90" t="str">
        <f>""</f>
        <v/>
      </c>
      <c r="IB90" t="str">
        <f>""</f>
        <v/>
      </c>
      <c r="IC90" t="str">
        <f>""</f>
        <v/>
      </c>
      <c r="ID90" t="str">
        <f>""</f>
        <v/>
      </c>
      <c r="IE90" t="str">
        <f>""</f>
        <v/>
      </c>
      <c r="IF90" t="str">
        <f>""</f>
        <v/>
      </c>
      <c r="IG90" t="str">
        <f>""</f>
        <v/>
      </c>
      <c r="IH90" t="str">
        <f>""</f>
        <v/>
      </c>
      <c r="II90" t="str">
        <f>""</f>
        <v/>
      </c>
      <c r="IJ90" t="str">
        <f>""</f>
        <v/>
      </c>
      <c r="IK90" t="str">
        <f>""</f>
        <v/>
      </c>
      <c r="IL90" t="str">
        <f>""</f>
        <v/>
      </c>
      <c r="IM90" t="str">
        <f>""</f>
        <v/>
      </c>
      <c r="IN90" t="str">
        <f>""</f>
        <v/>
      </c>
      <c r="IO90" t="str">
        <f>""</f>
        <v/>
      </c>
      <c r="IP90" t="str">
        <f>""</f>
        <v/>
      </c>
      <c r="IQ90" t="str">
        <f>""</f>
        <v/>
      </c>
      <c r="IR90" t="str">
        <f>""</f>
        <v/>
      </c>
      <c r="IS90" t="str">
        <f>""</f>
        <v/>
      </c>
      <c r="IT90" t="str">
        <f>"-0.0169"</f>
        <v>-0.0169</v>
      </c>
      <c r="IU90" t="str">
        <f>"-0.0207"</f>
        <v>-0.0207</v>
      </c>
      <c r="IV90" t="str">
        <f>"0.0566"</f>
        <v>0.0566</v>
      </c>
      <c r="IW90" t="str">
        <f>""</f>
        <v/>
      </c>
      <c r="IX90" t="str">
        <f>""</f>
        <v/>
      </c>
      <c r="IY90" t="str">
        <f>""</f>
        <v/>
      </c>
      <c r="IZ90" t="str">
        <f>""</f>
        <v/>
      </c>
      <c r="JA90" t="str">
        <f>""</f>
        <v/>
      </c>
      <c r="JB90" t="str">
        <f>""</f>
        <v/>
      </c>
      <c r="JC90" t="str">
        <f>""</f>
        <v/>
      </c>
      <c r="JD90" t="str">
        <f>""</f>
        <v/>
      </c>
      <c r="JE90" t="str">
        <f>""</f>
        <v/>
      </c>
      <c r="JF90" t="str">
        <f>""</f>
        <v/>
      </c>
      <c r="JG90" t="str">
        <f>""</f>
        <v/>
      </c>
      <c r="JH90" t="str">
        <f>""</f>
        <v/>
      </c>
      <c r="JI90" t="str">
        <f>""</f>
        <v/>
      </c>
      <c r="JJ90" t="str">
        <f>""</f>
        <v/>
      </c>
      <c r="JK90" t="str">
        <f>""</f>
        <v/>
      </c>
    </row>
    <row r="91" spans="1:271" x14ac:dyDescent="0.3">
      <c r="A91" t="str">
        <f>""</f>
        <v/>
      </c>
      <c r="B91" t="str">
        <f>""</f>
        <v/>
      </c>
      <c r="C91" t="str">
        <f>""</f>
        <v/>
      </c>
      <c r="D91" t="str">
        <f>""</f>
        <v/>
      </c>
      <c r="E91" t="str">
        <f>""</f>
        <v/>
      </c>
      <c r="F91" t="str">
        <f>""</f>
        <v/>
      </c>
      <c r="G91" t="str">
        <f>""</f>
        <v/>
      </c>
      <c r="H91" t="str">
        <f>""</f>
        <v/>
      </c>
      <c r="I91" t="str">
        <f>""</f>
        <v/>
      </c>
      <c r="J91" t="str">
        <f>""</f>
        <v/>
      </c>
      <c r="K91" t="str">
        <f>""</f>
        <v/>
      </c>
      <c r="L91" t="str">
        <f>""</f>
        <v/>
      </c>
      <c r="M91" t="str">
        <f>""</f>
        <v/>
      </c>
      <c r="N91" t="str">
        <f>""</f>
        <v/>
      </c>
      <c r="O91" t="str">
        <f>""</f>
        <v/>
      </c>
      <c r="P91" t="str">
        <f>""</f>
        <v/>
      </c>
      <c r="Q91" t="str">
        <f>""</f>
        <v/>
      </c>
      <c r="R91" t="str">
        <f>""</f>
        <v/>
      </c>
      <c r="S91" t="str">
        <f>""</f>
        <v/>
      </c>
      <c r="T91" t="str">
        <f>""</f>
        <v/>
      </c>
      <c r="U91" t="str">
        <f>""</f>
        <v/>
      </c>
      <c r="V91" t="str">
        <f>""</f>
        <v/>
      </c>
      <c r="W91" t="str">
        <f>""</f>
        <v/>
      </c>
      <c r="X91" t="str">
        <f>""</f>
        <v/>
      </c>
      <c r="Y91" t="str">
        <f>""</f>
        <v/>
      </c>
      <c r="Z91" t="str">
        <f>""</f>
        <v/>
      </c>
      <c r="AA91" t="str">
        <f>""</f>
        <v/>
      </c>
      <c r="AB91" t="str">
        <f>""</f>
        <v/>
      </c>
      <c r="AC91" t="str">
        <f>"(0.0758)"</f>
        <v>(0.0758)</v>
      </c>
      <c r="AD91" t="str">
        <f>"(0.0593)"</f>
        <v>(0.0593)</v>
      </c>
      <c r="AE91" t="str">
        <f>"(0.0328)"</f>
        <v>(0.0328)</v>
      </c>
      <c r="AF91" t="str">
        <f>""</f>
        <v/>
      </c>
      <c r="AG91" t="str">
        <f>""</f>
        <v/>
      </c>
      <c r="AH91" t="str">
        <f>""</f>
        <v/>
      </c>
      <c r="AI91" t="str">
        <f>""</f>
        <v/>
      </c>
      <c r="AJ91" t="str">
        <f>""</f>
        <v/>
      </c>
      <c r="AK91" t="str">
        <f>""</f>
        <v/>
      </c>
      <c r="AL91" t="str">
        <f>""</f>
        <v/>
      </c>
      <c r="AM91" t="str">
        <f>""</f>
        <v/>
      </c>
      <c r="AN91" t="str">
        <f>""</f>
        <v/>
      </c>
      <c r="AO91" t="str">
        <f>""</f>
        <v/>
      </c>
      <c r="AP91" t="str">
        <f>""</f>
        <v/>
      </c>
      <c r="AQ91" t="str">
        <f>""</f>
        <v/>
      </c>
      <c r="AR91" t="str">
        <f>""</f>
        <v/>
      </c>
      <c r="AS91" t="str">
        <f>""</f>
        <v/>
      </c>
      <c r="AT91" t="str">
        <f>""</f>
        <v/>
      </c>
      <c r="AU91" t="str">
        <f>""</f>
        <v/>
      </c>
      <c r="AV91" t="str">
        <f>""</f>
        <v/>
      </c>
      <c r="AW91" t="str">
        <f>""</f>
        <v/>
      </c>
      <c r="AX91" t="str">
        <f>""</f>
        <v/>
      </c>
      <c r="AY91" t="str">
        <f>""</f>
        <v/>
      </c>
      <c r="AZ91" t="str">
        <f>""</f>
        <v/>
      </c>
      <c r="BA91" t="str">
        <f>""</f>
        <v/>
      </c>
      <c r="BB91" t="str">
        <f>""</f>
        <v/>
      </c>
      <c r="BC91" t="str">
        <f>""</f>
        <v/>
      </c>
      <c r="BD91" t="str">
        <f>""</f>
        <v/>
      </c>
      <c r="BE91" t="str">
        <f>""</f>
        <v/>
      </c>
      <c r="BF91" t="str">
        <f>""</f>
        <v/>
      </c>
      <c r="BG91" t="str">
        <f>""</f>
        <v/>
      </c>
      <c r="BH91" t="str">
        <f>""</f>
        <v/>
      </c>
      <c r="BI91" t="str">
        <f>""</f>
        <v/>
      </c>
      <c r="BJ91" t="str">
        <f>""</f>
        <v/>
      </c>
      <c r="BK91" t="str">
        <f>""</f>
        <v/>
      </c>
      <c r="BL91" t="str">
        <f>""</f>
        <v/>
      </c>
      <c r="BM91" t="str">
        <f>""</f>
        <v/>
      </c>
      <c r="BN91" t="str">
        <f>""</f>
        <v/>
      </c>
      <c r="BO91" t="str">
        <f>""</f>
        <v/>
      </c>
      <c r="BP91" t="str">
        <f>""</f>
        <v/>
      </c>
      <c r="BQ91" t="str">
        <f>""</f>
        <v/>
      </c>
      <c r="BR91" t="str">
        <f>""</f>
        <v/>
      </c>
      <c r="BS91" t="str">
        <f>""</f>
        <v/>
      </c>
      <c r="BT91" t="str">
        <f>""</f>
        <v/>
      </c>
      <c r="BU91" t="str">
        <f>""</f>
        <v/>
      </c>
      <c r="BV91" t="str">
        <f>"(0.0720)"</f>
        <v>(0.0720)</v>
      </c>
      <c r="BW91" t="str">
        <f>"(0.0584)"</f>
        <v>(0.0584)</v>
      </c>
      <c r="BX91" t="str">
        <f>"(0.0316)"</f>
        <v>(0.0316)</v>
      </c>
      <c r="BY91" t="str">
        <f>""</f>
        <v/>
      </c>
      <c r="BZ91" t="str">
        <f>""</f>
        <v/>
      </c>
      <c r="CA91" t="str">
        <f>""</f>
        <v/>
      </c>
      <c r="CB91" t="str">
        <f>""</f>
        <v/>
      </c>
      <c r="CC91" t="str">
        <f>""</f>
        <v/>
      </c>
      <c r="CD91" t="str">
        <f>""</f>
        <v/>
      </c>
      <c r="CE91" t="str">
        <f>""</f>
        <v/>
      </c>
      <c r="CF91" t="str">
        <f>""</f>
        <v/>
      </c>
      <c r="CG91" t="str">
        <f>""</f>
        <v/>
      </c>
      <c r="CH91" t="str">
        <f>""</f>
        <v/>
      </c>
      <c r="CI91" t="str">
        <f>""</f>
        <v/>
      </c>
      <c r="CJ91" t="str">
        <f>""</f>
        <v/>
      </c>
      <c r="CK91" t="str">
        <f>""</f>
        <v/>
      </c>
      <c r="CL91" t="str">
        <f>""</f>
        <v/>
      </c>
      <c r="CM91" t="str">
        <f>""</f>
        <v/>
      </c>
      <c r="CN91" t="str">
        <f>""</f>
        <v/>
      </c>
      <c r="CO91" t="str">
        <f>""</f>
        <v/>
      </c>
      <c r="CP91" t="str">
        <f>""</f>
        <v/>
      </c>
      <c r="CQ91" t="str">
        <f>""</f>
        <v/>
      </c>
      <c r="CR91" t="str">
        <f>""</f>
        <v/>
      </c>
      <c r="CS91" t="str">
        <f>""</f>
        <v/>
      </c>
      <c r="CT91" t="str">
        <f>""</f>
        <v/>
      </c>
      <c r="CU91" t="str">
        <f>""</f>
        <v/>
      </c>
      <c r="CV91" t="str">
        <f>""</f>
        <v/>
      </c>
      <c r="CW91" t="str">
        <f>""</f>
        <v/>
      </c>
      <c r="CX91" t="str">
        <f>""</f>
        <v/>
      </c>
      <c r="CY91" t="str">
        <f>""</f>
        <v/>
      </c>
      <c r="CZ91" t="str">
        <f>""</f>
        <v/>
      </c>
      <c r="DA91" t="str">
        <f>""</f>
        <v/>
      </c>
      <c r="DB91" t="str">
        <f>""</f>
        <v/>
      </c>
      <c r="DC91" t="str">
        <f>""</f>
        <v/>
      </c>
      <c r="DD91" t="str">
        <f>""</f>
        <v/>
      </c>
      <c r="DE91" t="str">
        <f>""</f>
        <v/>
      </c>
      <c r="DF91" t="str">
        <f>""</f>
        <v/>
      </c>
      <c r="DG91" t="str">
        <f>""</f>
        <v/>
      </c>
      <c r="DH91" t="str">
        <f>""</f>
        <v/>
      </c>
      <c r="DI91" t="str">
        <f>""</f>
        <v/>
      </c>
      <c r="DJ91" t="str">
        <f>""</f>
        <v/>
      </c>
      <c r="DK91" t="str">
        <f>""</f>
        <v/>
      </c>
      <c r="DL91" t="str">
        <f>""</f>
        <v/>
      </c>
      <c r="DM91" t="str">
        <f>""</f>
        <v/>
      </c>
      <c r="DN91" t="str">
        <f>""</f>
        <v/>
      </c>
      <c r="DO91" t="str">
        <f>"(0.0716)"</f>
        <v>(0.0716)</v>
      </c>
      <c r="DP91" t="str">
        <f>"(0.0553)"</f>
        <v>(0.0553)</v>
      </c>
      <c r="DQ91" t="str">
        <f>"(0.0315)"</f>
        <v>(0.0315)</v>
      </c>
      <c r="DR91" t="str">
        <f>""</f>
        <v/>
      </c>
      <c r="DS91" t="str">
        <f>""</f>
        <v/>
      </c>
      <c r="DT91" t="str">
        <f>""</f>
        <v/>
      </c>
      <c r="DU91" t="str">
        <f>""</f>
        <v/>
      </c>
      <c r="DV91" t="str">
        <f>""</f>
        <v/>
      </c>
      <c r="DW91" t="str">
        <f>""</f>
        <v/>
      </c>
      <c r="DX91" t="str">
        <f>""</f>
        <v/>
      </c>
      <c r="DY91" t="str">
        <f>""</f>
        <v/>
      </c>
      <c r="DZ91" t="str">
        <f>""</f>
        <v/>
      </c>
      <c r="EA91" t="str">
        <f>""</f>
        <v/>
      </c>
      <c r="EB91" t="str">
        <f>""</f>
        <v/>
      </c>
      <c r="EC91" t="str">
        <f>""</f>
        <v/>
      </c>
      <c r="ED91" t="str">
        <f>""</f>
        <v/>
      </c>
      <c r="EE91" t="str">
        <f>""</f>
        <v/>
      </c>
      <c r="EF91" t="str">
        <f>""</f>
        <v/>
      </c>
      <c r="EG91" t="str">
        <f>""</f>
        <v/>
      </c>
      <c r="EH91" t="str">
        <f>""</f>
        <v/>
      </c>
      <c r="EI91" t="str">
        <f>""</f>
        <v/>
      </c>
      <c r="EJ91" t="str">
        <f>""</f>
        <v/>
      </c>
      <c r="EK91" t="str">
        <f>""</f>
        <v/>
      </c>
      <c r="EL91" t="str">
        <f>""</f>
        <v/>
      </c>
      <c r="EM91" t="str">
        <f>""</f>
        <v/>
      </c>
      <c r="EN91" t="str">
        <f>""</f>
        <v/>
      </c>
      <c r="EO91" t="str">
        <f>""</f>
        <v/>
      </c>
      <c r="EP91" t="str">
        <f>""</f>
        <v/>
      </c>
      <c r="EQ91" t="str">
        <f>""</f>
        <v/>
      </c>
      <c r="ER91" t="str">
        <f>""</f>
        <v/>
      </c>
      <c r="ES91" t="str">
        <f>""</f>
        <v/>
      </c>
      <c r="ET91" t="str">
        <f>""</f>
        <v/>
      </c>
      <c r="EU91" t="str">
        <f>""</f>
        <v/>
      </c>
      <c r="EV91" t="str">
        <f>""</f>
        <v/>
      </c>
      <c r="EW91" t="str">
        <f>""</f>
        <v/>
      </c>
      <c r="EX91" t="str">
        <f>""</f>
        <v/>
      </c>
      <c r="EY91" t="str">
        <f>""</f>
        <v/>
      </c>
      <c r="EZ91" t="str">
        <f>""</f>
        <v/>
      </c>
      <c r="FA91" t="str">
        <f>""</f>
        <v/>
      </c>
      <c r="FB91" t="str">
        <f>""</f>
        <v/>
      </c>
      <c r="FC91" t="str">
        <f>""</f>
        <v/>
      </c>
      <c r="FD91" t="str">
        <f>""</f>
        <v/>
      </c>
      <c r="FE91" t="str">
        <f>""</f>
        <v/>
      </c>
      <c r="FF91" t="str">
        <f>""</f>
        <v/>
      </c>
      <c r="FG91" t="str">
        <f>""</f>
        <v/>
      </c>
      <c r="FH91" t="str">
        <f>"(0.0706)"</f>
        <v>(0.0706)</v>
      </c>
      <c r="FI91" t="str">
        <f>"(0.0598)"</f>
        <v>(0.0598)</v>
      </c>
      <c r="FJ91" t="str">
        <f>"(0.0318)"</f>
        <v>(0.0318)</v>
      </c>
      <c r="FK91" t="str">
        <f>""</f>
        <v/>
      </c>
      <c r="FL91" t="str">
        <f>""</f>
        <v/>
      </c>
      <c r="FM91" t="str">
        <f>""</f>
        <v/>
      </c>
      <c r="FN91" t="str">
        <f>""</f>
        <v/>
      </c>
      <c r="FO91" t="str">
        <f>""</f>
        <v/>
      </c>
      <c r="FP91" t="str">
        <f>""</f>
        <v/>
      </c>
      <c r="FQ91" t="str">
        <f>""</f>
        <v/>
      </c>
      <c r="FR91" t="str">
        <f>""</f>
        <v/>
      </c>
      <c r="FS91" t="str">
        <f>""</f>
        <v/>
      </c>
      <c r="FT91" t="str">
        <f>""</f>
        <v/>
      </c>
      <c r="FU91" t="str">
        <f>""</f>
        <v/>
      </c>
      <c r="FV91" t="str">
        <f>""</f>
        <v/>
      </c>
      <c r="FW91" t="str">
        <f>""</f>
        <v/>
      </c>
      <c r="FX91" t="str">
        <f>""</f>
        <v/>
      </c>
      <c r="FY91" t="str">
        <f>""</f>
        <v/>
      </c>
      <c r="FZ91" t="str">
        <f>""</f>
        <v/>
      </c>
      <c r="GA91" t="str">
        <f>""</f>
        <v/>
      </c>
      <c r="GB91" t="str">
        <f>""</f>
        <v/>
      </c>
      <c r="GC91" t="str">
        <f>""</f>
        <v/>
      </c>
      <c r="GD91" t="str">
        <f>""</f>
        <v/>
      </c>
      <c r="GE91" t="str">
        <f>""</f>
        <v/>
      </c>
      <c r="GF91" t="str">
        <f>""</f>
        <v/>
      </c>
      <c r="GG91" t="str">
        <f>""</f>
        <v/>
      </c>
      <c r="GH91" t="str">
        <f>""</f>
        <v/>
      </c>
      <c r="GI91" t="str">
        <f>""</f>
        <v/>
      </c>
      <c r="GJ91" t="str">
        <f>""</f>
        <v/>
      </c>
      <c r="GK91" t="str">
        <f>""</f>
        <v/>
      </c>
      <c r="GL91" t="str">
        <f>""</f>
        <v/>
      </c>
      <c r="GM91" t="str">
        <f>""</f>
        <v/>
      </c>
      <c r="GN91" t="str">
        <f>""</f>
        <v/>
      </c>
      <c r="GO91" t="str">
        <f>""</f>
        <v/>
      </c>
      <c r="GP91" t="str">
        <f>""</f>
        <v/>
      </c>
      <c r="GQ91" t="str">
        <f>""</f>
        <v/>
      </c>
      <c r="GR91" t="str">
        <f>""</f>
        <v/>
      </c>
      <c r="GS91" t="str">
        <f>""</f>
        <v/>
      </c>
      <c r="GT91" t="str">
        <f>""</f>
        <v/>
      </c>
      <c r="GU91" t="str">
        <f>""</f>
        <v/>
      </c>
      <c r="GV91" t="str">
        <f>""</f>
        <v/>
      </c>
      <c r="GW91" t="str">
        <f>""</f>
        <v/>
      </c>
      <c r="GX91" t="str">
        <f>""</f>
        <v/>
      </c>
      <c r="GY91" t="str">
        <f>""</f>
        <v/>
      </c>
      <c r="GZ91" t="str">
        <f>""</f>
        <v/>
      </c>
      <c r="HA91" t="str">
        <f>"(0.0737)"</f>
        <v>(0.0737)</v>
      </c>
      <c r="HB91" t="str">
        <f>"(0.0617)"</f>
        <v>(0.0617)</v>
      </c>
      <c r="HC91" t="str">
        <f>"(0.0322)"</f>
        <v>(0.0322)</v>
      </c>
      <c r="HD91" t="str">
        <f>""</f>
        <v/>
      </c>
      <c r="HE91" t="str">
        <f>""</f>
        <v/>
      </c>
      <c r="HF91" t="str">
        <f>""</f>
        <v/>
      </c>
      <c r="HG91" t="str">
        <f>""</f>
        <v/>
      </c>
      <c r="HH91" t="str">
        <f>""</f>
        <v/>
      </c>
      <c r="HI91" t="str">
        <f>""</f>
        <v/>
      </c>
      <c r="HJ91" t="str">
        <f>""</f>
        <v/>
      </c>
      <c r="HK91" t="str">
        <f>""</f>
        <v/>
      </c>
      <c r="HL91" t="str">
        <f>""</f>
        <v/>
      </c>
      <c r="HM91" t="str">
        <f>""</f>
        <v/>
      </c>
      <c r="HN91" t="str">
        <f>""</f>
        <v/>
      </c>
      <c r="HO91" t="str">
        <f>""</f>
        <v/>
      </c>
      <c r="HP91" t="str">
        <f>""</f>
        <v/>
      </c>
      <c r="HQ91" t="str">
        <f>""</f>
        <v/>
      </c>
      <c r="HR91" t="str">
        <f>""</f>
        <v/>
      </c>
      <c r="HS91" t="str">
        <f>""</f>
        <v/>
      </c>
      <c r="HT91" t="str">
        <f>""</f>
        <v/>
      </c>
      <c r="HU91" t="str">
        <f>""</f>
        <v/>
      </c>
      <c r="HV91" t="str">
        <f>""</f>
        <v/>
      </c>
      <c r="HW91" t="str">
        <f>""</f>
        <v/>
      </c>
      <c r="HX91" t="str">
        <f>""</f>
        <v/>
      </c>
      <c r="HY91" t="str">
        <f>""</f>
        <v/>
      </c>
      <c r="HZ91" t="str">
        <f>""</f>
        <v/>
      </c>
      <c r="IA91" t="str">
        <f>""</f>
        <v/>
      </c>
      <c r="IB91" t="str">
        <f>""</f>
        <v/>
      </c>
      <c r="IC91" t="str">
        <f>""</f>
        <v/>
      </c>
      <c r="ID91" t="str">
        <f>""</f>
        <v/>
      </c>
      <c r="IE91" t="str">
        <f>""</f>
        <v/>
      </c>
      <c r="IF91" t="str">
        <f>""</f>
        <v/>
      </c>
      <c r="IG91" t="str">
        <f>""</f>
        <v/>
      </c>
      <c r="IH91" t="str">
        <f>""</f>
        <v/>
      </c>
      <c r="II91" t="str">
        <f>""</f>
        <v/>
      </c>
      <c r="IJ91" t="str">
        <f>""</f>
        <v/>
      </c>
      <c r="IK91" t="str">
        <f>""</f>
        <v/>
      </c>
      <c r="IL91" t="str">
        <f>""</f>
        <v/>
      </c>
      <c r="IM91" t="str">
        <f>""</f>
        <v/>
      </c>
      <c r="IN91" t="str">
        <f>""</f>
        <v/>
      </c>
      <c r="IO91" t="str">
        <f>""</f>
        <v/>
      </c>
      <c r="IP91" t="str">
        <f>""</f>
        <v/>
      </c>
      <c r="IQ91" t="str">
        <f>""</f>
        <v/>
      </c>
      <c r="IR91" t="str">
        <f>""</f>
        <v/>
      </c>
      <c r="IS91" t="str">
        <f>""</f>
        <v/>
      </c>
      <c r="IT91" t="str">
        <f>"(0.0740)"</f>
        <v>(0.0740)</v>
      </c>
      <c r="IU91" t="str">
        <f>"(0.0614)"</f>
        <v>(0.0614)</v>
      </c>
      <c r="IV91" t="str">
        <f>"(0.0331)"</f>
        <v>(0.0331)</v>
      </c>
      <c r="IW91" t="str">
        <f>""</f>
        <v/>
      </c>
      <c r="IX91" t="str">
        <f>""</f>
        <v/>
      </c>
      <c r="IY91" t="str">
        <f>""</f>
        <v/>
      </c>
      <c r="IZ91" t="str">
        <f>""</f>
        <v/>
      </c>
      <c r="JA91" t="str">
        <f>""</f>
        <v/>
      </c>
      <c r="JB91" t="str">
        <f>""</f>
        <v/>
      </c>
      <c r="JC91" t="str">
        <f>""</f>
        <v/>
      </c>
      <c r="JD91" t="str">
        <f>""</f>
        <v/>
      </c>
      <c r="JE91" t="str">
        <f>""</f>
        <v/>
      </c>
      <c r="JF91" t="str">
        <f>""</f>
        <v/>
      </c>
      <c r="JG91" t="str">
        <f>""</f>
        <v/>
      </c>
      <c r="JH91" t="str">
        <f>""</f>
        <v/>
      </c>
      <c r="JI91" t="str">
        <f>""</f>
        <v/>
      </c>
      <c r="JJ91" t="str">
        <f>""</f>
        <v/>
      </c>
      <c r="JK91" t="str">
        <f>""</f>
        <v/>
      </c>
    </row>
    <row r="93" spans="1:271" x14ac:dyDescent="0.3">
      <c r="A93" t="str">
        <f>"c.zMETAB10#c.PM1"</f>
        <v>c.zMETAB10#c.PM1</v>
      </c>
      <c r="B93" t="str">
        <f>""</f>
        <v/>
      </c>
      <c r="C93" t="str">
        <f>""</f>
        <v/>
      </c>
      <c r="D93" t="str">
        <f>""</f>
        <v/>
      </c>
      <c r="E93" t="str">
        <f>""</f>
        <v/>
      </c>
      <c r="F93" t="str">
        <f>""</f>
        <v/>
      </c>
      <c r="G93" t="str">
        <f>""</f>
        <v/>
      </c>
      <c r="H93" t="str">
        <f>""</f>
        <v/>
      </c>
      <c r="I93" t="str">
        <f>""</f>
        <v/>
      </c>
      <c r="J93" t="str">
        <f>""</f>
        <v/>
      </c>
      <c r="K93" t="str">
        <f>""</f>
        <v/>
      </c>
      <c r="L93" t="str">
        <f>""</f>
        <v/>
      </c>
      <c r="M93" t="str">
        <f>""</f>
        <v/>
      </c>
      <c r="N93" t="str">
        <f>""</f>
        <v/>
      </c>
      <c r="O93" t="str">
        <f>""</f>
        <v/>
      </c>
      <c r="P93" t="str">
        <f>""</f>
        <v/>
      </c>
      <c r="Q93" t="str">
        <f>""</f>
        <v/>
      </c>
      <c r="R93" t="str">
        <f>""</f>
        <v/>
      </c>
      <c r="S93" t="str">
        <f>""</f>
        <v/>
      </c>
      <c r="T93" t="str">
        <f>""</f>
        <v/>
      </c>
      <c r="U93" t="str">
        <f>""</f>
        <v/>
      </c>
      <c r="V93" t="str">
        <f>""</f>
        <v/>
      </c>
      <c r="W93" t="str">
        <f>""</f>
        <v/>
      </c>
      <c r="X93" t="str">
        <f>""</f>
        <v/>
      </c>
      <c r="Y93" t="str">
        <f>""</f>
        <v/>
      </c>
      <c r="Z93" t="str">
        <f>""</f>
        <v/>
      </c>
      <c r="AA93" t="str">
        <f>""</f>
        <v/>
      </c>
      <c r="AB93" t="str">
        <f>""</f>
        <v/>
      </c>
      <c r="AC93" t="str">
        <f>"0.324**"</f>
        <v>0.324**</v>
      </c>
      <c r="AD93" t="str">
        <f>"0.0137"</f>
        <v>0.0137</v>
      </c>
      <c r="AE93" t="str">
        <f>"0.0116"</f>
        <v>0.0116</v>
      </c>
      <c r="AF93" t="str">
        <f>""</f>
        <v/>
      </c>
      <c r="AG93" t="str">
        <f>""</f>
        <v/>
      </c>
      <c r="AH93" t="str">
        <f>""</f>
        <v/>
      </c>
      <c r="AI93" t="str">
        <f>""</f>
        <v/>
      </c>
      <c r="AJ93" t="str">
        <f>""</f>
        <v/>
      </c>
      <c r="AK93" t="str">
        <f>""</f>
        <v/>
      </c>
      <c r="AL93" t="str">
        <f>""</f>
        <v/>
      </c>
      <c r="AM93" t="str">
        <f>""</f>
        <v/>
      </c>
      <c r="AN93" t="str">
        <f>""</f>
        <v/>
      </c>
      <c r="AO93" t="str">
        <f>""</f>
        <v/>
      </c>
      <c r="AP93" t="str">
        <f>""</f>
        <v/>
      </c>
      <c r="AQ93" t="str">
        <f>""</f>
        <v/>
      </c>
      <c r="AR93" t="str">
        <f>""</f>
        <v/>
      </c>
      <c r="AS93" t="str">
        <f>""</f>
        <v/>
      </c>
      <c r="AT93" t="str">
        <f>""</f>
        <v/>
      </c>
      <c r="AU93" t="str">
        <f>""</f>
        <v/>
      </c>
      <c r="AV93" t="str">
        <f>""</f>
        <v/>
      </c>
      <c r="AW93" t="str">
        <f>""</f>
        <v/>
      </c>
      <c r="AX93" t="str">
        <f>""</f>
        <v/>
      </c>
      <c r="AY93" t="str">
        <f>""</f>
        <v/>
      </c>
      <c r="AZ93" t="str">
        <f>""</f>
        <v/>
      </c>
      <c r="BA93" t="str">
        <f>""</f>
        <v/>
      </c>
      <c r="BB93" t="str">
        <f>""</f>
        <v/>
      </c>
      <c r="BC93" t="str">
        <f>""</f>
        <v/>
      </c>
      <c r="BD93" t="str">
        <f>""</f>
        <v/>
      </c>
      <c r="BE93" t="str">
        <f>""</f>
        <v/>
      </c>
      <c r="BF93" t="str">
        <f>""</f>
        <v/>
      </c>
      <c r="BG93" t="str">
        <f>""</f>
        <v/>
      </c>
      <c r="BH93" t="str">
        <f>""</f>
        <v/>
      </c>
      <c r="BI93" t="str">
        <f>""</f>
        <v/>
      </c>
      <c r="BJ93" t="str">
        <f>""</f>
        <v/>
      </c>
      <c r="BK93" t="str">
        <f>""</f>
        <v/>
      </c>
      <c r="BL93" t="str">
        <f>""</f>
        <v/>
      </c>
      <c r="BM93" t="str">
        <f>""</f>
        <v/>
      </c>
      <c r="BN93" t="str">
        <f>""</f>
        <v/>
      </c>
      <c r="BO93" t="str">
        <f>""</f>
        <v/>
      </c>
      <c r="BP93" t="str">
        <f>""</f>
        <v/>
      </c>
      <c r="BQ93" t="str">
        <f>""</f>
        <v/>
      </c>
      <c r="BR93" t="str">
        <f>""</f>
        <v/>
      </c>
      <c r="BS93" t="str">
        <f>""</f>
        <v/>
      </c>
      <c r="BT93" t="str">
        <f>""</f>
        <v/>
      </c>
      <c r="BU93" t="str">
        <f>""</f>
        <v/>
      </c>
      <c r="BV93" t="str">
        <f>""</f>
        <v/>
      </c>
      <c r="BW93" t="str">
        <f>""</f>
        <v/>
      </c>
      <c r="BX93" t="str">
        <f>""</f>
        <v/>
      </c>
      <c r="BY93" t="str">
        <f>""</f>
        <v/>
      </c>
      <c r="BZ93" t="str">
        <f>""</f>
        <v/>
      </c>
      <c r="CA93" t="str">
        <f>""</f>
        <v/>
      </c>
      <c r="CB93" t="str">
        <f>""</f>
        <v/>
      </c>
      <c r="CC93" t="str">
        <f>""</f>
        <v/>
      </c>
      <c r="CD93" t="str">
        <f>""</f>
        <v/>
      </c>
      <c r="CE93" t="str">
        <f>""</f>
        <v/>
      </c>
      <c r="CF93" t="str">
        <f>""</f>
        <v/>
      </c>
      <c r="CG93" t="str">
        <f>""</f>
        <v/>
      </c>
      <c r="CH93" t="str">
        <f>""</f>
        <v/>
      </c>
      <c r="CI93" t="str">
        <f>""</f>
        <v/>
      </c>
      <c r="CJ93" t="str">
        <f>""</f>
        <v/>
      </c>
      <c r="CK93" t="str">
        <f>""</f>
        <v/>
      </c>
      <c r="CL93" t="str">
        <f>""</f>
        <v/>
      </c>
      <c r="CM93" t="str">
        <f>""</f>
        <v/>
      </c>
      <c r="CN93" t="str">
        <f>""</f>
        <v/>
      </c>
      <c r="CO93" t="str">
        <f>""</f>
        <v/>
      </c>
      <c r="CP93" t="str">
        <f>""</f>
        <v/>
      </c>
      <c r="CQ93" t="str">
        <f>""</f>
        <v/>
      </c>
      <c r="CR93" t="str">
        <f>""</f>
        <v/>
      </c>
      <c r="CS93" t="str">
        <f>""</f>
        <v/>
      </c>
      <c r="CT93" t="str">
        <f>""</f>
        <v/>
      </c>
      <c r="CU93" t="str">
        <f>""</f>
        <v/>
      </c>
      <c r="CV93" t="str">
        <f>""</f>
        <v/>
      </c>
      <c r="CW93" t="str">
        <f>""</f>
        <v/>
      </c>
      <c r="CX93" t="str">
        <f>""</f>
        <v/>
      </c>
      <c r="CY93" t="str">
        <f>""</f>
        <v/>
      </c>
      <c r="CZ93" t="str">
        <f>""</f>
        <v/>
      </c>
      <c r="DA93" t="str">
        <f>""</f>
        <v/>
      </c>
      <c r="DB93" t="str">
        <f>""</f>
        <v/>
      </c>
      <c r="DC93" t="str">
        <f>""</f>
        <v/>
      </c>
      <c r="DD93" t="str">
        <f>""</f>
        <v/>
      </c>
      <c r="DE93" t="str">
        <f>""</f>
        <v/>
      </c>
      <c r="DF93" t="str">
        <f>""</f>
        <v/>
      </c>
      <c r="DG93" t="str">
        <f>""</f>
        <v/>
      </c>
      <c r="DH93" t="str">
        <f>""</f>
        <v/>
      </c>
      <c r="DI93" t="str">
        <f>""</f>
        <v/>
      </c>
      <c r="DJ93" t="str">
        <f>""</f>
        <v/>
      </c>
      <c r="DK93" t="str">
        <f>""</f>
        <v/>
      </c>
      <c r="DL93" t="str">
        <f>""</f>
        <v/>
      </c>
      <c r="DM93" t="str">
        <f>""</f>
        <v/>
      </c>
      <c r="DN93" t="str">
        <f>""</f>
        <v/>
      </c>
      <c r="DO93" t="str">
        <f>""</f>
        <v/>
      </c>
      <c r="DP93" t="str">
        <f>""</f>
        <v/>
      </c>
      <c r="DQ93" t="str">
        <f>""</f>
        <v/>
      </c>
      <c r="DR93" t="str">
        <f>""</f>
        <v/>
      </c>
      <c r="DS93" t="str">
        <f>""</f>
        <v/>
      </c>
      <c r="DT93" t="str">
        <f>""</f>
        <v/>
      </c>
      <c r="DU93" t="str">
        <f>""</f>
        <v/>
      </c>
      <c r="DV93" t="str">
        <f>""</f>
        <v/>
      </c>
      <c r="DW93" t="str">
        <f>""</f>
        <v/>
      </c>
      <c r="DX93" t="str">
        <f>""</f>
        <v/>
      </c>
      <c r="DY93" t="str">
        <f>""</f>
        <v/>
      </c>
      <c r="DZ93" t="str">
        <f>""</f>
        <v/>
      </c>
      <c r="EA93" t="str">
        <f>""</f>
        <v/>
      </c>
      <c r="EB93" t="str">
        <f>""</f>
        <v/>
      </c>
      <c r="EC93" t="str">
        <f>""</f>
        <v/>
      </c>
      <c r="ED93" t="str">
        <f>""</f>
        <v/>
      </c>
      <c r="EE93" t="str">
        <f>""</f>
        <v/>
      </c>
      <c r="EF93" t="str">
        <f>""</f>
        <v/>
      </c>
      <c r="EG93" t="str">
        <f>""</f>
        <v/>
      </c>
      <c r="EH93" t="str">
        <f>""</f>
        <v/>
      </c>
      <c r="EI93" t="str">
        <f>""</f>
        <v/>
      </c>
      <c r="EJ93" t="str">
        <f>""</f>
        <v/>
      </c>
      <c r="EK93" t="str">
        <f>""</f>
        <v/>
      </c>
      <c r="EL93" t="str">
        <f>""</f>
        <v/>
      </c>
      <c r="EM93" t="str">
        <f>""</f>
        <v/>
      </c>
      <c r="EN93" t="str">
        <f>""</f>
        <v/>
      </c>
      <c r="EO93" t="str">
        <f>""</f>
        <v/>
      </c>
      <c r="EP93" t="str">
        <f>""</f>
        <v/>
      </c>
      <c r="EQ93" t="str">
        <f>""</f>
        <v/>
      </c>
      <c r="ER93" t="str">
        <f>""</f>
        <v/>
      </c>
      <c r="ES93" t="str">
        <f>""</f>
        <v/>
      </c>
      <c r="ET93" t="str">
        <f>""</f>
        <v/>
      </c>
      <c r="EU93" t="str">
        <f>""</f>
        <v/>
      </c>
      <c r="EV93" t="str">
        <f>""</f>
        <v/>
      </c>
      <c r="EW93" t="str">
        <f>""</f>
        <v/>
      </c>
      <c r="EX93" t="str">
        <f>""</f>
        <v/>
      </c>
      <c r="EY93" t="str">
        <f>""</f>
        <v/>
      </c>
      <c r="EZ93" t="str">
        <f>""</f>
        <v/>
      </c>
      <c r="FA93" t="str">
        <f>""</f>
        <v/>
      </c>
      <c r="FB93" t="str">
        <f>""</f>
        <v/>
      </c>
      <c r="FC93" t="str">
        <f>""</f>
        <v/>
      </c>
      <c r="FD93" t="str">
        <f>""</f>
        <v/>
      </c>
      <c r="FE93" t="str">
        <f>""</f>
        <v/>
      </c>
      <c r="FF93" t="str">
        <f>""</f>
        <v/>
      </c>
      <c r="FG93" t="str">
        <f>""</f>
        <v/>
      </c>
      <c r="FH93" t="str">
        <f>""</f>
        <v/>
      </c>
      <c r="FI93" t="str">
        <f>""</f>
        <v/>
      </c>
      <c r="FJ93" t="str">
        <f>""</f>
        <v/>
      </c>
      <c r="FK93" t="str">
        <f>""</f>
        <v/>
      </c>
      <c r="FL93" t="str">
        <f>""</f>
        <v/>
      </c>
      <c r="FM93" t="str">
        <f>""</f>
        <v/>
      </c>
      <c r="FN93" t="str">
        <f>""</f>
        <v/>
      </c>
      <c r="FO93" t="str">
        <f>""</f>
        <v/>
      </c>
      <c r="FP93" t="str">
        <f>""</f>
        <v/>
      </c>
      <c r="FQ93" t="str">
        <f>""</f>
        <v/>
      </c>
      <c r="FR93" t="str">
        <f>""</f>
        <v/>
      </c>
      <c r="FS93" t="str">
        <f>""</f>
        <v/>
      </c>
      <c r="FT93" t="str">
        <f>""</f>
        <v/>
      </c>
      <c r="FU93" t="str">
        <f>""</f>
        <v/>
      </c>
      <c r="FV93" t="str">
        <f>""</f>
        <v/>
      </c>
      <c r="FW93" t="str">
        <f>""</f>
        <v/>
      </c>
      <c r="FX93" t="str">
        <f>""</f>
        <v/>
      </c>
      <c r="FY93" t="str">
        <f>""</f>
        <v/>
      </c>
      <c r="FZ93" t="str">
        <f>""</f>
        <v/>
      </c>
      <c r="GA93" t="str">
        <f>""</f>
        <v/>
      </c>
      <c r="GB93" t="str">
        <f>""</f>
        <v/>
      </c>
      <c r="GC93" t="str">
        <f>""</f>
        <v/>
      </c>
      <c r="GD93" t="str">
        <f>""</f>
        <v/>
      </c>
      <c r="GE93" t="str">
        <f>""</f>
        <v/>
      </c>
      <c r="GF93" t="str">
        <f>""</f>
        <v/>
      </c>
      <c r="GG93" t="str">
        <f>""</f>
        <v/>
      </c>
      <c r="GH93" t="str">
        <f>""</f>
        <v/>
      </c>
      <c r="GI93" t="str">
        <f>""</f>
        <v/>
      </c>
      <c r="GJ93" t="str">
        <f>""</f>
        <v/>
      </c>
      <c r="GK93" t="str">
        <f>""</f>
        <v/>
      </c>
      <c r="GL93" t="str">
        <f>""</f>
        <v/>
      </c>
      <c r="GM93" t="str">
        <f>""</f>
        <v/>
      </c>
      <c r="GN93" t="str">
        <f>""</f>
        <v/>
      </c>
      <c r="GO93" t="str">
        <f>""</f>
        <v/>
      </c>
      <c r="GP93" t="str">
        <f>""</f>
        <v/>
      </c>
      <c r="GQ93" t="str">
        <f>""</f>
        <v/>
      </c>
      <c r="GR93" t="str">
        <f>""</f>
        <v/>
      </c>
      <c r="GS93" t="str">
        <f>""</f>
        <v/>
      </c>
      <c r="GT93" t="str">
        <f>""</f>
        <v/>
      </c>
      <c r="GU93" t="str">
        <f>""</f>
        <v/>
      </c>
      <c r="GV93" t="str">
        <f>""</f>
        <v/>
      </c>
      <c r="GW93" t="str">
        <f>""</f>
        <v/>
      </c>
      <c r="GX93" t="str">
        <f>""</f>
        <v/>
      </c>
      <c r="GY93" t="str">
        <f>""</f>
        <v/>
      </c>
      <c r="GZ93" t="str">
        <f>""</f>
        <v/>
      </c>
      <c r="HA93" t="str">
        <f>""</f>
        <v/>
      </c>
      <c r="HB93" t="str">
        <f>""</f>
        <v/>
      </c>
      <c r="HC93" t="str">
        <f>""</f>
        <v/>
      </c>
      <c r="HD93" t="str">
        <f>""</f>
        <v/>
      </c>
      <c r="HE93" t="str">
        <f>""</f>
        <v/>
      </c>
      <c r="HF93" t="str">
        <f>""</f>
        <v/>
      </c>
      <c r="HG93" t="str">
        <f>""</f>
        <v/>
      </c>
      <c r="HH93" t="str">
        <f>""</f>
        <v/>
      </c>
      <c r="HI93" t="str">
        <f>""</f>
        <v/>
      </c>
      <c r="HJ93" t="str">
        <f>""</f>
        <v/>
      </c>
      <c r="HK93" t="str">
        <f>""</f>
        <v/>
      </c>
      <c r="HL93" t="str">
        <f>""</f>
        <v/>
      </c>
      <c r="HM93" t="str">
        <f>""</f>
        <v/>
      </c>
      <c r="HN93" t="str">
        <f>""</f>
        <v/>
      </c>
      <c r="HO93" t="str">
        <f>""</f>
        <v/>
      </c>
      <c r="HP93" t="str">
        <f>""</f>
        <v/>
      </c>
      <c r="HQ93" t="str">
        <f>""</f>
        <v/>
      </c>
      <c r="HR93" t="str">
        <f>""</f>
        <v/>
      </c>
      <c r="HS93" t="str">
        <f>""</f>
        <v/>
      </c>
      <c r="HT93" t="str">
        <f>""</f>
        <v/>
      </c>
      <c r="HU93" t="str">
        <f>""</f>
        <v/>
      </c>
      <c r="HV93" t="str">
        <f>""</f>
        <v/>
      </c>
      <c r="HW93" t="str">
        <f>""</f>
        <v/>
      </c>
      <c r="HX93" t="str">
        <f>""</f>
        <v/>
      </c>
      <c r="HY93" t="str">
        <f>""</f>
        <v/>
      </c>
      <c r="HZ93" t="str">
        <f>""</f>
        <v/>
      </c>
      <c r="IA93" t="str">
        <f>""</f>
        <v/>
      </c>
      <c r="IB93" t="str">
        <f>""</f>
        <v/>
      </c>
      <c r="IC93" t="str">
        <f>""</f>
        <v/>
      </c>
      <c r="ID93" t="str">
        <f>""</f>
        <v/>
      </c>
      <c r="IE93" t="str">
        <f>""</f>
        <v/>
      </c>
      <c r="IF93" t="str">
        <f>""</f>
        <v/>
      </c>
      <c r="IG93" t="str">
        <f>""</f>
        <v/>
      </c>
      <c r="IH93" t="str">
        <f>""</f>
        <v/>
      </c>
      <c r="II93" t="str">
        <f>""</f>
        <v/>
      </c>
      <c r="IJ93" t="str">
        <f>""</f>
        <v/>
      </c>
      <c r="IK93" t="str">
        <f>""</f>
        <v/>
      </c>
      <c r="IL93" t="str">
        <f>""</f>
        <v/>
      </c>
      <c r="IM93" t="str">
        <f>""</f>
        <v/>
      </c>
      <c r="IN93" t="str">
        <f>""</f>
        <v/>
      </c>
      <c r="IO93" t="str">
        <f>""</f>
        <v/>
      </c>
      <c r="IP93" t="str">
        <f>""</f>
        <v/>
      </c>
      <c r="IQ93" t="str">
        <f>""</f>
        <v/>
      </c>
      <c r="IR93" t="str">
        <f>""</f>
        <v/>
      </c>
      <c r="IS93" t="str">
        <f>""</f>
        <v/>
      </c>
      <c r="IT93" t="str">
        <f>""</f>
        <v/>
      </c>
      <c r="IU93" t="str">
        <f>""</f>
        <v/>
      </c>
      <c r="IV93" t="str">
        <f>""</f>
        <v/>
      </c>
      <c r="IW93" t="str">
        <f>""</f>
        <v/>
      </c>
      <c r="IX93" t="str">
        <f>""</f>
        <v/>
      </c>
      <c r="IY93" t="str">
        <f>""</f>
        <v/>
      </c>
      <c r="IZ93" t="str">
        <f>""</f>
        <v/>
      </c>
      <c r="JA93" t="str">
        <f>""</f>
        <v/>
      </c>
      <c r="JB93" t="str">
        <f>""</f>
        <v/>
      </c>
      <c r="JC93" t="str">
        <f>""</f>
        <v/>
      </c>
      <c r="JD93" t="str">
        <f>""</f>
        <v/>
      </c>
      <c r="JE93" t="str">
        <f>""</f>
        <v/>
      </c>
      <c r="JF93" t="str">
        <f>""</f>
        <v/>
      </c>
      <c r="JG93" t="str">
        <f>""</f>
        <v/>
      </c>
      <c r="JH93" t="str">
        <f>""</f>
        <v/>
      </c>
      <c r="JI93" t="str">
        <f>""</f>
        <v/>
      </c>
      <c r="JJ93" t="str">
        <f>""</f>
        <v/>
      </c>
      <c r="JK93" t="str">
        <f>""</f>
        <v/>
      </c>
    </row>
    <row r="94" spans="1:271" x14ac:dyDescent="0.3">
      <c r="A94" t="str">
        <f>""</f>
        <v/>
      </c>
      <c r="B94" t="str">
        <f>""</f>
        <v/>
      </c>
      <c r="C94" t="str">
        <f>""</f>
        <v/>
      </c>
      <c r="D94" t="str">
        <f>""</f>
        <v/>
      </c>
      <c r="E94" t="str">
        <f>""</f>
        <v/>
      </c>
      <c r="F94" t="str">
        <f>""</f>
        <v/>
      </c>
      <c r="G94" t="str">
        <f>""</f>
        <v/>
      </c>
      <c r="H94" t="str">
        <f>""</f>
        <v/>
      </c>
      <c r="I94" t="str">
        <f>""</f>
        <v/>
      </c>
      <c r="J94" t="str">
        <f>""</f>
        <v/>
      </c>
      <c r="K94" t="str">
        <f>""</f>
        <v/>
      </c>
      <c r="L94" t="str">
        <f>""</f>
        <v/>
      </c>
      <c r="M94" t="str">
        <f>""</f>
        <v/>
      </c>
      <c r="N94" t="str">
        <f>""</f>
        <v/>
      </c>
      <c r="O94" t="str">
        <f>""</f>
        <v/>
      </c>
      <c r="P94" t="str">
        <f>""</f>
        <v/>
      </c>
      <c r="Q94" t="str">
        <f>""</f>
        <v/>
      </c>
      <c r="R94" t="str">
        <f>""</f>
        <v/>
      </c>
      <c r="S94" t="str">
        <f>""</f>
        <v/>
      </c>
      <c r="T94" t="str">
        <f>""</f>
        <v/>
      </c>
      <c r="U94" t="str">
        <f>""</f>
        <v/>
      </c>
      <c r="V94" t="str">
        <f>""</f>
        <v/>
      </c>
      <c r="W94" t="str">
        <f>""</f>
        <v/>
      </c>
      <c r="X94" t="str">
        <f>""</f>
        <v/>
      </c>
      <c r="Y94" t="str">
        <f>""</f>
        <v/>
      </c>
      <c r="Z94" t="str">
        <f>""</f>
        <v/>
      </c>
      <c r="AA94" t="str">
        <f>""</f>
        <v/>
      </c>
      <c r="AB94" t="str">
        <f>""</f>
        <v/>
      </c>
      <c r="AC94" t="str">
        <f>"(0.102)"</f>
        <v>(0.102)</v>
      </c>
      <c r="AD94" t="str">
        <f>"(0.0822)"</f>
        <v>(0.0822)</v>
      </c>
      <c r="AE94" t="str">
        <f>"(0.0437)"</f>
        <v>(0.0437)</v>
      </c>
      <c r="AF94" t="str">
        <f>""</f>
        <v/>
      </c>
      <c r="AG94" t="str">
        <f>""</f>
        <v/>
      </c>
      <c r="AH94" t="str">
        <f>""</f>
        <v/>
      </c>
      <c r="AI94" t="str">
        <f>""</f>
        <v/>
      </c>
      <c r="AJ94" t="str">
        <f>""</f>
        <v/>
      </c>
      <c r="AK94" t="str">
        <f>""</f>
        <v/>
      </c>
      <c r="AL94" t="str">
        <f>""</f>
        <v/>
      </c>
      <c r="AM94" t="str">
        <f>""</f>
        <v/>
      </c>
      <c r="AN94" t="str">
        <f>""</f>
        <v/>
      </c>
      <c r="AO94" t="str">
        <f>""</f>
        <v/>
      </c>
      <c r="AP94" t="str">
        <f>""</f>
        <v/>
      </c>
      <c r="AQ94" t="str">
        <f>""</f>
        <v/>
      </c>
      <c r="AR94" t="str">
        <f>""</f>
        <v/>
      </c>
      <c r="AS94" t="str">
        <f>""</f>
        <v/>
      </c>
      <c r="AT94" t="str">
        <f>""</f>
        <v/>
      </c>
      <c r="AU94" t="str">
        <f>""</f>
        <v/>
      </c>
      <c r="AV94" t="str">
        <f>""</f>
        <v/>
      </c>
      <c r="AW94" t="str">
        <f>""</f>
        <v/>
      </c>
      <c r="AX94" t="str">
        <f>""</f>
        <v/>
      </c>
      <c r="AY94" t="str">
        <f>""</f>
        <v/>
      </c>
      <c r="AZ94" t="str">
        <f>""</f>
        <v/>
      </c>
      <c r="BA94" t="str">
        <f>""</f>
        <v/>
      </c>
      <c r="BB94" t="str">
        <f>""</f>
        <v/>
      </c>
      <c r="BC94" t="str">
        <f>""</f>
        <v/>
      </c>
      <c r="BD94" t="str">
        <f>""</f>
        <v/>
      </c>
      <c r="BE94" t="str">
        <f>""</f>
        <v/>
      </c>
      <c r="BF94" t="str">
        <f>""</f>
        <v/>
      </c>
      <c r="BG94" t="str">
        <f>""</f>
        <v/>
      </c>
      <c r="BH94" t="str">
        <f>""</f>
        <v/>
      </c>
      <c r="BI94" t="str">
        <f>""</f>
        <v/>
      </c>
      <c r="BJ94" t="str">
        <f>""</f>
        <v/>
      </c>
      <c r="BK94" t="str">
        <f>""</f>
        <v/>
      </c>
      <c r="BL94" t="str">
        <f>""</f>
        <v/>
      </c>
      <c r="BM94" t="str">
        <f>""</f>
        <v/>
      </c>
      <c r="BN94" t="str">
        <f>""</f>
        <v/>
      </c>
      <c r="BO94" t="str">
        <f>""</f>
        <v/>
      </c>
      <c r="BP94" t="str">
        <f>""</f>
        <v/>
      </c>
      <c r="BQ94" t="str">
        <f>""</f>
        <v/>
      </c>
      <c r="BR94" t="str">
        <f>""</f>
        <v/>
      </c>
      <c r="BS94" t="str">
        <f>""</f>
        <v/>
      </c>
      <c r="BT94" t="str">
        <f>""</f>
        <v/>
      </c>
      <c r="BU94" t="str">
        <f>""</f>
        <v/>
      </c>
      <c r="BV94" t="str">
        <f>""</f>
        <v/>
      </c>
      <c r="BW94" t="str">
        <f>""</f>
        <v/>
      </c>
      <c r="BX94" t="str">
        <f>""</f>
        <v/>
      </c>
      <c r="BY94" t="str">
        <f>""</f>
        <v/>
      </c>
      <c r="BZ94" t="str">
        <f>""</f>
        <v/>
      </c>
      <c r="CA94" t="str">
        <f>""</f>
        <v/>
      </c>
      <c r="CB94" t="str">
        <f>""</f>
        <v/>
      </c>
      <c r="CC94" t="str">
        <f>""</f>
        <v/>
      </c>
      <c r="CD94" t="str">
        <f>""</f>
        <v/>
      </c>
      <c r="CE94" t="str">
        <f>""</f>
        <v/>
      </c>
      <c r="CF94" t="str">
        <f>""</f>
        <v/>
      </c>
      <c r="CG94" t="str">
        <f>""</f>
        <v/>
      </c>
      <c r="CH94" t="str">
        <f>""</f>
        <v/>
      </c>
      <c r="CI94" t="str">
        <f>""</f>
        <v/>
      </c>
      <c r="CJ94" t="str">
        <f>""</f>
        <v/>
      </c>
      <c r="CK94" t="str">
        <f>""</f>
        <v/>
      </c>
      <c r="CL94" t="str">
        <f>""</f>
        <v/>
      </c>
      <c r="CM94" t="str">
        <f>""</f>
        <v/>
      </c>
      <c r="CN94" t="str">
        <f>""</f>
        <v/>
      </c>
      <c r="CO94" t="str">
        <f>""</f>
        <v/>
      </c>
      <c r="CP94" t="str">
        <f>""</f>
        <v/>
      </c>
      <c r="CQ94" t="str">
        <f>""</f>
        <v/>
      </c>
      <c r="CR94" t="str">
        <f>""</f>
        <v/>
      </c>
      <c r="CS94" t="str">
        <f>""</f>
        <v/>
      </c>
      <c r="CT94" t="str">
        <f>""</f>
        <v/>
      </c>
      <c r="CU94" t="str">
        <f>""</f>
        <v/>
      </c>
      <c r="CV94" t="str">
        <f>""</f>
        <v/>
      </c>
      <c r="CW94" t="str">
        <f>""</f>
        <v/>
      </c>
      <c r="CX94" t="str">
        <f>""</f>
        <v/>
      </c>
      <c r="CY94" t="str">
        <f>""</f>
        <v/>
      </c>
      <c r="CZ94" t="str">
        <f>""</f>
        <v/>
      </c>
      <c r="DA94" t="str">
        <f>""</f>
        <v/>
      </c>
      <c r="DB94" t="str">
        <f>""</f>
        <v/>
      </c>
      <c r="DC94" t="str">
        <f>""</f>
        <v/>
      </c>
      <c r="DD94" t="str">
        <f>""</f>
        <v/>
      </c>
      <c r="DE94" t="str">
        <f>""</f>
        <v/>
      </c>
      <c r="DF94" t="str">
        <f>""</f>
        <v/>
      </c>
      <c r="DG94" t="str">
        <f>""</f>
        <v/>
      </c>
      <c r="DH94" t="str">
        <f>""</f>
        <v/>
      </c>
      <c r="DI94" t="str">
        <f>""</f>
        <v/>
      </c>
      <c r="DJ94" t="str">
        <f>""</f>
        <v/>
      </c>
      <c r="DK94" t="str">
        <f>""</f>
        <v/>
      </c>
      <c r="DL94" t="str">
        <f>""</f>
        <v/>
      </c>
      <c r="DM94" t="str">
        <f>""</f>
        <v/>
      </c>
      <c r="DN94" t="str">
        <f>""</f>
        <v/>
      </c>
      <c r="DO94" t="str">
        <f>""</f>
        <v/>
      </c>
      <c r="DP94" t="str">
        <f>""</f>
        <v/>
      </c>
      <c r="DQ94" t="str">
        <f>""</f>
        <v/>
      </c>
      <c r="DR94" t="str">
        <f>""</f>
        <v/>
      </c>
      <c r="DS94" t="str">
        <f>""</f>
        <v/>
      </c>
      <c r="DT94" t="str">
        <f>""</f>
        <v/>
      </c>
      <c r="DU94" t="str">
        <f>""</f>
        <v/>
      </c>
      <c r="DV94" t="str">
        <f>""</f>
        <v/>
      </c>
      <c r="DW94" t="str">
        <f>""</f>
        <v/>
      </c>
      <c r="DX94" t="str">
        <f>""</f>
        <v/>
      </c>
      <c r="DY94" t="str">
        <f>""</f>
        <v/>
      </c>
      <c r="DZ94" t="str">
        <f>""</f>
        <v/>
      </c>
      <c r="EA94" t="str">
        <f>""</f>
        <v/>
      </c>
      <c r="EB94" t="str">
        <f>""</f>
        <v/>
      </c>
      <c r="EC94" t="str">
        <f>""</f>
        <v/>
      </c>
      <c r="ED94" t="str">
        <f>""</f>
        <v/>
      </c>
      <c r="EE94" t="str">
        <f>""</f>
        <v/>
      </c>
      <c r="EF94" t="str">
        <f>""</f>
        <v/>
      </c>
      <c r="EG94" t="str">
        <f>""</f>
        <v/>
      </c>
      <c r="EH94" t="str">
        <f>""</f>
        <v/>
      </c>
      <c r="EI94" t="str">
        <f>""</f>
        <v/>
      </c>
      <c r="EJ94" t="str">
        <f>""</f>
        <v/>
      </c>
      <c r="EK94" t="str">
        <f>""</f>
        <v/>
      </c>
      <c r="EL94" t="str">
        <f>""</f>
        <v/>
      </c>
      <c r="EM94" t="str">
        <f>""</f>
        <v/>
      </c>
      <c r="EN94" t="str">
        <f>""</f>
        <v/>
      </c>
      <c r="EO94" t="str">
        <f>""</f>
        <v/>
      </c>
      <c r="EP94" t="str">
        <f>""</f>
        <v/>
      </c>
      <c r="EQ94" t="str">
        <f>""</f>
        <v/>
      </c>
      <c r="ER94" t="str">
        <f>""</f>
        <v/>
      </c>
      <c r="ES94" t="str">
        <f>""</f>
        <v/>
      </c>
      <c r="ET94" t="str">
        <f>""</f>
        <v/>
      </c>
      <c r="EU94" t="str">
        <f>""</f>
        <v/>
      </c>
      <c r="EV94" t="str">
        <f>""</f>
        <v/>
      </c>
      <c r="EW94" t="str">
        <f>""</f>
        <v/>
      </c>
      <c r="EX94" t="str">
        <f>""</f>
        <v/>
      </c>
      <c r="EY94" t="str">
        <f>""</f>
        <v/>
      </c>
      <c r="EZ94" t="str">
        <f>""</f>
        <v/>
      </c>
      <c r="FA94" t="str">
        <f>""</f>
        <v/>
      </c>
      <c r="FB94" t="str">
        <f>""</f>
        <v/>
      </c>
      <c r="FC94" t="str">
        <f>""</f>
        <v/>
      </c>
      <c r="FD94" t="str">
        <f>""</f>
        <v/>
      </c>
      <c r="FE94" t="str">
        <f>""</f>
        <v/>
      </c>
      <c r="FF94" t="str">
        <f>""</f>
        <v/>
      </c>
      <c r="FG94" t="str">
        <f>""</f>
        <v/>
      </c>
      <c r="FH94" t="str">
        <f>""</f>
        <v/>
      </c>
      <c r="FI94" t="str">
        <f>""</f>
        <v/>
      </c>
      <c r="FJ94" t="str">
        <f>""</f>
        <v/>
      </c>
      <c r="FK94" t="str">
        <f>""</f>
        <v/>
      </c>
      <c r="FL94" t="str">
        <f>""</f>
        <v/>
      </c>
      <c r="FM94" t="str">
        <f>""</f>
        <v/>
      </c>
      <c r="FN94" t="str">
        <f>""</f>
        <v/>
      </c>
      <c r="FO94" t="str">
        <f>""</f>
        <v/>
      </c>
      <c r="FP94" t="str">
        <f>""</f>
        <v/>
      </c>
      <c r="FQ94" t="str">
        <f>""</f>
        <v/>
      </c>
      <c r="FR94" t="str">
        <f>""</f>
        <v/>
      </c>
      <c r="FS94" t="str">
        <f>""</f>
        <v/>
      </c>
      <c r="FT94" t="str">
        <f>""</f>
        <v/>
      </c>
      <c r="FU94" t="str">
        <f>""</f>
        <v/>
      </c>
      <c r="FV94" t="str">
        <f>""</f>
        <v/>
      </c>
      <c r="FW94" t="str">
        <f>""</f>
        <v/>
      </c>
      <c r="FX94" t="str">
        <f>""</f>
        <v/>
      </c>
      <c r="FY94" t="str">
        <f>""</f>
        <v/>
      </c>
      <c r="FZ94" t="str">
        <f>""</f>
        <v/>
      </c>
      <c r="GA94" t="str">
        <f>""</f>
        <v/>
      </c>
      <c r="GB94" t="str">
        <f>""</f>
        <v/>
      </c>
      <c r="GC94" t="str">
        <f>""</f>
        <v/>
      </c>
      <c r="GD94" t="str">
        <f>""</f>
        <v/>
      </c>
      <c r="GE94" t="str">
        <f>""</f>
        <v/>
      </c>
      <c r="GF94" t="str">
        <f>""</f>
        <v/>
      </c>
      <c r="GG94" t="str">
        <f>""</f>
        <v/>
      </c>
      <c r="GH94" t="str">
        <f>""</f>
        <v/>
      </c>
      <c r="GI94" t="str">
        <f>""</f>
        <v/>
      </c>
      <c r="GJ94" t="str">
        <f>""</f>
        <v/>
      </c>
      <c r="GK94" t="str">
        <f>""</f>
        <v/>
      </c>
      <c r="GL94" t="str">
        <f>""</f>
        <v/>
      </c>
      <c r="GM94" t="str">
        <f>""</f>
        <v/>
      </c>
      <c r="GN94" t="str">
        <f>""</f>
        <v/>
      </c>
      <c r="GO94" t="str">
        <f>""</f>
        <v/>
      </c>
      <c r="GP94" t="str">
        <f>""</f>
        <v/>
      </c>
      <c r="GQ94" t="str">
        <f>""</f>
        <v/>
      </c>
      <c r="GR94" t="str">
        <f>""</f>
        <v/>
      </c>
      <c r="GS94" t="str">
        <f>""</f>
        <v/>
      </c>
      <c r="GT94" t="str">
        <f>""</f>
        <v/>
      </c>
      <c r="GU94" t="str">
        <f>""</f>
        <v/>
      </c>
      <c r="GV94" t="str">
        <f>""</f>
        <v/>
      </c>
      <c r="GW94" t="str">
        <f>""</f>
        <v/>
      </c>
      <c r="GX94" t="str">
        <f>""</f>
        <v/>
      </c>
      <c r="GY94" t="str">
        <f>""</f>
        <v/>
      </c>
      <c r="GZ94" t="str">
        <f>""</f>
        <v/>
      </c>
      <c r="HA94" t="str">
        <f>""</f>
        <v/>
      </c>
      <c r="HB94" t="str">
        <f>""</f>
        <v/>
      </c>
      <c r="HC94" t="str">
        <f>""</f>
        <v/>
      </c>
      <c r="HD94" t="str">
        <f>""</f>
        <v/>
      </c>
      <c r="HE94" t="str">
        <f>""</f>
        <v/>
      </c>
      <c r="HF94" t="str">
        <f>""</f>
        <v/>
      </c>
      <c r="HG94" t="str">
        <f>""</f>
        <v/>
      </c>
      <c r="HH94" t="str">
        <f>""</f>
        <v/>
      </c>
      <c r="HI94" t="str">
        <f>""</f>
        <v/>
      </c>
      <c r="HJ94" t="str">
        <f>""</f>
        <v/>
      </c>
      <c r="HK94" t="str">
        <f>""</f>
        <v/>
      </c>
      <c r="HL94" t="str">
        <f>""</f>
        <v/>
      </c>
      <c r="HM94" t="str">
        <f>""</f>
        <v/>
      </c>
      <c r="HN94" t="str">
        <f>""</f>
        <v/>
      </c>
      <c r="HO94" t="str">
        <f>""</f>
        <v/>
      </c>
      <c r="HP94" t="str">
        <f>""</f>
        <v/>
      </c>
      <c r="HQ94" t="str">
        <f>""</f>
        <v/>
      </c>
      <c r="HR94" t="str">
        <f>""</f>
        <v/>
      </c>
      <c r="HS94" t="str">
        <f>""</f>
        <v/>
      </c>
      <c r="HT94" t="str">
        <f>""</f>
        <v/>
      </c>
      <c r="HU94" t="str">
        <f>""</f>
        <v/>
      </c>
      <c r="HV94" t="str">
        <f>""</f>
        <v/>
      </c>
      <c r="HW94" t="str">
        <f>""</f>
        <v/>
      </c>
      <c r="HX94" t="str">
        <f>""</f>
        <v/>
      </c>
      <c r="HY94" t="str">
        <f>""</f>
        <v/>
      </c>
      <c r="HZ94" t="str">
        <f>""</f>
        <v/>
      </c>
      <c r="IA94" t="str">
        <f>""</f>
        <v/>
      </c>
      <c r="IB94" t="str">
        <f>""</f>
        <v/>
      </c>
      <c r="IC94" t="str">
        <f>""</f>
        <v/>
      </c>
      <c r="ID94" t="str">
        <f>""</f>
        <v/>
      </c>
      <c r="IE94" t="str">
        <f>""</f>
        <v/>
      </c>
      <c r="IF94" t="str">
        <f>""</f>
        <v/>
      </c>
      <c r="IG94" t="str">
        <f>""</f>
        <v/>
      </c>
      <c r="IH94" t="str">
        <f>""</f>
        <v/>
      </c>
      <c r="II94" t="str">
        <f>""</f>
        <v/>
      </c>
      <c r="IJ94" t="str">
        <f>""</f>
        <v/>
      </c>
      <c r="IK94" t="str">
        <f>""</f>
        <v/>
      </c>
      <c r="IL94" t="str">
        <f>""</f>
        <v/>
      </c>
      <c r="IM94" t="str">
        <f>""</f>
        <v/>
      </c>
      <c r="IN94" t="str">
        <f>""</f>
        <v/>
      </c>
      <c r="IO94" t="str">
        <f>""</f>
        <v/>
      </c>
      <c r="IP94" t="str">
        <f>""</f>
        <v/>
      </c>
      <c r="IQ94" t="str">
        <f>""</f>
        <v/>
      </c>
      <c r="IR94" t="str">
        <f>""</f>
        <v/>
      </c>
      <c r="IS94" t="str">
        <f>""</f>
        <v/>
      </c>
      <c r="IT94" t="str">
        <f>""</f>
        <v/>
      </c>
      <c r="IU94" t="str">
        <f>""</f>
        <v/>
      </c>
      <c r="IV94" t="str">
        <f>""</f>
        <v/>
      </c>
      <c r="IW94" t="str">
        <f>""</f>
        <v/>
      </c>
      <c r="IX94" t="str">
        <f>""</f>
        <v/>
      </c>
      <c r="IY94" t="str">
        <f>""</f>
        <v/>
      </c>
      <c r="IZ94" t="str">
        <f>""</f>
        <v/>
      </c>
      <c r="JA94" t="str">
        <f>""</f>
        <v/>
      </c>
      <c r="JB94" t="str">
        <f>""</f>
        <v/>
      </c>
      <c r="JC94" t="str">
        <f>""</f>
        <v/>
      </c>
      <c r="JD94" t="str">
        <f>""</f>
        <v/>
      </c>
      <c r="JE94" t="str">
        <f>""</f>
        <v/>
      </c>
      <c r="JF94" t="str">
        <f>""</f>
        <v/>
      </c>
      <c r="JG94" t="str">
        <f>""</f>
        <v/>
      </c>
      <c r="JH94" t="str">
        <f>""</f>
        <v/>
      </c>
      <c r="JI94" t="str">
        <f>""</f>
        <v/>
      </c>
      <c r="JJ94" t="str">
        <f>""</f>
        <v/>
      </c>
      <c r="JK94" t="str">
        <f>""</f>
        <v/>
      </c>
    </row>
    <row r="96" spans="1:271" x14ac:dyDescent="0.3">
      <c r="A96" t="str">
        <f>"zMETAB11"</f>
        <v>zMETAB11</v>
      </c>
      <c r="B96" t="str">
        <f>""</f>
        <v/>
      </c>
      <c r="C96" t="str">
        <f>""</f>
        <v/>
      </c>
      <c r="D96" t="str">
        <f>""</f>
        <v/>
      </c>
      <c r="E96" t="str">
        <f>""</f>
        <v/>
      </c>
      <c r="F96" t="str">
        <f>""</f>
        <v/>
      </c>
      <c r="G96" t="str">
        <f>""</f>
        <v/>
      </c>
      <c r="H96" t="str">
        <f>""</f>
        <v/>
      </c>
      <c r="I96" t="str">
        <f>""</f>
        <v/>
      </c>
      <c r="J96" t="str">
        <f>""</f>
        <v/>
      </c>
      <c r="K96" t="str">
        <f>""</f>
        <v/>
      </c>
      <c r="L96" t="str">
        <f>""</f>
        <v/>
      </c>
      <c r="M96" t="str">
        <f>""</f>
        <v/>
      </c>
      <c r="N96" t="str">
        <f>""</f>
        <v/>
      </c>
      <c r="O96" t="str">
        <f>""</f>
        <v/>
      </c>
      <c r="P96" t="str">
        <f>""</f>
        <v/>
      </c>
      <c r="Q96" t="str">
        <f>""</f>
        <v/>
      </c>
      <c r="R96" t="str">
        <f>""</f>
        <v/>
      </c>
      <c r="S96" t="str">
        <f>""</f>
        <v/>
      </c>
      <c r="T96" t="str">
        <f>""</f>
        <v/>
      </c>
      <c r="U96" t="str">
        <f>""</f>
        <v/>
      </c>
      <c r="V96" t="str">
        <f>""</f>
        <v/>
      </c>
      <c r="W96" t="str">
        <f>""</f>
        <v/>
      </c>
      <c r="X96" t="str">
        <f>""</f>
        <v/>
      </c>
      <c r="Y96" t="str">
        <f>""</f>
        <v/>
      </c>
      <c r="Z96" t="str">
        <f>""</f>
        <v/>
      </c>
      <c r="AA96" t="str">
        <f>""</f>
        <v/>
      </c>
      <c r="AB96" t="str">
        <f>""</f>
        <v/>
      </c>
      <c r="AC96" t="str">
        <f>""</f>
        <v/>
      </c>
      <c r="AD96" t="str">
        <f>""</f>
        <v/>
      </c>
      <c r="AE96" t="str">
        <f>""</f>
        <v/>
      </c>
      <c r="AF96" t="str">
        <f>"-0.0224"</f>
        <v>-0.0224</v>
      </c>
      <c r="AG96" t="str">
        <f>"0.0152"</f>
        <v>0.0152</v>
      </c>
      <c r="AH96" t="str">
        <f>"-0.0791*"</f>
        <v>-0.0791*</v>
      </c>
      <c r="AI96" t="str">
        <f>""</f>
        <v/>
      </c>
      <c r="AJ96" t="str">
        <f>""</f>
        <v/>
      </c>
      <c r="AK96" t="str">
        <f>""</f>
        <v/>
      </c>
      <c r="AL96" t="str">
        <f>""</f>
        <v/>
      </c>
      <c r="AM96" t="str">
        <f>""</f>
        <v/>
      </c>
      <c r="AN96" t="str">
        <f>""</f>
        <v/>
      </c>
      <c r="AO96" t="str">
        <f>""</f>
        <v/>
      </c>
      <c r="AP96" t="str">
        <f>""</f>
        <v/>
      </c>
      <c r="AQ96" t="str">
        <f>""</f>
        <v/>
      </c>
      <c r="AR96" t="str">
        <f>""</f>
        <v/>
      </c>
      <c r="AS96" t="str">
        <f>""</f>
        <v/>
      </c>
      <c r="AT96" t="str">
        <f>""</f>
        <v/>
      </c>
      <c r="AU96" t="str">
        <f>""</f>
        <v/>
      </c>
      <c r="AV96" t="str">
        <f>""</f>
        <v/>
      </c>
      <c r="AW96" t="str">
        <f>""</f>
        <v/>
      </c>
      <c r="AX96" t="str">
        <f>""</f>
        <v/>
      </c>
      <c r="AY96" t="str">
        <f>""</f>
        <v/>
      </c>
      <c r="AZ96" t="str">
        <f>""</f>
        <v/>
      </c>
      <c r="BA96" t="str">
        <f>""</f>
        <v/>
      </c>
      <c r="BB96" t="str">
        <f>""</f>
        <v/>
      </c>
      <c r="BC96" t="str">
        <f>""</f>
        <v/>
      </c>
      <c r="BD96" t="str">
        <f>""</f>
        <v/>
      </c>
      <c r="BE96" t="str">
        <f>""</f>
        <v/>
      </c>
      <c r="BF96" t="str">
        <f>""</f>
        <v/>
      </c>
      <c r="BG96" t="str">
        <f>""</f>
        <v/>
      </c>
      <c r="BH96" t="str">
        <f>""</f>
        <v/>
      </c>
      <c r="BI96" t="str">
        <f>""</f>
        <v/>
      </c>
      <c r="BJ96" t="str">
        <f>""</f>
        <v/>
      </c>
      <c r="BK96" t="str">
        <f>""</f>
        <v/>
      </c>
      <c r="BL96" t="str">
        <f>""</f>
        <v/>
      </c>
      <c r="BM96" t="str">
        <f>""</f>
        <v/>
      </c>
      <c r="BN96" t="str">
        <f>""</f>
        <v/>
      </c>
      <c r="BO96" t="str">
        <f>""</f>
        <v/>
      </c>
      <c r="BP96" t="str">
        <f>""</f>
        <v/>
      </c>
      <c r="BQ96" t="str">
        <f>""</f>
        <v/>
      </c>
      <c r="BR96" t="str">
        <f>""</f>
        <v/>
      </c>
      <c r="BS96" t="str">
        <f>""</f>
        <v/>
      </c>
      <c r="BT96" t="str">
        <f>""</f>
        <v/>
      </c>
      <c r="BU96" t="str">
        <f>""</f>
        <v/>
      </c>
      <c r="BV96" t="str">
        <f>""</f>
        <v/>
      </c>
      <c r="BW96" t="str">
        <f>""</f>
        <v/>
      </c>
      <c r="BX96" t="str">
        <f>""</f>
        <v/>
      </c>
      <c r="BY96" t="str">
        <f>"0.0597"</f>
        <v>0.0597</v>
      </c>
      <c r="BZ96" t="str">
        <f>"0.0196"</f>
        <v>0.0196</v>
      </c>
      <c r="CA96" t="str">
        <f>"-0.0695*"</f>
        <v>-0.0695*</v>
      </c>
      <c r="CB96" t="str">
        <f>""</f>
        <v/>
      </c>
      <c r="CC96" t="str">
        <f>""</f>
        <v/>
      </c>
      <c r="CD96" t="str">
        <f>""</f>
        <v/>
      </c>
      <c r="CE96" t="str">
        <f>""</f>
        <v/>
      </c>
      <c r="CF96" t="str">
        <f>""</f>
        <v/>
      </c>
      <c r="CG96" t="str">
        <f>""</f>
        <v/>
      </c>
      <c r="CH96" t="str">
        <f>""</f>
        <v/>
      </c>
      <c r="CI96" t="str">
        <f>""</f>
        <v/>
      </c>
      <c r="CJ96" t="str">
        <f>""</f>
        <v/>
      </c>
      <c r="CK96" t="str">
        <f>""</f>
        <v/>
      </c>
      <c r="CL96" t="str">
        <f>""</f>
        <v/>
      </c>
      <c r="CM96" t="str">
        <f>""</f>
        <v/>
      </c>
      <c r="CN96" t="str">
        <f>""</f>
        <v/>
      </c>
      <c r="CO96" t="str">
        <f>""</f>
        <v/>
      </c>
      <c r="CP96" t="str">
        <f>""</f>
        <v/>
      </c>
      <c r="CQ96" t="str">
        <f>""</f>
        <v/>
      </c>
      <c r="CR96" t="str">
        <f>""</f>
        <v/>
      </c>
      <c r="CS96" t="str">
        <f>""</f>
        <v/>
      </c>
      <c r="CT96" t="str">
        <f>""</f>
        <v/>
      </c>
      <c r="CU96" t="str">
        <f>""</f>
        <v/>
      </c>
      <c r="CV96" t="str">
        <f>""</f>
        <v/>
      </c>
      <c r="CW96" t="str">
        <f>""</f>
        <v/>
      </c>
      <c r="CX96" t="str">
        <f>""</f>
        <v/>
      </c>
      <c r="CY96" t="str">
        <f>""</f>
        <v/>
      </c>
      <c r="CZ96" t="str">
        <f>""</f>
        <v/>
      </c>
      <c r="DA96" t="str">
        <f>""</f>
        <v/>
      </c>
      <c r="DB96" t="str">
        <f>""</f>
        <v/>
      </c>
      <c r="DC96" t="str">
        <f>""</f>
        <v/>
      </c>
      <c r="DD96" t="str">
        <f>""</f>
        <v/>
      </c>
      <c r="DE96" t="str">
        <f>""</f>
        <v/>
      </c>
      <c r="DF96" t="str">
        <f>""</f>
        <v/>
      </c>
      <c r="DG96" t="str">
        <f>""</f>
        <v/>
      </c>
      <c r="DH96" t="str">
        <f>""</f>
        <v/>
      </c>
      <c r="DI96" t="str">
        <f>""</f>
        <v/>
      </c>
      <c r="DJ96" t="str">
        <f>""</f>
        <v/>
      </c>
      <c r="DK96" t="str">
        <f>""</f>
        <v/>
      </c>
      <c r="DL96" t="str">
        <f>""</f>
        <v/>
      </c>
      <c r="DM96" t="str">
        <f>""</f>
        <v/>
      </c>
      <c r="DN96" t="str">
        <f>""</f>
        <v/>
      </c>
      <c r="DO96" t="str">
        <f>""</f>
        <v/>
      </c>
      <c r="DP96" t="str">
        <f>""</f>
        <v/>
      </c>
      <c r="DQ96" t="str">
        <f>""</f>
        <v/>
      </c>
      <c r="DR96" t="str">
        <f>"0.0974"</f>
        <v>0.0974</v>
      </c>
      <c r="DS96" t="str">
        <f>"-0.0106"</f>
        <v>-0.0106</v>
      </c>
      <c r="DT96" t="str">
        <f>"-0.0815**"</f>
        <v>-0.0815**</v>
      </c>
      <c r="DU96" t="str">
        <f>""</f>
        <v/>
      </c>
      <c r="DV96" t="str">
        <f>""</f>
        <v/>
      </c>
      <c r="DW96" t="str">
        <f>""</f>
        <v/>
      </c>
      <c r="DX96" t="str">
        <f>""</f>
        <v/>
      </c>
      <c r="DY96" t="str">
        <f>""</f>
        <v/>
      </c>
      <c r="DZ96" t="str">
        <f>""</f>
        <v/>
      </c>
      <c r="EA96" t="str">
        <f>""</f>
        <v/>
      </c>
      <c r="EB96" t="str">
        <f>""</f>
        <v/>
      </c>
      <c r="EC96" t="str">
        <f>""</f>
        <v/>
      </c>
      <c r="ED96" t="str">
        <f>""</f>
        <v/>
      </c>
      <c r="EE96" t="str">
        <f>""</f>
        <v/>
      </c>
      <c r="EF96" t="str">
        <f>""</f>
        <v/>
      </c>
      <c r="EG96" t="str">
        <f>""</f>
        <v/>
      </c>
      <c r="EH96" t="str">
        <f>""</f>
        <v/>
      </c>
      <c r="EI96" t="str">
        <f>""</f>
        <v/>
      </c>
      <c r="EJ96" t="str">
        <f>""</f>
        <v/>
      </c>
      <c r="EK96" t="str">
        <f>""</f>
        <v/>
      </c>
      <c r="EL96" t="str">
        <f>""</f>
        <v/>
      </c>
      <c r="EM96" t="str">
        <f>""</f>
        <v/>
      </c>
      <c r="EN96" t="str">
        <f>""</f>
        <v/>
      </c>
      <c r="EO96" t="str">
        <f>""</f>
        <v/>
      </c>
      <c r="EP96" t="str">
        <f>""</f>
        <v/>
      </c>
      <c r="EQ96" t="str">
        <f>""</f>
        <v/>
      </c>
      <c r="ER96" t="str">
        <f>""</f>
        <v/>
      </c>
      <c r="ES96" t="str">
        <f>""</f>
        <v/>
      </c>
      <c r="ET96" t="str">
        <f>""</f>
        <v/>
      </c>
      <c r="EU96" t="str">
        <f>""</f>
        <v/>
      </c>
      <c r="EV96" t="str">
        <f>""</f>
        <v/>
      </c>
      <c r="EW96" t="str">
        <f>""</f>
        <v/>
      </c>
      <c r="EX96" t="str">
        <f>""</f>
        <v/>
      </c>
      <c r="EY96" t="str">
        <f>""</f>
        <v/>
      </c>
      <c r="EZ96" t="str">
        <f>""</f>
        <v/>
      </c>
      <c r="FA96" t="str">
        <f>""</f>
        <v/>
      </c>
      <c r="FB96" t="str">
        <f>""</f>
        <v/>
      </c>
      <c r="FC96" t="str">
        <f>""</f>
        <v/>
      </c>
      <c r="FD96" t="str">
        <f>""</f>
        <v/>
      </c>
      <c r="FE96" t="str">
        <f>""</f>
        <v/>
      </c>
      <c r="FF96" t="str">
        <f>""</f>
        <v/>
      </c>
      <c r="FG96" t="str">
        <f>""</f>
        <v/>
      </c>
      <c r="FH96" t="str">
        <f>""</f>
        <v/>
      </c>
      <c r="FI96" t="str">
        <f>""</f>
        <v/>
      </c>
      <c r="FJ96" t="str">
        <f>""</f>
        <v/>
      </c>
      <c r="FK96" t="str">
        <f>"0.0972"</f>
        <v>0.0972</v>
      </c>
      <c r="FL96" t="str">
        <f>"-0.000669"</f>
        <v>-0.000669</v>
      </c>
      <c r="FM96" t="str">
        <f>"-0.0405"</f>
        <v>-0.0405</v>
      </c>
      <c r="FN96" t="str">
        <f>""</f>
        <v/>
      </c>
      <c r="FO96" t="str">
        <f>""</f>
        <v/>
      </c>
      <c r="FP96" t="str">
        <f>""</f>
        <v/>
      </c>
      <c r="FQ96" t="str">
        <f>""</f>
        <v/>
      </c>
      <c r="FR96" t="str">
        <f>""</f>
        <v/>
      </c>
      <c r="FS96" t="str">
        <f>""</f>
        <v/>
      </c>
      <c r="FT96" t="str">
        <f>""</f>
        <v/>
      </c>
      <c r="FU96" t="str">
        <f>""</f>
        <v/>
      </c>
      <c r="FV96" t="str">
        <f>""</f>
        <v/>
      </c>
      <c r="FW96" t="str">
        <f>""</f>
        <v/>
      </c>
      <c r="FX96" t="str">
        <f>""</f>
        <v/>
      </c>
      <c r="FY96" t="str">
        <f>""</f>
        <v/>
      </c>
      <c r="FZ96" t="str">
        <f>""</f>
        <v/>
      </c>
      <c r="GA96" t="str">
        <f>""</f>
        <v/>
      </c>
      <c r="GB96" t="str">
        <f>""</f>
        <v/>
      </c>
      <c r="GC96" t="str">
        <f>""</f>
        <v/>
      </c>
      <c r="GD96" t="str">
        <f>""</f>
        <v/>
      </c>
      <c r="GE96" t="str">
        <f>""</f>
        <v/>
      </c>
      <c r="GF96" t="str">
        <f>""</f>
        <v/>
      </c>
      <c r="GG96" t="str">
        <f>""</f>
        <v/>
      </c>
      <c r="GH96" t="str">
        <f>""</f>
        <v/>
      </c>
      <c r="GI96" t="str">
        <f>""</f>
        <v/>
      </c>
      <c r="GJ96" t="str">
        <f>""</f>
        <v/>
      </c>
      <c r="GK96" t="str">
        <f>""</f>
        <v/>
      </c>
      <c r="GL96" t="str">
        <f>""</f>
        <v/>
      </c>
      <c r="GM96" t="str">
        <f>""</f>
        <v/>
      </c>
      <c r="GN96" t="str">
        <f>""</f>
        <v/>
      </c>
      <c r="GO96" t="str">
        <f>""</f>
        <v/>
      </c>
      <c r="GP96" t="str">
        <f>""</f>
        <v/>
      </c>
      <c r="GQ96" t="str">
        <f>""</f>
        <v/>
      </c>
      <c r="GR96" t="str">
        <f>""</f>
        <v/>
      </c>
      <c r="GS96" t="str">
        <f>""</f>
        <v/>
      </c>
      <c r="GT96" t="str">
        <f>""</f>
        <v/>
      </c>
      <c r="GU96" t="str">
        <f>""</f>
        <v/>
      </c>
      <c r="GV96" t="str">
        <f>""</f>
        <v/>
      </c>
      <c r="GW96" t="str">
        <f>""</f>
        <v/>
      </c>
      <c r="GX96" t="str">
        <f>""</f>
        <v/>
      </c>
      <c r="GY96" t="str">
        <f>""</f>
        <v/>
      </c>
      <c r="GZ96" t="str">
        <f>""</f>
        <v/>
      </c>
      <c r="HA96" t="str">
        <f>""</f>
        <v/>
      </c>
      <c r="HB96" t="str">
        <f>""</f>
        <v/>
      </c>
      <c r="HC96" t="str">
        <f>""</f>
        <v/>
      </c>
      <c r="HD96" t="str">
        <f>"0.0350"</f>
        <v>0.0350</v>
      </c>
      <c r="HE96" t="str">
        <f>"-0.0245"</f>
        <v>-0.0245</v>
      </c>
      <c r="HF96" t="str">
        <f>"-0.0585"</f>
        <v>-0.0585</v>
      </c>
      <c r="HG96" t="str">
        <f>""</f>
        <v/>
      </c>
      <c r="HH96" t="str">
        <f>""</f>
        <v/>
      </c>
      <c r="HI96" t="str">
        <f>""</f>
        <v/>
      </c>
      <c r="HJ96" t="str">
        <f>""</f>
        <v/>
      </c>
      <c r="HK96" t="str">
        <f>""</f>
        <v/>
      </c>
      <c r="HL96" t="str">
        <f>""</f>
        <v/>
      </c>
      <c r="HM96" t="str">
        <f>""</f>
        <v/>
      </c>
      <c r="HN96" t="str">
        <f>""</f>
        <v/>
      </c>
      <c r="HO96" t="str">
        <f>""</f>
        <v/>
      </c>
      <c r="HP96" t="str">
        <f>""</f>
        <v/>
      </c>
      <c r="HQ96" t="str">
        <f>""</f>
        <v/>
      </c>
      <c r="HR96" t="str">
        <f>""</f>
        <v/>
      </c>
      <c r="HS96" t="str">
        <f>""</f>
        <v/>
      </c>
      <c r="HT96" t="str">
        <f>""</f>
        <v/>
      </c>
      <c r="HU96" t="str">
        <f>""</f>
        <v/>
      </c>
      <c r="HV96" t="str">
        <f>""</f>
        <v/>
      </c>
      <c r="HW96" t="str">
        <f>""</f>
        <v/>
      </c>
      <c r="HX96" t="str">
        <f>""</f>
        <v/>
      </c>
      <c r="HY96" t="str">
        <f>""</f>
        <v/>
      </c>
      <c r="HZ96" t="str">
        <f>""</f>
        <v/>
      </c>
      <c r="IA96" t="str">
        <f>""</f>
        <v/>
      </c>
      <c r="IB96" t="str">
        <f>""</f>
        <v/>
      </c>
      <c r="IC96" t="str">
        <f>""</f>
        <v/>
      </c>
      <c r="ID96" t="str">
        <f>""</f>
        <v/>
      </c>
      <c r="IE96" t="str">
        <f>""</f>
        <v/>
      </c>
      <c r="IF96" t="str">
        <f>""</f>
        <v/>
      </c>
      <c r="IG96" t="str">
        <f>""</f>
        <v/>
      </c>
      <c r="IH96" t="str">
        <f>""</f>
        <v/>
      </c>
      <c r="II96" t="str">
        <f>""</f>
        <v/>
      </c>
      <c r="IJ96" t="str">
        <f>""</f>
        <v/>
      </c>
      <c r="IK96" t="str">
        <f>""</f>
        <v/>
      </c>
      <c r="IL96" t="str">
        <f>""</f>
        <v/>
      </c>
      <c r="IM96" t="str">
        <f>""</f>
        <v/>
      </c>
      <c r="IN96" t="str">
        <f>""</f>
        <v/>
      </c>
      <c r="IO96" t="str">
        <f>""</f>
        <v/>
      </c>
      <c r="IP96" t="str">
        <f>""</f>
        <v/>
      </c>
      <c r="IQ96" t="str">
        <f>""</f>
        <v/>
      </c>
      <c r="IR96" t="str">
        <f>""</f>
        <v/>
      </c>
      <c r="IS96" t="str">
        <f>""</f>
        <v/>
      </c>
      <c r="IT96" t="str">
        <f>""</f>
        <v/>
      </c>
      <c r="IU96" t="str">
        <f>""</f>
        <v/>
      </c>
      <c r="IV96" t="str">
        <f>""</f>
        <v/>
      </c>
      <c r="IW96" t="str">
        <f>"0.00877"</f>
        <v>0.00877</v>
      </c>
      <c r="IX96" t="str">
        <f>"-0.00633"</f>
        <v>-0.00633</v>
      </c>
      <c r="IY96" t="str">
        <f>"-0.0768*"</f>
        <v>-0.0768*</v>
      </c>
      <c r="IZ96" t="str">
        <f>""</f>
        <v/>
      </c>
      <c r="JA96" t="str">
        <f>""</f>
        <v/>
      </c>
      <c r="JB96" t="str">
        <f>""</f>
        <v/>
      </c>
      <c r="JC96" t="str">
        <f>""</f>
        <v/>
      </c>
      <c r="JD96" t="str">
        <f>""</f>
        <v/>
      </c>
      <c r="JE96" t="str">
        <f>""</f>
        <v/>
      </c>
      <c r="JF96" t="str">
        <f>""</f>
        <v/>
      </c>
      <c r="JG96" t="str">
        <f>""</f>
        <v/>
      </c>
      <c r="JH96" t="str">
        <f>""</f>
        <v/>
      </c>
      <c r="JI96" t="str">
        <f>""</f>
        <v/>
      </c>
      <c r="JJ96" t="str">
        <f>""</f>
        <v/>
      </c>
      <c r="JK96" t="str">
        <f>""</f>
        <v/>
      </c>
    </row>
    <row r="97" spans="1:271" x14ac:dyDescent="0.3">
      <c r="A97" t="str">
        <f>""</f>
        <v/>
      </c>
      <c r="B97" t="str">
        <f>""</f>
        <v/>
      </c>
      <c r="C97" t="str">
        <f>""</f>
        <v/>
      </c>
      <c r="D97" t="str">
        <f>""</f>
        <v/>
      </c>
      <c r="E97" t="str">
        <f>""</f>
        <v/>
      </c>
      <c r="F97" t="str">
        <f>""</f>
        <v/>
      </c>
      <c r="G97" t="str">
        <f>""</f>
        <v/>
      </c>
      <c r="H97" t="str">
        <f>""</f>
        <v/>
      </c>
      <c r="I97" t="str">
        <f>""</f>
        <v/>
      </c>
      <c r="J97" t="str">
        <f>""</f>
        <v/>
      </c>
      <c r="K97" t="str">
        <f>""</f>
        <v/>
      </c>
      <c r="L97" t="str">
        <f>""</f>
        <v/>
      </c>
      <c r="M97" t="str">
        <f>""</f>
        <v/>
      </c>
      <c r="N97" t="str">
        <f>""</f>
        <v/>
      </c>
      <c r="O97" t="str">
        <f>""</f>
        <v/>
      </c>
      <c r="P97" t="str">
        <f>""</f>
        <v/>
      </c>
      <c r="Q97" t="str">
        <f>""</f>
        <v/>
      </c>
      <c r="R97" t="str">
        <f>""</f>
        <v/>
      </c>
      <c r="S97" t="str">
        <f>""</f>
        <v/>
      </c>
      <c r="T97" t="str">
        <f>""</f>
        <v/>
      </c>
      <c r="U97" t="str">
        <f>""</f>
        <v/>
      </c>
      <c r="V97" t="str">
        <f>""</f>
        <v/>
      </c>
      <c r="W97" t="str">
        <f>""</f>
        <v/>
      </c>
      <c r="X97" t="str">
        <f>""</f>
        <v/>
      </c>
      <c r="Y97" t="str">
        <f>""</f>
        <v/>
      </c>
      <c r="Z97" t="str">
        <f>""</f>
        <v/>
      </c>
      <c r="AA97" t="str">
        <f>""</f>
        <v/>
      </c>
      <c r="AB97" t="str">
        <f>""</f>
        <v/>
      </c>
      <c r="AC97" t="str">
        <f>""</f>
        <v/>
      </c>
      <c r="AD97" t="str">
        <f>""</f>
        <v/>
      </c>
      <c r="AE97" t="str">
        <f>""</f>
        <v/>
      </c>
      <c r="AF97" t="str">
        <f>"(0.0736)"</f>
        <v>(0.0736)</v>
      </c>
      <c r="AG97" t="str">
        <f>"(0.0604)"</f>
        <v>(0.0604)</v>
      </c>
      <c r="AH97" t="str">
        <f>"(0.0315)"</f>
        <v>(0.0315)</v>
      </c>
      <c r="AI97" t="str">
        <f>""</f>
        <v/>
      </c>
      <c r="AJ97" t="str">
        <f>""</f>
        <v/>
      </c>
      <c r="AK97" t="str">
        <f>""</f>
        <v/>
      </c>
      <c r="AL97" t="str">
        <f>""</f>
        <v/>
      </c>
      <c r="AM97" t="str">
        <f>""</f>
        <v/>
      </c>
      <c r="AN97" t="str">
        <f>""</f>
        <v/>
      </c>
      <c r="AO97" t="str">
        <f>""</f>
        <v/>
      </c>
      <c r="AP97" t="str">
        <f>""</f>
        <v/>
      </c>
      <c r="AQ97" t="str">
        <f>""</f>
        <v/>
      </c>
      <c r="AR97" t="str">
        <f>""</f>
        <v/>
      </c>
      <c r="AS97" t="str">
        <f>""</f>
        <v/>
      </c>
      <c r="AT97" t="str">
        <f>""</f>
        <v/>
      </c>
      <c r="AU97" t="str">
        <f>""</f>
        <v/>
      </c>
      <c r="AV97" t="str">
        <f>""</f>
        <v/>
      </c>
      <c r="AW97" t="str">
        <f>""</f>
        <v/>
      </c>
      <c r="AX97" t="str">
        <f>""</f>
        <v/>
      </c>
      <c r="AY97" t="str">
        <f>""</f>
        <v/>
      </c>
      <c r="AZ97" t="str">
        <f>""</f>
        <v/>
      </c>
      <c r="BA97" t="str">
        <f>""</f>
        <v/>
      </c>
      <c r="BB97" t="str">
        <f>""</f>
        <v/>
      </c>
      <c r="BC97" t="str">
        <f>""</f>
        <v/>
      </c>
      <c r="BD97" t="str">
        <f>""</f>
        <v/>
      </c>
      <c r="BE97" t="str">
        <f>""</f>
        <v/>
      </c>
      <c r="BF97" t="str">
        <f>""</f>
        <v/>
      </c>
      <c r="BG97" t="str">
        <f>""</f>
        <v/>
      </c>
      <c r="BH97" t="str">
        <f>""</f>
        <v/>
      </c>
      <c r="BI97" t="str">
        <f>""</f>
        <v/>
      </c>
      <c r="BJ97" t="str">
        <f>""</f>
        <v/>
      </c>
      <c r="BK97" t="str">
        <f>""</f>
        <v/>
      </c>
      <c r="BL97" t="str">
        <f>""</f>
        <v/>
      </c>
      <c r="BM97" t="str">
        <f>""</f>
        <v/>
      </c>
      <c r="BN97" t="str">
        <f>""</f>
        <v/>
      </c>
      <c r="BO97" t="str">
        <f>""</f>
        <v/>
      </c>
      <c r="BP97" t="str">
        <f>""</f>
        <v/>
      </c>
      <c r="BQ97" t="str">
        <f>""</f>
        <v/>
      </c>
      <c r="BR97" t="str">
        <f>""</f>
        <v/>
      </c>
      <c r="BS97" t="str">
        <f>""</f>
        <v/>
      </c>
      <c r="BT97" t="str">
        <f>""</f>
        <v/>
      </c>
      <c r="BU97" t="str">
        <f>""</f>
        <v/>
      </c>
      <c r="BV97" t="str">
        <f>""</f>
        <v/>
      </c>
      <c r="BW97" t="str">
        <f>""</f>
        <v/>
      </c>
      <c r="BX97" t="str">
        <f>""</f>
        <v/>
      </c>
      <c r="BY97" t="str">
        <f>"(0.0745)"</f>
        <v>(0.0745)</v>
      </c>
      <c r="BZ97" t="str">
        <f>"(0.0597)"</f>
        <v>(0.0597)</v>
      </c>
      <c r="CA97" t="str">
        <f>"(0.0304)"</f>
        <v>(0.0304)</v>
      </c>
      <c r="CB97" t="str">
        <f>""</f>
        <v/>
      </c>
      <c r="CC97" t="str">
        <f>""</f>
        <v/>
      </c>
      <c r="CD97" t="str">
        <f>""</f>
        <v/>
      </c>
      <c r="CE97" t="str">
        <f>""</f>
        <v/>
      </c>
      <c r="CF97" t="str">
        <f>""</f>
        <v/>
      </c>
      <c r="CG97" t="str">
        <f>""</f>
        <v/>
      </c>
      <c r="CH97" t="str">
        <f>""</f>
        <v/>
      </c>
      <c r="CI97" t="str">
        <f>""</f>
        <v/>
      </c>
      <c r="CJ97" t="str">
        <f>""</f>
        <v/>
      </c>
      <c r="CK97" t="str">
        <f>""</f>
        <v/>
      </c>
      <c r="CL97" t="str">
        <f>""</f>
        <v/>
      </c>
      <c r="CM97" t="str">
        <f>""</f>
        <v/>
      </c>
      <c r="CN97" t="str">
        <f>""</f>
        <v/>
      </c>
      <c r="CO97" t="str">
        <f>""</f>
        <v/>
      </c>
      <c r="CP97" t="str">
        <f>""</f>
        <v/>
      </c>
      <c r="CQ97" t="str">
        <f>""</f>
        <v/>
      </c>
      <c r="CR97" t="str">
        <f>""</f>
        <v/>
      </c>
      <c r="CS97" t="str">
        <f>""</f>
        <v/>
      </c>
      <c r="CT97" t="str">
        <f>""</f>
        <v/>
      </c>
      <c r="CU97" t="str">
        <f>""</f>
        <v/>
      </c>
      <c r="CV97" t="str">
        <f>""</f>
        <v/>
      </c>
      <c r="CW97" t="str">
        <f>""</f>
        <v/>
      </c>
      <c r="CX97" t="str">
        <f>""</f>
        <v/>
      </c>
      <c r="CY97" t="str">
        <f>""</f>
        <v/>
      </c>
      <c r="CZ97" t="str">
        <f>""</f>
        <v/>
      </c>
      <c r="DA97" t="str">
        <f>""</f>
        <v/>
      </c>
      <c r="DB97" t="str">
        <f>""</f>
        <v/>
      </c>
      <c r="DC97" t="str">
        <f>""</f>
        <v/>
      </c>
      <c r="DD97" t="str">
        <f>""</f>
        <v/>
      </c>
      <c r="DE97" t="str">
        <f>""</f>
        <v/>
      </c>
      <c r="DF97" t="str">
        <f>""</f>
        <v/>
      </c>
      <c r="DG97" t="str">
        <f>""</f>
        <v/>
      </c>
      <c r="DH97" t="str">
        <f>""</f>
        <v/>
      </c>
      <c r="DI97" t="str">
        <f>""</f>
        <v/>
      </c>
      <c r="DJ97" t="str">
        <f>""</f>
        <v/>
      </c>
      <c r="DK97" t="str">
        <f>""</f>
        <v/>
      </c>
      <c r="DL97" t="str">
        <f>""</f>
        <v/>
      </c>
      <c r="DM97" t="str">
        <f>""</f>
        <v/>
      </c>
      <c r="DN97" t="str">
        <f>""</f>
        <v/>
      </c>
      <c r="DO97" t="str">
        <f>""</f>
        <v/>
      </c>
      <c r="DP97" t="str">
        <f>""</f>
        <v/>
      </c>
      <c r="DQ97" t="str">
        <f>""</f>
        <v/>
      </c>
      <c r="DR97" t="str">
        <f>"(0.0757)"</f>
        <v>(0.0757)</v>
      </c>
      <c r="DS97" t="str">
        <f>"(0.0560)"</f>
        <v>(0.0560)</v>
      </c>
      <c r="DT97" t="str">
        <f>"(0.0303)"</f>
        <v>(0.0303)</v>
      </c>
      <c r="DU97" t="str">
        <f>""</f>
        <v/>
      </c>
      <c r="DV97" t="str">
        <f>""</f>
        <v/>
      </c>
      <c r="DW97" t="str">
        <f>""</f>
        <v/>
      </c>
      <c r="DX97" t="str">
        <f>""</f>
        <v/>
      </c>
      <c r="DY97" t="str">
        <f>""</f>
        <v/>
      </c>
      <c r="DZ97" t="str">
        <f>""</f>
        <v/>
      </c>
      <c r="EA97" t="str">
        <f>""</f>
        <v/>
      </c>
      <c r="EB97" t="str">
        <f>""</f>
        <v/>
      </c>
      <c r="EC97" t="str">
        <f>""</f>
        <v/>
      </c>
      <c r="ED97" t="str">
        <f>""</f>
        <v/>
      </c>
      <c r="EE97" t="str">
        <f>""</f>
        <v/>
      </c>
      <c r="EF97" t="str">
        <f>""</f>
        <v/>
      </c>
      <c r="EG97" t="str">
        <f>""</f>
        <v/>
      </c>
      <c r="EH97" t="str">
        <f>""</f>
        <v/>
      </c>
      <c r="EI97" t="str">
        <f>""</f>
        <v/>
      </c>
      <c r="EJ97" t="str">
        <f>""</f>
        <v/>
      </c>
      <c r="EK97" t="str">
        <f>""</f>
        <v/>
      </c>
      <c r="EL97" t="str">
        <f>""</f>
        <v/>
      </c>
      <c r="EM97" t="str">
        <f>""</f>
        <v/>
      </c>
      <c r="EN97" t="str">
        <f>""</f>
        <v/>
      </c>
      <c r="EO97" t="str">
        <f>""</f>
        <v/>
      </c>
      <c r="EP97" t="str">
        <f>""</f>
        <v/>
      </c>
      <c r="EQ97" t="str">
        <f>""</f>
        <v/>
      </c>
      <c r="ER97" t="str">
        <f>""</f>
        <v/>
      </c>
      <c r="ES97" t="str">
        <f>""</f>
        <v/>
      </c>
      <c r="ET97" t="str">
        <f>""</f>
        <v/>
      </c>
      <c r="EU97" t="str">
        <f>""</f>
        <v/>
      </c>
      <c r="EV97" t="str">
        <f>""</f>
        <v/>
      </c>
      <c r="EW97" t="str">
        <f>""</f>
        <v/>
      </c>
      <c r="EX97" t="str">
        <f>""</f>
        <v/>
      </c>
      <c r="EY97" t="str">
        <f>""</f>
        <v/>
      </c>
      <c r="EZ97" t="str">
        <f>""</f>
        <v/>
      </c>
      <c r="FA97" t="str">
        <f>""</f>
        <v/>
      </c>
      <c r="FB97" t="str">
        <f>""</f>
        <v/>
      </c>
      <c r="FC97" t="str">
        <f>""</f>
        <v/>
      </c>
      <c r="FD97" t="str">
        <f>""</f>
        <v/>
      </c>
      <c r="FE97" t="str">
        <f>""</f>
        <v/>
      </c>
      <c r="FF97" t="str">
        <f>""</f>
        <v/>
      </c>
      <c r="FG97" t="str">
        <f>""</f>
        <v/>
      </c>
      <c r="FH97" t="str">
        <f>""</f>
        <v/>
      </c>
      <c r="FI97" t="str">
        <f>""</f>
        <v/>
      </c>
      <c r="FJ97" t="str">
        <f>""</f>
        <v/>
      </c>
      <c r="FK97" t="str">
        <f>"(0.0739)"</f>
        <v>(0.0739)</v>
      </c>
      <c r="FL97" t="str">
        <f>"(0.0610)"</f>
        <v>(0.0610)</v>
      </c>
      <c r="FM97" t="str">
        <f>"(0.0313)"</f>
        <v>(0.0313)</v>
      </c>
      <c r="FN97" t="str">
        <f>""</f>
        <v/>
      </c>
      <c r="FO97" t="str">
        <f>""</f>
        <v/>
      </c>
      <c r="FP97" t="str">
        <f>""</f>
        <v/>
      </c>
      <c r="FQ97" t="str">
        <f>""</f>
        <v/>
      </c>
      <c r="FR97" t="str">
        <f>""</f>
        <v/>
      </c>
      <c r="FS97" t="str">
        <f>""</f>
        <v/>
      </c>
      <c r="FT97" t="str">
        <f>""</f>
        <v/>
      </c>
      <c r="FU97" t="str">
        <f>""</f>
        <v/>
      </c>
      <c r="FV97" t="str">
        <f>""</f>
        <v/>
      </c>
      <c r="FW97" t="str">
        <f>""</f>
        <v/>
      </c>
      <c r="FX97" t="str">
        <f>""</f>
        <v/>
      </c>
      <c r="FY97" t="str">
        <f>""</f>
        <v/>
      </c>
      <c r="FZ97" t="str">
        <f>""</f>
        <v/>
      </c>
      <c r="GA97" t="str">
        <f>""</f>
        <v/>
      </c>
      <c r="GB97" t="str">
        <f>""</f>
        <v/>
      </c>
      <c r="GC97" t="str">
        <f>""</f>
        <v/>
      </c>
      <c r="GD97" t="str">
        <f>""</f>
        <v/>
      </c>
      <c r="GE97" t="str">
        <f>""</f>
        <v/>
      </c>
      <c r="GF97" t="str">
        <f>""</f>
        <v/>
      </c>
      <c r="GG97" t="str">
        <f>""</f>
        <v/>
      </c>
      <c r="GH97" t="str">
        <f>""</f>
        <v/>
      </c>
      <c r="GI97" t="str">
        <f>""</f>
        <v/>
      </c>
      <c r="GJ97" t="str">
        <f>""</f>
        <v/>
      </c>
      <c r="GK97" t="str">
        <f>""</f>
        <v/>
      </c>
      <c r="GL97" t="str">
        <f>""</f>
        <v/>
      </c>
      <c r="GM97" t="str">
        <f>""</f>
        <v/>
      </c>
      <c r="GN97" t="str">
        <f>""</f>
        <v/>
      </c>
      <c r="GO97" t="str">
        <f>""</f>
        <v/>
      </c>
      <c r="GP97" t="str">
        <f>""</f>
        <v/>
      </c>
      <c r="GQ97" t="str">
        <f>""</f>
        <v/>
      </c>
      <c r="GR97" t="str">
        <f>""</f>
        <v/>
      </c>
      <c r="GS97" t="str">
        <f>""</f>
        <v/>
      </c>
      <c r="GT97" t="str">
        <f>""</f>
        <v/>
      </c>
      <c r="GU97" t="str">
        <f>""</f>
        <v/>
      </c>
      <c r="GV97" t="str">
        <f>""</f>
        <v/>
      </c>
      <c r="GW97" t="str">
        <f>""</f>
        <v/>
      </c>
      <c r="GX97" t="str">
        <f>""</f>
        <v/>
      </c>
      <c r="GY97" t="str">
        <f>""</f>
        <v/>
      </c>
      <c r="GZ97" t="str">
        <f>""</f>
        <v/>
      </c>
      <c r="HA97" t="str">
        <f>""</f>
        <v/>
      </c>
      <c r="HB97" t="str">
        <f>""</f>
        <v/>
      </c>
      <c r="HC97" t="str">
        <f>""</f>
        <v/>
      </c>
      <c r="HD97" t="str">
        <f>"(0.0741)"</f>
        <v>(0.0741)</v>
      </c>
      <c r="HE97" t="str">
        <f>"(0.0612)"</f>
        <v>(0.0612)</v>
      </c>
      <c r="HF97" t="str">
        <f>"(0.0314)"</f>
        <v>(0.0314)</v>
      </c>
      <c r="HG97" t="str">
        <f>""</f>
        <v/>
      </c>
      <c r="HH97" t="str">
        <f>""</f>
        <v/>
      </c>
      <c r="HI97" t="str">
        <f>""</f>
        <v/>
      </c>
      <c r="HJ97" t="str">
        <f>""</f>
        <v/>
      </c>
      <c r="HK97" t="str">
        <f>""</f>
        <v/>
      </c>
      <c r="HL97" t="str">
        <f>""</f>
        <v/>
      </c>
      <c r="HM97" t="str">
        <f>""</f>
        <v/>
      </c>
      <c r="HN97" t="str">
        <f>""</f>
        <v/>
      </c>
      <c r="HO97" t="str">
        <f>""</f>
        <v/>
      </c>
      <c r="HP97" t="str">
        <f>""</f>
        <v/>
      </c>
      <c r="HQ97" t="str">
        <f>""</f>
        <v/>
      </c>
      <c r="HR97" t="str">
        <f>""</f>
        <v/>
      </c>
      <c r="HS97" t="str">
        <f>""</f>
        <v/>
      </c>
      <c r="HT97" t="str">
        <f>""</f>
        <v/>
      </c>
      <c r="HU97" t="str">
        <f>""</f>
        <v/>
      </c>
      <c r="HV97" t="str">
        <f>""</f>
        <v/>
      </c>
      <c r="HW97" t="str">
        <f>""</f>
        <v/>
      </c>
      <c r="HX97" t="str">
        <f>""</f>
        <v/>
      </c>
      <c r="HY97" t="str">
        <f>""</f>
        <v/>
      </c>
      <c r="HZ97" t="str">
        <f>""</f>
        <v/>
      </c>
      <c r="IA97" t="str">
        <f>""</f>
        <v/>
      </c>
      <c r="IB97" t="str">
        <f>""</f>
        <v/>
      </c>
      <c r="IC97" t="str">
        <f>""</f>
        <v/>
      </c>
      <c r="ID97" t="str">
        <f>""</f>
        <v/>
      </c>
      <c r="IE97" t="str">
        <f>""</f>
        <v/>
      </c>
      <c r="IF97" t="str">
        <f>""</f>
        <v/>
      </c>
      <c r="IG97" t="str">
        <f>""</f>
        <v/>
      </c>
      <c r="IH97" t="str">
        <f>""</f>
        <v/>
      </c>
      <c r="II97" t="str">
        <f>""</f>
        <v/>
      </c>
      <c r="IJ97" t="str">
        <f>""</f>
        <v/>
      </c>
      <c r="IK97" t="str">
        <f>""</f>
        <v/>
      </c>
      <c r="IL97" t="str">
        <f>""</f>
        <v/>
      </c>
      <c r="IM97" t="str">
        <f>""</f>
        <v/>
      </c>
      <c r="IN97" t="str">
        <f>""</f>
        <v/>
      </c>
      <c r="IO97" t="str">
        <f>""</f>
        <v/>
      </c>
      <c r="IP97" t="str">
        <f>""</f>
        <v/>
      </c>
      <c r="IQ97" t="str">
        <f>""</f>
        <v/>
      </c>
      <c r="IR97" t="str">
        <f>""</f>
        <v/>
      </c>
      <c r="IS97" t="str">
        <f>""</f>
        <v/>
      </c>
      <c r="IT97" t="str">
        <f>""</f>
        <v/>
      </c>
      <c r="IU97" t="str">
        <f>""</f>
        <v/>
      </c>
      <c r="IV97" t="str">
        <f>""</f>
        <v/>
      </c>
      <c r="IW97" t="str">
        <f>"(0.0738)"</f>
        <v>(0.0738)</v>
      </c>
      <c r="IX97" t="str">
        <f>"(0.0615)"</f>
        <v>(0.0615)</v>
      </c>
      <c r="IY97" t="str">
        <f>"(0.0317)"</f>
        <v>(0.0317)</v>
      </c>
      <c r="IZ97" t="str">
        <f>""</f>
        <v/>
      </c>
      <c r="JA97" t="str">
        <f>""</f>
        <v/>
      </c>
      <c r="JB97" t="str">
        <f>""</f>
        <v/>
      </c>
      <c r="JC97" t="str">
        <f>""</f>
        <v/>
      </c>
      <c r="JD97" t="str">
        <f>""</f>
        <v/>
      </c>
      <c r="JE97" t="str">
        <f>""</f>
        <v/>
      </c>
      <c r="JF97" t="str">
        <f>""</f>
        <v/>
      </c>
      <c r="JG97" t="str">
        <f>""</f>
        <v/>
      </c>
      <c r="JH97" t="str">
        <f>""</f>
        <v/>
      </c>
      <c r="JI97" t="str">
        <f>""</f>
        <v/>
      </c>
      <c r="JJ97" t="str">
        <f>""</f>
        <v/>
      </c>
      <c r="JK97" t="str">
        <f>""</f>
        <v/>
      </c>
    </row>
    <row r="99" spans="1:271" x14ac:dyDescent="0.3">
      <c r="A99" t="str">
        <f>"c.zMETAB11#c.PM1"</f>
        <v>c.zMETAB11#c.PM1</v>
      </c>
      <c r="B99" t="str">
        <f>""</f>
        <v/>
      </c>
      <c r="C99" t="str">
        <f>""</f>
        <v/>
      </c>
      <c r="D99" t="str">
        <f>""</f>
        <v/>
      </c>
      <c r="E99" t="str">
        <f>""</f>
        <v/>
      </c>
      <c r="F99" t="str">
        <f>""</f>
        <v/>
      </c>
      <c r="G99" t="str">
        <f>""</f>
        <v/>
      </c>
      <c r="H99" t="str">
        <f>""</f>
        <v/>
      </c>
      <c r="I99" t="str">
        <f>""</f>
        <v/>
      </c>
      <c r="J99" t="str">
        <f>""</f>
        <v/>
      </c>
      <c r="K99" t="str">
        <f>""</f>
        <v/>
      </c>
      <c r="L99" t="str">
        <f>""</f>
        <v/>
      </c>
      <c r="M99" t="str">
        <f>""</f>
        <v/>
      </c>
      <c r="N99" t="str">
        <f>""</f>
        <v/>
      </c>
      <c r="O99" t="str">
        <f>""</f>
        <v/>
      </c>
      <c r="P99" t="str">
        <f>""</f>
        <v/>
      </c>
      <c r="Q99" t="str">
        <f>""</f>
        <v/>
      </c>
      <c r="R99" t="str">
        <f>""</f>
        <v/>
      </c>
      <c r="S99" t="str">
        <f>""</f>
        <v/>
      </c>
      <c r="T99" t="str">
        <f>""</f>
        <v/>
      </c>
      <c r="U99" t="str">
        <f>""</f>
        <v/>
      </c>
      <c r="V99" t="str">
        <f>""</f>
        <v/>
      </c>
      <c r="W99" t="str">
        <f>""</f>
        <v/>
      </c>
      <c r="X99" t="str">
        <f>""</f>
        <v/>
      </c>
      <c r="Y99" t="str">
        <f>""</f>
        <v/>
      </c>
      <c r="Z99" t="str">
        <f>""</f>
        <v/>
      </c>
      <c r="AA99" t="str">
        <f>""</f>
        <v/>
      </c>
      <c r="AB99" t="str">
        <f>""</f>
        <v/>
      </c>
      <c r="AC99" t="str">
        <f>""</f>
        <v/>
      </c>
      <c r="AD99" t="str">
        <f>""</f>
        <v/>
      </c>
      <c r="AE99" t="str">
        <f>""</f>
        <v/>
      </c>
      <c r="AF99" t="str">
        <f>"0.0907"</f>
        <v>0.0907</v>
      </c>
      <c r="AG99" t="str">
        <f>"-0.0337"</f>
        <v>-0.0337</v>
      </c>
      <c r="AH99" t="str">
        <f>"0.0563"</f>
        <v>0.0563</v>
      </c>
      <c r="AI99" t="str">
        <f>""</f>
        <v/>
      </c>
      <c r="AJ99" t="str">
        <f>""</f>
        <v/>
      </c>
      <c r="AK99" t="str">
        <f>""</f>
        <v/>
      </c>
      <c r="AL99" t="str">
        <f>""</f>
        <v/>
      </c>
      <c r="AM99" t="str">
        <f>""</f>
        <v/>
      </c>
      <c r="AN99" t="str">
        <f>""</f>
        <v/>
      </c>
      <c r="AO99" t="str">
        <f>""</f>
        <v/>
      </c>
      <c r="AP99" t="str">
        <f>""</f>
        <v/>
      </c>
      <c r="AQ99" t="str">
        <f>""</f>
        <v/>
      </c>
      <c r="AR99" t="str">
        <f>""</f>
        <v/>
      </c>
      <c r="AS99" t="str">
        <f>""</f>
        <v/>
      </c>
      <c r="AT99" t="str">
        <f>""</f>
        <v/>
      </c>
      <c r="AU99" t="str">
        <f>""</f>
        <v/>
      </c>
      <c r="AV99" t="str">
        <f>""</f>
        <v/>
      </c>
      <c r="AW99" t="str">
        <f>""</f>
        <v/>
      </c>
      <c r="AX99" t="str">
        <f>""</f>
        <v/>
      </c>
      <c r="AY99" t="str">
        <f>""</f>
        <v/>
      </c>
      <c r="AZ99" t="str">
        <f>""</f>
        <v/>
      </c>
      <c r="BA99" t="str">
        <f>""</f>
        <v/>
      </c>
      <c r="BB99" t="str">
        <f>""</f>
        <v/>
      </c>
      <c r="BC99" t="str">
        <f>""</f>
        <v/>
      </c>
      <c r="BD99" t="str">
        <f>""</f>
        <v/>
      </c>
      <c r="BE99" t="str">
        <f>""</f>
        <v/>
      </c>
      <c r="BF99" t="str">
        <f>""</f>
        <v/>
      </c>
      <c r="BG99" t="str">
        <f>""</f>
        <v/>
      </c>
      <c r="BH99" t="str">
        <f>""</f>
        <v/>
      </c>
      <c r="BI99" t="str">
        <f>""</f>
        <v/>
      </c>
      <c r="BJ99" t="str">
        <f>""</f>
        <v/>
      </c>
      <c r="BK99" t="str">
        <f>""</f>
        <v/>
      </c>
      <c r="BL99" t="str">
        <f>""</f>
        <v/>
      </c>
      <c r="BM99" t="str">
        <f>""</f>
        <v/>
      </c>
      <c r="BN99" t="str">
        <f>""</f>
        <v/>
      </c>
      <c r="BO99" t="str">
        <f>""</f>
        <v/>
      </c>
      <c r="BP99" t="str">
        <f>""</f>
        <v/>
      </c>
      <c r="BQ99" t="str">
        <f>""</f>
        <v/>
      </c>
      <c r="BR99" t="str">
        <f>""</f>
        <v/>
      </c>
      <c r="BS99" t="str">
        <f>""</f>
        <v/>
      </c>
      <c r="BT99" t="str">
        <f>""</f>
        <v/>
      </c>
      <c r="BU99" t="str">
        <f>""</f>
        <v/>
      </c>
      <c r="BV99" t="str">
        <f>""</f>
        <v/>
      </c>
      <c r="BW99" t="str">
        <f>""</f>
        <v/>
      </c>
      <c r="BX99" t="str">
        <f>""</f>
        <v/>
      </c>
      <c r="BY99" t="str">
        <f>""</f>
        <v/>
      </c>
      <c r="BZ99" t="str">
        <f>""</f>
        <v/>
      </c>
      <c r="CA99" t="str">
        <f>""</f>
        <v/>
      </c>
      <c r="CB99" t="str">
        <f>""</f>
        <v/>
      </c>
      <c r="CC99" t="str">
        <f>""</f>
        <v/>
      </c>
      <c r="CD99" t="str">
        <f>""</f>
        <v/>
      </c>
      <c r="CE99" t="str">
        <f>""</f>
        <v/>
      </c>
      <c r="CF99" t="str">
        <f>""</f>
        <v/>
      </c>
      <c r="CG99" t="str">
        <f>""</f>
        <v/>
      </c>
      <c r="CH99" t="str">
        <f>""</f>
        <v/>
      </c>
      <c r="CI99" t="str">
        <f>""</f>
        <v/>
      </c>
      <c r="CJ99" t="str">
        <f>""</f>
        <v/>
      </c>
      <c r="CK99" t="str">
        <f>""</f>
        <v/>
      </c>
      <c r="CL99" t="str">
        <f>""</f>
        <v/>
      </c>
      <c r="CM99" t="str">
        <f>""</f>
        <v/>
      </c>
      <c r="CN99" t="str">
        <f>""</f>
        <v/>
      </c>
      <c r="CO99" t="str">
        <f>""</f>
        <v/>
      </c>
      <c r="CP99" t="str">
        <f>""</f>
        <v/>
      </c>
      <c r="CQ99" t="str">
        <f>""</f>
        <v/>
      </c>
      <c r="CR99" t="str">
        <f>""</f>
        <v/>
      </c>
      <c r="CS99" t="str">
        <f>""</f>
        <v/>
      </c>
      <c r="CT99" t="str">
        <f>""</f>
        <v/>
      </c>
      <c r="CU99" t="str">
        <f>""</f>
        <v/>
      </c>
      <c r="CV99" t="str">
        <f>""</f>
        <v/>
      </c>
      <c r="CW99" t="str">
        <f>""</f>
        <v/>
      </c>
      <c r="CX99" t="str">
        <f>""</f>
        <v/>
      </c>
      <c r="CY99" t="str">
        <f>""</f>
        <v/>
      </c>
      <c r="CZ99" t="str">
        <f>""</f>
        <v/>
      </c>
      <c r="DA99" t="str">
        <f>""</f>
        <v/>
      </c>
      <c r="DB99" t="str">
        <f>""</f>
        <v/>
      </c>
      <c r="DC99" t="str">
        <f>""</f>
        <v/>
      </c>
      <c r="DD99" t="str">
        <f>""</f>
        <v/>
      </c>
      <c r="DE99" t="str">
        <f>""</f>
        <v/>
      </c>
      <c r="DF99" t="str">
        <f>""</f>
        <v/>
      </c>
      <c r="DG99" t="str">
        <f>""</f>
        <v/>
      </c>
      <c r="DH99" t="str">
        <f>""</f>
        <v/>
      </c>
      <c r="DI99" t="str">
        <f>""</f>
        <v/>
      </c>
      <c r="DJ99" t="str">
        <f>""</f>
        <v/>
      </c>
      <c r="DK99" t="str">
        <f>""</f>
        <v/>
      </c>
      <c r="DL99" t="str">
        <f>""</f>
        <v/>
      </c>
      <c r="DM99" t="str">
        <f>""</f>
        <v/>
      </c>
      <c r="DN99" t="str">
        <f>""</f>
        <v/>
      </c>
      <c r="DO99" t="str">
        <f>""</f>
        <v/>
      </c>
      <c r="DP99" t="str">
        <f>""</f>
        <v/>
      </c>
      <c r="DQ99" t="str">
        <f>""</f>
        <v/>
      </c>
      <c r="DR99" t="str">
        <f>""</f>
        <v/>
      </c>
      <c r="DS99" t="str">
        <f>""</f>
        <v/>
      </c>
      <c r="DT99" t="str">
        <f>""</f>
        <v/>
      </c>
      <c r="DU99" t="str">
        <f>""</f>
        <v/>
      </c>
      <c r="DV99" t="str">
        <f>""</f>
        <v/>
      </c>
      <c r="DW99" t="str">
        <f>""</f>
        <v/>
      </c>
      <c r="DX99" t="str">
        <f>""</f>
        <v/>
      </c>
      <c r="DY99" t="str">
        <f>""</f>
        <v/>
      </c>
      <c r="DZ99" t="str">
        <f>""</f>
        <v/>
      </c>
      <c r="EA99" t="str">
        <f>""</f>
        <v/>
      </c>
      <c r="EB99" t="str">
        <f>""</f>
        <v/>
      </c>
      <c r="EC99" t="str">
        <f>""</f>
        <v/>
      </c>
      <c r="ED99" t="str">
        <f>""</f>
        <v/>
      </c>
      <c r="EE99" t="str">
        <f>""</f>
        <v/>
      </c>
      <c r="EF99" t="str">
        <f>""</f>
        <v/>
      </c>
      <c r="EG99" t="str">
        <f>""</f>
        <v/>
      </c>
      <c r="EH99" t="str">
        <f>""</f>
        <v/>
      </c>
      <c r="EI99" t="str">
        <f>""</f>
        <v/>
      </c>
      <c r="EJ99" t="str">
        <f>""</f>
        <v/>
      </c>
      <c r="EK99" t="str">
        <f>""</f>
        <v/>
      </c>
      <c r="EL99" t="str">
        <f>""</f>
        <v/>
      </c>
      <c r="EM99" t="str">
        <f>""</f>
        <v/>
      </c>
      <c r="EN99" t="str">
        <f>""</f>
        <v/>
      </c>
      <c r="EO99" t="str">
        <f>""</f>
        <v/>
      </c>
      <c r="EP99" t="str">
        <f>""</f>
        <v/>
      </c>
      <c r="EQ99" t="str">
        <f>""</f>
        <v/>
      </c>
      <c r="ER99" t="str">
        <f>""</f>
        <v/>
      </c>
      <c r="ES99" t="str">
        <f>""</f>
        <v/>
      </c>
      <c r="ET99" t="str">
        <f>""</f>
        <v/>
      </c>
      <c r="EU99" t="str">
        <f>""</f>
        <v/>
      </c>
      <c r="EV99" t="str">
        <f>""</f>
        <v/>
      </c>
      <c r="EW99" t="str">
        <f>""</f>
        <v/>
      </c>
      <c r="EX99" t="str">
        <f>""</f>
        <v/>
      </c>
      <c r="EY99" t="str">
        <f>""</f>
        <v/>
      </c>
      <c r="EZ99" t="str">
        <f>""</f>
        <v/>
      </c>
      <c r="FA99" t="str">
        <f>""</f>
        <v/>
      </c>
      <c r="FB99" t="str">
        <f>""</f>
        <v/>
      </c>
      <c r="FC99" t="str">
        <f>""</f>
        <v/>
      </c>
      <c r="FD99" t="str">
        <f>""</f>
        <v/>
      </c>
      <c r="FE99" t="str">
        <f>""</f>
        <v/>
      </c>
      <c r="FF99" t="str">
        <f>""</f>
        <v/>
      </c>
      <c r="FG99" t="str">
        <f>""</f>
        <v/>
      </c>
      <c r="FH99" t="str">
        <f>""</f>
        <v/>
      </c>
      <c r="FI99" t="str">
        <f>""</f>
        <v/>
      </c>
      <c r="FJ99" t="str">
        <f>""</f>
        <v/>
      </c>
      <c r="FK99" t="str">
        <f>""</f>
        <v/>
      </c>
      <c r="FL99" t="str">
        <f>""</f>
        <v/>
      </c>
      <c r="FM99" t="str">
        <f>""</f>
        <v/>
      </c>
      <c r="FN99" t="str">
        <f>""</f>
        <v/>
      </c>
      <c r="FO99" t="str">
        <f>""</f>
        <v/>
      </c>
      <c r="FP99" t="str">
        <f>""</f>
        <v/>
      </c>
      <c r="FQ99" t="str">
        <f>""</f>
        <v/>
      </c>
      <c r="FR99" t="str">
        <f>""</f>
        <v/>
      </c>
      <c r="FS99" t="str">
        <f>""</f>
        <v/>
      </c>
      <c r="FT99" t="str">
        <f>""</f>
        <v/>
      </c>
      <c r="FU99" t="str">
        <f>""</f>
        <v/>
      </c>
      <c r="FV99" t="str">
        <f>""</f>
        <v/>
      </c>
      <c r="FW99" t="str">
        <f>""</f>
        <v/>
      </c>
      <c r="FX99" t="str">
        <f>""</f>
        <v/>
      </c>
      <c r="FY99" t="str">
        <f>""</f>
        <v/>
      </c>
      <c r="FZ99" t="str">
        <f>""</f>
        <v/>
      </c>
      <c r="GA99" t="str">
        <f>""</f>
        <v/>
      </c>
      <c r="GB99" t="str">
        <f>""</f>
        <v/>
      </c>
      <c r="GC99" t="str">
        <f>""</f>
        <v/>
      </c>
      <c r="GD99" t="str">
        <f>""</f>
        <v/>
      </c>
      <c r="GE99" t="str">
        <f>""</f>
        <v/>
      </c>
      <c r="GF99" t="str">
        <f>""</f>
        <v/>
      </c>
      <c r="GG99" t="str">
        <f>""</f>
        <v/>
      </c>
      <c r="GH99" t="str">
        <f>""</f>
        <v/>
      </c>
      <c r="GI99" t="str">
        <f>""</f>
        <v/>
      </c>
      <c r="GJ99" t="str">
        <f>""</f>
        <v/>
      </c>
      <c r="GK99" t="str">
        <f>""</f>
        <v/>
      </c>
      <c r="GL99" t="str">
        <f>""</f>
        <v/>
      </c>
      <c r="GM99" t="str">
        <f>""</f>
        <v/>
      </c>
      <c r="GN99" t="str">
        <f>""</f>
        <v/>
      </c>
      <c r="GO99" t="str">
        <f>""</f>
        <v/>
      </c>
      <c r="GP99" t="str">
        <f>""</f>
        <v/>
      </c>
      <c r="GQ99" t="str">
        <f>""</f>
        <v/>
      </c>
      <c r="GR99" t="str">
        <f>""</f>
        <v/>
      </c>
      <c r="GS99" t="str">
        <f>""</f>
        <v/>
      </c>
      <c r="GT99" t="str">
        <f>""</f>
        <v/>
      </c>
      <c r="GU99" t="str">
        <f>""</f>
        <v/>
      </c>
      <c r="GV99" t="str">
        <f>""</f>
        <v/>
      </c>
      <c r="GW99" t="str">
        <f>""</f>
        <v/>
      </c>
      <c r="GX99" t="str">
        <f>""</f>
        <v/>
      </c>
      <c r="GY99" t="str">
        <f>""</f>
        <v/>
      </c>
      <c r="GZ99" t="str">
        <f>""</f>
        <v/>
      </c>
      <c r="HA99" t="str">
        <f>""</f>
        <v/>
      </c>
      <c r="HB99" t="str">
        <f>""</f>
        <v/>
      </c>
      <c r="HC99" t="str">
        <f>""</f>
        <v/>
      </c>
      <c r="HD99" t="str">
        <f>""</f>
        <v/>
      </c>
      <c r="HE99" t="str">
        <f>""</f>
        <v/>
      </c>
      <c r="HF99" t="str">
        <f>""</f>
        <v/>
      </c>
      <c r="HG99" t="str">
        <f>""</f>
        <v/>
      </c>
      <c r="HH99" t="str">
        <f>""</f>
        <v/>
      </c>
      <c r="HI99" t="str">
        <f>""</f>
        <v/>
      </c>
      <c r="HJ99" t="str">
        <f>""</f>
        <v/>
      </c>
      <c r="HK99" t="str">
        <f>""</f>
        <v/>
      </c>
      <c r="HL99" t="str">
        <f>""</f>
        <v/>
      </c>
      <c r="HM99" t="str">
        <f>""</f>
        <v/>
      </c>
      <c r="HN99" t="str">
        <f>""</f>
        <v/>
      </c>
      <c r="HO99" t="str">
        <f>""</f>
        <v/>
      </c>
      <c r="HP99" t="str">
        <f>""</f>
        <v/>
      </c>
      <c r="HQ99" t="str">
        <f>""</f>
        <v/>
      </c>
      <c r="HR99" t="str">
        <f>""</f>
        <v/>
      </c>
      <c r="HS99" t="str">
        <f>""</f>
        <v/>
      </c>
      <c r="HT99" t="str">
        <f>""</f>
        <v/>
      </c>
      <c r="HU99" t="str">
        <f>""</f>
        <v/>
      </c>
      <c r="HV99" t="str">
        <f>""</f>
        <v/>
      </c>
      <c r="HW99" t="str">
        <f>""</f>
        <v/>
      </c>
      <c r="HX99" t="str">
        <f>""</f>
        <v/>
      </c>
      <c r="HY99" t="str">
        <f>""</f>
        <v/>
      </c>
      <c r="HZ99" t="str">
        <f>""</f>
        <v/>
      </c>
      <c r="IA99" t="str">
        <f>""</f>
        <v/>
      </c>
      <c r="IB99" t="str">
        <f>""</f>
        <v/>
      </c>
      <c r="IC99" t="str">
        <f>""</f>
        <v/>
      </c>
      <c r="ID99" t="str">
        <f>""</f>
        <v/>
      </c>
      <c r="IE99" t="str">
        <f>""</f>
        <v/>
      </c>
      <c r="IF99" t="str">
        <f>""</f>
        <v/>
      </c>
      <c r="IG99" t="str">
        <f>""</f>
        <v/>
      </c>
      <c r="IH99" t="str">
        <f>""</f>
        <v/>
      </c>
      <c r="II99" t="str">
        <f>""</f>
        <v/>
      </c>
      <c r="IJ99" t="str">
        <f>""</f>
        <v/>
      </c>
      <c r="IK99" t="str">
        <f>""</f>
        <v/>
      </c>
      <c r="IL99" t="str">
        <f>""</f>
        <v/>
      </c>
      <c r="IM99" t="str">
        <f>""</f>
        <v/>
      </c>
      <c r="IN99" t="str">
        <f>""</f>
        <v/>
      </c>
      <c r="IO99" t="str">
        <f>""</f>
        <v/>
      </c>
      <c r="IP99" t="str">
        <f>""</f>
        <v/>
      </c>
      <c r="IQ99" t="str">
        <f>""</f>
        <v/>
      </c>
      <c r="IR99" t="str">
        <f>""</f>
        <v/>
      </c>
      <c r="IS99" t="str">
        <f>""</f>
        <v/>
      </c>
      <c r="IT99" t="str">
        <f>""</f>
        <v/>
      </c>
      <c r="IU99" t="str">
        <f>""</f>
        <v/>
      </c>
      <c r="IV99" t="str">
        <f>""</f>
        <v/>
      </c>
      <c r="IW99" t="str">
        <f>""</f>
        <v/>
      </c>
      <c r="IX99" t="str">
        <f>""</f>
        <v/>
      </c>
      <c r="IY99" t="str">
        <f>""</f>
        <v/>
      </c>
      <c r="IZ99" t="str">
        <f>""</f>
        <v/>
      </c>
      <c r="JA99" t="str">
        <f>""</f>
        <v/>
      </c>
      <c r="JB99" t="str">
        <f>""</f>
        <v/>
      </c>
      <c r="JC99" t="str">
        <f>""</f>
        <v/>
      </c>
      <c r="JD99" t="str">
        <f>""</f>
        <v/>
      </c>
      <c r="JE99" t="str">
        <f>""</f>
        <v/>
      </c>
      <c r="JF99" t="str">
        <f>""</f>
        <v/>
      </c>
      <c r="JG99" t="str">
        <f>""</f>
        <v/>
      </c>
      <c r="JH99" t="str">
        <f>""</f>
        <v/>
      </c>
      <c r="JI99" t="str">
        <f>""</f>
        <v/>
      </c>
      <c r="JJ99" t="str">
        <f>""</f>
        <v/>
      </c>
      <c r="JK99" t="str">
        <f>""</f>
        <v/>
      </c>
    </row>
    <row r="100" spans="1:271" x14ac:dyDescent="0.3">
      <c r="A100" t="str">
        <f>""</f>
        <v/>
      </c>
      <c r="B100" t="str">
        <f>""</f>
        <v/>
      </c>
      <c r="C100" t="str">
        <f>""</f>
        <v/>
      </c>
      <c r="D100" t="str">
        <f>""</f>
        <v/>
      </c>
      <c r="E100" t="str">
        <f>""</f>
        <v/>
      </c>
      <c r="F100" t="str">
        <f>""</f>
        <v/>
      </c>
      <c r="G100" t="str">
        <f>""</f>
        <v/>
      </c>
      <c r="H100" t="str">
        <f>""</f>
        <v/>
      </c>
      <c r="I100" t="str">
        <f>""</f>
        <v/>
      </c>
      <c r="J100" t="str">
        <f>""</f>
        <v/>
      </c>
      <c r="K100" t="str">
        <f>""</f>
        <v/>
      </c>
      <c r="L100" t="str">
        <f>""</f>
        <v/>
      </c>
      <c r="M100" t="str">
        <f>""</f>
        <v/>
      </c>
      <c r="N100" t="str">
        <f>""</f>
        <v/>
      </c>
      <c r="O100" t="str">
        <f>""</f>
        <v/>
      </c>
      <c r="P100" t="str">
        <f>""</f>
        <v/>
      </c>
      <c r="Q100" t="str">
        <f>""</f>
        <v/>
      </c>
      <c r="R100" t="str">
        <f>""</f>
        <v/>
      </c>
      <c r="S100" t="str">
        <f>""</f>
        <v/>
      </c>
      <c r="T100" t="str">
        <f>""</f>
        <v/>
      </c>
      <c r="U100" t="str">
        <f>""</f>
        <v/>
      </c>
      <c r="V100" t="str">
        <f>""</f>
        <v/>
      </c>
      <c r="W100" t="str">
        <f>""</f>
        <v/>
      </c>
      <c r="X100" t="str">
        <f>""</f>
        <v/>
      </c>
      <c r="Y100" t="str">
        <f>""</f>
        <v/>
      </c>
      <c r="Z100" t="str">
        <f>""</f>
        <v/>
      </c>
      <c r="AA100" t="str">
        <f>""</f>
        <v/>
      </c>
      <c r="AB100" t="str">
        <f>""</f>
        <v/>
      </c>
      <c r="AC100" t="str">
        <f>""</f>
        <v/>
      </c>
      <c r="AD100" t="str">
        <f>""</f>
        <v/>
      </c>
      <c r="AE100" t="str">
        <f>""</f>
        <v/>
      </c>
      <c r="AF100" t="str">
        <f>"(0.101)"</f>
        <v>(0.101)</v>
      </c>
      <c r="AG100" t="str">
        <f>"(0.0802)"</f>
        <v>(0.0802)</v>
      </c>
      <c r="AH100" t="str">
        <f>"(0.0411)"</f>
        <v>(0.0411)</v>
      </c>
      <c r="AI100" t="str">
        <f>""</f>
        <v/>
      </c>
      <c r="AJ100" t="str">
        <f>""</f>
        <v/>
      </c>
      <c r="AK100" t="str">
        <f>""</f>
        <v/>
      </c>
      <c r="AL100" t="str">
        <f>""</f>
        <v/>
      </c>
      <c r="AM100" t="str">
        <f>""</f>
        <v/>
      </c>
      <c r="AN100" t="str">
        <f>""</f>
        <v/>
      </c>
      <c r="AO100" t="str">
        <f>""</f>
        <v/>
      </c>
      <c r="AP100" t="str">
        <f>""</f>
        <v/>
      </c>
      <c r="AQ100" t="str">
        <f>""</f>
        <v/>
      </c>
      <c r="AR100" t="str">
        <f>""</f>
        <v/>
      </c>
      <c r="AS100" t="str">
        <f>""</f>
        <v/>
      </c>
      <c r="AT100" t="str">
        <f>""</f>
        <v/>
      </c>
      <c r="AU100" t="str">
        <f>""</f>
        <v/>
      </c>
      <c r="AV100" t="str">
        <f>""</f>
        <v/>
      </c>
      <c r="AW100" t="str">
        <f>""</f>
        <v/>
      </c>
      <c r="AX100" t="str">
        <f>""</f>
        <v/>
      </c>
      <c r="AY100" t="str">
        <f>""</f>
        <v/>
      </c>
      <c r="AZ100" t="str">
        <f>""</f>
        <v/>
      </c>
      <c r="BA100" t="str">
        <f>""</f>
        <v/>
      </c>
      <c r="BB100" t="str">
        <f>""</f>
        <v/>
      </c>
      <c r="BC100" t="str">
        <f>""</f>
        <v/>
      </c>
      <c r="BD100" t="str">
        <f>""</f>
        <v/>
      </c>
      <c r="BE100" t="str">
        <f>""</f>
        <v/>
      </c>
      <c r="BF100" t="str">
        <f>""</f>
        <v/>
      </c>
      <c r="BG100" t="str">
        <f>""</f>
        <v/>
      </c>
      <c r="BH100" t="str">
        <f>""</f>
        <v/>
      </c>
      <c r="BI100" t="str">
        <f>""</f>
        <v/>
      </c>
      <c r="BJ100" t="str">
        <f>""</f>
        <v/>
      </c>
      <c r="BK100" t="str">
        <f>""</f>
        <v/>
      </c>
      <c r="BL100" t="str">
        <f>""</f>
        <v/>
      </c>
      <c r="BM100" t="str">
        <f>""</f>
        <v/>
      </c>
      <c r="BN100" t="str">
        <f>""</f>
        <v/>
      </c>
      <c r="BO100" t="str">
        <f>""</f>
        <v/>
      </c>
      <c r="BP100" t="str">
        <f>""</f>
        <v/>
      </c>
      <c r="BQ100" t="str">
        <f>""</f>
        <v/>
      </c>
      <c r="BR100" t="str">
        <f>""</f>
        <v/>
      </c>
      <c r="BS100" t="str">
        <f>""</f>
        <v/>
      </c>
      <c r="BT100" t="str">
        <f>""</f>
        <v/>
      </c>
      <c r="BU100" t="str">
        <f>""</f>
        <v/>
      </c>
      <c r="BV100" t="str">
        <f>""</f>
        <v/>
      </c>
      <c r="BW100" t="str">
        <f>""</f>
        <v/>
      </c>
      <c r="BX100" t="str">
        <f>""</f>
        <v/>
      </c>
      <c r="BY100" t="str">
        <f>""</f>
        <v/>
      </c>
      <c r="BZ100" t="str">
        <f>""</f>
        <v/>
      </c>
      <c r="CA100" t="str">
        <f>""</f>
        <v/>
      </c>
      <c r="CB100" t="str">
        <f>""</f>
        <v/>
      </c>
      <c r="CC100" t="str">
        <f>""</f>
        <v/>
      </c>
      <c r="CD100" t="str">
        <f>""</f>
        <v/>
      </c>
      <c r="CE100" t="str">
        <f>""</f>
        <v/>
      </c>
      <c r="CF100" t="str">
        <f>""</f>
        <v/>
      </c>
      <c r="CG100" t="str">
        <f>""</f>
        <v/>
      </c>
      <c r="CH100" t="str">
        <f>""</f>
        <v/>
      </c>
      <c r="CI100" t="str">
        <f>""</f>
        <v/>
      </c>
      <c r="CJ100" t="str">
        <f>""</f>
        <v/>
      </c>
      <c r="CK100" t="str">
        <f>""</f>
        <v/>
      </c>
      <c r="CL100" t="str">
        <f>""</f>
        <v/>
      </c>
      <c r="CM100" t="str">
        <f>""</f>
        <v/>
      </c>
      <c r="CN100" t="str">
        <f>""</f>
        <v/>
      </c>
      <c r="CO100" t="str">
        <f>""</f>
        <v/>
      </c>
      <c r="CP100" t="str">
        <f>""</f>
        <v/>
      </c>
      <c r="CQ100" t="str">
        <f>""</f>
        <v/>
      </c>
      <c r="CR100" t="str">
        <f>""</f>
        <v/>
      </c>
      <c r="CS100" t="str">
        <f>""</f>
        <v/>
      </c>
      <c r="CT100" t="str">
        <f>""</f>
        <v/>
      </c>
      <c r="CU100" t="str">
        <f>""</f>
        <v/>
      </c>
      <c r="CV100" t="str">
        <f>""</f>
        <v/>
      </c>
      <c r="CW100" t="str">
        <f>""</f>
        <v/>
      </c>
      <c r="CX100" t="str">
        <f>""</f>
        <v/>
      </c>
      <c r="CY100" t="str">
        <f>""</f>
        <v/>
      </c>
      <c r="CZ100" t="str">
        <f>""</f>
        <v/>
      </c>
      <c r="DA100" t="str">
        <f>""</f>
        <v/>
      </c>
      <c r="DB100" t="str">
        <f>""</f>
        <v/>
      </c>
      <c r="DC100" t="str">
        <f>""</f>
        <v/>
      </c>
      <c r="DD100" t="str">
        <f>""</f>
        <v/>
      </c>
      <c r="DE100" t="str">
        <f>""</f>
        <v/>
      </c>
      <c r="DF100" t="str">
        <f>""</f>
        <v/>
      </c>
      <c r="DG100" t="str">
        <f>""</f>
        <v/>
      </c>
      <c r="DH100" t="str">
        <f>""</f>
        <v/>
      </c>
      <c r="DI100" t="str">
        <f>""</f>
        <v/>
      </c>
      <c r="DJ100" t="str">
        <f>""</f>
        <v/>
      </c>
      <c r="DK100" t="str">
        <f>""</f>
        <v/>
      </c>
      <c r="DL100" t="str">
        <f>""</f>
        <v/>
      </c>
      <c r="DM100" t="str">
        <f>""</f>
        <v/>
      </c>
      <c r="DN100" t="str">
        <f>""</f>
        <v/>
      </c>
      <c r="DO100" t="str">
        <f>""</f>
        <v/>
      </c>
      <c r="DP100" t="str">
        <f>""</f>
        <v/>
      </c>
      <c r="DQ100" t="str">
        <f>""</f>
        <v/>
      </c>
      <c r="DR100" t="str">
        <f>""</f>
        <v/>
      </c>
      <c r="DS100" t="str">
        <f>""</f>
        <v/>
      </c>
      <c r="DT100" t="str">
        <f>""</f>
        <v/>
      </c>
      <c r="DU100" t="str">
        <f>""</f>
        <v/>
      </c>
      <c r="DV100" t="str">
        <f>""</f>
        <v/>
      </c>
      <c r="DW100" t="str">
        <f>""</f>
        <v/>
      </c>
      <c r="DX100" t="str">
        <f>""</f>
        <v/>
      </c>
      <c r="DY100" t="str">
        <f>""</f>
        <v/>
      </c>
      <c r="DZ100" t="str">
        <f>""</f>
        <v/>
      </c>
      <c r="EA100" t="str">
        <f>""</f>
        <v/>
      </c>
      <c r="EB100" t="str">
        <f>""</f>
        <v/>
      </c>
      <c r="EC100" t="str">
        <f>""</f>
        <v/>
      </c>
      <c r="ED100" t="str">
        <f>""</f>
        <v/>
      </c>
      <c r="EE100" t="str">
        <f>""</f>
        <v/>
      </c>
      <c r="EF100" t="str">
        <f>""</f>
        <v/>
      </c>
      <c r="EG100" t="str">
        <f>""</f>
        <v/>
      </c>
      <c r="EH100" t="str">
        <f>""</f>
        <v/>
      </c>
      <c r="EI100" t="str">
        <f>""</f>
        <v/>
      </c>
      <c r="EJ100" t="str">
        <f>""</f>
        <v/>
      </c>
      <c r="EK100" t="str">
        <f>""</f>
        <v/>
      </c>
      <c r="EL100" t="str">
        <f>""</f>
        <v/>
      </c>
      <c r="EM100" t="str">
        <f>""</f>
        <v/>
      </c>
      <c r="EN100" t="str">
        <f>""</f>
        <v/>
      </c>
      <c r="EO100" t="str">
        <f>""</f>
        <v/>
      </c>
      <c r="EP100" t="str">
        <f>""</f>
        <v/>
      </c>
      <c r="EQ100" t="str">
        <f>""</f>
        <v/>
      </c>
      <c r="ER100" t="str">
        <f>""</f>
        <v/>
      </c>
      <c r="ES100" t="str">
        <f>""</f>
        <v/>
      </c>
      <c r="ET100" t="str">
        <f>""</f>
        <v/>
      </c>
      <c r="EU100" t="str">
        <f>""</f>
        <v/>
      </c>
      <c r="EV100" t="str">
        <f>""</f>
        <v/>
      </c>
      <c r="EW100" t="str">
        <f>""</f>
        <v/>
      </c>
      <c r="EX100" t="str">
        <f>""</f>
        <v/>
      </c>
      <c r="EY100" t="str">
        <f>""</f>
        <v/>
      </c>
      <c r="EZ100" t="str">
        <f>""</f>
        <v/>
      </c>
      <c r="FA100" t="str">
        <f>""</f>
        <v/>
      </c>
      <c r="FB100" t="str">
        <f>""</f>
        <v/>
      </c>
      <c r="FC100" t="str">
        <f>""</f>
        <v/>
      </c>
      <c r="FD100" t="str">
        <f>""</f>
        <v/>
      </c>
      <c r="FE100" t="str">
        <f>""</f>
        <v/>
      </c>
      <c r="FF100" t="str">
        <f>""</f>
        <v/>
      </c>
      <c r="FG100" t="str">
        <f>""</f>
        <v/>
      </c>
      <c r="FH100" t="str">
        <f>""</f>
        <v/>
      </c>
      <c r="FI100" t="str">
        <f>""</f>
        <v/>
      </c>
      <c r="FJ100" t="str">
        <f>""</f>
        <v/>
      </c>
      <c r="FK100" t="str">
        <f>""</f>
        <v/>
      </c>
      <c r="FL100" t="str">
        <f>""</f>
        <v/>
      </c>
      <c r="FM100" t="str">
        <f>""</f>
        <v/>
      </c>
      <c r="FN100" t="str">
        <f>""</f>
        <v/>
      </c>
      <c r="FO100" t="str">
        <f>""</f>
        <v/>
      </c>
      <c r="FP100" t="str">
        <f>""</f>
        <v/>
      </c>
      <c r="FQ100" t="str">
        <f>""</f>
        <v/>
      </c>
      <c r="FR100" t="str">
        <f>""</f>
        <v/>
      </c>
      <c r="FS100" t="str">
        <f>""</f>
        <v/>
      </c>
      <c r="FT100" t="str">
        <f>""</f>
        <v/>
      </c>
      <c r="FU100" t="str">
        <f>""</f>
        <v/>
      </c>
      <c r="FV100" t="str">
        <f>""</f>
        <v/>
      </c>
      <c r="FW100" t="str">
        <f>""</f>
        <v/>
      </c>
      <c r="FX100" t="str">
        <f>""</f>
        <v/>
      </c>
      <c r="FY100" t="str">
        <f>""</f>
        <v/>
      </c>
      <c r="FZ100" t="str">
        <f>""</f>
        <v/>
      </c>
      <c r="GA100" t="str">
        <f>""</f>
        <v/>
      </c>
      <c r="GB100" t="str">
        <f>""</f>
        <v/>
      </c>
      <c r="GC100" t="str">
        <f>""</f>
        <v/>
      </c>
      <c r="GD100" t="str">
        <f>""</f>
        <v/>
      </c>
      <c r="GE100" t="str">
        <f>""</f>
        <v/>
      </c>
      <c r="GF100" t="str">
        <f>""</f>
        <v/>
      </c>
      <c r="GG100" t="str">
        <f>""</f>
        <v/>
      </c>
      <c r="GH100" t="str">
        <f>""</f>
        <v/>
      </c>
      <c r="GI100" t="str">
        <f>""</f>
        <v/>
      </c>
      <c r="GJ100" t="str">
        <f>""</f>
        <v/>
      </c>
      <c r="GK100" t="str">
        <f>""</f>
        <v/>
      </c>
      <c r="GL100" t="str">
        <f>""</f>
        <v/>
      </c>
      <c r="GM100" t="str">
        <f>""</f>
        <v/>
      </c>
      <c r="GN100" t="str">
        <f>""</f>
        <v/>
      </c>
      <c r="GO100" t="str">
        <f>""</f>
        <v/>
      </c>
      <c r="GP100" t="str">
        <f>""</f>
        <v/>
      </c>
      <c r="GQ100" t="str">
        <f>""</f>
        <v/>
      </c>
      <c r="GR100" t="str">
        <f>""</f>
        <v/>
      </c>
      <c r="GS100" t="str">
        <f>""</f>
        <v/>
      </c>
      <c r="GT100" t="str">
        <f>""</f>
        <v/>
      </c>
      <c r="GU100" t="str">
        <f>""</f>
        <v/>
      </c>
      <c r="GV100" t="str">
        <f>""</f>
        <v/>
      </c>
      <c r="GW100" t="str">
        <f>""</f>
        <v/>
      </c>
      <c r="GX100" t="str">
        <f>""</f>
        <v/>
      </c>
      <c r="GY100" t="str">
        <f>""</f>
        <v/>
      </c>
      <c r="GZ100" t="str">
        <f>""</f>
        <v/>
      </c>
      <c r="HA100" t="str">
        <f>""</f>
        <v/>
      </c>
      <c r="HB100" t="str">
        <f>""</f>
        <v/>
      </c>
      <c r="HC100" t="str">
        <f>""</f>
        <v/>
      </c>
      <c r="HD100" t="str">
        <f>""</f>
        <v/>
      </c>
      <c r="HE100" t="str">
        <f>""</f>
        <v/>
      </c>
      <c r="HF100" t="str">
        <f>""</f>
        <v/>
      </c>
      <c r="HG100" t="str">
        <f>""</f>
        <v/>
      </c>
      <c r="HH100" t="str">
        <f>""</f>
        <v/>
      </c>
      <c r="HI100" t="str">
        <f>""</f>
        <v/>
      </c>
      <c r="HJ100" t="str">
        <f>""</f>
        <v/>
      </c>
      <c r="HK100" t="str">
        <f>""</f>
        <v/>
      </c>
      <c r="HL100" t="str">
        <f>""</f>
        <v/>
      </c>
      <c r="HM100" t="str">
        <f>""</f>
        <v/>
      </c>
      <c r="HN100" t="str">
        <f>""</f>
        <v/>
      </c>
      <c r="HO100" t="str">
        <f>""</f>
        <v/>
      </c>
      <c r="HP100" t="str">
        <f>""</f>
        <v/>
      </c>
      <c r="HQ100" t="str">
        <f>""</f>
        <v/>
      </c>
      <c r="HR100" t="str">
        <f>""</f>
        <v/>
      </c>
      <c r="HS100" t="str">
        <f>""</f>
        <v/>
      </c>
      <c r="HT100" t="str">
        <f>""</f>
        <v/>
      </c>
      <c r="HU100" t="str">
        <f>""</f>
        <v/>
      </c>
      <c r="HV100" t="str">
        <f>""</f>
        <v/>
      </c>
      <c r="HW100" t="str">
        <f>""</f>
        <v/>
      </c>
      <c r="HX100" t="str">
        <f>""</f>
        <v/>
      </c>
      <c r="HY100" t="str">
        <f>""</f>
        <v/>
      </c>
      <c r="HZ100" t="str">
        <f>""</f>
        <v/>
      </c>
      <c r="IA100" t="str">
        <f>""</f>
        <v/>
      </c>
      <c r="IB100" t="str">
        <f>""</f>
        <v/>
      </c>
      <c r="IC100" t="str">
        <f>""</f>
        <v/>
      </c>
      <c r="ID100" t="str">
        <f>""</f>
        <v/>
      </c>
      <c r="IE100" t="str">
        <f>""</f>
        <v/>
      </c>
      <c r="IF100" t="str">
        <f>""</f>
        <v/>
      </c>
      <c r="IG100" t="str">
        <f>""</f>
        <v/>
      </c>
      <c r="IH100" t="str">
        <f>""</f>
        <v/>
      </c>
      <c r="II100" t="str">
        <f>""</f>
        <v/>
      </c>
      <c r="IJ100" t="str">
        <f>""</f>
        <v/>
      </c>
      <c r="IK100" t="str">
        <f>""</f>
        <v/>
      </c>
      <c r="IL100" t="str">
        <f>""</f>
        <v/>
      </c>
      <c r="IM100" t="str">
        <f>""</f>
        <v/>
      </c>
      <c r="IN100" t="str">
        <f>""</f>
        <v/>
      </c>
      <c r="IO100" t="str">
        <f>""</f>
        <v/>
      </c>
      <c r="IP100" t="str">
        <f>""</f>
        <v/>
      </c>
      <c r="IQ100" t="str">
        <f>""</f>
        <v/>
      </c>
      <c r="IR100" t="str">
        <f>""</f>
        <v/>
      </c>
      <c r="IS100" t="str">
        <f>""</f>
        <v/>
      </c>
      <c r="IT100" t="str">
        <f>""</f>
        <v/>
      </c>
      <c r="IU100" t="str">
        <f>""</f>
        <v/>
      </c>
      <c r="IV100" t="str">
        <f>""</f>
        <v/>
      </c>
      <c r="IW100" t="str">
        <f>""</f>
        <v/>
      </c>
      <c r="IX100" t="str">
        <f>""</f>
        <v/>
      </c>
      <c r="IY100" t="str">
        <f>""</f>
        <v/>
      </c>
      <c r="IZ100" t="str">
        <f>""</f>
        <v/>
      </c>
      <c r="JA100" t="str">
        <f>""</f>
        <v/>
      </c>
      <c r="JB100" t="str">
        <f>""</f>
        <v/>
      </c>
      <c r="JC100" t="str">
        <f>""</f>
        <v/>
      </c>
      <c r="JD100" t="str">
        <f>""</f>
        <v/>
      </c>
      <c r="JE100" t="str">
        <f>""</f>
        <v/>
      </c>
      <c r="JF100" t="str">
        <f>""</f>
        <v/>
      </c>
      <c r="JG100" t="str">
        <f>""</f>
        <v/>
      </c>
      <c r="JH100" t="str">
        <f>""</f>
        <v/>
      </c>
      <c r="JI100" t="str">
        <f>""</f>
        <v/>
      </c>
      <c r="JJ100" t="str">
        <f>""</f>
        <v/>
      </c>
      <c r="JK100" t="str">
        <f>""</f>
        <v/>
      </c>
    </row>
    <row r="102" spans="1:271" x14ac:dyDescent="0.3">
      <c r="A102" t="str">
        <f>"zMETAB12"</f>
        <v>zMETAB12</v>
      </c>
      <c r="B102" t="str">
        <f>""</f>
        <v/>
      </c>
      <c r="C102" t="str">
        <f>""</f>
        <v/>
      </c>
      <c r="D102" t="str">
        <f>""</f>
        <v/>
      </c>
      <c r="E102" t="str">
        <f>""</f>
        <v/>
      </c>
      <c r="F102" t="str">
        <f>""</f>
        <v/>
      </c>
      <c r="G102" t="str">
        <f>""</f>
        <v/>
      </c>
      <c r="H102" t="str">
        <f>""</f>
        <v/>
      </c>
      <c r="I102" t="str">
        <f>""</f>
        <v/>
      </c>
      <c r="J102" t="str">
        <f>""</f>
        <v/>
      </c>
      <c r="K102" t="str">
        <f>""</f>
        <v/>
      </c>
      <c r="L102" t="str">
        <f>""</f>
        <v/>
      </c>
      <c r="M102" t="str">
        <f>""</f>
        <v/>
      </c>
      <c r="N102" t="str">
        <f>""</f>
        <v/>
      </c>
      <c r="O102" t="str">
        <f>""</f>
        <v/>
      </c>
      <c r="P102" t="str">
        <f>""</f>
        <v/>
      </c>
      <c r="Q102" t="str">
        <f>""</f>
        <v/>
      </c>
      <c r="R102" t="str">
        <f>""</f>
        <v/>
      </c>
      <c r="S102" t="str">
        <f>""</f>
        <v/>
      </c>
      <c r="T102" t="str">
        <f>""</f>
        <v/>
      </c>
      <c r="U102" t="str">
        <f>""</f>
        <v/>
      </c>
      <c r="V102" t="str">
        <f>""</f>
        <v/>
      </c>
      <c r="W102" t="str">
        <f>""</f>
        <v/>
      </c>
      <c r="X102" t="str">
        <f>""</f>
        <v/>
      </c>
      <c r="Y102" t="str">
        <f>""</f>
        <v/>
      </c>
      <c r="Z102" t="str">
        <f>""</f>
        <v/>
      </c>
      <c r="AA102" t="str">
        <f>""</f>
        <v/>
      </c>
      <c r="AB102" t="str">
        <f>""</f>
        <v/>
      </c>
      <c r="AC102" t="str">
        <f>""</f>
        <v/>
      </c>
      <c r="AD102" t="str">
        <f>""</f>
        <v/>
      </c>
      <c r="AE102" t="str">
        <f>""</f>
        <v/>
      </c>
      <c r="AF102" t="str">
        <f>""</f>
        <v/>
      </c>
      <c r="AG102" t="str">
        <f>""</f>
        <v/>
      </c>
      <c r="AH102" t="str">
        <f>""</f>
        <v/>
      </c>
      <c r="AI102" t="str">
        <f>"-0.0650"</f>
        <v>-0.0650</v>
      </c>
      <c r="AJ102" t="str">
        <f>"-0.120*"</f>
        <v>-0.120*</v>
      </c>
      <c r="AK102" t="str">
        <f>"-0.0806*"</f>
        <v>-0.0806*</v>
      </c>
      <c r="AL102" t="str">
        <f>""</f>
        <v/>
      </c>
      <c r="AM102" t="str">
        <f>""</f>
        <v/>
      </c>
      <c r="AN102" t="str">
        <f>""</f>
        <v/>
      </c>
      <c r="AO102" t="str">
        <f>""</f>
        <v/>
      </c>
      <c r="AP102" t="str">
        <f>""</f>
        <v/>
      </c>
      <c r="AQ102" t="str">
        <f>""</f>
        <v/>
      </c>
      <c r="AR102" t="str">
        <f>""</f>
        <v/>
      </c>
      <c r="AS102" t="str">
        <f>""</f>
        <v/>
      </c>
      <c r="AT102" t="str">
        <f>""</f>
        <v/>
      </c>
      <c r="AU102" t="str">
        <f>""</f>
        <v/>
      </c>
      <c r="AV102" t="str">
        <f>""</f>
        <v/>
      </c>
      <c r="AW102" t="str">
        <f>""</f>
        <v/>
      </c>
      <c r="AX102" t="str">
        <f>""</f>
        <v/>
      </c>
      <c r="AY102" t="str">
        <f>""</f>
        <v/>
      </c>
      <c r="AZ102" t="str">
        <f>""</f>
        <v/>
      </c>
      <c r="BA102" t="str">
        <f>""</f>
        <v/>
      </c>
      <c r="BB102" t="str">
        <f>""</f>
        <v/>
      </c>
      <c r="BC102" t="str">
        <f>""</f>
        <v/>
      </c>
      <c r="BD102" t="str">
        <f>""</f>
        <v/>
      </c>
      <c r="BE102" t="str">
        <f>""</f>
        <v/>
      </c>
      <c r="BF102" t="str">
        <f>""</f>
        <v/>
      </c>
      <c r="BG102" t="str">
        <f>""</f>
        <v/>
      </c>
      <c r="BH102" t="str">
        <f>""</f>
        <v/>
      </c>
      <c r="BI102" t="str">
        <f>""</f>
        <v/>
      </c>
      <c r="BJ102" t="str">
        <f>""</f>
        <v/>
      </c>
      <c r="BK102" t="str">
        <f>""</f>
        <v/>
      </c>
      <c r="BL102" t="str">
        <f>""</f>
        <v/>
      </c>
      <c r="BM102" t="str">
        <f>""</f>
        <v/>
      </c>
      <c r="BN102" t="str">
        <f>""</f>
        <v/>
      </c>
      <c r="BO102" t="str">
        <f>""</f>
        <v/>
      </c>
      <c r="BP102" t="str">
        <f>""</f>
        <v/>
      </c>
      <c r="BQ102" t="str">
        <f>""</f>
        <v/>
      </c>
      <c r="BR102" t="str">
        <f>""</f>
        <v/>
      </c>
      <c r="BS102" t="str">
        <f>""</f>
        <v/>
      </c>
      <c r="BT102" t="str">
        <f>""</f>
        <v/>
      </c>
      <c r="BU102" t="str">
        <f>""</f>
        <v/>
      </c>
      <c r="BV102" t="str">
        <f>""</f>
        <v/>
      </c>
      <c r="BW102" t="str">
        <f>""</f>
        <v/>
      </c>
      <c r="BX102" t="str">
        <f>""</f>
        <v/>
      </c>
      <c r="BY102" t="str">
        <f>""</f>
        <v/>
      </c>
      <c r="BZ102" t="str">
        <f>""</f>
        <v/>
      </c>
      <c r="CA102" t="str">
        <f>""</f>
        <v/>
      </c>
      <c r="CB102" t="str">
        <f>"-0.0383"</f>
        <v>-0.0383</v>
      </c>
      <c r="CC102" t="str">
        <f>"-0.189***"</f>
        <v>-0.189***</v>
      </c>
      <c r="CD102" t="str">
        <f>"-0.116***"</f>
        <v>-0.116***</v>
      </c>
      <c r="CE102" t="str">
        <f>""</f>
        <v/>
      </c>
      <c r="CF102" t="str">
        <f>""</f>
        <v/>
      </c>
      <c r="CG102" t="str">
        <f>""</f>
        <v/>
      </c>
      <c r="CH102" t="str">
        <f>""</f>
        <v/>
      </c>
      <c r="CI102" t="str">
        <f>""</f>
        <v/>
      </c>
      <c r="CJ102" t="str">
        <f>""</f>
        <v/>
      </c>
      <c r="CK102" t="str">
        <f>""</f>
        <v/>
      </c>
      <c r="CL102" t="str">
        <f>""</f>
        <v/>
      </c>
      <c r="CM102" t="str">
        <f>""</f>
        <v/>
      </c>
      <c r="CN102" t="str">
        <f>""</f>
        <v/>
      </c>
      <c r="CO102" t="str">
        <f>""</f>
        <v/>
      </c>
      <c r="CP102" t="str">
        <f>""</f>
        <v/>
      </c>
      <c r="CQ102" t="str">
        <f>""</f>
        <v/>
      </c>
      <c r="CR102" t="str">
        <f>""</f>
        <v/>
      </c>
      <c r="CS102" t="str">
        <f>""</f>
        <v/>
      </c>
      <c r="CT102" t="str">
        <f>""</f>
        <v/>
      </c>
      <c r="CU102" t="str">
        <f>""</f>
        <v/>
      </c>
      <c r="CV102" t="str">
        <f>""</f>
        <v/>
      </c>
      <c r="CW102" t="str">
        <f>""</f>
        <v/>
      </c>
      <c r="CX102" t="str">
        <f>""</f>
        <v/>
      </c>
      <c r="CY102" t="str">
        <f>""</f>
        <v/>
      </c>
      <c r="CZ102" t="str">
        <f>""</f>
        <v/>
      </c>
      <c r="DA102" t="str">
        <f>""</f>
        <v/>
      </c>
      <c r="DB102" t="str">
        <f>""</f>
        <v/>
      </c>
      <c r="DC102" t="str">
        <f>""</f>
        <v/>
      </c>
      <c r="DD102" t="str">
        <f>""</f>
        <v/>
      </c>
      <c r="DE102" t="str">
        <f>""</f>
        <v/>
      </c>
      <c r="DF102" t="str">
        <f>""</f>
        <v/>
      </c>
      <c r="DG102" t="str">
        <f>""</f>
        <v/>
      </c>
      <c r="DH102" t="str">
        <f>""</f>
        <v/>
      </c>
      <c r="DI102" t="str">
        <f>""</f>
        <v/>
      </c>
      <c r="DJ102" t="str">
        <f>""</f>
        <v/>
      </c>
      <c r="DK102" t="str">
        <f>""</f>
        <v/>
      </c>
      <c r="DL102" t="str">
        <f>""</f>
        <v/>
      </c>
      <c r="DM102" t="str">
        <f>""</f>
        <v/>
      </c>
      <c r="DN102" t="str">
        <f>""</f>
        <v/>
      </c>
      <c r="DO102" t="str">
        <f>""</f>
        <v/>
      </c>
      <c r="DP102" t="str">
        <f>""</f>
        <v/>
      </c>
      <c r="DQ102" t="str">
        <f>""</f>
        <v/>
      </c>
      <c r="DR102" t="str">
        <f>""</f>
        <v/>
      </c>
      <c r="DS102" t="str">
        <f>""</f>
        <v/>
      </c>
      <c r="DT102" t="str">
        <f>""</f>
        <v/>
      </c>
      <c r="DU102" t="str">
        <f>"0.0180"</f>
        <v>0.0180</v>
      </c>
      <c r="DV102" t="str">
        <f>"-0.112*"</f>
        <v>-0.112*</v>
      </c>
      <c r="DW102" t="str">
        <f>"-0.110***"</f>
        <v>-0.110***</v>
      </c>
      <c r="DX102" t="str">
        <f>""</f>
        <v/>
      </c>
      <c r="DY102" t="str">
        <f>""</f>
        <v/>
      </c>
      <c r="DZ102" t="str">
        <f>""</f>
        <v/>
      </c>
      <c r="EA102" t="str">
        <f>""</f>
        <v/>
      </c>
      <c r="EB102" t="str">
        <f>""</f>
        <v/>
      </c>
      <c r="EC102" t="str">
        <f>""</f>
        <v/>
      </c>
      <c r="ED102" t="str">
        <f>""</f>
        <v/>
      </c>
      <c r="EE102" t="str">
        <f>""</f>
        <v/>
      </c>
      <c r="EF102" t="str">
        <f>""</f>
        <v/>
      </c>
      <c r="EG102" t="str">
        <f>""</f>
        <v/>
      </c>
      <c r="EH102" t="str">
        <f>""</f>
        <v/>
      </c>
      <c r="EI102" t="str">
        <f>""</f>
        <v/>
      </c>
      <c r="EJ102" t="str">
        <f>""</f>
        <v/>
      </c>
      <c r="EK102" t="str">
        <f>""</f>
        <v/>
      </c>
      <c r="EL102" t="str">
        <f>""</f>
        <v/>
      </c>
      <c r="EM102" t="str">
        <f>""</f>
        <v/>
      </c>
      <c r="EN102" t="str">
        <f>""</f>
        <v/>
      </c>
      <c r="EO102" t="str">
        <f>""</f>
        <v/>
      </c>
      <c r="EP102" t="str">
        <f>""</f>
        <v/>
      </c>
      <c r="EQ102" t="str">
        <f>""</f>
        <v/>
      </c>
      <c r="ER102" t="str">
        <f>""</f>
        <v/>
      </c>
      <c r="ES102" t="str">
        <f>""</f>
        <v/>
      </c>
      <c r="ET102" t="str">
        <f>""</f>
        <v/>
      </c>
      <c r="EU102" t="str">
        <f>""</f>
        <v/>
      </c>
      <c r="EV102" t="str">
        <f>""</f>
        <v/>
      </c>
      <c r="EW102" t="str">
        <f>""</f>
        <v/>
      </c>
      <c r="EX102" t="str">
        <f>""</f>
        <v/>
      </c>
      <c r="EY102" t="str">
        <f>""</f>
        <v/>
      </c>
      <c r="EZ102" t="str">
        <f>""</f>
        <v/>
      </c>
      <c r="FA102" t="str">
        <f>""</f>
        <v/>
      </c>
      <c r="FB102" t="str">
        <f>""</f>
        <v/>
      </c>
      <c r="FC102" t="str">
        <f>""</f>
        <v/>
      </c>
      <c r="FD102" t="str">
        <f>""</f>
        <v/>
      </c>
      <c r="FE102" t="str">
        <f>""</f>
        <v/>
      </c>
      <c r="FF102" t="str">
        <f>""</f>
        <v/>
      </c>
      <c r="FG102" t="str">
        <f>""</f>
        <v/>
      </c>
      <c r="FH102" t="str">
        <f>""</f>
        <v/>
      </c>
      <c r="FI102" t="str">
        <f>""</f>
        <v/>
      </c>
      <c r="FJ102" t="str">
        <f>""</f>
        <v/>
      </c>
      <c r="FK102" t="str">
        <f>""</f>
        <v/>
      </c>
      <c r="FL102" t="str">
        <f>""</f>
        <v/>
      </c>
      <c r="FM102" t="str">
        <f>""</f>
        <v/>
      </c>
      <c r="FN102" t="str">
        <f>"-0.0629"</f>
        <v>-0.0629</v>
      </c>
      <c r="FO102" t="str">
        <f>"-0.143*"</f>
        <v>-0.143*</v>
      </c>
      <c r="FP102" t="str">
        <f>"-0.0736*"</f>
        <v>-0.0736*</v>
      </c>
      <c r="FQ102" t="str">
        <f>""</f>
        <v/>
      </c>
      <c r="FR102" t="str">
        <f>""</f>
        <v/>
      </c>
      <c r="FS102" t="str">
        <f>""</f>
        <v/>
      </c>
      <c r="FT102" t="str">
        <f>""</f>
        <v/>
      </c>
      <c r="FU102" t="str">
        <f>""</f>
        <v/>
      </c>
      <c r="FV102" t="str">
        <f>""</f>
        <v/>
      </c>
      <c r="FW102" t="str">
        <f>""</f>
        <v/>
      </c>
      <c r="FX102" t="str">
        <f>""</f>
        <v/>
      </c>
      <c r="FY102" t="str">
        <f>""</f>
        <v/>
      </c>
      <c r="FZ102" t="str">
        <f>""</f>
        <v/>
      </c>
      <c r="GA102" t="str">
        <f>""</f>
        <v/>
      </c>
      <c r="GB102" t="str">
        <f>""</f>
        <v/>
      </c>
      <c r="GC102" t="str">
        <f>""</f>
        <v/>
      </c>
      <c r="GD102" t="str">
        <f>""</f>
        <v/>
      </c>
      <c r="GE102" t="str">
        <f>""</f>
        <v/>
      </c>
      <c r="GF102" t="str">
        <f>""</f>
        <v/>
      </c>
      <c r="GG102" t="str">
        <f>""</f>
        <v/>
      </c>
      <c r="GH102" t="str">
        <f>""</f>
        <v/>
      </c>
      <c r="GI102" t="str">
        <f>""</f>
        <v/>
      </c>
      <c r="GJ102" t="str">
        <f>""</f>
        <v/>
      </c>
      <c r="GK102" t="str">
        <f>""</f>
        <v/>
      </c>
      <c r="GL102" t="str">
        <f>""</f>
        <v/>
      </c>
      <c r="GM102" t="str">
        <f>""</f>
        <v/>
      </c>
      <c r="GN102" t="str">
        <f>""</f>
        <v/>
      </c>
      <c r="GO102" t="str">
        <f>""</f>
        <v/>
      </c>
      <c r="GP102" t="str">
        <f>""</f>
        <v/>
      </c>
      <c r="GQ102" t="str">
        <f>""</f>
        <v/>
      </c>
      <c r="GR102" t="str">
        <f>""</f>
        <v/>
      </c>
      <c r="GS102" t="str">
        <f>""</f>
        <v/>
      </c>
      <c r="GT102" t="str">
        <f>""</f>
        <v/>
      </c>
      <c r="GU102" t="str">
        <f>""</f>
        <v/>
      </c>
      <c r="GV102" t="str">
        <f>""</f>
        <v/>
      </c>
      <c r="GW102" t="str">
        <f>""</f>
        <v/>
      </c>
      <c r="GX102" t="str">
        <f>""</f>
        <v/>
      </c>
      <c r="GY102" t="str">
        <f>""</f>
        <v/>
      </c>
      <c r="GZ102" t="str">
        <f>""</f>
        <v/>
      </c>
      <c r="HA102" t="str">
        <f>""</f>
        <v/>
      </c>
      <c r="HB102" t="str">
        <f>""</f>
        <v/>
      </c>
      <c r="HC102" t="str">
        <f>""</f>
        <v/>
      </c>
      <c r="HD102" t="str">
        <f>""</f>
        <v/>
      </c>
      <c r="HE102" t="str">
        <f>""</f>
        <v/>
      </c>
      <c r="HF102" t="str">
        <f>""</f>
        <v/>
      </c>
      <c r="HG102" t="str">
        <f>"-0.0460"</f>
        <v>-0.0460</v>
      </c>
      <c r="HH102" t="str">
        <f>"-0.147*"</f>
        <v>-0.147*</v>
      </c>
      <c r="HI102" t="str">
        <f>"-0.0408"</f>
        <v>-0.0408</v>
      </c>
      <c r="HJ102" t="str">
        <f>""</f>
        <v/>
      </c>
      <c r="HK102" t="str">
        <f>""</f>
        <v/>
      </c>
      <c r="HL102" t="str">
        <f>""</f>
        <v/>
      </c>
      <c r="HM102" t="str">
        <f>""</f>
        <v/>
      </c>
      <c r="HN102" t="str">
        <f>""</f>
        <v/>
      </c>
      <c r="HO102" t="str">
        <f>""</f>
        <v/>
      </c>
      <c r="HP102" t="str">
        <f>""</f>
        <v/>
      </c>
      <c r="HQ102" t="str">
        <f>""</f>
        <v/>
      </c>
      <c r="HR102" t="str">
        <f>""</f>
        <v/>
      </c>
      <c r="HS102" t="str">
        <f>""</f>
        <v/>
      </c>
      <c r="HT102" t="str">
        <f>""</f>
        <v/>
      </c>
      <c r="HU102" t="str">
        <f>""</f>
        <v/>
      </c>
      <c r="HV102" t="str">
        <f>""</f>
        <v/>
      </c>
      <c r="HW102" t="str">
        <f>""</f>
        <v/>
      </c>
      <c r="HX102" t="str">
        <f>""</f>
        <v/>
      </c>
      <c r="HY102" t="str">
        <f>""</f>
        <v/>
      </c>
      <c r="HZ102" t="str">
        <f>""</f>
        <v/>
      </c>
      <c r="IA102" t="str">
        <f>""</f>
        <v/>
      </c>
      <c r="IB102" t="str">
        <f>""</f>
        <v/>
      </c>
      <c r="IC102" t="str">
        <f>""</f>
        <v/>
      </c>
      <c r="ID102" t="str">
        <f>""</f>
        <v/>
      </c>
      <c r="IE102" t="str">
        <f>""</f>
        <v/>
      </c>
      <c r="IF102" t="str">
        <f>""</f>
        <v/>
      </c>
      <c r="IG102" t="str">
        <f>""</f>
        <v/>
      </c>
      <c r="IH102" t="str">
        <f>""</f>
        <v/>
      </c>
      <c r="II102" t="str">
        <f>""</f>
        <v/>
      </c>
      <c r="IJ102" t="str">
        <f>""</f>
        <v/>
      </c>
      <c r="IK102" t="str">
        <f>""</f>
        <v/>
      </c>
      <c r="IL102" t="str">
        <f>""</f>
        <v/>
      </c>
      <c r="IM102" t="str">
        <f>""</f>
        <v/>
      </c>
      <c r="IN102" t="str">
        <f>""</f>
        <v/>
      </c>
      <c r="IO102" t="str">
        <f>""</f>
        <v/>
      </c>
      <c r="IP102" t="str">
        <f>""</f>
        <v/>
      </c>
      <c r="IQ102" t="str">
        <f>""</f>
        <v/>
      </c>
      <c r="IR102" t="str">
        <f>""</f>
        <v/>
      </c>
      <c r="IS102" t="str">
        <f>""</f>
        <v/>
      </c>
      <c r="IT102" t="str">
        <f>""</f>
        <v/>
      </c>
      <c r="IU102" t="str">
        <f>""</f>
        <v/>
      </c>
      <c r="IV102" t="str">
        <f>""</f>
        <v/>
      </c>
      <c r="IW102" t="str">
        <f>""</f>
        <v/>
      </c>
      <c r="IX102" t="str">
        <f>""</f>
        <v/>
      </c>
      <c r="IY102" t="str">
        <f>""</f>
        <v/>
      </c>
      <c r="IZ102" t="str">
        <f>"-0.0705"</f>
        <v>-0.0705</v>
      </c>
      <c r="JA102" t="str">
        <f>"-0.131*"</f>
        <v>-0.131*</v>
      </c>
      <c r="JB102" t="str">
        <f>"-0.0535"</f>
        <v>-0.0535</v>
      </c>
      <c r="JC102" t="str">
        <f>""</f>
        <v/>
      </c>
      <c r="JD102" t="str">
        <f>""</f>
        <v/>
      </c>
      <c r="JE102" t="str">
        <f>""</f>
        <v/>
      </c>
      <c r="JF102" t="str">
        <f>""</f>
        <v/>
      </c>
      <c r="JG102" t="str">
        <f>""</f>
        <v/>
      </c>
      <c r="JH102" t="str">
        <f>""</f>
        <v/>
      </c>
      <c r="JI102" t="str">
        <f>""</f>
        <v/>
      </c>
      <c r="JJ102" t="str">
        <f>""</f>
        <v/>
      </c>
      <c r="JK102" t="str">
        <f>""</f>
        <v/>
      </c>
    </row>
    <row r="103" spans="1:271" x14ac:dyDescent="0.3">
      <c r="A103" t="str">
        <f>""</f>
        <v/>
      </c>
      <c r="B103" t="str">
        <f>""</f>
        <v/>
      </c>
      <c r="C103" t="str">
        <f>""</f>
        <v/>
      </c>
      <c r="D103" t="str">
        <f>""</f>
        <v/>
      </c>
      <c r="E103" t="str">
        <f>""</f>
        <v/>
      </c>
      <c r="F103" t="str">
        <f>""</f>
        <v/>
      </c>
      <c r="G103" t="str">
        <f>""</f>
        <v/>
      </c>
      <c r="H103" t="str">
        <f>""</f>
        <v/>
      </c>
      <c r="I103" t="str">
        <f>""</f>
        <v/>
      </c>
      <c r="J103" t="str">
        <f>""</f>
        <v/>
      </c>
      <c r="K103" t="str">
        <f>""</f>
        <v/>
      </c>
      <c r="L103" t="str">
        <f>""</f>
        <v/>
      </c>
      <c r="M103" t="str">
        <f>""</f>
        <v/>
      </c>
      <c r="N103" t="str">
        <f>""</f>
        <v/>
      </c>
      <c r="O103" t="str">
        <f>""</f>
        <v/>
      </c>
      <c r="P103" t="str">
        <f>""</f>
        <v/>
      </c>
      <c r="Q103" t="str">
        <f>""</f>
        <v/>
      </c>
      <c r="R103" t="str">
        <f>""</f>
        <v/>
      </c>
      <c r="S103" t="str">
        <f>""</f>
        <v/>
      </c>
      <c r="T103" t="str">
        <f>""</f>
        <v/>
      </c>
      <c r="U103" t="str">
        <f>""</f>
        <v/>
      </c>
      <c r="V103" t="str">
        <f>""</f>
        <v/>
      </c>
      <c r="W103" t="str">
        <f>""</f>
        <v/>
      </c>
      <c r="X103" t="str">
        <f>""</f>
        <v/>
      </c>
      <c r="Y103" t="str">
        <f>""</f>
        <v/>
      </c>
      <c r="Z103" t="str">
        <f>""</f>
        <v/>
      </c>
      <c r="AA103" t="str">
        <f>""</f>
        <v/>
      </c>
      <c r="AB103" t="str">
        <f>""</f>
        <v/>
      </c>
      <c r="AC103" t="str">
        <f>""</f>
        <v/>
      </c>
      <c r="AD103" t="str">
        <f>""</f>
        <v/>
      </c>
      <c r="AE103" t="str">
        <f>""</f>
        <v/>
      </c>
      <c r="AF103" t="str">
        <f>""</f>
        <v/>
      </c>
      <c r="AG103" t="str">
        <f>""</f>
        <v/>
      </c>
      <c r="AH103" t="str">
        <f>""</f>
        <v/>
      </c>
      <c r="AI103" t="str">
        <f>"(0.0735)"</f>
        <v>(0.0735)</v>
      </c>
      <c r="AJ103" t="str">
        <f>"(0.0578)"</f>
        <v>(0.0578)</v>
      </c>
      <c r="AK103" t="str">
        <f>"(0.0321)"</f>
        <v>(0.0321)</v>
      </c>
      <c r="AL103" t="str">
        <f>""</f>
        <v/>
      </c>
      <c r="AM103" t="str">
        <f>""</f>
        <v/>
      </c>
      <c r="AN103" t="str">
        <f>""</f>
        <v/>
      </c>
      <c r="AO103" t="str">
        <f>""</f>
        <v/>
      </c>
      <c r="AP103" t="str">
        <f>""</f>
        <v/>
      </c>
      <c r="AQ103" t="str">
        <f>""</f>
        <v/>
      </c>
      <c r="AR103" t="str">
        <f>""</f>
        <v/>
      </c>
      <c r="AS103" t="str">
        <f>""</f>
        <v/>
      </c>
      <c r="AT103" t="str">
        <f>""</f>
        <v/>
      </c>
      <c r="AU103" t="str">
        <f>""</f>
        <v/>
      </c>
      <c r="AV103" t="str">
        <f>""</f>
        <v/>
      </c>
      <c r="AW103" t="str">
        <f>""</f>
        <v/>
      </c>
      <c r="AX103" t="str">
        <f>""</f>
        <v/>
      </c>
      <c r="AY103" t="str">
        <f>""</f>
        <v/>
      </c>
      <c r="AZ103" t="str">
        <f>""</f>
        <v/>
      </c>
      <c r="BA103" t="str">
        <f>""</f>
        <v/>
      </c>
      <c r="BB103" t="str">
        <f>""</f>
        <v/>
      </c>
      <c r="BC103" t="str">
        <f>""</f>
        <v/>
      </c>
      <c r="BD103" t="str">
        <f>""</f>
        <v/>
      </c>
      <c r="BE103" t="str">
        <f>""</f>
        <v/>
      </c>
      <c r="BF103" t="str">
        <f>""</f>
        <v/>
      </c>
      <c r="BG103" t="str">
        <f>""</f>
        <v/>
      </c>
      <c r="BH103" t="str">
        <f>""</f>
        <v/>
      </c>
      <c r="BI103" t="str">
        <f>""</f>
        <v/>
      </c>
      <c r="BJ103" t="str">
        <f>""</f>
        <v/>
      </c>
      <c r="BK103" t="str">
        <f>""</f>
        <v/>
      </c>
      <c r="BL103" t="str">
        <f>""</f>
        <v/>
      </c>
      <c r="BM103" t="str">
        <f>""</f>
        <v/>
      </c>
      <c r="BN103" t="str">
        <f>""</f>
        <v/>
      </c>
      <c r="BO103" t="str">
        <f>""</f>
        <v/>
      </c>
      <c r="BP103" t="str">
        <f>""</f>
        <v/>
      </c>
      <c r="BQ103" t="str">
        <f>""</f>
        <v/>
      </c>
      <c r="BR103" t="str">
        <f>""</f>
        <v/>
      </c>
      <c r="BS103" t="str">
        <f>""</f>
        <v/>
      </c>
      <c r="BT103" t="str">
        <f>""</f>
        <v/>
      </c>
      <c r="BU103" t="str">
        <f>""</f>
        <v/>
      </c>
      <c r="BV103" t="str">
        <f>""</f>
        <v/>
      </c>
      <c r="BW103" t="str">
        <f>""</f>
        <v/>
      </c>
      <c r="BX103" t="str">
        <f>""</f>
        <v/>
      </c>
      <c r="BY103" t="str">
        <f>""</f>
        <v/>
      </c>
      <c r="BZ103" t="str">
        <f>""</f>
        <v/>
      </c>
      <c r="CA103" t="str">
        <f>""</f>
        <v/>
      </c>
      <c r="CB103" t="str">
        <f>"(0.0731)"</f>
        <v>(0.0731)</v>
      </c>
      <c r="CC103" t="str">
        <f>"(0.0573)"</f>
        <v>(0.0573)</v>
      </c>
      <c r="CD103" t="str">
        <f>"(0.0310)"</f>
        <v>(0.0310)</v>
      </c>
      <c r="CE103" t="str">
        <f>""</f>
        <v/>
      </c>
      <c r="CF103" t="str">
        <f>""</f>
        <v/>
      </c>
      <c r="CG103" t="str">
        <f>""</f>
        <v/>
      </c>
      <c r="CH103" t="str">
        <f>""</f>
        <v/>
      </c>
      <c r="CI103" t="str">
        <f>""</f>
        <v/>
      </c>
      <c r="CJ103" t="str">
        <f>""</f>
        <v/>
      </c>
      <c r="CK103" t="str">
        <f>""</f>
        <v/>
      </c>
      <c r="CL103" t="str">
        <f>""</f>
        <v/>
      </c>
      <c r="CM103" t="str">
        <f>""</f>
        <v/>
      </c>
      <c r="CN103" t="str">
        <f>""</f>
        <v/>
      </c>
      <c r="CO103" t="str">
        <f>""</f>
        <v/>
      </c>
      <c r="CP103" t="str">
        <f>""</f>
        <v/>
      </c>
      <c r="CQ103" t="str">
        <f>""</f>
        <v/>
      </c>
      <c r="CR103" t="str">
        <f>""</f>
        <v/>
      </c>
      <c r="CS103" t="str">
        <f>""</f>
        <v/>
      </c>
      <c r="CT103" t="str">
        <f>""</f>
        <v/>
      </c>
      <c r="CU103" t="str">
        <f>""</f>
        <v/>
      </c>
      <c r="CV103" t="str">
        <f>""</f>
        <v/>
      </c>
      <c r="CW103" t="str">
        <f>""</f>
        <v/>
      </c>
      <c r="CX103" t="str">
        <f>""</f>
        <v/>
      </c>
      <c r="CY103" t="str">
        <f>""</f>
        <v/>
      </c>
      <c r="CZ103" t="str">
        <f>""</f>
        <v/>
      </c>
      <c r="DA103" t="str">
        <f>""</f>
        <v/>
      </c>
      <c r="DB103" t="str">
        <f>""</f>
        <v/>
      </c>
      <c r="DC103" t="str">
        <f>""</f>
        <v/>
      </c>
      <c r="DD103" t="str">
        <f>""</f>
        <v/>
      </c>
      <c r="DE103" t="str">
        <f>""</f>
        <v/>
      </c>
      <c r="DF103" t="str">
        <f>""</f>
        <v/>
      </c>
      <c r="DG103" t="str">
        <f>""</f>
        <v/>
      </c>
      <c r="DH103" t="str">
        <f>""</f>
        <v/>
      </c>
      <c r="DI103" t="str">
        <f>""</f>
        <v/>
      </c>
      <c r="DJ103" t="str">
        <f>""</f>
        <v/>
      </c>
      <c r="DK103" t="str">
        <f>""</f>
        <v/>
      </c>
      <c r="DL103" t="str">
        <f>""</f>
        <v/>
      </c>
      <c r="DM103" t="str">
        <f>""</f>
        <v/>
      </c>
      <c r="DN103" t="str">
        <f>""</f>
        <v/>
      </c>
      <c r="DO103" t="str">
        <f>""</f>
        <v/>
      </c>
      <c r="DP103" t="str">
        <f>""</f>
        <v/>
      </c>
      <c r="DQ103" t="str">
        <f>""</f>
        <v/>
      </c>
      <c r="DR103" t="str">
        <f>""</f>
        <v/>
      </c>
      <c r="DS103" t="str">
        <f>""</f>
        <v/>
      </c>
      <c r="DT103" t="str">
        <f>""</f>
        <v/>
      </c>
      <c r="DU103" t="str">
        <f>"(0.0737)"</f>
        <v>(0.0737)</v>
      </c>
      <c r="DV103" t="str">
        <f>"(0.0546)"</f>
        <v>(0.0546)</v>
      </c>
      <c r="DW103" t="str">
        <f>"(0.0309)"</f>
        <v>(0.0309)</v>
      </c>
      <c r="DX103" t="str">
        <f>""</f>
        <v/>
      </c>
      <c r="DY103" t="str">
        <f>""</f>
        <v/>
      </c>
      <c r="DZ103" t="str">
        <f>""</f>
        <v/>
      </c>
      <c r="EA103" t="str">
        <f>""</f>
        <v/>
      </c>
      <c r="EB103" t="str">
        <f>""</f>
        <v/>
      </c>
      <c r="EC103" t="str">
        <f>""</f>
        <v/>
      </c>
      <c r="ED103" t="str">
        <f>""</f>
        <v/>
      </c>
      <c r="EE103" t="str">
        <f>""</f>
        <v/>
      </c>
      <c r="EF103" t="str">
        <f>""</f>
        <v/>
      </c>
      <c r="EG103" t="str">
        <f>""</f>
        <v/>
      </c>
      <c r="EH103" t="str">
        <f>""</f>
        <v/>
      </c>
      <c r="EI103" t="str">
        <f>""</f>
        <v/>
      </c>
      <c r="EJ103" t="str">
        <f>""</f>
        <v/>
      </c>
      <c r="EK103" t="str">
        <f>""</f>
        <v/>
      </c>
      <c r="EL103" t="str">
        <f>""</f>
        <v/>
      </c>
      <c r="EM103" t="str">
        <f>""</f>
        <v/>
      </c>
      <c r="EN103" t="str">
        <f>""</f>
        <v/>
      </c>
      <c r="EO103" t="str">
        <f>""</f>
        <v/>
      </c>
      <c r="EP103" t="str">
        <f>""</f>
        <v/>
      </c>
      <c r="EQ103" t="str">
        <f>""</f>
        <v/>
      </c>
      <c r="ER103" t="str">
        <f>""</f>
        <v/>
      </c>
      <c r="ES103" t="str">
        <f>""</f>
        <v/>
      </c>
      <c r="ET103" t="str">
        <f>""</f>
        <v/>
      </c>
      <c r="EU103" t="str">
        <f>""</f>
        <v/>
      </c>
      <c r="EV103" t="str">
        <f>""</f>
        <v/>
      </c>
      <c r="EW103" t="str">
        <f>""</f>
        <v/>
      </c>
      <c r="EX103" t="str">
        <f>""</f>
        <v/>
      </c>
      <c r="EY103" t="str">
        <f>""</f>
        <v/>
      </c>
      <c r="EZ103" t="str">
        <f>""</f>
        <v/>
      </c>
      <c r="FA103" t="str">
        <f>""</f>
        <v/>
      </c>
      <c r="FB103" t="str">
        <f>""</f>
        <v/>
      </c>
      <c r="FC103" t="str">
        <f>""</f>
        <v/>
      </c>
      <c r="FD103" t="str">
        <f>""</f>
        <v/>
      </c>
      <c r="FE103" t="str">
        <f>""</f>
        <v/>
      </c>
      <c r="FF103" t="str">
        <f>""</f>
        <v/>
      </c>
      <c r="FG103" t="str">
        <f>""</f>
        <v/>
      </c>
      <c r="FH103" t="str">
        <f>""</f>
        <v/>
      </c>
      <c r="FI103" t="str">
        <f>""</f>
        <v/>
      </c>
      <c r="FJ103" t="str">
        <f>""</f>
        <v/>
      </c>
      <c r="FK103" t="str">
        <f>""</f>
        <v/>
      </c>
      <c r="FL103" t="str">
        <f>""</f>
        <v/>
      </c>
      <c r="FM103" t="str">
        <f>""</f>
        <v/>
      </c>
      <c r="FN103" t="str">
        <f>"(0.0707)"</f>
        <v>(0.0707)</v>
      </c>
      <c r="FO103" t="str">
        <f>"(0.0582)"</f>
        <v>(0.0582)</v>
      </c>
      <c r="FP103" t="str">
        <f>"(0.0312)"</f>
        <v>(0.0312)</v>
      </c>
      <c r="FQ103" t="str">
        <f>""</f>
        <v/>
      </c>
      <c r="FR103" t="str">
        <f>""</f>
        <v/>
      </c>
      <c r="FS103" t="str">
        <f>""</f>
        <v/>
      </c>
      <c r="FT103" t="str">
        <f>""</f>
        <v/>
      </c>
      <c r="FU103" t="str">
        <f>""</f>
        <v/>
      </c>
      <c r="FV103" t="str">
        <f>""</f>
        <v/>
      </c>
      <c r="FW103" t="str">
        <f>""</f>
        <v/>
      </c>
      <c r="FX103" t="str">
        <f>""</f>
        <v/>
      </c>
      <c r="FY103" t="str">
        <f>""</f>
        <v/>
      </c>
      <c r="FZ103" t="str">
        <f>""</f>
        <v/>
      </c>
      <c r="GA103" t="str">
        <f>""</f>
        <v/>
      </c>
      <c r="GB103" t="str">
        <f>""</f>
        <v/>
      </c>
      <c r="GC103" t="str">
        <f>""</f>
        <v/>
      </c>
      <c r="GD103" t="str">
        <f>""</f>
        <v/>
      </c>
      <c r="GE103" t="str">
        <f>""</f>
        <v/>
      </c>
      <c r="GF103" t="str">
        <f>""</f>
        <v/>
      </c>
      <c r="GG103" t="str">
        <f>""</f>
        <v/>
      </c>
      <c r="GH103" t="str">
        <f>""</f>
        <v/>
      </c>
      <c r="GI103" t="str">
        <f>""</f>
        <v/>
      </c>
      <c r="GJ103" t="str">
        <f>""</f>
        <v/>
      </c>
      <c r="GK103" t="str">
        <f>""</f>
        <v/>
      </c>
      <c r="GL103" t="str">
        <f>""</f>
        <v/>
      </c>
      <c r="GM103" t="str">
        <f>""</f>
        <v/>
      </c>
      <c r="GN103" t="str">
        <f>""</f>
        <v/>
      </c>
      <c r="GO103" t="str">
        <f>""</f>
        <v/>
      </c>
      <c r="GP103" t="str">
        <f>""</f>
        <v/>
      </c>
      <c r="GQ103" t="str">
        <f>""</f>
        <v/>
      </c>
      <c r="GR103" t="str">
        <f>""</f>
        <v/>
      </c>
      <c r="GS103" t="str">
        <f>""</f>
        <v/>
      </c>
      <c r="GT103" t="str">
        <f>""</f>
        <v/>
      </c>
      <c r="GU103" t="str">
        <f>""</f>
        <v/>
      </c>
      <c r="GV103" t="str">
        <f>""</f>
        <v/>
      </c>
      <c r="GW103" t="str">
        <f>""</f>
        <v/>
      </c>
      <c r="GX103" t="str">
        <f>""</f>
        <v/>
      </c>
      <c r="GY103" t="str">
        <f>""</f>
        <v/>
      </c>
      <c r="GZ103" t="str">
        <f>""</f>
        <v/>
      </c>
      <c r="HA103" t="str">
        <f>""</f>
        <v/>
      </c>
      <c r="HB103" t="str">
        <f>""</f>
        <v/>
      </c>
      <c r="HC103" t="str">
        <f>""</f>
        <v/>
      </c>
      <c r="HD103" t="str">
        <f>""</f>
        <v/>
      </c>
      <c r="HE103" t="str">
        <f>""</f>
        <v/>
      </c>
      <c r="HF103" t="str">
        <f>""</f>
        <v/>
      </c>
      <c r="HG103" t="str">
        <f>"(0.0726)"</f>
        <v>(0.0726)</v>
      </c>
      <c r="HH103" t="str">
        <f>"(0.0598)"</f>
        <v>(0.0598)</v>
      </c>
      <c r="HI103" t="str">
        <f>"(0.0319)"</f>
        <v>(0.0319)</v>
      </c>
      <c r="HJ103" t="str">
        <f>""</f>
        <v/>
      </c>
      <c r="HK103" t="str">
        <f>""</f>
        <v/>
      </c>
      <c r="HL103" t="str">
        <f>""</f>
        <v/>
      </c>
      <c r="HM103" t="str">
        <f>""</f>
        <v/>
      </c>
      <c r="HN103" t="str">
        <f>""</f>
        <v/>
      </c>
      <c r="HO103" t="str">
        <f>""</f>
        <v/>
      </c>
      <c r="HP103" t="str">
        <f>""</f>
        <v/>
      </c>
      <c r="HQ103" t="str">
        <f>""</f>
        <v/>
      </c>
      <c r="HR103" t="str">
        <f>""</f>
        <v/>
      </c>
      <c r="HS103" t="str">
        <f>""</f>
        <v/>
      </c>
      <c r="HT103" t="str">
        <f>""</f>
        <v/>
      </c>
      <c r="HU103" t="str">
        <f>""</f>
        <v/>
      </c>
      <c r="HV103" t="str">
        <f>""</f>
        <v/>
      </c>
      <c r="HW103" t="str">
        <f>""</f>
        <v/>
      </c>
      <c r="HX103" t="str">
        <f>""</f>
        <v/>
      </c>
      <c r="HY103" t="str">
        <f>""</f>
        <v/>
      </c>
      <c r="HZ103" t="str">
        <f>""</f>
        <v/>
      </c>
      <c r="IA103" t="str">
        <f>""</f>
        <v/>
      </c>
      <c r="IB103" t="str">
        <f>""</f>
        <v/>
      </c>
      <c r="IC103" t="str">
        <f>""</f>
        <v/>
      </c>
      <c r="ID103" t="str">
        <f>""</f>
        <v/>
      </c>
      <c r="IE103" t="str">
        <f>""</f>
        <v/>
      </c>
      <c r="IF103" t="str">
        <f>""</f>
        <v/>
      </c>
      <c r="IG103" t="str">
        <f>""</f>
        <v/>
      </c>
      <c r="IH103" t="str">
        <f>""</f>
        <v/>
      </c>
      <c r="II103" t="str">
        <f>""</f>
        <v/>
      </c>
      <c r="IJ103" t="str">
        <f>""</f>
        <v/>
      </c>
      <c r="IK103" t="str">
        <f>""</f>
        <v/>
      </c>
      <c r="IL103" t="str">
        <f>""</f>
        <v/>
      </c>
      <c r="IM103" t="str">
        <f>""</f>
        <v/>
      </c>
      <c r="IN103" t="str">
        <f>""</f>
        <v/>
      </c>
      <c r="IO103" t="str">
        <f>""</f>
        <v/>
      </c>
      <c r="IP103" t="str">
        <f>""</f>
        <v/>
      </c>
      <c r="IQ103" t="str">
        <f>""</f>
        <v/>
      </c>
      <c r="IR103" t="str">
        <f>""</f>
        <v/>
      </c>
      <c r="IS103" t="str">
        <f>""</f>
        <v/>
      </c>
      <c r="IT103" t="str">
        <f>""</f>
        <v/>
      </c>
      <c r="IU103" t="str">
        <f>""</f>
        <v/>
      </c>
      <c r="IV103" t="str">
        <f>""</f>
        <v/>
      </c>
      <c r="IW103" t="str">
        <f>""</f>
        <v/>
      </c>
      <c r="IX103" t="str">
        <f>""</f>
        <v/>
      </c>
      <c r="IY103" t="str">
        <f>""</f>
        <v/>
      </c>
      <c r="IZ103" t="str">
        <f>"(0.0727)"</f>
        <v>(0.0727)</v>
      </c>
      <c r="JA103" t="str">
        <f>"(0.0592)"</f>
        <v>(0.0592)</v>
      </c>
      <c r="JB103" t="str">
        <f>"(0.0321)"</f>
        <v>(0.0321)</v>
      </c>
      <c r="JC103" t="str">
        <f>""</f>
        <v/>
      </c>
      <c r="JD103" t="str">
        <f>""</f>
        <v/>
      </c>
      <c r="JE103" t="str">
        <f>""</f>
        <v/>
      </c>
      <c r="JF103" t="str">
        <f>""</f>
        <v/>
      </c>
      <c r="JG103" t="str">
        <f>""</f>
        <v/>
      </c>
      <c r="JH103" t="str">
        <f>""</f>
        <v/>
      </c>
      <c r="JI103" t="str">
        <f>""</f>
        <v/>
      </c>
      <c r="JJ103" t="str">
        <f>""</f>
        <v/>
      </c>
      <c r="JK103" t="str">
        <f>""</f>
        <v/>
      </c>
    </row>
    <row r="105" spans="1:271" x14ac:dyDescent="0.3">
      <c r="A105" t="str">
        <f>"c.zMETAB12#c.PM1"</f>
        <v>c.zMETAB12#c.PM1</v>
      </c>
      <c r="B105" t="str">
        <f>""</f>
        <v/>
      </c>
      <c r="C105" t="str">
        <f>""</f>
        <v/>
      </c>
      <c r="D105" t="str">
        <f>""</f>
        <v/>
      </c>
      <c r="E105" t="str">
        <f>""</f>
        <v/>
      </c>
      <c r="F105" t="str">
        <f>""</f>
        <v/>
      </c>
      <c r="G105" t="str">
        <f>""</f>
        <v/>
      </c>
      <c r="H105" t="str">
        <f>""</f>
        <v/>
      </c>
      <c r="I105" t="str">
        <f>""</f>
        <v/>
      </c>
      <c r="J105" t="str">
        <f>""</f>
        <v/>
      </c>
      <c r="K105" t="str">
        <f>""</f>
        <v/>
      </c>
      <c r="L105" t="str">
        <f>""</f>
        <v/>
      </c>
      <c r="M105" t="str">
        <f>""</f>
        <v/>
      </c>
      <c r="N105" t="str">
        <f>""</f>
        <v/>
      </c>
      <c r="O105" t="str">
        <f>""</f>
        <v/>
      </c>
      <c r="P105" t="str">
        <f>""</f>
        <v/>
      </c>
      <c r="Q105" t="str">
        <f>""</f>
        <v/>
      </c>
      <c r="R105" t="str">
        <f>""</f>
        <v/>
      </c>
      <c r="S105" t="str">
        <f>""</f>
        <v/>
      </c>
      <c r="T105" t="str">
        <f>""</f>
        <v/>
      </c>
      <c r="U105" t="str">
        <f>""</f>
        <v/>
      </c>
      <c r="V105" t="str">
        <f>""</f>
        <v/>
      </c>
      <c r="W105" t="str">
        <f>""</f>
        <v/>
      </c>
      <c r="X105" t="str">
        <f>""</f>
        <v/>
      </c>
      <c r="Y105" t="str">
        <f>""</f>
        <v/>
      </c>
      <c r="Z105" t="str">
        <f>""</f>
        <v/>
      </c>
      <c r="AA105" t="str">
        <f>""</f>
        <v/>
      </c>
      <c r="AB105" t="str">
        <f>""</f>
        <v/>
      </c>
      <c r="AC105" t="str">
        <f>""</f>
        <v/>
      </c>
      <c r="AD105" t="str">
        <f>""</f>
        <v/>
      </c>
      <c r="AE105" t="str">
        <f>""</f>
        <v/>
      </c>
      <c r="AF105" t="str">
        <f>""</f>
        <v/>
      </c>
      <c r="AG105" t="str">
        <f>""</f>
        <v/>
      </c>
      <c r="AH105" t="str">
        <f>""</f>
        <v/>
      </c>
      <c r="AI105" t="str">
        <f>"-0.0453"</f>
        <v>-0.0453</v>
      </c>
      <c r="AJ105" t="str">
        <f>"0.0956"</f>
        <v>0.0956</v>
      </c>
      <c r="AK105" t="str">
        <f>"-0.00801"</f>
        <v>-0.00801</v>
      </c>
      <c r="AL105" t="str">
        <f>""</f>
        <v/>
      </c>
      <c r="AM105" t="str">
        <f>""</f>
        <v/>
      </c>
      <c r="AN105" t="str">
        <f>""</f>
        <v/>
      </c>
      <c r="AO105" t="str">
        <f>""</f>
        <v/>
      </c>
      <c r="AP105" t="str">
        <f>""</f>
        <v/>
      </c>
      <c r="AQ105" t="str">
        <f>""</f>
        <v/>
      </c>
      <c r="AR105" t="str">
        <f>""</f>
        <v/>
      </c>
      <c r="AS105" t="str">
        <f>""</f>
        <v/>
      </c>
      <c r="AT105" t="str">
        <f>""</f>
        <v/>
      </c>
      <c r="AU105" t="str">
        <f>""</f>
        <v/>
      </c>
      <c r="AV105" t="str">
        <f>""</f>
        <v/>
      </c>
      <c r="AW105" t="str">
        <f>""</f>
        <v/>
      </c>
      <c r="AX105" t="str">
        <f>""</f>
        <v/>
      </c>
      <c r="AY105" t="str">
        <f>""</f>
        <v/>
      </c>
      <c r="AZ105" t="str">
        <f>""</f>
        <v/>
      </c>
      <c r="BA105" t="str">
        <f>""</f>
        <v/>
      </c>
      <c r="BB105" t="str">
        <f>""</f>
        <v/>
      </c>
      <c r="BC105" t="str">
        <f>""</f>
        <v/>
      </c>
      <c r="BD105" t="str">
        <f>""</f>
        <v/>
      </c>
      <c r="BE105" t="str">
        <f>""</f>
        <v/>
      </c>
      <c r="BF105" t="str">
        <f>""</f>
        <v/>
      </c>
      <c r="BG105" t="str">
        <f>""</f>
        <v/>
      </c>
      <c r="BH105" t="str">
        <f>""</f>
        <v/>
      </c>
      <c r="BI105" t="str">
        <f>""</f>
        <v/>
      </c>
      <c r="BJ105" t="str">
        <f>""</f>
        <v/>
      </c>
      <c r="BK105" t="str">
        <f>""</f>
        <v/>
      </c>
      <c r="BL105" t="str">
        <f>""</f>
        <v/>
      </c>
      <c r="BM105" t="str">
        <f>""</f>
        <v/>
      </c>
      <c r="BN105" t="str">
        <f>""</f>
        <v/>
      </c>
      <c r="BO105" t="str">
        <f>""</f>
        <v/>
      </c>
      <c r="BP105" t="str">
        <f>""</f>
        <v/>
      </c>
      <c r="BQ105" t="str">
        <f>""</f>
        <v/>
      </c>
      <c r="BR105" t="str">
        <f>""</f>
        <v/>
      </c>
      <c r="BS105" t="str">
        <f>""</f>
        <v/>
      </c>
      <c r="BT105" t="str">
        <f>""</f>
        <v/>
      </c>
      <c r="BU105" t="str">
        <f>""</f>
        <v/>
      </c>
      <c r="BV105" t="str">
        <f>""</f>
        <v/>
      </c>
      <c r="BW105" t="str">
        <f>""</f>
        <v/>
      </c>
      <c r="BX105" t="str">
        <f>""</f>
        <v/>
      </c>
      <c r="BY105" t="str">
        <f>""</f>
        <v/>
      </c>
      <c r="BZ105" t="str">
        <f>""</f>
        <v/>
      </c>
      <c r="CA105" t="str">
        <f>""</f>
        <v/>
      </c>
      <c r="CB105" t="str">
        <f>""</f>
        <v/>
      </c>
      <c r="CC105" t="str">
        <f>""</f>
        <v/>
      </c>
      <c r="CD105" t="str">
        <f>""</f>
        <v/>
      </c>
      <c r="CE105" t="str">
        <f>""</f>
        <v/>
      </c>
      <c r="CF105" t="str">
        <f>""</f>
        <v/>
      </c>
      <c r="CG105" t="str">
        <f>""</f>
        <v/>
      </c>
      <c r="CH105" t="str">
        <f>""</f>
        <v/>
      </c>
      <c r="CI105" t="str">
        <f>""</f>
        <v/>
      </c>
      <c r="CJ105" t="str">
        <f>""</f>
        <v/>
      </c>
      <c r="CK105" t="str">
        <f>""</f>
        <v/>
      </c>
      <c r="CL105" t="str">
        <f>""</f>
        <v/>
      </c>
      <c r="CM105" t="str">
        <f>""</f>
        <v/>
      </c>
      <c r="CN105" t="str">
        <f>""</f>
        <v/>
      </c>
      <c r="CO105" t="str">
        <f>""</f>
        <v/>
      </c>
      <c r="CP105" t="str">
        <f>""</f>
        <v/>
      </c>
      <c r="CQ105" t="str">
        <f>""</f>
        <v/>
      </c>
      <c r="CR105" t="str">
        <f>""</f>
        <v/>
      </c>
      <c r="CS105" t="str">
        <f>""</f>
        <v/>
      </c>
      <c r="CT105" t="str">
        <f>""</f>
        <v/>
      </c>
      <c r="CU105" t="str">
        <f>""</f>
        <v/>
      </c>
      <c r="CV105" t="str">
        <f>""</f>
        <v/>
      </c>
      <c r="CW105" t="str">
        <f>""</f>
        <v/>
      </c>
      <c r="CX105" t="str">
        <f>""</f>
        <v/>
      </c>
      <c r="CY105" t="str">
        <f>""</f>
        <v/>
      </c>
      <c r="CZ105" t="str">
        <f>""</f>
        <v/>
      </c>
      <c r="DA105" t="str">
        <f>""</f>
        <v/>
      </c>
      <c r="DB105" t="str">
        <f>""</f>
        <v/>
      </c>
      <c r="DC105" t="str">
        <f>""</f>
        <v/>
      </c>
      <c r="DD105" t="str">
        <f>""</f>
        <v/>
      </c>
      <c r="DE105" t="str">
        <f>""</f>
        <v/>
      </c>
      <c r="DF105" t="str">
        <f>""</f>
        <v/>
      </c>
      <c r="DG105" t="str">
        <f>""</f>
        <v/>
      </c>
      <c r="DH105" t="str">
        <f>""</f>
        <v/>
      </c>
      <c r="DI105" t="str">
        <f>""</f>
        <v/>
      </c>
      <c r="DJ105" t="str">
        <f>""</f>
        <v/>
      </c>
      <c r="DK105" t="str">
        <f>""</f>
        <v/>
      </c>
      <c r="DL105" t="str">
        <f>""</f>
        <v/>
      </c>
      <c r="DM105" t="str">
        <f>""</f>
        <v/>
      </c>
      <c r="DN105" t="str">
        <f>""</f>
        <v/>
      </c>
      <c r="DO105" t="str">
        <f>""</f>
        <v/>
      </c>
      <c r="DP105" t="str">
        <f>""</f>
        <v/>
      </c>
      <c r="DQ105" t="str">
        <f>""</f>
        <v/>
      </c>
      <c r="DR105" t="str">
        <f>""</f>
        <v/>
      </c>
      <c r="DS105" t="str">
        <f>""</f>
        <v/>
      </c>
      <c r="DT105" t="str">
        <f>""</f>
        <v/>
      </c>
      <c r="DU105" t="str">
        <f>""</f>
        <v/>
      </c>
      <c r="DV105" t="str">
        <f>""</f>
        <v/>
      </c>
      <c r="DW105" t="str">
        <f>""</f>
        <v/>
      </c>
      <c r="DX105" t="str">
        <f>""</f>
        <v/>
      </c>
      <c r="DY105" t="str">
        <f>""</f>
        <v/>
      </c>
      <c r="DZ105" t="str">
        <f>""</f>
        <v/>
      </c>
      <c r="EA105" t="str">
        <f>""</f>
        <v/>
      </c>
      <c r="EB105" t="str">
        <f>""</f>
        <v/>
      </c>
      <c r="EC105" t="str">
        <f>""</f>
        <v/>
      </c>
      <c r="ED105" t="str">
        <f>""</f>
        <v/>
      </c>
      <c r="EE105" t="str">
        <f>""</f>
        <v/>
      </c>
      <c r="EF105" t="str">
        <f>""</f>
        <v/>
      </c>
      <c r="EG105" t="str">
        <f>""</f>
        <v/>
      </c>
      <c r="EH105" t="str">
        <f>""</f>
        <v/>
      </c>
      <c r="EI105" t="str">
        <f>""</f>
        <v/>
      </c>
      <c r="EJ105" t="str">
        <f>""</f>
        <v/>
      </c>
      <c r="EK105" t="str">
        <f>""</f>
        <v/>
      </c>
      <c r="EL105" t="str">
        <f>""</f>
        <v/>
      </c>
      <c r="EM105" t="str">
        <f>""</f>
        <v/>
      </c>
      <c r="EN105" t="str">
        <f>""</f>
        <v/>
      </c>
      <c r="EO105" t="str">
        <f>""</f>
        <v/>
      </c>
      <c r="EP105" t="str">
        <f>""</f>
        <v/>
      </c>
      <c r="EQ105" t="str">
        <f>""</f>
        <v/>
      </c>
      <c r="ER105" t="str">
        <f>""</f>
        <v/>
      </c>
      <c r="ES105" t="str">
        <f>""</f>
        <v/>
      </c>
      <c r="ET105" t="str">
        <f>""</f>
        <v/>
      </c>
      <c r="EU105" t="str">
        <f>""</f>
        <v/>
      </c>
      <c r="EV105" t="str">
        <f>""</f>
        <v/>
      </c>
      <c r="EW105" t="str">
        <f>""</f>
        <v/>
      </c>
      <c r="EX105" t="str">
        <f>""</f>
        <v/>
      </c>
      <c r="EY105" t="str">
        <f>""</f>
        <v/>
      </c>
      <c r="EZ105" t="str">
        <f>""</f>
        <v/>
      </c>
      <c r="FA105" t="str">
        <f>""</f>
        <v/>
      </c>
      <c r="FB105" t="str">
        <f>""</f>
        <v/>
      </c>
      <c r="FC105" t="str">
        <f>""</f>
        <v/>
      </c>
      <c r="FD105" t="str">
        <f>""</f>
        <v/>
      </c>
      <c r="FE105" t="str">
        <f>""</f>
        <v/>
      </c>
      <c r="FF105" t="str">
        <f>""</f>
        <v/>
      </c>
      <c r="FG105" t="str">
        <f>""</f>
        <v/>
      </c>
      <c r="FH105" t="str">
        <f>""</f>
        <v/>
      </c>
      <c r="FI105" t="str">
        <f>""</f>
        <v/>
      </c>
      <c r="FJ105" t="str">
        <f>""</f>
        <v/>
      </c>
      <c r="FK105" t="str">
        <f>""</f>
        <v/>
      </c>
      <c r="FL105" t="str">
        <f>""</f>
        <v/>
      </c>
      <c r="FM105" t="str">
        <f>""</f>
        <v/>
      </c>
      <c r="FN105" t="str">
        <f>""</f>
        <v/>
      </c>
      <c r="FO105" t="str">
        <f>""</f>
        <v/>
      </c>
      <c r="FP105" t="str">
        <f>""</f>
        <v/>
      </c>
      <c r="FQ105" t="str">
        <f>""</f>
        <v/>
      </c>
      <c r="FR105" t="str">
        <f>""</f>
        <v/>
      </c>
      <c r="FS105" t="str">
        <f>""</f>
        <v/>
      </c>
      <c r="FT105" t="str">
        <f>""</f>
        <v/>
      </c>
      <c r="FU105" t="str">
        <f>""</f>
        <v/>
      </c>
      <c r="FV105" t="str">
        <f>""</f>
        <v/>
      </c>
      <c r="FW105" t="str">
        <f>""</f>
        <v/>
      </c>
      <c r="FX105" t="str">
        <f>""</f>
        <v/>
      </c>
      <c r="FY105" t="str">
        <f>""</f>
        <v/>
      </c>
      <c r="FZ105" t="str">
        <f>""</f>
        <v/>
      </c>
      <c r="GA105" t="str">
        <f>""</f>
        <v/>
      </c>
      <c r="GB105" t="str">
        <f>""</f>
        <v/>
      </c>
      <c r="GC105" t="str">
        <f>""</f>
        <v/>
      </c>
      <c r="GD105" t="str">
        <f>""</f>
        <v/>
      </c>
      <c r="GE105" t="str">
        <f>""</f>
        <v/>
      </c>
      <c r="GF105" t="str">
        <f>""</f>
        <v/>
      </c>
      <c r="GG105" t="str">
        <f>""</f>
        <v/>
      </c>
      <c r="GH105" t="str">
        <f>""</f>
        <v/>
      </c>
      <c r="GI105" t="str">
        <f>""</f>
        <v/>
      </c>
      <c r="GJ105" t="str">
        <f>""</f>
        <v/>
      </c>
      <c r="GK105" t="str">
        <f>""</f>
        <v/>
      </c>
      <c r="GL105" t="str">
        <f>""</f>
        <v/>
      </c>
      <c r="GM105" t="str">
        <f>""</f>
        <v/>
      </c>
      <c r="GN105" t="str">
        <f>""</f>
        <v/>
      </c>
      <c r="GO105" t="str">
        <f>""</f>
        <v/>
      </c>
      <c r="GP105" t="str">
        <f>""</f>
        <v/>
      </c>
      <c r="GQ105" t="str">
        <f>""</f>
        <v/>
      </c>
      <c r="GR105" t="str">
        <f>""</f>
        <v/>
      </c>
      <c r="GS105" t="str">
        <f>""</f>
        <v/>
      </c>
      <c r="GT105" t="str">
        <f>""</f>
        <v/>
      </c>
      <c r="GU105" t="str">
        <f>""</f>
        <v/>
      </c>
      <c r="GV105" t="str">
        <f>""</f>
        <v/>
      </c>
      <c r="GW105" t="str">
        <f>""</f>
        <v/>
      </c>
      <c r="GX105" t="str">
        <f>""</f>
        <v/>
      </c>
      <c r="GY105" t="str">
        <f>""</f>
        <v/>
      </c>
      <c r="GZ105" t="str">
        <f>""</f>
        <v/>
      </c>
      <c r="HA105" t="str">
        <f>""</f>
        <v/>
      </c>
      <c r="HB105" t="str">
        <f>""</f>
        <v/>
      </c>
      <c r="HC105" t="str">
        <f>""</f>
        <v/>
      </c>
      <c r="HD105" t="str">
        <f>""</f>
        <v/>
      </c>
      <c r="HE105" t="str">
        <f>""</f>
        <v/>
      </c>
      <c r="HF105" t="str">
        <f>""</f>
        <v/>
      </c>
      <c r="HG105" t="str">
        <f>""</f>
        <v/>
      </c>
      <c r="HH105" t="str">
        <f>""</f>
        <v/>
      </c>
      <c r="HI105" t="str">
        <f>""</f>
        <v/>
      </c>
      <c r="HJ105" t="str">
        <f>""</f>
        <v/>
      </c>
      <c r="HK105" t="str">
        <f>""</f>
        <v/>
      </c>
      <c r="HL105" t="str">
        <f>""</f>
        <v/>
      </c>
      <c r="HM105" t="str">
        <f>""</f>
        <v/>
      </c>
      <c r="HN105" t="str">
        <f>""</f>
        <v/>
      </c>
      <c r="HO105" t="str">
        <f>""</f>
        <v/>
      </c>
      <c r="HP105" t="str">
        <f>""</f>
        <v/>
      </c>
      <c r="HQ105" t="str">
        <f>""</f>
        <v/>
      </c>
      <c r="HR105" t="str">
        <f>""</f>
        <v/>
      </c>
      <c r="HS105" t="str">
        <f>""</f>
        <v/>
      </c>
      <c r="HT105" t="str">
        <f>""</f>
        <v/>
      </c>
      <c r="HU105" t="str">
        <f>""</f>
        <v/>
      </c>
      <c r="HV105" t="str">
        <f>""</f>
        <v/>
      </c>
      <c r="HW105" t="str">
        <f>""</f>
        <v/>
      </c>
      <c r="HX105" t="str">
        <f>""</f>
        <v/>
      </c>
      <c r="HY105" t="str">
        <f>""</f>
        <v/>
      </c>
      <c r="HZ105" t="str">
        <f>""</f>
        <v/>
      </c>
      <c r="IA105" t="str">
        <f>""</f>
        <v/>
      </c>
      <c r="IB105" t="str">
        <f>""</f>
        <v/>
      </c>
      <c r="IC105" t="str">
        <f>""</f>
        <v/>
      </c>
      <c r="ID105" t="str">
        <f>""</f>
        <v/>
      </c>
      <c r="IE105" t="str">
        <f>""</f>
        <v/>
      </c>
      <c r="IF105" t="str">
        <f>""</f>
        <v/>
      </c>
      <c r="IG105" t="str">
        <f>""</f>
        <v/>
      </c>
      <c r="IH105" t="str">
        <f>""</f>
        <v/>
      </c>
      <c r="II105" t="str">
        <f>""</f>
        <v/>
      </c>
      <c r="IJ105" t="str">
        <f>""</f>
        <v/>
      </c>
      <c r="IK105" t="str">
        <f>""</f>
        <v/>
      </c>
      <c r="IL105" t="str">
        <f>""</f>
        <v/>
      </c>
      <c r="IM105" t="str">
        <f>""</f>
        <v/>
      </c>
      <c r="IN105" t="str">
        <f>""</f>
        <v/>
      </c>
      <c r="IO105" t="str">
        <f>""</f>
        <v/>
      </c>
      <c r="IP105" t="str">
        <f>""</f>
        <v/>
      </c>
      <c r="IQ105" t="str">
        <f>""</f>
        <v/>
      </c>
      <c r="IR105" t="str">
        <f>""</f>
        <v/>
      </c>
      <c r="IS105" t="str">
        <f>""</f>
        <v/>
      </c>
      <c r="IT105" t="str">
        <f>""</f>
        <v/>
      </c>
      <c r="IU105" t="str">
        <f>""</f>
        <v/>
      </c>
      <c r="IV105" t="str">
        <f>""</f>
        <v/>
      </c>
      <c r="IW105" t="str">
        <f>""</f>
        <v/>
      </c>
      <c r="IX105" t="str">
        <f>""</f>
        <v/>
      </c>
      <c r="IY105" t="str">
        <f>""</f>
        <v/>
      </c>
      <c r="IZ105" t="str">
        <f>""</f>
        <v/>
      </c>
      <c r="JA105" t="str">
        <f>""</f>
        <v/>
      </c>
      <c r="JB105" t="str">
        <f>""</f>
        <v/>
      </c>
      <c r="JC105" t="str">
        <f>""</f>
        <v/>
      </c>
      <c r="JD105" t="str">
        <f>""</f>
        <v/>
      </c>
      <c r="JE105" t="str">
        <f>""</f>
        <v/>
      </c>
      <c r="JF105" t="str">
        <f>""</f>
        <v/>
      </c>
      <c r="JG105" t="str">
        <f>""</f>
        <v/>
      </c>
      <c r="JH105" t="str">
        <f>""</f>
        <v/>
      </c>
      <c r="JI105" t="str">
        <f>""</f>
        <v/>
      </c>
      <c r="JJ105" t="str">
        <f>""</f>
        <v/>
      </c>
      <c r="JK105" t="str">
        <f>""</f>
        <v/>
      </c>
    </row>
    <row r="106" spans="1:271" x14ac:dyDescent="0.3">
      <c r="A106" t="str">
        <f>""</f>
        <v/>
      </c>
      <c r="B106" t="str">
        <f>""</f>
        <v/>
      </c>
      <c r="C106" t="str">
        <f>""</f>
        <v/>
      </c>
      <c r="D106" t="str">
        <f>""</f>
        <v/>
      </c>
      <c r="E106" t="str">
        <f>""</f>
        <v/>
      </c>
      <c r="F106" t="str">
        <f>""</f>
        <v/>
      </c>
      <c r="G106" t="str">
        <f>""</f>
        <v/>
      </c>
      <c r="H106" t="str">
        <f>""</f>
        <v/>
      </c>
      <c r="I106" t="str">
        <f>""</f>
        <v/>
      </c>
      <c r="J106" t="str">
        <f>""</f>
        <v/>
      </c>
      <c r="K106" t="str">
        <f>""</f>
        <v/>
      </c>
      <c r="L106" t="str">
        <f>""</f>
        <v/>
      </c>
      <c r="M106" t="str">
        <f>""</f>
        <v/>
      </c>
      <c r="N106" t="str">
        <f>""</f>
        <v/>
      </c>
      <c r="O106" t="str">
        <f>""</f>
        <v/>
      </c>
      <c r="P106" t="str">
        <f>""</f>
        <v/>
      </c>
      <c r="Q106" t="str">
        <f>""</f>
        <v/>
      </c>
      <c r="R106" t="str">
        <f>""</f>
        <v/>
      </c>
      <c r="S106" t="str">
        <f>""</f>
        <v/>
      </c>
      <c r="T106" t="str">
        <f>""</f>
        <v/>
      </c>
      <c r="U106" t="str">
        <f>""</f>
        <v/>
      </c>
      <c r="V106" t="str">
        <f>""</f>
        <v/>
      </c>
      <c r="W106" t="str">
        <f>""</f>
        <v/>
      </c>
      <c r="X106" t="str">
        <f>""</f>
        <v/>
      </c>
      <c r="Y106" t="str">
        <f>""</f>
        <v/>
      </c>
      <c r="Z106" t="str">
        <f>""</f>
        <v/>
      </c>
      <c r="AA106" t="str">
        <f>""</f>
        <v/>
      </c>
      <c r="AB106" t="str">
        <f>""</f>
        <v/>
      </c>
      <c r="AC106" t="str">
        <f>""</f>
        <v/>
      </c>
      <c r="AD106" t="str">
        <f>""</f>
        <v/>
      </c>
      <c r="AE106" t="str">
        <f>""</f>
        <v/>
      </c>
      <c r="AF106" t="str">
        <f>""</f>
        <v/>
      </c>
      <c r="AG106" t="str">
        <f>""</f>
        <v/>
      </c>
      <c r="AH106" t="str">
        <f>""</f>
        <v/>
      </c>
      <c r="AI106" t="str">
        <f>"(0.102)"</f>
        <v>(0.102)</v>
      </c>
      <c r="AJ106" t="str">
        <f>"(0.0796)"</f>
        <v>(0.0796)</v>
      </c>
      <c r="AK106" t="str">
        <f>"(0.0427)"</f>
        <v>(0.0427)</v>
      </c>
      <c r="AL106" t="str">
        <f>""</f>
        <v/>
      </c>
      <c r="AM106" t="str">
        <f>""</f>
        <v/>
      </c>
      <c r="AN106" t="str">
        <f>""</f>
        <v/>
      </c>
      <c r="AO106" t="str">
        <f>""</f>
        <v/>
      </c>
      <c r="AP106" t="str">
        <f>""</f>
        <v/>
      </c>
      <c r="AQ106" t="str">
        <f>""</f>
        <v/>
      </c>
      <c r="AR106" t="str">
        <f>""</f>
        <v/>
      </c>
      <c r="AS106" t="str">
        <f>""</f>
        <v/>
      </c>
      <c r="AT106" t="str">
        <f>""</f>
        <v/>
      </c>
      <c r="AU106" t="str">
        <f>""</f>
        <v/>
      </c>
      <c r="AV106" t="str">
        <f>""</f>
        <v/>
      </c>
      <c r="AW106" t="str">
        <f>""</f>
        <v/>
      </c>
      <c r="AX106" t="str">
        <f>""</f>
        <v/>
      </c>
      <c r="AY106" t="str">
        <f>""</f>
        <v/>
      </c>
      <c r="AZ106" t="str">
        <f>""</f>
        <v/>
      </c>
      <c r="BA106" t="str">
        <f>""</f>
        <v/>
      </c>
      <c r="BB106" t="str">
        <f>""</f>
        <v/>
      </c>
      <c r="BC106" t="str">
        <f>""</f>
        <v/>
      </c>
      <c r="BD106" t="str">
        <f>""</f>
        <v/>
      </c>
      <c r="BE106" t="str">
        <f>""</f>
        <v/>
      </c>
      <c r="BF106" t="str">
        <f>""</f>
        <v/>
      </c>
      <c r="BG106" t="str">
        <f>""</f>
        <v/>
      </c>
      <c r="BH106" t="str">
        <f>""</f>
        <v/>
      </c>
      <c r="BI106" t="str">
        <f>""</f>
        <v/>
      </c>
      <c r="BJ106" t="str">
        <f>""</f>
        <v/>
      </c>
      <c r="BK106" t="str">
        <f>""</f>
        <v/>
      </c>
      <c r="BL106" t="str">
        <f>""</f>
        <v/>
      </c>
      <c r="BM106" t="str">
        <f>""</f>
        <v/>
      </c>
      <c r="BN106" t="str">
        <f>""</f>
        <v/>
      </c>
      <c r="BO106" t="str">
        <f>""</f>
        <v/>
      </c>
      <c r="BP106" t="str">
        <f>""</f>
        <v/>
      </c>
      <c r="BQ106" t="str">
        <f>""</f>
        <v/>
      </c>
      <c r="BR106" t="str">
        <f>""</f>
        <v/>
      </c>
      <c r="BS106" t="str">
        <f>""</f>
        <v/>
      </c>
      <c r="BT106" t="str">
        <f>""</f>
        <v/>
      </c>
      <c r="BU106" t="str">
        <f>""</f>
        <v/>
      </c>
      <c r="BV106" t="str">
        <f>""</f>
        <v/>
      </c>
      <c r="BW106" t="str">
        <f>""</f>
        <v/>
      </c>
      <c r="BX106" t="str">
        <f>""</f>
        <v/>
      </c>
      <c r="BY106" t="str">
        <f>""</f>
        <v/>
      </c>
      <c r="BZ106" t="str">
        <f>""</f>
        <v/>
      </c>
      <c r="CA106" t="str">
        <f>""</f>
        <v/>
      </c>
      <c r="CB106" t="str">
        <f>""</f>
        <v/>
      </c>
      <c r="CC106" t="str">
        <f>""</f>
        <v/>
      </c>
      <c r="CD106" t="str">
        <f>""</f>
        <v/>
      </c>
      <c r="CE106" t="str">
        <f>""</f>
        <v/>
      </c>
      <c r="CF106" t="str">
        <f>""</f>
        <v/>
      </c>
      <c r="CG106" t="str">
        <f>""</f>
        <v/>
      </c>
      <c r="CH106" t="str">
        <f>""</f>
        <v/>
      </c>
      <c r="CI106" t="str">
        <f>""</f>
        <v/>
      </c>
      <c r="CJ106" t="str">
        <f>""</f>
        <v/>
      </c>
      <c r="CK106" t="str">
        <f>""</f>
        <v/>
      </c>
      <c r="CL106" t="str">
        <f>""</f>
        <v/>
      </c>
      <c r="CM106" t="str">
        <f>""</f>
        <v/>
      </c>
      <c r="CN106" t="str">
        <f>""</f>
        <v/>
      </c>
      <c r="CO106" t="str">
        <f>""</f>
        <v/>
      </c>
      <c r="CP106" t="str">
        <f>""</f>
        <v/>
      </c>
      <c r="CQ106" t="str">
        <f>""</f>
        <v/>
      </c>
      <c r="CR106" t="str">
        <f>""</f>
        <v/>
      </c>
      <c r="CS106" t="str">
        <f>""</f>
        <v/>
      </c>
      <c r="CT106" t="str">
        <f>""</f>
        <v/>
      </c>
      <c r="CU106" t="str">
        <f>""</f>
        <v/>
      </c>
      <c r="CV106" t="str">
        <f>""</f>
        <v/>
      </c>
      <c r="CW106" t="str">
        <f>""</f>
        <v/>
      </c>
      <c r="CX106" t="str">
        <f>""</f>
        <v/>
      </c>
      <c r="CY106" t="str">
        <f>""</f>
        <v/>
      </c>
      <c r="CZ106" t="str">
        <f>""</f>
        <v/>
      </c>
      <c r="DA106" t="str">
        <f>""</f>
        <v/>
      </c>
      <c r="DB106" t="str">
        <f>""</f>
        <v/>
      </c>
      <c r="DC106" t="str">
        <f>""</f>
        <v/>
      </c>
      <c r="DD106" t="str">
        <f>""</f>
        <v/>
      </c>
      <c r="DE106" t="str">
        <f>""</f>
        <v/>
      </c>
      <c r="DF106" t="str">
        <f>""</f>
        <v/>
      </c>
      <c r="DG106" t="str">
        <f>""</f>
        <v/>
      </c>
      <c r="DH106" t="str">
        <f>""</f>
        <v/>
      </c>
      <c r="DI106" t="str">
        <f>""</f>
        <v/>
      </c>
      <c r="DJ106" t="str">
        <f>""</f>
        <v/>
      </c>
      <c r="DK106" t="str">
        <f>""</f>
        <v/>
      </c>
      <c r="DL106" t="str">
        <f>""</f>
        <v/>
      </c>
      <c r="DM106" t="str">
        <f>""</f>
        <v/>
      </c>
      <c r="DN106" t="str">
        <f>""</f>
        <v/>
      </c>
      <c r="DO106" t="str">
        <f>""</f>
        <v/>
      </c>
      <c r="DP106" t="str">
        <f>""</f>
        <v/>
      </c>
      <c r="DQ106" t="str">
        <f>""</f>
        <v/>
      </c>
      <c r="DR106" t="str">
        <f>""</f>
        <v/>
      </c>
      <c r="DS106" t="str">
        <f>""</f>
        <v/>
      </c>
      <c r="DT106" t="str">
        <f>""</f>
        <v/>
      </c>
      <c r="DU106" t="str">
        <f>""</f>
        <v/>
      </c>
      <c r="DV106" t="str">
        <f>""</f>
        <v/>
      </c>
      <c r="DW106" t="str">
        <f>""</f>
        <v/>
      </c>
      <c r="DX106" t="str">
        <f>""</f>
        <v/>
      </c>
      <c r="DY106" t="str">
        <f>""</f>
        <v/>
      </c>
      <c r="DZ106" t="str">
        <f>""</f>
        <v/>
      </c>
      <c r="EA106" t="str">
        <f>""</f>
        <v/>
      </c>
      <c r="EB106" t="str">
        <f>""</f>
        <v/>
      </c>
      <c r="EC106" t="str">
        <f>""</f>
        <v/>
      </c>
      <c r="ED106" t="str">
        <f>""</f>
        <v/>
      </c>
      <c r="EE106" t="str">
        <f>""</f>
        <v/>
      </c>
      <c r="EF106" t="str">
        <f>""</f>
        <v/>
      </c>
      <c r="EG106" t="str">
        <f>""</f>
        <v/>
      </c>
      <c r="EH106" t="str">
        <f>""</f>
        <v/>
      </c>
      <c r="EI106" t="str">
        <f>""</f>
        <v/>
      </c>
      <c r="EJ106" t="str">
        <f>""</f>
        <v/>
      </c>
      <c r="EK106" t="str">
        <f>""</f>
        <v/>
      </c>
      <c r="EL106" t="str">
        <f>""</f>
        <v/>
      </c>
      <c r="EM106" t="str">
        <f>""</f>
        <v/>
      </c>
      <c r="EN106" t="str">
        <f>""</f>
        <v/>
      </c>
      <c r="EO106" t="str">
        <f>""</f>
        <v/>
      </c>
      <c r="EP106" t="str">
        <f>""</f>
        <v/>
      </c>
      <c r="EQ106" t="str">
        <f>""</f>
        <v/>
      </c>
      <c r="ER106" t="str">
        <f>""</f>
        <v/>
      </c>
      <c r="ES106" t="str">
        <f>""</f>
        <v/>
      </c>
      <c r="ET106" t="str">
        <f>""</f>
        <v/>
      </c>
      <c r="EU106" t="str">
        <f>""</f>
        <v/>
      </c>
      <c r="EV106" t="str">
        <f>""</f>
        <v/>
      </c>
      <c r="EW106" t="str">
        <f>""</f>
        <v/>
      </c>
      <c r="EX106" t="str">
        <f>""</f>
        <v/>
      </c>
      <c r="EY106" t="str">
        <f>""</f>
        <v/>
      </c>
      <c r="EZ106" t="str">
        <f>""</f>
        <v/>
      </c>
      <c r="FA106" t="str">
        <f>""</f>
        <v/>
      </c>
      <c r="FB106" t="str">
        <f>""</f>
        <v/>
      </c>
      <c r="FC106" t="str">
        <f>""</f>
        <v/>
      </c>
      <c r="FD106" t="str">
        <f>""</f>
        <v/>
      </c>
      <c r="FE106" t="str">
        <f>""</f>
        <v/>
      </c>
      <c r="FF106" t="str">
        <f>""</f>
        <v/>
      </c>
      <c r="FG106" t="str">
        <f>""</f>
        <v/>
      </c>
      <c r="FH106" t="str">
        <f>""</f>
        <v/>
      </c>
      <c r="FI106" t="str">
        <f>""</f>
        <v/>
      </c>
      <c r="FJ106" t="str">
        <f>""</f>
        <v/>
      </c>
      <c r="FK106" t="str">
        <f>""</f>
        <v/>
      </c>
      <c r="FL106" t="str">
        <f>""</f>
        <v/>
      </c>
      <c r="FM106" t="str">
        <f>""</f>
        <v/>
      </c>
      <c r="FN106" t="str">
        <f>""</f>
        <v/>
      </c>
      <c r="FO106" t="str">
        <f>""</f>
        <v/>
      </c>
      <c r="FP106" t="str">
        <f>""</f>
        <v/>
      </c>
      <c r="FQ106" t="str">
        <f>""</f>
        <v/>
      </c>
      <c r="FR106" t="str">
        <f>""</f>
        <v/>
      </c>
      <c r="FS106" t="str">
        <f>""</f>
        <v/>
      </c>
      <c r="FT106" t="str">
        <f>""</f>
        <v/>
      </c>
      <c r="FU106" t="str">
        <f>""</f>
        <v/>
      </c>
      <c r="FV106" t="str">
        <f>""</f>
        <v/>
      </c>
      <c r="FW106" t="str">
        <f>""</f>
        <v/>
      </c>
      <c r="FX106" t="str">
        <f>""</f>
        <v/>
      </c>
      <c r="FY106" t="str">
        <f>""</f>
        <v/>
      </c>
      <c r="FZ106" t="str">
        <f>""</f>
        <v/>
      </c>
      <c r="GA106" t="str">
        <f>""</f>
        <v/>
      </c>
      <c r="GB106" t="str">
        <f>""</f>
        <v/>
      </c>
      <c r="GC106" t="str">
        <f>""</f>
        <v/>
      </c>
      <c r="GD106" t="str">
        <f>""</f>
        <v/>
      </c>
      <c r="GE106" t="str">
        <f>""</f>
        <v/>
      </c>
      <c r="GF106" t="str">
        <f>""</f>
        <v/>
      </c>
      <c r="GG106" t="str">
        <f>""</f>
        <v/>
      </c>
      <c r="GH106" t="str">
        <f>""</f>
        <v/>
      </c>
      <c r="GI106" t="str">
        <f>""</f>
        <v/>
      </c>
      <c r="GJ106" t="str">
        <f>""</f>
        <v/>
      </c>
      <c r="GK106" t="str">
        <f>""</f>
        <v/>
      </c>
      <c r="GL106" t="str">
        <f>""</f>
        <v/>
      </c>
      <c r="GM106" t="str">
        <f>""</f>
        <v/>
      </c>
      <c r="GN106" t="str">
        <f>""</f>
        <v/>
      </c>
      <c r="GO106" t="str">
        <f>""</f>
        <v/>
      </c>
      <c r="GP106" t="str">
        <f>""</f>
        <v/>
      </c>
      <c r="GQ106" t="str">
        <f>""</f>
        <v/>
      </c>
      <c r="GR106" t="str">
        <f>""</f>
        <v/>
      </c>
      <c r="GS106" t="str">
        <f>""</f>
        <v/>
      </c>
      <c r="GT106" t="str">
        <f>""</f>
        <v/>
      </c>
      <c r="GU106" t="str">
        <f>""</f>
        <v/>
      </c>
      <c r="GV106" t="str">
        <f>""</f>
        <v/>
      </c>
      <c r="GW106" t="str">
        <f>""</f>
        <v/>
      </c>
      <c r="GX106" t="str">
        <f>""</f>
        <v/>
      </c>
      <c r="GY106" t="str">
        <f>""</f>
        <v/>
      </c>
      <c r="GZ106" t="str">
        <f>""</f>
        <v/>
      </c>
      <c r="HA106" t="str">
        <f>""</f>
        <v/>
      </c>
      <c r="HB106" t="str">
        <f>""</f>
        <v/>
      </c>
      <c r="HC106" t="str">
        <f>""</f>
        <v/>
      </c>
      <c r="HD106" t="str">
        <f>""</f>
        <v/>
      </c>
      <c r="HE106" t="str">
        <f>""</f>
        <v/>
      </c>
      <c r="HF106" t="str">
        <f>""</f>
        <v/>
      </c>
      <c r="HG106" t="str">
        <f>""</f>
        <v/>
      </c>
      <c r="HH106" t="str">
        <f>""</f>
        <v/>
      </c>
      <c r="HI106" t="str">
        <f>""</f>
        <v/>
      </c>
      <c r="HJ106" t="str">
        <f>""</f>
        <v/>
      </c>
      <c r="HK106" t="str">
        <f>""</f>
        <v/>
      </c>
      <c r="HL106" t="str">
        <f>""</f>
        <v/>
      </c>
      <c r="HM106" t="str">
        <f>""</f>
        <v/>
      </c>
      <c r="HN106" t="str">
        <f>""</f>
        <v/>
      </c>
      <c r="HO106" t="str">
        <f>""</f>
        <v/>
      </c>
      <c r="HP106" t="str">
        <f>""</f>
        <v/>
      </c>
      <c r="HQ106" t="str">
        <f>""</f>
        <v/>
      </c>
      <c r="HR106" t="str">
        <f>""</f>
        <v/>
      </c>
      <c r="HS106" t="str">
        <f>""</f>
        <v/>
      </c>
      <c r="HT106" t="str">
        <f>""</f>
        <v/>
      </c>
      <c r="HU106" t="str">
        <f>""</f>
        <v/>
      </c>
      <c r="HV106" t="str">
        <f>""</f>
        <v/>
      </c>
      <c r="HW106" t="str">
        <f>""</f>
        <v/>
      </c>
      <c r="HX106" t="str">
        <f>""</f>
        <v/>
      </c>
      <c r="HY106" t="str">
        <f>""</f>
        <v/>
      </c>
      <c r="HZ106" t="str">
        <f>""</f>
        <v/>
      </c>
      <c r="IA106" t="str">
        <f>""</f>
        <v/>
      </c>
      <c r="IB106" t="str">
        <f>""</f>
        <v/>
      </c>
      <c r="IC106" t="str">
        <f>""</f>
        <v/>
      </c>
      <c r="ID106" t="str">
        <f>""</f>
        <v/>
      </c>
      <c r="IE106" t="str">
        <f>""</f>
        <v/>
      </c>
      <c r="IF106" t="str">
        <f>""</f>
        <v/>
      </c>
      <c r="IG106" t="str">
        <f>""</f>
        <v/>
      </c>
      <c r="IH106" t="str">
        <f>""</f>
        <v/>
      </c>
      <c r="II106" t="str">
        <f>""</f>
        <v/>
      </c>
      <c r="IJ106" t="str">
        <f>""</f>
        <v/>
      </c>
      <c r="IK106" t="str">
        <f>""</f>
        <v/>
      </c>
      <c r="IL106" t="str">
        <f>""</f>
        <v/>
      </c>
      <c r="IM106" t="str">
        <f>""</f>
        <v/>
      </c>
      <c r="IN106" t="str">
        <f>""</f>
        <v/>
      </c>
      <c r="IO106" t="str">
        <f>""</f>
        <v/>
      </c>
      <c r="IP106" t="str">
        <f>""</f>
        <v/>
      </c>
      <c r="IQ106" t="str">
        <f>""</f>
        <v/>
      </c>
      <c r="IR106" t="str">
        <f>""</f>
        <v/>
      </c>
      <c r="IS106" t="str">
        <f>""</f>
        <v/>
      </c>
      <c r="IT106" t="str">
        <f>""</f>
        <v/>
      </c>
      <c r="IU106" t="str">
        <f>""</f>
        <v/>
      </c>
      <c r="IV106" t="str">
        <f>""</f>
        <v/>
      </c>
      <c r="IW106" t="str">
        <f>""</f>
        <v/>
      </c>
      <c r="IX106" t="str">
        <f>""</f>
        <v/>
      </c>
      <c r="IY106" t="str">
        <f>""</f>
        <v/>
      </c>
      <c r="IZ106" t="str">
        <f>""</f>
        <v/>
      </c>
      <c r="JA106" t="str">
        <f>""</f>
        <v/>
      </c>
      <c r="JB106" t="str">
        <f>""</f>
        <v/>
      </c>
      <c r="JC106" t="str">
        <f>""</f>
        <v/>
      </c>
      <c r="JD106" t="str">
        <f>""</f>
        <v/>
      </c>
      <c r="JE106" t="str">
        <f>""</f>
        <v/>
      </c>
      <c r="JF106" t="str">
        <f>""</f>
        <v/>
      </c>
      <c r="JG106" t="str">
        <f>""</f>
        <v/>
      </c>
      <c r="JH106" t="str">
        <f>""</f>
        <v/>
      </c>
      <c r="JI106" t="str">
        <f>""</f>
        <v/>
      </c>
      <c r="JJ106" t="str">
        <f>""</f>
        <v/>
      </c>
      <c r="JK106" t="str">
        <f>""</f>
        <v/>
      </c>
    </row>
    <row r="108" spans="1:271" x14ac:dyDescent="0.3">
      <c r="A108" t="str">
        <f>"zMETAB13"</f>
        <v>zMETAB13</v>
      </c>
      <c r="B108" t="str">
        <f>""</f>
        <v/>
      </c>
      <c r="C108" t="str">
        <f>""</f>
        <v/>
      </c>
      <c r="D108" t="str">
        <f>""</f>
        <v/>
      </c>
      <c r="E108" t="str">
        <f>""</f>
        <v/>
      </c>
      <c r="F108" t="str">
        <f>""</f>
        <v/>
      </c>
      <c r="G108" t="str">
        <f>""</f>
        <v/>
      </c>
      <c r="H108" t="str">
        <f>""</f>
        <v/>
      </c>
      <c r="I108" t="str">
        <f>""</f>
        <v/>
      </c>
      <c r="J108" t="str">
        <f>""</f>
        <v/>
      </c>
      <c r="K108" t="str">
        <f>""</f>
        <v/>
      </c>
      <c r="L108" t="str">
        <f>""</f>
        <v/>
      </c>
      <c r="M108" t="str">
        <f>""</f>
        <v/>
      </c>
      <c r="N108" t="str">
        <f>""</f>
        <v/>
      </c>
      <c r="O108" t="str">
        <f>""</f>
        <v/>
      </c>
      <c r="P108" t="str">
        <f>""</f>
        <v/>
      </c>
      <c r="Q108" t="str">
        <f>""</f>
        <v/>
      </c>
      <c r="R108" t="str">
        <f>""</f>
        <v/>
      </c>
      <c r="S108" t="str">
        <f>""</f>
        <v/>
      </c>
      <c r="T108" t="str">
        <f>""</f>
        <v/>
      </c>
      <c r="U108" t="str">
        <f>""</f>
        <v/>
      </c>
      <c r="V108" t="str">
        <f>""</f>
        <v/>
      </c>
      <c r="W108" t="str">
        <f>""</f>
        <v/>
      </c>
      <c r="X108" t="str">
        <f>""</f>
        <v/>
      </c>
      <c r="Y108" t="str">
        <f>""</f>
        <v/>
      </c>
      <c r="Z108" t="str">
        <f>""</f>
        <v/>
      </c>
      <c r="AA108" t="str">
        <f>""</f>
        <v/>
      </c>
      <c r="AB108" t="str">
        <f>""</f>
        <v/>
      </c>
      <c r="AC108" t="str">
        <f>""</f>
        <v/>
      </c>
      <c r="AD108" t="str">
        <f>""</f>
        <v/>
      </c>
      <c r="AE108" t="str">
        <f>""</f>
        <v/>
      </c>
      <c r="AF108" t="str">
        <f>""</f>
        <v/>
      </c>
      <c r="AG108" t="str">
        <f>""</f>
        <v/>
      </c>
      <c r="AH108" t="str">
        <f>""</f>
        <v/>
      </c>
      <c r="AI108" t="str">
        <f>""</f>
        <v/>
      </c>
      <c r="AJ108" t="str">
        <f>""</f>
        <v/>
      </c>
      <c r="AK108" t="str">
        <f>""</f>
        <v/>
      </c>
      <c r="AL108" t="str">
        <f>"-0.0661"</f>
        <v>-0.0661</v>
      </c>
      <c r="AM108" t="str">
        <f>"0.0431"</f>
        <v>0.0431</v>
      </c>
      <c r="AN108" t="str">
        <f>"0.123***"</f>
        <v>0.123***</v>
      </c>
      <c r="AO108" t="str">
        <f>""</f>
        <v/>
      </c>
      <c r="AP108" t="str">
        <f>""</f>
        <v/>
      </c>
      <c r="AQ108" t="str">
        <f>""</f>
        <v/>
      </c>
      <c r="AR108" t="str">
        <f>""</f>
        <v/>
      </c>
      <c r="AS108" t="str">
        <f>""</f>
        <v/>
      </c>
      <c r="AT108" t="str">
        <f>""</f>
        <v/>
      </c>
      <c r="AU108" t="str">
        <f>""</f>
        <v/>
      </c>
      <c r="AV108" t="str">
        <f>""</f>
        <v/>
      </c>
      <c r="AW108" t="str">
        <f>""</f>
        <v/>
      </c>
      <c r="AX108" t="str">
        <f>""</f>
        <v/>
      </c>
      <c r="AY108" t="str">
        <f>""</f>
        <v/>
      </c>
      <c r="AZ108" t="str">
        <f>""</f>
        <v/>
      </c>
      <c r="BA108" t="str">
        <f>""</f>
        <v/>
      </c>
      <c r="BB108" t="str">
        <f>""</f>
        <v/>
      </c>
      <c r="BC108" t="str">
        <f>""</f>
        <v/>
      </c>
      <c r="BD108" t="str">
        <f>""</f>
        <v/>
      </c>
      <c r="BE108" t="str">
        <f>""</f>
        <v/>
      </c>
      <c r="BF108" t="str">
        <f>""</f>
        <v/>
      </c>
      <c r="BG108" t="str">
        <f>""</f>
        <v/>
      </c>
      <c r="BH108" t="str">
        <f>""</f>
        <v/>
      </c>
      <c r="BI108" t="str">
        <f>""</f>
        <v/>
      </c>
      <c r="BJ108" t="str">
        <f>""</f>
        <v/>
      </c>
      <c r="BK108" t="str">
        <f>""</f>
        <v/>
      </c>
      <c r="BL108" t="str">
        <f>""</f>
        <v/>
      </c>
      <c r="BM108" t="str">
        <f>""</f>
        <v/>
      </c>
      <c r="BN108" t="str">
        <f>""</f>
        <v/>
      </c>
      <c r="BO108" t="str">
        <f>""</f>
        <v/>
      </c>
      <c r="BP108" t="str">
        <f>""</f>
        <v/>
      </c>
      <c r="BQ108" t="str">
        <f>""</f>
        <v/>
      </c>
      <c r="BR108" t="str">
        <f>""</f>
        <v/>
      </c>
      <c r="BS108" t="str">
        <f>""</f>
        <v/>
      </c>
      <c r="BT108" t="str">
        <f>""</f>
        <v/>
      </c>
      <c r="BU108" t="str">
        <f>""</f>
        <v/>
      </c>
      <c r="BV108" t="str">
        <f>""</f>
        <v/>
      </c>
      <c r="BW108" t="str">
        <f>""</f>
        <v/>
      </c>
      <c r="BX108" t="str">
        <f>""</f>
        <v/>
      </c>
      <c r="BY108" t="str">
        <f>""</f>
        <v/>
      </c>
      <c r="BZ108" t="str">
        <f>""</f>
        <v/>
      </c>
      <c r="CA108" t="str">
        <f>""</f>
        <v/>
      </c>
      <c r="CB108" t="str">
        <f>""</f>
        <v/>
      </c>
      <c r="CC108" t="str">
        <f>""</f>
        <v/>
      </c>
      <c r="CD108" t="str">
        <f>""</f>
        <v/>
      </c>
      <c r="CE108" t="str">
        <f>"-0.0796"</f>
        <v>-0.0796</v>
      </c>
      <c r="CF108" t="str">
        <f>"0.0228"</f>
        <v>0.0228</v>
      </c>
      <c r="CG108" t="str">
        <f>"0.122***"</f>
        <v>0.122***</v>
      </c>
      <c r="CH108" t="str">
        <f>""</f>
        <v/>
      </c>
      <c r="CI108" t="str">
        <f>""</f>
        <v/>
      </c>
      <c r="CJ108" t="str">
        <f>""</f>
        <v/>
      </c>
      <c r="CK108" t="str">
        <f>""</f>
        <v/>
      </c>
      <c r="CL108" t="str">
        <f>""</f>
        <v/>
      </c>
      <c r="CM108" t="str">
        <f>""</f>
        <v/>
      </c>
      <c r="CN108" t="str">
        <f>""</f>
        <v/>
      </c>
      <c r="CO108" t="str">
        <f>""</f>
        <v/>
      </c>
      <c r="CP108" t="str">
        <f>""</f>
        <v/>
      </c>
      <c r="CQ108" t="str">
        <f>""</f>
        <v/>
      </c>
      <c r="CR108" t="str">
        <f>""</f>
        <v/>
      </c>
      <c r="CS108" t="str">
        <f>""</f>
        <v/>
      </c>
      <c r="CT108" t="str">
        <f>""</f>
        <v/>
      </c>
      <c r="CU108" t="str">
        <f>""</f>
        <v/>
      </c>
      <c r="CV108" t="str">
        <f>""</f>
        <v/>
      </c>
      <c r="CW108" t="str">
        <f>""</f>
        <v/>
      </c>
      <c r="CX108" t="str">
        <f>""</f>
        <v/>
      </c>
      <c r="CY108" t="str">
        <f>""</f>
        <v/>
      </c>
      <c r="CZ108" t="str">
        <f>""</f>
        <v/>
      </c>
      <c r="DA108" t="str">
        <f>""</f>
        <v/>
      </c>
      <c r="DB108" t="str">
        <f>""</f>
        <v/>
      </c>
      <c r="DC108" t="str">
        <f>""</f>
        <v/>
      </c>
      <c r="DD108" t="str">
        <f>""</f>
        <v/>
      </c>
      <c r="DE108" t="str">
        <f>""</f>
        <v/>
      </c>
      <c r="DF108" t="str">
        <f>""</f>
        <v/>
      </c>
      <c r="DG108" t="str">
        <f>""</f>
        <v/>
      </c>
      <c r="DH108" t="str">
        <f>""</f>
        <v/>
      </c>
      <c r="DI108" t="str">
        <f>""</f>
        <v/>
      </c>
      <c r="DJ108" t="str">
        <f>""</f>
        <v/>
      </c>
      <c r="DK108" t="str">
        <f>""</f>
        <v/>
      </c>
      <c r="DL108" t="str">
        <f>""</f>
        <v/>
      </c>
      <c r="DM108" t="str">
        <f>""</f>
        <v/>
      </c>
      <c r="DN108" t="str">
        <f>""</f>
        <v/>
      </c>
      <c r="DO108" t="str">
        <f>""</f>
        <v/>
      </c>
      <c r="DP108" t="str">
        <f>""</f>
        <v/>
      </c>
      <c r="DQ108" t="str">
        <f>""</f>
        <v/>
      </c>
      <c r="DR108" t="str">
        <f>""</f>
        <v/>
      </c>
      <c r="DS108" t="str">
        <f>""</f>
        <v/>
      </c>
      <c r="DT108" t="str">
        <f>""</f>
        <v/>
      </c>
      <c r="DU108" t="str">
        <f>""</f>
        <v/>
      </c>
      <c r="DV108" t="str">
        <f>""</f>
        <v/>
      </c>
      <c r="DW108" t="str">
        <f>""</f>
        <v/>
      </c>
      <c r="DX108" t="str">
        <f>"0.0304"</f>
        <v>0.0304</v>
      </c>
      <c r="DY108" t="str">
        <f>"0.0346"</f>
        <v>0.0346</v>
      </c>
      <c r="DZ108" t="str">
        <f>"0.108***"</f>
        <v>0.108***</v>
      </c>
      <c r="EA108" t="str">
        <f>""</f>
        <v/>
      </c>
      <c r="EB108" t="str">
        <f>""</f>
        <v/>
      </c>
      <c r="EC108" t="str">
        <f>""</f>
        <v/>
      </c>
      <c r="ED108" t="str">
        <f>""</f>
        <v/>
      </c>
      <c r="EE108" t="str">
        <f>""</f>
        <v/>
      </c>
      <c r="EF108" t="str">
        <f>""</f>
        <v/>
      </c>
      <c r="EG108" t="str">
        <f>""</f>
        <v/>
      </c>
      <c r="EH108" t="str">
        <f>""</f>
        <v/>
      </c>
      <c r="EI108" t="str">
        <f>""</f>
        <v/>
      </c>
      <c r="EJ108" t="str">
        <f>""</f>
        <v/>
      </c>
      <c r="EK108" t="str">
        <f>""</f>
        <v/>
      </c>
      <c r="EL108" t="str">
        <f>""</f>
        <v/>
      </c>
      <c r="EM108" t="str">
        <f>""</f>
        <v/>
      </c>
      <c r="EN108" t="str">
        <f>""</f>
        <v/>
      </c>
      <c r="EO108" t="str">
        <f>""</f>
        <v/>
      </c>
      <c r="EP108" t="str">
        <f>""</f>
        <v/>
      </c>
      <c r="EQ108" t="str">
        <f>""</f>
        <v/>
      </c>
      <c r="ER108" t="str">
        <f>""</f>
        <v/>
      </c>
      <c r="ES108" t="str">
        <f>""</f>
        <v/>
      </c>
      <c r="ET108" t="str">
        <f>""</f>
        <v/>
      </c>
      <c r="EU108" t="str">
        <f>""</f>
        <v/>
      </c>
      <c r="EV108" t="str">
        <f>""</f>
        <v/>
      </c>
      <c r="EW108" t="str">
        <f>""</f>
        <v/>
      </c>
      <c r="EX108" t="str">
        <f>""</f>
        <v/>
      </c>
      <c r="EY108" t="str">
        <f>""</f>
        <v/>
      </c>
      <c r="EZ108" t="str">
        <f>""</f>
        <v/>
      </c>
      <c r="FA108" t="str">
        <f>""</f>
        <v/>
      </c>
      <c r="FB108" t="str">
        <f>""</f>
        <v/>
      </c>
      <c r="FC108" t="str">
        <f>""</f>
        <v/>
      </c>
      <c r="FD108" t="str">
        <f>""</f>
        <v/>
      </c>
      <c r="FE108" t="str">
        <f>""</f>
        <v/>
      </c>
      <c r="FF108" t="str">
        <f>""</f>
        <v/>
      </c>
      <c r="FG108" t="str">
        <f>""</f>
        <v/>
      </c>
      <c r="FH108" t="str">
        <f>""</f>
        <v/>
      </c>
      <c r="FI108" t="str">
        <f>""</f>
        <v/>
      </c>
      <c r="FJ108" t="str">
        <f>""</f>
        <v/>
      </c>
      <c r="FK108" t="str">
        <f>""</f>
        <v/>
      </c>
      <c r="FL108" t="str">
        <f>""</f>
        <v/>
      </c>
      <c r="FM108" t="str">
        <f>""</f>
        <v/>
      </c>
      <c r="FN108" t="str">
        <f>""</f>
        <v/>
      </c>
      <c r="FO108" t="str">
        <f>""</f>
        <v/>
      </c>
      <c r="FP108" t="str">
        <f>""</f>
        <v/>
      </c>
      <c r="FQ108" t="str">
        <f>"0.000963"</f>
        <v>0.000963</v>
      </c>
      <c r="FR108" t="str">
        <f>"0.00155"</f>
        <v>0.00155</v>
      </c>
      <c r="FS108" t="str">
        <f>"0.110***"</f>
        <v>0.110***</v>
      </c>
      <c r="FT108" t="str">
        <f>""</f>
        <v/>
      </c>
      <c r="FU108" t="str">
        <f>""</f>
        <v/>
      </c>
      <c r="FV108" t="str">
        <f>""</f>
        <v/>
      </c>
      <c r="FW108" t="str">
        <f>""</f>
        <v/>
      </c>
      <c r="FX108" t="str">
        <f>""</f>
        <v/>
      </c>
      <c r="FY108" t="str">
        <f>""</f>
        <v/>
      </c>
      <c r="FZ108" t="str">
        <f>""</f>
        <v/>
      </c>
      <c r="GA108" t="str">
        <f>""</f>
        <v/>
      </c>
      <c r="GB108" t="str">
        <f>""</f>
        <v/>
      </c>
      <c r="GC108" t="str">
        <f>""</f>
        <v/>
      </c>
      <c r="GD108" t="str">
        <f>""</f>
        <v/>
      </c>
      <c r="GE108" t="str">
        <f>""</f>
        <v/>
      </c>
      <c r="GF108" t="str">
        <f>""</f>
        <v/>
      </c>
      <c r="GG108" t="str">
        <f>""</f>
        <v/>
      </c>
      <c r="GH108" t="str">
        <f>""</f>
        <v/>
      </c>
      <c r="GI108" t="str">
        <f>""</f>
        <v/>
      </c>
      <c r="GJ108" t="str">
        <f>""</f>
        <v/>
      </c>
      <c r="GK108" t="str">
        <f>""</f>
        <v/>
      </c>
      <c r="GL108" t="str">
        <f>""</f>
        <v/>
      </c>
      <c r="GM108" t="str">
        <f>""</f>
        <v/>
      </c>
      <c r="GN108" t="str">
        <f>""</f>
        <v/>
      </c>
      <c r="GO108" t="str">
        <f>""</f>
        <v/>
      </c>
      <c r="GP108" t="str">
        <f>""</f>
        <v/>
      </c>
      <c r="GQ108" t="str">
        <f>""</f>
        <v/>
      </c>
      <c r="GR108" t="str">
        <f>""</f>
        <v/>
      </c>
      <c r="GS108" t="str">
        <f>""</f>
        <v/>
      </c>
      <c r="GT108" t="str">
        <f>""</f>
        <v/>
      </c>
      <c r="GU108" t="str">
        <f>""</f>
        <v/>
      </c>
      <c r="GV108" t="str">
        <f>""</f>
        <v/>
      </c>
      <c r="GW108" t="str">
        <f>""</f>
        <v/>
      </c>
      <c r="GX108" t="str">
        <f>""</f>
        <v/>
      </c>
      <c r="GY108" t="str">
        <f>""</f>
        <v/>
      </c>
      <c r="GZ108" t="str">
        <f>""</f>
        <v/>
      </c>
      <c r="HA108" t="str">
        <f>""</f>
        <v/>
      </c>
      <c r="HB108" t="str">
        <f>""</f>
        <v/>
      </c>
      <c r="HC108" t="str">
        <f>""</f>
        <v/>
      </c>
      <c r="HD108" t="str">
        <f>""</f>
        <v/>
      </c>
      <c r="HE108" t="str">
        <f>""</f>
        <v/>
      </c>
      <c r="HF108" t="str">
        <f>""</f>
        <v/>
      </c>
      <c r="HG108" t="str">
        <f>""</f>
        <v/>
      </c>
      <c r="HH108" t="str">
        <f>""</f>
        <v/>
      </c>
      <c r="HI108" t="str">
        <f>""</f>
        <v/>
      </c>
      <c r="HJ108" t="str">
        <f>"-0.00718"</f>
        <v>-0.00718</v>
      </c>
      <c r="HK108" t="str">
        <f>"0.0211"</f>
        <v>0.0211</v>
      </c>
      <c r="HL108" t="str">
        <f>"0.125***"</f>
        <v>0.125***</v>
      </c>
      <c r="HM108" t="str">
        <f>""</f>
        <v/>
      </c>
      <c r="HN108" t="str">
        <f>""</f>
        <v/>
      </c>
      <c r="HO108" t="str">
        <f>""</f>
        <v/>
      </c>
      <c r="HP108" t="str">
        <f>""</f>
        <v/>
      </c>
      <c r="HQ108" t="str">
        <f>""</f>
        <v/>
      </c>
      <c r="HR108" t="str">
        <f>""</f>
        <v/>
      </c>
      <c r="HS108" t="str">
        <f>""</f>
        <v/>
      </c>
      <c r="HT108" t="str">
        <f>""</f>
        <v/>
      </c>
      <c r="HU108" t="str">
        <f>""</f>
        <v/>
      </c>
      <c r="HV108" t="str">
        <f>""</f>
        <v/>
      </c>
      <c r="HW108" t="str">
        <f>""</f>
        <v/>
      </c>
      <c r="HX108" t="str">
        <f>""</f>
        <v/>
      </c>
      <c r="HY108" t="str">
        <f>""</f>
        <v/>
      </c>
      <c r="HZ108" t="str">
        <f>""</f>
        <v/>
      </c>
      <c r="IA108" t="str">
        <f>""</f>
        <v/>
      </c>
      <c r="IB108" t="str">
        <f>""</f>
        <v/>
      </c>
      <c r="IC108" t="str">
        <f>""</f>
        <v/>
      </c>
      <c r="ID108" t="str">
        <f>""</f>
        <v/>
      </c>
      <c r="IE108" t="str">
        <f>""</f>
        <v/>
      </c>
      <c r="IF108" t="str">
        <f>""</f>
        <v/>
      </c>
      <c r="IG108" t="str">
        <f>""</f>
        <v/>
      </c>
      <c r="IH108" t="str">
        <f>""</f>
        <v/>
      </c>
      <c r="II108" t="str">
        <f>""</f>
        <v/>
      </c>
      <c r="IJ108" t="str">
        <f>""</f>
        <v/>
      </c>
      <c r="IK108" t="str">
        <f>""</f>
        <v/>
      </c>
      <c r="IL108" t="str">
        <f>""</f>
        <v/>
      </c>
      <c r="IM108" t="str">
        <f>""</f>
        <v/>
      </c>
      <c r="IN108" t="str">
        <f>""</f>
        <v/>
      </c>
      <c r="IO108" t="str">
        <f>""</f>
        <v/>
      </c>
      <c r="IP108" t="str">
        <f>""</f>
        <v/>
      </c>
      <c r="IQ108" t="str">
        <f>""</f>
        <v/>
      </c>
      <c r="IR108" t="str">
        <f>""</f>
        <v/>
      </c>
      <c r="IS108" t="str">
        <f>""</f>
        <v/>
      </c>
      <c r="IT108" t="str">
        <f>""</f>
        <v/>
      </c>
      <c r="IU108" t="str">
        <f>""</f>
        <v/>
      </c>
      <c r="IV108" t="str">
        <f>""</f>
        <v/>
      </c>
      <c r="IW108" t="str">
        <f>""</f>
        <v/>
      </c>
      <c r="IX108" t="str">
        <f>""</f>
        <v/>
      </c>
      <c r="IY108" t="str">
        <f>""</f>
        <v/>
      </c>
      <c r="IZ108" t="str">
        <f>""</f>
        <v/>
      </c>
      <c r="JA108" t="str">
        <f>""</f>
        <v/>
      </c>
      <c r="JB108" t="str">
        <f>""</f>
        <v/>
      </c>
      <c r="JC108" t="str">
        <f>"-0.0231"</f>
        <v>-0.0231</v>
      </c>
      <c r="JD108" t="str">
        <f>"0.0814"</f>
        <v>0.0814</v>
      </c>
      <c r="JE108" t="str">
        <f>"0.115***"</f>
        <v>0.115***</v>
      </c>
      <c r="JF108" t="str">
        <f>""</f>
        <v/>
      </c>
      <c r="JG108" t="str">
        <f>""</f>
        <v/>
      </c>
      <c r="JH108" t="str">
        <f>""</f>
        <v/>
      </c>
      <c r="JI108" t="str">
        <f>""</f>
        <v/>
      </c>
      <c r="JJ108" t="str">
        <f>""</f>
        <v/>
      </c>
      <c r="JK108" t="str">
        <f>""</f>
        <v/>
      </c>
    </row>
    <row r="109" spans="1:271" x14ac:dyDescent="0.3">
      <c r="A109" t="str">
        <f>""</f>
        <v/>
      </c>
      <c r="B109" t="str">
        <f>""</f>
        <v/>
      </c>
      <c r="C109" t="str">
        <f>""</f>
        <v/>
      </c>
      <c r="D109" t="str">
        <f>""</f>
        <v/>
      </c>
      <c r="E109" t="str">
        <f>""</f>
        <v/>
      </c>
      <c r="F109" t="str">
        <f>""</f>
        <v/>
      </c>
      <c r="G109" t="str">
        <f>""</f>
        <v/>
      </c>
      <c r="H109" t="str">
        <f>""</f>
        <v/>
      </c>
      <c r="I109" t="str">
        <f>""</f>
        <v/>
      </c>
      <c r="J109" t="str">
        <f>""</f>
        <v/>
      </c>
      <c r="K109" t="str">
        <f>""</f>
        <v/>
      </c>
      <c r="L109" t="str">
        <f>""</f>
        <v/>
      </c>
      <c r="M109" t="str">
        <f>""</f>
        <v/>
      </c>
      <c r="N109" t="str">
        <f>""</f>
        <v/>
      </c>
      <c r="O109" t="str">
        <f>""</f>
        <v/>
      </c>
      <c r="P109" t="str">
        <f>""</f>
        <v/>
      </c>
      <c r="Q109" t="str">
        <f>""</f>
        <v/>
      </c>
      <c r="R109" t="str">
        <f>""</f>
        <v/>
      </c>
      <c r="S109" t="str">
        <f>""</f>
        <v/>
      </c>
      <c r="T109" t="str">
        <f>""</f>
        <v/>
      </c>
      <c r="U109" t="str">
        <f>""</f>
        <v/>
      </c>
      <c r="V109" t="str">
        <f>""</f>
        <v/>
      </c>
      <c r="W109" t="str">
        <f>""</f>
        <v/>
      </c>
      <c r="X109" t="str">
        <f>""</f>
        <v/>
      </c>
      <c r="Y109" t="str">
        <f>""</f>
        <v/>
      </c>
      <c r="Z109" t="str">
        <f>""</f>
        <v/>
      </c>
      <c r="AA109" t="str">
        <f>""</f>
        <v/>
      </c>
      <c r="AB109" t="str">
        <f>""</f>
        <v/>
      </c>
      <c r="AC109" t="str">
        <f>""</f>
        <v/>
      </c>
      <c r="AD109" t="str">
        <f>""</f>
        <v/>
      </c>
      <c r="AE109" t="str">
        <f>""</f>
        <v/>
      </c>
      <c r="AF109" t="str">
        <f>""</f>
        <v/>
      </c>
      <c r="AG109" t="str">
        <f>""</f>
        <v/>
      </c>
      <c r="AH109" t="str">
        <f>""</f>
        <v/>
      </c>
      <c r="AI109" t="str">
        <f>""</f>
        <v/>
      </c>
      <c r="AJ109" t="str">
        <f>""</f>
        <v/>
      </c>
      <c r="AK109" t="str">
        <f>""</f>
        <v/>
      </c>
      <c r="AL109" t="str">
        <f>"(0.0769)"</f>
        <v>(0.0769)</v>
      </c>
      <c r="AM109" t="str">
        <f>"(0.0582)"</f>
        <v>(0.0582)</v>
      </c>
      <c r="AN109" t="str">
        <f>"(0.0327)"</f>
        <v>(0.0327)</v>
      </c>
      <c r="AO109" t="str">
        <f>""</f>
        <v/>
      </c>
      <c r="AP109" t="str">
        <f>""</f>
        <v/>
      </c>
      <c r="AQ109" t="str">
        <f>""</f>
        <v/>
      </c>
      <c r="AR109" t="str">
        <f>""</f>
        <v/>
      </c>
      <c r="AS109" t="str">
        <f>""</f>
        <v/>
      </c>
      <c r="AT109" t="str">
        <f>""</f>
        <v/>
      </c>
      <c r="AU109" t="str">
        <f>""</f>
        <v/>
      </c>
      <c r="AV109" t="str">
        <f>""</f>
        <v/>
      </c>
      <c r="AW109" t="str">
        <f>""</f>
        <v/>
      </c>
      <c r="AX109" t="str">
        <f>""</f>
        <v/>
      </c>
      <c r="AY109" t="str">
        <f>""</f>
        <v/>
      </c>
      <c r="AZ109" t="str">
        <f>""</f>
        <v/>
      </c>
      <c r="BA109" t="str">
        <f>""</f>
        <v/>
      </c>
      <c r="BB109" t="str">
        <f>""</f>
        <v/>
      </c>
      <c r="BC109" t="str">
        <f>""</f>
        <v/>
      </c>
      <c r="BD109" t="str">
        <f>""</f>
        <v/>
      </c>
      <c r="BE109" t="str">
        <f>""</f>
        <v/>
      </c>
      <c r="BF109" t="str">
        <f>""</f>
        <v/>
      </c>
      <c r="BG109" t="str">
        <f>""</f>
        <v/>
      </c>
      <c r="BH109" t="str">
        <f>""</f>
        <v/>
      </c>
      <c r="BI109" t="str">
        <f>""</f>
        <v/>
      </c>
      <c r="BJ109" t="str">
        <f>""</f>
        <v/>
      </c>
      <c r="BK109" t="str">
        <f>""</f>
        <v/>
      </c>
      <c r="BL109" t="str">
        <f>""</f>
        <v/>
      </c>
      <c r="BM109" t="str">
        <f>""</f>
        <v/>
      </c>
      <c r="BN109" t="str">
        <f>""</f>
        <v/>
      </c>
      <c r="BO109" t="str">
        <f>""</f>
        <v/>
      </c>
      <c r="BP109" t="str">
        <f>""</f>
        <v/>
      </c>
      <c r="BQ109" t="str">
        <f>""</f>
        <v/>
      </c>
      <c r="BR109" t="str">
        <f>""</f>
        <v/>
      </c>
      <c r="BS109" t="str">
        <f>""</f>
        <v/>
      </c>
      <c r="BT109" t="str">
        <f>""</f>
        <v/>
      </c>
      <c r="BU109" t="str">
        <f>""</f>
        <v/>
      </c>
      <c r="BV109" t="str">
        <f>""</f>
        <v/>
      </c>
      <c r="BW109" t="str">
        <f>""</f>
        <v/>
      </c>
      <c r="BX109" t="str">
        <f>""</f>
        <v/>
      </c>
      <c r="BY109" t="str">
        <f>""</f>
        <v/>
      </c>
      <c r="BZ109" t="str">
        <f>""</f>
        <v/>
      </c>
      <c r="CA109" t="str">
        <f>""</f>
        <v/>
      </c>
      <c r="CB109" t="str">
        <f>""</f>
        <v/>
      </c>
      <c r="CC109" t="str">
        <f>""</f>
        <v/>
      </c>
      <c r="CD109" t="str">
        <f>""</f>
        <v/>
      </c>
      <c r="CE109" t="str">
        <f>"(0.0767)"</f>
        <v>(0.0767)</v>
      </c>
      <c r="CF109" t="str">
        <f>"(0.0582)"</f>
        <v>(0.0582)</v>
      </c>
      <c r="CG109" t="str">
        <f>"(0.0315)"</f>
        <v>(0.0315)</v>
      </c>
      <c r="CH109" t="str">
        <f>""</f>
        <v/>
      </c>
      <c r="CI109" t="str">
        <f>""</f>
        <v/>
      </c>
      <c r="CJ109" t="str">
        <f>""</f>
        <v/>
      </c>
      <c r="CK109" t="str">
        <f>""</f>
        <v/>
      </c>
      <c r="CL109" t="str">
        <f>""</f>
        <v/>
      </c>
      <c r="CM109" t="str">
        <f>""</f>
        <v/>
      </c>
      <c r="CN109" t="str">
        <f>""</f>
        <v/>
      </c>
      <c r="CO109" t="str">
        <f>""</f>
        <v/>
      </c>
      <c r="CP109" t="str">
        <f>""</f>
        <v/>
      </c>
      <c r="CQ109" t="str">
        <f>""</f>
        <v/>
      </c>
      <c r="CR109" t="str">
        <f>""</f>
        <v/>
      </c>
      <c r="CS109" t="str">
        <f>""</f>
        <v/>
      </c>
      <c r="CT109" t="str">
        <f>""</f>
        <v/>
      </c>
      <c r="CU109" t="str">
        <f>""</f>
        <v/>
      </c>
      <c r="CV109" t="str">
        <f>""</f>
        <v/>
      </c>
      <c r="CW109" t="str">
        <f>""</f>
        <v/>
      </c>
      <c r="CX109" t="str">
        <f>""</f>
        <v/>
      </c>
      <c r="CY109" t="str">
        <f>""</f>
        <v/>
      </c>
      <c r="CZ109" t="str">
        <f>""</f>
        <v/>
      </c>
      <c r="DA109" t="str">
        <f>""</f>
        <v/>
      </c>
      <c r="DB109" t="str">
        <f>""</f>
        <v/>
      </c>
      <c r="DC109" t="str">
        <f>""</f>
        <v/>
      </c>
      <c r="DD109" t="str">
        <f>""</f>
        <v/>
      </c>
      <c r="DE109" t="str">
        <f>""</f>
        <v/>
      </c>
      <c r="DF109" t="str">
        <f>""</f>
        <v/>
      </c>
      <c r="DG109" t="str">
        <f>""</f>
        <v/>
      </c>
      <c r="DH109" t="str">
        <f>""</f>
        <v/>
      </c>
      <c r="DI109" t="str">
        <f>""</f>
        <v/>
      </c>
      <c r="DJ109" t="str">
        <f>""</f>
        <v/>
      </c>
      <c r="DK109" t="str">
        <f>""</f>
        <v/>
      </c>
      <c r="DL109" t="str">
        <f>""</f>
        <v/>
      </c>
      <c r="DM109" t="str">
        <f>""</f>
        <v/>
      </c>
      <c r="DN109" t="str">
        <f>""</f>
        <v/>
      </c>
      <c r="DO109" t="str">
        <f>""</f>
        <v/>
      </c>
      <c r="DP109" t="str">
        <f>""</f>
        <v/>
      </c>
      <c r="DQ109" t="str">
        <f>""</f>
        <v/>
      </c>
      <c r="DR109" t="str">
        <f>""</f>
        <v/>
      </c>
      <c r="DS109" t="str">
        <f>""</f>
        <v/>
      </c>
      <c r="DT109" t="str">
        <f>""</f>
        <v/>
      </c>
      <c r="DU109" t="str">
        <f>""</f>
        <v/>
      </c>
      <c r="DV109" t="str">
        <f>""</f>
        <v/>
      </c>
      <c r="DW109" t="str">
        <f>""</f>
        <v/>
      </c>
      <c r="DX109" t="str">
        <f>"(0.0744)"</f>
        <v>(0.0744)</v>
      </c>
      <c r="DY109" t="str">
        <f>"(0.0550)"</f>
        <v>(0.0550)</v>
      </c>
      <c r="DZ109" t="str">
        <f>"(0.0315)"</f>
        <v>(0.0315)</v>
      </c>
      <c r="EA109" t="str">
        <f>""</f>
        <v/>
      </c>
      <c r="EB109" t="str">
        <f>""</f>
        <v/>
      </c>
      <c r="EC109" t="str">
        <f>""</f>
        <v/>
      </c>
      <c r="ED109" t="str">
        <f>""</f>
        <v/>
      </c>
      <c r="EE109" t="str">
        <f>""</f>
        <v/>
      </c>
      <c r="EF109" t="str">
        <f>""</f>
        <v/>
      </c>
      <c r="EG109" t="str">
        <f>""</f>
        <v/>
      </c>
      <c r="EH109" t="str">
        <f>""</f>
        <v/>
      </c>
      <c r="EI109" t="str">
        <f>""</f>
        <v/>
      </c>
      <c r="EJ109" t="str">
        <f>""</f>
        <v/>
      </c>
      <c r="EK109" t="str">
        <f>""</f>
        <v/>
      </c>
      <c r="EL109" t="str">
        <f>""</f>
        <v/>
      </c>
      <c r="EM109" t="str">
        <f>""</f>
        <v/>
      </c>
      <c r="EN109" t="str">
        <f>""</f>
        <v/>
      </c>
      <c r="EO109" t="str">
        <f>""</f>
        <v/>
      </c>
      <c r="EP109" t="str">
        <f>""</f>
        <v/>
      </c>
      <c r="EQ109" t="str">
        <f>""</f>
        <v/>
      </c>
      <c r="ER109" t="str">
        <f>""</f>
        <v/>
      </c>
      <c r="ES109" t="str">
        <f>""</f>
        <v/>
      </c>
      <c r="ET109" t="str">
        <f>""</f>
        <v/>
      </c>
      <c r="EU109" t="str">
        <f>""</f>
        <v/>
      </c>
      <c r="EV109" t="str">
        <f>""</f>
        <v/>
      </c>
      <c r="EW109" t="str">
        <f>""</f>
        <v/>
      </c>
      <c r="EX109" t="str">
        <f>""</f>
        <v/>
      </c>
      <c r="EY109" t="str">
        <f>""</f>
        <v/>
      </c>
      <c r="EZ109" t="str">
        <f>""</f>
        <v/>
      </c>
      <c r="FA109" t="str">
        <f>""</f>
        <v/>
      </c>
      <c r="FB109" t="str">
        <f>""</f>
        <v/>
      </c>
      <c r="FC109" t="str">
        <f>""</f>
        <v/>
      </c>
      <c r="FD109" t="str">
        <f>""</f>
        <v/>
      </c>
      <c r="FE109" t="str">
        <f>""</f>
        <v/>
      </c>
      <c r="FF109" t="str">
        <f>""</f>
        <v/>
      </c>
      <c r="FG109" t="str">
        <f>""</f>
        <v/>
      </c>
      <c r="FH109" t="str">
        <f>""</f>
        <v/>
      </c>
      <c r="FI109" t="str">
        <f>""</f>
        <v/>
      </c>
      <c r="FJ109" t="str">
        <f>""</f>
        <v/>
      </c>
      <c r="FK109" t="str">
        <f>""</f>
        <v/>
      </c>
      <c r="FL109" t="str">
        <f>""</f>
        <v/>
      </c>
      <c r="FM109" t="str">
        <f>""</f>
        <v/>
      </c>
      <c r="FN109" t="str">
        <f>""</f>
        <v/>
      </c>
      <c r="FO109" t="str">
        <f>""</f>
        <v/>
      </c>
      <c r="FP109" t="str">
        <f>""</f>
        <v/>
      </c>
      <c r="FQ109" t="str">
        <f>"(0.0723)"</f>
        <v>(0.0723)</v>
      </c>
      <c r="FR109" t="str">
        <f>"(0.0594)"</f>
        <v>(0.0594)</v>
      </c>
      <c r="FS109" t="str">
        <f>"(0.0318)"</f>
        <v>(0.0318)</v>
      </c>
      <c r="FT109" t="str">
        <f>""</f>
        <v/>
      </c>
      <c r="FU109" t="str">
        <f>""</f>
        <v/>
      </c>
      <c r="FV109" t="str">
        <f>""</f>
        <v/>
      </c>
      <c r="FW109" t="str">
        <f>""</f>
        <v/>
      </c>
      <c r="FX109" t="str">
        <f>""</f>
        <v/>
      </c>
      <c r="FY109" t="str">
        <f>""</f>
        <v/>
      </c>
      <c r="FZ109" t="str">
        <f>""</f>
        <v/>
      </c>
      <c r="GA109" t="str">
        <f>""</f>
        <v/>
      </c>
      <c r="GB109" t="str">
        <f>""</f>
        <v/>
      </c>
      <c r="GC109" t="str">
        <f>""</f>
        <v/>
      </c>
      <c r="GD109" t="str">
        <f>""</f>
        <v/>
      </c>
      <c r="GE109" t="str">
        <f>""</f>
        <v/>
      </c>
      <c r="GF109" t="str">
        <f>""</f>
        <v/>
      </c>
      <c r="GG109" t="str">
        <f>""</f>
        <v/>
      </c>
      <c r="GH109" t="str">
        <f>""</f>
        <v/>
      </c>
      <c r="GI109" t="str">
        <f>""</f>
        <v/>
      </c>
      <c r="GJ109" t="str">
        <f>""</f>
        <v/>
      </c>
      <c r="GK109" t="str">
        <f>""</f>
        <v/>
      </c>
      <c r="GL109" t="str">
        <f>""</f>
        <v/>
      </c>
      <c r="GM109" t="str">
        <f>""</f>
        <v/>
      </c>
      <c r="GN109" t="str">
        <f>""</f>
        <v/>
      </c>
      <c r="GO109" t="str">
        <f>""</f>
        <v/>
      </c>
      <c r="GP109" t="str">
        <f>""</f>
        <v/>
      </c>
      <c r="GQ109" t="str">
        <f>""</f>
        <v/>
      </c>
      <c r="GR109" t="str">
        <f>""</f>
        <v/>
      </c>
      <c r="GS109" t="str">
        <f>""</f>
        <v/>
      </c>
      <c r="GT109" t="str">
        <f>""</f>
        <v/>
      </c>
      <c r="GU109" t="str">
        <f>""</f>
        <v/>
      </c>
      <c r="GV109" t="str">
        <f>""</f>
        <v/>
      </c>
      <c r="GW109" t="str">
        <f>""</f>
        <v/>
      </c>
      <c r="GX109" t="str">
        <f>""</f>
        <v/>
      </c>
      <c r="GY109" t="str">
        <f>""</f>
        <v/>
      </c>
      <c r="GZ109" t="str">
        <f>""</f>
        <v/>
      </c>
      <c r="HA109" t="str">
        <f>""</f>
        <v/>
      </c>
      <c r="HB109" t="str">
        <f>""</f>
        <v/>
      </c>
      <c r="HC109" t="str">
        <f>""</f>
        <v/>
      </c>
      <c r="HD109" t="str">
        <f>""</f>
        <v/>
      </c>
      <c r="HE109" t="str">
        <f>""</f>
        <v/>
      </c>
      <c r="HF109" t="str">
        <f>""</f>
        <v/>
      </c>
      <c r="HG109" t="str">
        <f>""</f>
        <v/>
      </c>
      <c r="HH109" t="str">
        <f>""</f>
        <v/>
      </c>
      <c r="HI109" t="str">
        <f>""</f>
        <v/>
      </c>
      <c r="HJ109" t="str">
        <f>"(0.0742)"</f>
        <v>(0.0742)</v>
      </c>
      <c r="HK109" t="str">
        <f>"(0.0603)"</f>
        <v>(0.0603)</v>
      </c>
      <c r="HL109" t="str">
        <f>"(0.0322)"</f>
        <v>(0.0322)</v>
      </c>
      <c r="HM109" t="str">
        <f>""</f>
        <v/>
      </c>
      <c r="HN109" t="str">
        <f>""</f>
        <v/>
      </c>
      <c r="HO109" t="str">
        <f>""</f>
        <v/>
      </c>
      <c r="HP109" t="str">
        <f>""</f>
        <v/>
      </c>
      <c r="HQ109" t="str">
        <f>""</f>
        <v/>
      </c>
      <c r="HR109" t="str">
        <f>""</f>
        <v/>
      </c>
      <c r="HS109" t="str">
        <f>""</f>
        <v/>
      </c>
      <c r="HT109" t="str">
        <f>""</f>
        <v/>
      </c>
      <c r="HU109" t="str">
        <f>""</f>
        <v/>
      </c>
      <c r="HV109" t="str">
        <f>""</f>
        <v/>
      </c>
      <c r="HW109" t="str">
        <f>""</f>
        <v/>
      </c>
      <c r="HX109" t="str">
        <f>""</f>
        <v/>
      </c>
      <c r="HY109" t="str">
        <f>""</f>
        <v/>
      </c>
      <c r="HZ109" t="str">
        <f>""</f>
        <v/>
      </c>
      <c r="IA109" t="str">
        <f>""</f>
        <v/>
      </c>
      <c r="IB109" t="str">
        <f>""</f>
        <v/>
      </c>
      <c r="IC109" t="str">
        <f>""</f>
        <v/>
      </c>
      <c r="ID109" t="str">
        <f>""</f>
        <v/>
      </c>
      <c r="IE109" t="str">
        <f>""</f>
        <v/>
      </c>
      <c r="IF109" t="str">
        <f>""</f>
        <v/>
      </c>
      <c r="IG109" t="str">
        <f>""</f>
        <v/>
      </c>
      <c r="IH109" t="str">
        <f>""</f>
        <v/>
      </c>
      <c r="II109" t="str">
        <f>""</f>
        <v/>
      </c>
      <c r="IJ109" t="str">
        <f>""</f>
        <v/>
      </c>
      <c r="IK109" t="str">
        <f>""</f>
        <v/>
      </c>
      <c r="IL109" t="str">
        <f>""</f>
        <v/>
      </c>
      <c r="IM109" t="str">
        <f>""</f>
        <v/>
      </c>
      <c r="IN109" t="str">
        <f>""</f>
        <v/>
      </c>
      <c r="IO109" t="str">
        <f>""</f>
        <v/>
      </c>
      <c r="IP109" t="str">
        <f>""</f>
        <v/>
      </c>
      <c r="IQ109" t="str">
        <f>""</f>
        <v/>
      </c>
      <c r="IR109" t="str">
        <f>""</f>
        <v/>
      </c>
      <c r="IS109" t="str">
        <f>""</f>
        <v/>
      </c>
      <c r="IT109" t="str">
        <f>""</f>
        <v/>
      </c>
      <c r="IU109" t="str">
        <f>""</f>
        <v/>
      </c>
      <c r="IV109" t="str">
        <f>""</f>
        <v/>
      </c>
      <c r="IW109" t="str">
        <f>""</f>
        <v/>
      </c>
      <c r="IX109" t="str">
        <f>""</f>
        <v/>
      </c>
      <c r="IY109" t="str">
        <f>""</f>
        <v/>
      </c>
      <c r="IZ109" t="str">
        <f>""</f>
        <v/>
      </c>
      <c r="JA109" t="str">
        <f>""</f>
        <v/>
      </c>
      <c r="JB109" t="str">
        <f>""</f>
        <v/>
      </c>
      <c r="JC109" t="str">
        <f>"(0.0749)"</f>
        <v>(0.0749)</v>
      </c>
      <c r="JD109" t="str">
        <f>"(0.0587)"</f>
        <v>(0.0587)</v>
      </c>
      <c r="JE109" t="str">
        <f>"(0.0326)"</f>
        <v>(0.0326)</v>
      </c>
      <c r="JF109" t="str">
        <f>""</f>
        <v/>
      </c>
      <c r="JG109" t="str">
        <f>""</f>
        <v/>
      </c>
      <c r="JH109" t="str">
        <f>""</f>
        <v/>
      </c>
      <c r="JI109" t="str">
        <f>""</f>
        <v/>
      </c>
      <c r="JJ109" t="str">
        <f>""</f>
        <v/>
      </c>
      <c r="JK109" t="str">
        <f>""</f>
        <v/>
      </c>
    </row>
    <row r="111" spans="1:271" x14ac:dyDescent="0.3">
      <c r="A111" t="str">
        <f>"c.zMETAB13#c.PM1"</f>
        <v>c.zMETAB13#c.PM1</v>
      </c>
      <c r="B111" t="str">
        <f>""</f>
        <v/>
      </c>
      <c r="C111" t="str">
        <f>""</f>
        <v/>
      </c>
      <c r="D111" t="str">
        <f>""</f>
        <v/>
      </c>
      <c r="E111" t="str">
        <f>""</f>
        <v/>
      </c>
      <c r="F111" t="str">
        <f>""</f>
        <v/>
      </c>
      <c r="G111" t="str">
        <f>""</f>
        <v/>
      </c>
      <c r="H111" t="str">
        <f>""</f>
        <v/>
      </c>
      <c r="I111" t="str">
        <f>""</f>
        <v/>
      </c>
      <c r="J111" t="str">
        <f>""</f>
        <v/>
      </c>
      <c r="K111" t="str">
        <f>""</f>
        <v/>
      </c>
      <c r="L111" t="str">
        <f>""</f>
        <v/>
      </c>
      <c r="M111" t="str">
        <f>""</f>
        <v/>
      </c>
      <c r="N111" t="str">
        <f>""</f>
        <v/>
      </c>
      <c r="O111" t="str">
        <f>""</f>
        <v/>
      </c>
      <c r="P111" t="str">
        <f>""</f>
        <v/>
      </c>
      <c r="Q111" t="str">
        <f>""</f>
        <v/>
      </c>
      <c r="R111" t="str">
        <f>""</f>
        <v/>
      </c>
      <c r="S111" t="str">
        <f>""</f>
        <v/>
      </c>
      <c r="T111" t="str">
        <f>""</f>
        <v/>
      </c>
      <c r="U111" t="str">
        <f>""</f>
        <v/>
      </c>
      <c r="V111" t="str">
        <f>""</f>
        <v/>
      </c>
      <c r="W111" t="str">
        <f>""</f>
        <v/>
      </c>
      <c r="X111" t="str">
        <f>""</f>
        <v/>
      </c>
      <c r="Y111" t="str">
        <f>""</f>
        <v/>
      </c>
      <c r="Z111" t="str">
        <f>""</f>
        <v/>
      </c>
      <c r="AA111" t="str">
        <f>""</f>
        <v/>
      </c>
      <c r="AB111" t="str">
        <f>""</f>
        <v/>
      </c>
      <c r="AC111" t="str">
        <f>""</f>
        <v/>
      </c>
      <c r="AD111" t="str">
        <f>""</f>
        <v/>
      </c>
      <c r="AE111" t="str">
        <f>""</f>
        <v/>
      </c>
      <c r="AF111" t="str">
        <f>""</f>
        <v/>
      </c>
      <c r="AG111" t="str">
        <f>""</f>
        <v/>
      </c>
      <c r="AH111" t="str">
        <f>""</f>
        <v/>
      </c>
      <c r="AI111" t="str">
        <f>""</f>
        <v/>
      </c>
      <c r="AJ111" t="str">
        <f>""</f>
        <v/>
      </c>
      <c r="AK111" t="str">
        <f>""</f>
        <v/>
      </c>
      <c r="AL111" t="str">
        <f>"0.273**"</f>
        <v>0.273**</v>
      </c>
      <c r="AM111" t="str">
        <f>"-0.0283"</f>
        <v>-0.0283</v>
      </c>
      <c r="AN111" t="str">
        <f>"-0.0266"</f>
        <v>-0.0266</v>
      </c>
      <c r="AO111" t="str">
        <f>""</f>
        <v/>
      </c>
      <c r="AP111" t="str">
        <f>""</f>
        <v/>
      </c>
      <c r="AQ111" t="str">
        <f>""</f>
        <v/>
      </c>
      <c r="AR111" t="str">
        <f>""</f>
        <v/>
      </c>
      <c r="AS111" t="str">
        <f>""</f>
        <v/>
      </c>
      <c r="AT111" t="str">
        <f>""</f>
        <v/>
      </c>
      <c r="AU111" t="str">
        <f>""</f>
        <v/>
      </c>
      <c r="AV111" t="str">
        <f>""</f>
        <v/>
      </c>
      <c r="AW111" t="str">
        <f>""</f>
        <v/>
      </c>
      <c r="AX111" t="str">
        <f>""</f>
        <v/>
      </c>
      <c r="AY111" t="str">
        <f>""</f>
        <v/>
      </c>
      <c r="AZ111" t="str">
        <f>""</f>
        <v/>
      </c>
      <c r="BA111" t="str">
        <f>""</f>
        <v/>
      </c>
      <c r="BB111" t="str">
        <f>""</f>
        <v/>
      </c>
      <c r="BC111" t="str">
        <f>""</f>
        <v/>
      </c>
      <c r="BD111" t="str">
        <f>""</f>
        <v/>
      </c>
      <c r="BE111" t="str">
        <f>""</f>
        <v/>
      </c>
      <c r="BF111" t="str">
        <f>""</f>
        <v/>
      </c>
      <c r="BG111" t="str">
        <f>""</f>
        <v/>
      </c>
      <c r="BH111" t="str">
        <f>""</f>
        <v/>
      </c>
      <c r="BI111" t="str">
        <f>""</f>
        <v/>
      </c>
      <c r="BJ111" t="str">
        <f>""</f>
        <v/>
      </c>
      <c r="BK111" t="str">
        <f>""</f>
        <v/>
      </c>
      <c r="BL111" t="str">
        <f>""</f>
        <v/>
      </c>
      <c r="BM111" t="str">
        <f>""</f>
        <v/>
      </c>
      <c r="BN111" t="str">
        <f>""</f>
        <v/>
      </c>
      <c r="BO111" t="str">
        <f>""</f>
        <v/>
      </c>
      <c r="BP111" t="str">
        <f>""</f>
        <v/>
      </c>
      <c r="BQ111" t="str">
        <f>""</f>
        <v/>
      </c>
      <c r="BR111" t="str">
        <f>""</f>
        <v/>
      </c>
      <c r="BS111" t="str">
        <f>""</f>
        <v/>
      </c>
      <c r="BT111" t="str">
        <f>""</f>
        <v/>
      </c>
      <c r="BU111" t="str">
        <f>""</f>
        <v/>
      </c>
      <c r="BV111" t="str">
        <f>""</f>
        <v/>
      </c>
      <c r="BW111" t="str">
        <f>""</f>
        <v/>
      </c>
      <c r="BX111" t="str">
        <f>""</f>
        <v/>
      </c>
      <c r="BY111" t="str">
        <f>""</f>
        <v/>
      </c>
      <c r="BZ111" t="str">
        <f>""</f>
        <v/>
      </c>
      <c r="CA111" t="str">
        <f>""</f>
        <v/>
      </c>
      <c r="CB111" t="str">
        <f>""</f>
        <v/>
      </c>
      <c r="CC111" t="str">
        <f>""</f>
        <v/>
      </c>
      <c r="CD111" t="str">
        <f>""</f>
        <v/>
      </c>
      <c r="CE111" t="str">
        <f>""</f>
        <v/>
      </c>
      <c r="CF111" t="str">
        <f>""</f>
        <v/>
      </c>
      <c r="CG111" t="str">
        <f>""</f>
        <v/>
      </c>
      <c r="CH111" t="str">
        <f>""</f>
        <v/>
      </c>
      <c r="CI111" t="str">
        <f>""</f>
        <v/>
      </c>
      <c r="CJ111" t="str">
        <f>""</f>
        <v/>
      </c>
      <c r="CK111" t="str">
        <f>""</f>
        <v/>
      </c>
      <c r="CL111" t="str">
        <f>""</f>
        <v/>
      </c>
      <c r="CM111" t="str">
        <f>""</f>
        <v/>
      </c>
      <c r="CN111" t="str">
        <f>""</f>
        <v/>
      </c>
      <c r="CO111" t="str">
        <f>""</f>
        <v/>
      </c>
      <c r="CP111" t="str">
        <f>""</f>
        <v/>
      </c>
      <c r="CQ111" t="str">
        <f>""</f>
        <v/>
      </c>
      <c r="CR111" t="str">
        <f>""</f>
        <v/>
      </c>
      <c r="CS111" t="str">
        <f>""</f>
        <v/>
      </c>
      <c r="CT111" t="str">
        <f>""</f>
        <v/>
      </c>
      <c r="CU111" t="str">
        <f>""</f>
        <v/>
      </c>
      <c r="CV111" t="str">
        <f>""</f>
        <v/>
      </c>
      <c r="CW111" t="str">
        <f>""</f>
        <v/>
      </c>
      <c r="CX111" t="str">
        <f>""</f>
        <v/>
      </c>
      <c r="CY111" t="str">
        <f>""</f>
        <v/>
      </c>
      <c r="CZ111" t="str">
        <f>""</f>
        <v/>
      </c>
      <c r="DA111" t="str">
        <f>""</f>
        <v/>
      </c>
      <c r="DB111" t="str">
        <f>""</f>
        <v/>
      </c>
      <c r="DC111" t="str">
        <f>""</f>
        <v/>
      </c>
      <c r="DD111" t="str">
        <f>""</f>
        <v/>
      </c>
      <c r="DE111" t="str">
        <f>""</f>
        <v/>
      </c>
      <c r="DF111" t="str">
        <f>""</f>
        <v/>
      </c>
      <c r="DG111" t="str">
        <f>""</f>
        <v/>
      </c>
      <c r="DH111" t="str">
        <f>""</f>
        <v/>
      </c>
      <c r="DI111" t="str">
        <f>""</f>
        <v/>
      </c>
      <c r="DJ111" t="str">
        <f>""</f>
        <v/>
      </c>
      <c r="DK111" t="str">
        <f>""</f>
        <v/>
      </c>
      <c r="DL111" t="str">
        <f>""</f>
        <v/>
      </c>
      <c r="DM111" t="str">
        <f>""</f>
        <v/>
      </c>
      <c r="DN111" t="str">
        <f>""</f>
        <v/>
      </c>
      <c r="DO111" t="str">
        <f>""</f>
        <v/>
      </c>
      <c r="DP111" t="str">
        <f>""</f>
        <v/>
      </c>
      <c r="DQ111" t="str">
        <f>""</f>
        <v/>
      </c>
      <c r="DR111" t="str">
        <f>""</f>
        <v/>
      </c>
      <c r="DS111" t="str">
        <f>""</f>
        <v/>
      </c>
      <c r="DT111" t="str">
        <f>""</f>
        <v/>
      </c>
      <c r="DU111" t="str">
        <f>""</f>
        <v/>
      </c>
      <c r="DV111" t="str">
        <f>""</f>
        <v/>
      </c>
      <c r="DW111" t="str">
        <f>""</f>
        <v/>
      </c>
      <c r="DX111" t="str">
        <f>""</f>
        <v/>
      </c>
      <c r="DY111" t="str">
        <f>""</f>
        <v/>
      </c>
      <c r="DZ111" t="str">
        <f>""</f>
        <v/>
      </c>
      <c r="EA111" t="str">
        <f>""</f>
        <v/>
      </c>
      <c r="EB111" t="str">
        <f>""</f>
        <v/>
      </c>
      <c r="EC111" t="str">
        <f>""</f>
        <v/>
      </c>
      <c r="ED111" t="str">
        <f>""</f>
        <v/>
      </c>
      <c r="EE111" t="str">
        <f>""</f>
        <v/>
      </c>
      <c r="EF111" t="str">
        <f>""</f>
        <v/>
      </c>
      <c r="EG111" t="str">
        <f>""</f>
        <v/>
      </c>
      <c r="EH111" t="str">
        <f>""</f>
        <v/>
      </c>
      <c r="EI111" t="str">
        <f>""</f>
        <v/>
      </c>
      <c r="EJ111" t="str">
        <f>""</f>
        <v/>
      </c>
      <c r="EK111" t="str">
        <f>""</f>
        <v/>
      </c>
      <c r="EL111" t="str">
        <f>""</f>
        <v/>
      </c>
      <c r="EM111" t="str">
        <f>""</f>
        <v/>
      </c>
      <c r="EN111" t="str">
        <f>""</f>
        <v/>
      </c>
      <c r="EO111" t="str">
        <f>""</f>
        <v/>
      </c>
      <c r="EP111" t="str">
        <f>""</f>
        <v/>
      </c>
      <c r="EQ111" t="str">
        <f>""</f>
        <v/>
      </c>
      <c r="ER111" t="str">
        <f>""</f>
        <v/>
      </c>
      <c r="ES111" t="str">
        <f>""</f>
        <v/>
      </c>
      <c r="ET111" t="str">
        <f>""</f>
        <v/>
      </c>
      <c r="EU111" t="str">
        <f>""</f>
        <v/>
      </c>
      <c r="EV111" t="str">
        <f>""</f>
        <v/>
      </c>
      <c r="EW111" t="str">
        <f>""</f>
        <v/>
      </c>
      <c r="EX111" t="str">
        <f>""</f>
        <v/>
      </c>
      <c r="EY111" t="str">
        <f>""</f>
        <v/>
      </c>
      <c r="EZ111" t="str">
        <f>""</f>
        <v/>
      </c>
      <c r="FA111" t="str">
        <f>""</f>
        <v/>
      </c>
      <c r="FB111" t="str">
        <f>""</f>
        <v/>
      </c>
      <c r="FC111" t="str">
        <f>""</f>
        <v/>
      </c>
      <c r="FD111" t="str">
        <f>""</f>
        <v/>
      </c>
      <c r="FE111" t="str">
        <f>""</f>
        <v/>
      </c>
      <c r="FF111" t="str">
        <f>""</f>
        <v/>
      </c>
      <c r="FG111" t="str">
        <f>""</f>
        <v/>
      </c>
      <c r="FH111" t="str">
        <f>""</f>
        <v/>
      </c>
      <c r="FI111" t="str">
        <f>""</f>
        <v/>
      </c>
      <c r="FJ111" t="str">
        <f>""</f>
        <v/>
      </c>
      <c r="FK111" t="str">
        <f>""</f>
        <v/>
      </c>
      <c r="FL111" t="str">
        <f>""</f>
        <v/>
      </c>
      <c r="FM111" t="str">
        <f>""</f>
        <v/>
      </c>
      <c r="FN111" t="str">
        <f>""</f>
        <v/>
      </c>
      <c r="FO111" t="str">
        <f>""</f>
        <v/>
      </c>
      <c r="FP111" t="str">
        <f>""</f>
        <v/>
      </c>
      <c r="FQ111" t="str">
        <f>""</f>
        <v/>
      </c>
      <c r="FR111" t="str">
        <f>""</f>
        <v/>
      </c>
      <c r="FS111" t="str">
        <f>""</f>
        <v/>
      </c>
      <c r="FT111" t="str">
        <f>""</f>
        <v/>
      </c>
      <c r="FU111" t="str">
        <f>""</f>
        <v/>
      </c>
      <c r="FV111" t="str">
        <f>""</f>
        <v/>
      </c>
      <c r="FW111" t="str">
        <f>""</f>
        <v/>
      </c>
      <c r="FX111" t="str">
        <f>""</f>
        <v/>
      </c>
      <c r="FY111" t="str">
        <f>""</f>
        <v/>
      </c>
      <c r="FZ111" t="str">
        <f>""</f>
        <v/>
      </c>
      <c r="GA111" t="str">
        <f>""</f>
        <v/>
      </c>
      <c r="GB111" t="str">
        <f>""</f>
        <v/>
      </c>
      <c r="GC111" t="str">
        <f>""</f>
        <v/>
      </c>
      <c r="GD111" t="str">
        <f>""</f>
        <v/>
      </c>
      <c r="GE111" t="str">
        <f>""</f>
        <v/>
      </c>
      <c r="GF111" t="str">
        <f>""</f>
        <v/>
      </c>
      <c r="GG111" t="str">
        <f>""</f>
        <v/>
      </c>
      <c r="GH111" t="str">
        <f>""</f>
        <v/>
      </c>
      <c r="GI111" t="str">
        <f>""</f>
        <v/>
      </c>
      <c r="GJ111" t="str">
        <f>""</f>
        <v/>
      </c>
      <c r="GK111" t="str">
        <f>""</f>
        <v/>
      </c>
      <c r="GL111" t="str">
        <f>""</f>
        <v/>
      </c>
      <c r="GM111" t="str">
        <f>""</f>
        <v/>
      </c>
      <c r="GN111" t="str">
        <f>""</f>
        <v/>
      </c>
      <c r="GO111" t="str">
        <f>""</f>
        <v/>
      </c>
      <c r="GP111" t="str">
        <f>""</f>
        <v/>
      </c>
      <c r="GQ111" t="str">
        <f>""</f>
        <v/>
      </c>
      <c r="GR111" t="str">
        <f>""</f>
        <v/>
      </c>
      <c r="GS111" t="str">
        <f>""</f>
        <v/>
      </c>
      <c r="GT111" t="str">
        <f>""</f>
        <v/>
      </c>
      <c r="GU111" t="str">
        <f>""</f>
        <v/>
      </c>
      <c r="GV111" t="str">
        <f>""</f>
        <v/>
      </c>
      <c r="GW111" t="str">
        <f>""</f>
        <v/>
      </c>
      <c r="GX111" t="str">
        <f>""</f>
        <v/>
      </c>
      <c r="GY111" t="str">
        <f>""</f>
        <v/>
      </c>
      <c r="GZ111" t="str">
        <f>""</f>
        <v/>
      </c>
      <c r="HA111" t="str">
        <f>""</f>
        <v/>
      </c>
      <c r="HB111" t="str">
        <f>""</f>
        <v/>
      </c>
      <c r="HC111" t="str">
        <f>""</f>
        <v/>
      </c>
      <c r="HD111" t="str">
        <f>""</f>
        <v/>
      </c>
      <c r="HE111" t="str">
        <f>""</f>
        <v/>
      </c>
      <c r="HF111" t="str">
        <f>""</f>
        <v/>
      </c>
      <c r="HG111" t="str">
        <f>""</f>
        <v/>
      </c>
      <c r="HH111" t="str">
        <f>""</f>
        <v/>
      </c>
      <c r="HI111" t="str">
        <f>""</f>
        <v/>
      </c>
      <c r="HJ111" t="str">
        <f>""</f>
        <v/>
      </c>
      <c r="HK111" t="str">
        <f>""</f>
        <v/>
      </c>
      <c r="HL111" t="str">
        <f>""</f>
        <v/>
      </c>
      <c r="HM111" t="str">
        <f>""</f>
        <v/>
      </c>
      <c r="HN111" t="str">
        <f>""</f>
        <v/>
      </c>
      <c r="HO111" t="str">
        <f>""</f>
        <v/>
      </c>
      <c r="HP111" t="str">
        <f>""</f>
        <v/>
      </c>
      <c r="HQ111" t="str">
        <f>""</f>
        <v/>
      </c>
      <c r="HR111" t="str">
        <f>""</f>
        <v/>
      </c>
      <c r="HS111" t="str">
        <f>""</f>
        <v/>
      </c>
      <c r="HT111" t="str">
        <f>""</f>
        <v/>
      </c>
      <c r="HU111" t="str">
        <f>""</f>
        <v/>
      </c>
      <c r="HV111" t="str">
        <f>""</f>
        <v/>
      </c>
      <c r="HW111" t="str">
        <f>""</f>
        <v/>
      </c>
      <c r="HX111" t="str">
        <f>""</f>
        <v/>
      </c>
      <c r="HY111" t="str">
        <f>""</f>
        <v/>
      </c>
      <c r="HZ111" t="str">
        <f>""</f>
        <v/>
      </c>
      <c r="IA111" t="str">
        <f>""</f>
        <v/>
      </c>
      <c r="IB111" t="str">
        <f>""</f>
        <v/>
      </c>
      <c r="IC111" t="str">
        <f>""</f>
        <v/>
      </c>
      <c r="ID111" t="str">
        <f>""</f>
        <v/>
      </c>
      <c r="IE111" t="str">
        <f>""</f>
        <v/>
      </c>
      <c r="IF111" t="str">
        <f>""</f>
        <v/>
      </c>
      <c r="IG111" t="str">
        <f>""</f>
        <v/>
      </c>
      <c r="IH111" t="str">
        <f>""</f>
        <v/>
      </c>
      <c r="II111" t="str">
        <f>""</f>
        <v/>
      </c>
      <c r="IJ111" t="str">
        <f>""</f>
        <v/>
      </c>
      <c r="IK111" t="str">
        <f>""</f>
        <v/>
      </c>
      <c r="IL111" t="str">
        <f>""</f>
        <v/>
      </c>
      <c r="IM111" t="str">
        <f>""</f>
        <v/>
      </c>
      <c r="IN111" t="str">
        <f>""</f>
        <v/>
      </c>
      <c r="IO111" t="str">
        <f>""</f>
        <v/>
      </c>
      <c r="IP111" t="str">
        <f>""</f>
        <v/>
      </c>
      <c r="IQ111" t="str">
        <f>""</f>
        <v/>
      </c>
      <c r="IR111" t="str">
        <f>""</f>
        <v/>
      </c>
      <c r="IS111" t="str">
        <f>""</f>
        <v/>
      </c>
      <c r="IT111" t="str">
        <f>""</f>
        <v/>
      </c>
      <c r="IU111" t="str">
        <f>""</f>
        <v/>
      </c>
      <c r="IV111" t="str">
        <f>""</f>
        <v/>
      </c>
      <c r="IW111" t="str">
        <f>""</f>
        <v/>
      </c>
      <c r="IX111" t="str">
        <f>""</f>
        <v/>
      </c>
      <c r="IY111" t="str">
        <f>""</f>
        <v/>
      </c>
      <c r="IZ111" t="str">
        <f>""</f>
        <v/>
      </c>
      <c r="JA111" t="str">
        <f>""</f>
        <v/>
      </c>
      <c r="JB111" t="str">
        <f>""</f>
        <v/>
      </c>
      <c r="JC111" t="str">
        <f>""</f>
        <v/>
      </c>
      <c r="JD111" t="str">
        <f>""</f>
        <v/>
      </c>
      <c r="JE111" t="str">
        <f>""</f>
        <v/>
      </c>
      <c r="JF111" t="str">
        <f>""</f>
        <v/>
      </c>
      <c r="JG111" t="str">
        <f>""</f>
        <v/>
      </c>
      <c r="JH111" t="str">
        <f>""</f>
        <v/>
      </c>
      <c r="JI111" t="str">
        <f>""</f>
        <v/>
      </c>
      <c r="JJ111" t="str">
        <f>""</f>
        <v/>
      </c>
      <c r="JK111" t="str">
        <f>""</f>
        <v/>
      </c>
    </row>
    <row r="112" spans="1:271" x14ac:dyDescent="0.3">
      <c r="A112" t="str">
        <f>""</f>
        <v/>
      </c>
      <c r="B112" t="str">
        <f>""</f>
        <v/>
      </c>
      <c r="C112" t="str">
        <f>""</f>
        <v/>
      </c>
      <c r="D112" t="str">
        <f>""</f>
        <v/>
      </c>
      <c r="E112" t="str">
        <f>""</f>
        <v/>
      </c>
      <c r="F112" t="str">
        <f>""</f>
        <v/>
      </c>
      <c r="G112" t="str">
        <f>""</f>
        <v/>
      </c>
      <c r="H112" t="str">
        <f>""</f>
        <v/>
      </c>
      <c r="I112" t="str">
        <f>""</f>
        <v/>
      </c>
      <c r="J112" t="str">
        <f>""</f>
        <v/>
      </c>
      <c r="K112" t="str">
        <f>""</f>
        <v/>
      </c>
      <c r="L112" t="str">
        <f>""</f>
        <v/>
      </c>
      <c r="M112" t="str">
        <f>""</f>
        <v/>
      </c>
      <c r="N112" t="str">
        <f>""</f>
        <v/>
      </c>
      <c r="O112" t="str">
        <f>""</f>
        <v/>
      </c>
      <c r="P112" t="str">
        <f>""</f>
        <v/>
      </c>
      <c r="Q112" t="str">
        <f>""</f>
        <v/>
      </c>
      <c r="R112" t="str">
        <f>""</f>
        <v/>
      </c>
      <c r="S112" t="str">
        <f>""</f>
        <v/>
      </c>
      <c r="T112" t="str">
        <f>""</f>
        <v/>
      </c>
      <c r="U112" t="str">
        <f>""</f>
        <v/>
      </c>
      <c r="V112" t="str">
        <f>""</f>
        <v/>
      </c>
      <c r="W112" t="str">
        <f>""</f>
        <v/>
      </c>
      <c r="X112" t="str">
        <f>""</f>
        <v/>
      </c>
      <c r="Y112" t="str">
        <f>""</f>
        <v/>
      </c>
      <c r="Z112" t="str">
        <f>""</f>
        <v/>
      </c>
      <c r="AA112" t="str">
        <f>""</f>
        <v/>
      </c>
      <c r="AB112" t="str">
        <f>""</f>
        <v/>
      </c>
      <c r="AC112" t="str">
        <f>""</f>
        <v/>
      </c>
      <c r="AD112" t="str">
        <f>""</f>
        <v/>
      </c>
      <c r="AE112" t="str">
        <f>""</f>
        <v/>
      </c>
      <c r="AF112" t="str">
        <f>""</f>
        <v/>
      </c>
      <c r="AG112" t="str">
        <f>""</f>
        <v/>
      </c>
      <c r="AH112" t="str">
        <f>""</f>
        <v/>
      </c>
      <c r="AI112" t="str">
        <f>""</f>
        <v/>
      </c>
      <c r="AJ112" t="str">
        <f>""</f>
        <v/>
      </c>
      <c r="AK112" t="str">
        <f>""</f>
        <v/>
      </c>
      <c r="AL112" t="str">
        <f>"(0.103)"</f>
        <v>(0.103)</v>
      </c>
      <c r="AM112" t="str">
        <f>"(0.0815)"</f>
        <v>(0.0815)</v>
      </c>
      <c r="AN112" t="str">
        <f>"(0.0439)"</f>
        <v>(0.0439)</v>
      </c>
      <c r="AO112" t="str">
        <f>""</f>
        <v/>
      </c>
      <c r="AP112" t="str">
        <f>""</f>
        <v/>
      </c>
      <c r="AQ112" t="str">
        <f>""</f>
        <v/>
      </c>
      <c r="AR112" t="str">
        <f>""</f>
        <v/>
      </c>
      <c r="AS112" t="str">
        <f>""</f>
        <v/>
      </c>
      <c r="AT112" t="str">
        <f>""</f>
        <v/>
      </c>
      <c r="AU112" t="str">
        <f>""</f>
        <v/>
      </c>
      <c r="AV112" t="str">
        <f>""</f>
        <v/>
      </c>
      <c r="AW112" t="str">
        <f>""</f>
        <v/>
      </c>
      <c r="AX112" t="str">
        <f>""</f>
        <v/>
      </c>
      <c r="AY112" t="str">
        <f>""</f>
        <v/>
      </c>
      <c r="AZ112" t="str">
        <f>""</f>
        <v/>
      </c>
      <c r="BA112" t="str">
        <f>""</f>
        <v/>
      </c>
      <c r="BB112" t="str">
        <f>""</f>
        <v/>
      </c>
      <c r="BC112" t="str">
        <f>""</f>
        <v/>
      </c>
      <c r="BD112" t="str">
        <f>""</f>
        <v/>
      </c>
      <c r="BE112" t="str">
        <f>""</f>
        <v/>
      </c>
      <c r="BF112" t="str">
        <f>""</f>
        <v/>
      </c>
      <c r="BG112" t="str">
        <f>""</f>
        <v/>
      </c>
      <c r="BH112" t="str">
        <f>""</f>
        <v/>
      </c>
      <c r="BI112" t="str">
        <f>""</f>
        <v/>
      </c>
      <c r="BJ112" t="str">
        <f>""</f>
        <v/>
      </c>
      <c r="BK112" t="str">
        <f>""</f>
        <v/>
      </c>
      <c r="BL112" t="str">
        <f>""</f>
        <v/>
      </c>
      <c r="BM112" t="str">
        <f>""</f>
        <v/>
      </c>
      <c r="BN112" t="str">
        <f>""</f>
        <v/>
      </c>
      <c r="BO112" t="str">
        <f>""</f>
        <v/>
      </c>
      <c r="BP112" t="str">
        <f>""</f>
        <v/>
      </c>
      <c r="BQ112" t="str">
        <f>""</f>
        <v/>
      </c>
      <c r="BR112" t="str">
        <f>""</f>
        <v/>
      </c>
      <c r="BS112" t="str">
        <f>""</f>
        <v/>
      </c>
      <c r="BT112" t="str">
        <f>""</f>
        <v/>
      </c>
      <c r="BU112" t="str">
        <f>""</f>
        <v/>
      </c>
      <c r="BV112" t="str">
        <f>""</f>
        <v/>
      </c>
      <c r="BW112" t="str">
        <f>""</f>
        <v/>
      </c>
      <c r="BX112" t="str">
        <f>""</f>
        <v/>
      </c>
      <c r="BY112" t="str">
        <f>""</f>
        <v/>
      </c>
      <c r="BZ112" t="str">
        <f>""</f>
        <v/>
      </c>
      <c r="CA112" t="str">
        <f>""</f>
        <v/>
      </c>
      <c r="CB112" t="str">
        <f>""</f>
        <v/>
      </c>
      <c r="CC112" t="str">
        <f>""</f>
        <v/>
      </c>
      <c r="CD112" t="str">
        <f>""</f>
        <v/>
      </c>
      <c r="CE112" t="str">
        <f>""</f>
        <v/>
      </c>
      <c r="CF112" t="str">
        <f>""</f>
        <v/>
      </c>
      <c r="CG112" t="str">
        <f>""</f>
        <v/>
      </c>
      <c r="CH112" t="str">
        <f>""</f>
        <v/>
      </c>
      <c r="CI112" t="str">
        <f>""</f>
        <v/>
      </c>
      <c r="CJ112" t="str">
        <f>""</f>
        <v/>
      </c>
      <c r="CK112" t="str">
        <f>""</f>
        <v/>
      </c>
      <c r="CL112" t="str">
        <f>""</f>
        <v/>
      </c>
      <c r="CM112" t="str">
        <f>""</f>
        <v/>
      </c>
      <c r="CN112" t="str">
        <f>""</f>
        <v/>
      </c>
      <c r="CO112" t="str">
        <f>""</f>
        <v/>
      </c>
      <c r="CP112" t="str">
        <f>""</f>
        <v/>
      </c>
      <c r="CQ112" t="str">
        <f>""</f>
        <v/>
      </c>
      <c r="CR112" t="str">
        <f>""</f>
        <v/>
      </c>
      <c r="CS112" t="str">
        <f>""</f>
        <v/>
      </c>
      <c r="CT112" t="str">
        <f>""</f>
        <v/>
      </c>
      <c r="CU112" t="str">
        <f>""</f>
        <v/>
      </c>
      <c r="CV112" t="str">
        <f>""</f>
        <v/>
      </c>
      <c r="CW112" t="str">
        <f>""</f>
        <v/>
      </c>
      <c r="CX112" t="str">
        <f>""</f>
        <v/>
      </c>
      <c r="CY112" t="str">
        <f>""</f>
        <v/>
      </c>
      <c r="CZ112" t="str">
        <f>""</f>
        <v/>
      </c>
      <c r="DA112" t="str">
        <f>""</f>
        <v/>
      </c>
      <c r="DB112" t="str">
        <f>""</f>
        <v/>
      </c>
      <c r="DC112" t="str">
        <f>""</f>
        <v/>
      </c>
      <c r="DD112" t="str">
        <f>""</f>
        <v/>
      </c>
      <c r="DE112" t="str">
        <f>""</f>
        <v/>
      </c>
      <c r="DF112" t="str">
        <f>""</f>
        <v/>
      </c>
      <c r="DG112" t="str">
        <f>""</f>
        <v/>
      </c>
      <c r="DH112" t="str">
        <f>""</f>
        <v/>
      </c>
      <c r="DI112" t="str">
        <f>""</f>
        <v/>
      </c>
      <c r="DJ112" t="str">
        <f>""</f>
        <v/>
      </c>
      <c r="DK112" t="str">
        <f>""</f>
        <v/>
      </c>
      <c r="DL112" t="str">
        <f>""</f>
        <v/>
      </c>
      <c r="DM112" t="str">
        <f>""</f>
        <v/>
      </c>
      <c r="DN112" t="str">
        <f>""</f>
        <v/>
      </c>
      <c r="DO112" t="str">
        <f>""</f>
        <v/>
      </c>
      <c r="DP112" t="str">
        <f>""</f>
        <v/>
      </c>
      <c r="DQ112" t="str">
        <f>""</f>
        <v/>
      </c>
      <c r="DR112" t="str">
        <f>""</f>
        <v/>
      </c>
      <c r="DS112" t="str">
        <f>""</f>
        <v/>
      </c>
      <c r="DT112" t="str">
        <f>""</f>
        <v/>
      </c>
      <c r="DU112" t="str">
        <f>""</f>
        <v/>
      </c>
      <c r="DV112" t="str">
        <f>""</f>
        <v/>
      </c>
      <c r="DW112" t="str">
        <f>""</f>
        <v/>
      </c>
      <c r="DX112" t="str">
        <f>""</f>
        <v/>
      </c>
      <c r="DY112" t="str">
        <f>""</f>
        <v/>
      </c>
      <c r="DZ112" t="str">
        <f>""</f>
        <v/>
      </c>
      <c r="EA112" t="str">
        <f>""</f>
        <v/>
      </c>
      <c r="EB112" t="str">
        <f>""</f>
        <v/>
      </c>
      <c r="EC112" t="str">
        <f>""</f>
        <v/>
      </c>
      <c r="ED112" t="str">
        <f>""</f>
        <v/>
      </c>
      <c r="EE112" t="str">
        <f>""</f>
        <v/>
      </c>
      <c r="EF112" t="str">
        <f>""</f>
        <v/>
      </c>
      <c r="EG112" t="str">
        <f>""</f>
        <v/>
      </c>
      <c r="EH112" t="str">
        <f>""</f>
        <v/>
      </c>
      <c r="EI112" t="str">
        <f>""</f>
        <v/>
      </c>
      <c r="EJ112" t="str">
        <f>""</f>
        <v/>
      </c>
      <c r="EK112" t="str">
        <f>""</f>
        <v/>
      </c>
      <c r="EL112" t="str">
        <f>""</f>
        <v/>
      </c>
      <c r="EM112" t="str">
        <f>""</f>
        <v/>
      </c>
      <c r="EN112" t="str">
        <f>""</f>
        <v/>
      </c>
      <c r="EO112" t="str">
        <f>""</f>
        <v/>
      </c>
      <c r="EP112" t="str">
        <f>""</f>
        <v/>
      </c>
      <c r="EQ112" t="str">
        <f>""</f>
        <v/>
      </c>
      <c r="ER112" t="str">
        <f>""</f>
        <v/>
      </c>
      <c r="ES112" t="str">
        <f>""</f>
        <v/>
      </c>
      <c r="ET112" t="str">
        <f>""</f>
        <v/>
      </c>
      <c r="EU112" t="str">
        <f>""</f>
        <v/>
      </c>
      <c r="EV112" t="str">
        <f>""</f>
        <v/>
      </c>
      <c r="EW112" t="str">
        <f>""</f>
        <v/>
      </c>
      <c r="EX112" t="str">
        <f>""</f>
        <v/>
      </c>
      <c r="EY112" t="str">
        <f>""</f>
        <v/>
      </c>
      <c r="EZ112" t="str">
        <f>""</f>
        <v/>
      </c>
      <c r="FA112" t="str">
        <f>""</f>
        <v/>
      </c>
      <c r="FB112" t="str">
        <f>""</f>
        <v/>
      </c>
      <c r="FC112" t="str">
        <f>""</f>
        <v/>
      </c>
      <c r="FD112" t="str">
        <f>""</f>
        <v/>
      </c>
      <c r="FE112" t="str">
        <f>""</f>
        <v/>
      </c>
      <c r="FF112" t="str">
        <f>""</f>
        <v/>
      </c>
      <c r="FG112" t="str">
        <f>""</f>
        <v/>
      </c>
      <c r="FH112" t="str">
        <f>""</f>
        <v/>
      </c>
      <c r="FI112" t="str">
        <f>""</f>
        <v/>
      </c>
      <c r="FJ112" t="str">
        <f>""</f>
        <v/>
      </c>
      <c r="FK112" t="str">
        <f>""</f>
        <v/>
      </c>
      <c r="FL112" t="str">
        <f>""</f>
        <v/>
      </c>
      <c r="FM112" t="str">
        <f>""</f>
        <v/>
      </c>
      <c r="FN112" t="str">
        <f>""</f>
        <v/>
      </c>
      <c r="FO112" t="str">
        <f>""</f>
        <v/>
      </c>
      <c r="FP112" t="str">
        <f>""</f>
        <v/>
      </c>
      <c r="FQ112" t="str">
        <f>""</f>
        <v/>
      </c>
      <c r="FR112" t="str">
        <f>""</f>
        <v/>
      </c>
      <c r="FS112" t="str">
        <f>""</f>
        <v/>
      </c>
      <c r="FT112" t="str">
        <f>""</f>
        <v/>
      </c>
      <c r="FU112" t="str">
        <f>""</f>
        <v/>
      </c>
      <c r="FV112" t="str">
        <f>""</f>
        <v/>
      </c>
      <c r="FW112" t="str">
        <f>""</f>
        <v/>
      </c>
      <c r="FX112" t="str">
        <f>""</f>
        <v/>
      </c>
      <c r="FY112" t="str">
        <f>""</f>
        <v/>
      </c>
      <c r="FZ112" t="str">
        <f>""</f>
        <v/>
      </c>
      <c r="GA112" t="str">
        <f>""</f>
        <v/>
      </c>
      <c r="GB112" t="str">
        <f>""</f>
        <v/>
      </c>
      <c r="GC112" t="str">
        <f>""</f>
        <v/>
      </c>
      <c r="GD112" t="str">
        <f>""</f>
        <v/>
      </c>
      <c r="GE112" t="str">
        <f>""</f>
        <v/>
      </c>
      <c r="GF112" t="str">
        <f>""</f>
        <v/>
      </c>
      <c r="GG112" t="str">
        <f>""</f>
        <v/>
      </c>
      <c r="GH112" t="str">
        <f>""</f>
        <v/>
      </c>
      <c r="GI112" t="str">
        <f>""</f>
        <v/>
      </c>
      <c r="GJ112" t="str">
        <f>""</f>
        <v/>
      </c>
      <c r="GK112" t="str">
        <f>""</f>
        <v/>
      </c>
      <c r="GL112" t="str">
        <f>""</f>
        <v/>
      </c>
      <c r="GM112" t="str">
        <f>""</f>
        <v/>
      </c>
      <c r="GN112" t="str">
        <f>""</f>
        <v/>
      </c>
      <c r="GO112" t="str">
        <f>""</f>
        <v/>
      </c>
      <c r="GP112" t="str">
        <f>""</f>
        <v/>
      </c>
      <c r="GQ112" t="str">
        <f>""</f>
        <v/>
      </c>
      <c r="GR112" t="str">
        <f>""</f>
        <v/>
      </c>
      <c r="GS112" t="str">
        <f>""</f>
        <v/>
      </c>
      <c r="GT112" t="str">
        <f>""</f>
        <v/>
      </c>
      <c r="GU112" t="str">
        <f>""</f>
        <v/>
      </c>
      <c r="GV112" t="str">
        <f>""</f>
        <v/>
      </c>
      <c r="GW112" t="str">
        <f>""</f>
        <v/>
      </c>
      <c r="GX112" t="str">
        <f>""</f>
        <v/>
      </c>
      <c r="GY112" t="str">
        <f>""</f>
        <v/>
      </c>
      <c r="GZ112" t="str">
        <f>""</f>
        <v/>
      </c>
      <c r="HA112" t="str">
        <f>""</f>
        <v/>
      </c>
      <c r="HB112" t="str">
        <f>""</f>
        <v/>
      </c>
      <c r="HC112" t="str">
        <f>""</f>
        <v/>
      </c>
      <c r="HD112" t="str">
        <f>""</f>
        <v/>
      </c>
      <c r="HE112" t="str">
        <f>""</f>
        <v/>
      </c>
      <c r="HF112" t="str">
        <f>""</f>
        <v/>
      </c>
      <c r="HG112" t="str">
        <f>""</f>
        <v/>
      </c>
      <c r="HH112" t="str">
        <f>""</f>
        <v/>
      </c>
      <c r="HI112" t="str">
        <f>""</f>
        <v/>
      </c>
      <c r="HJ112" t="str">
        <f>""</f>
        <v/>
      </c>
      <c r="HK112" t="str">
        <f>""</f>
        <v/>
      </c>
      <c r="HL112" t="str">
        <f>""</f>
        <v/>
      </c>
      <c r="HM112" t="str">
        <f>""</f>
        <v/>
      </c>
      <c r="HN112" t="str">
        <f>""</f>
        <v/>
      </c>
      <c r="HO112" t="str">
        <f>""</f>
        <v/>
      </c>
      <c r="HP112" t="str">
        <f>""</f>
        <v/>
      </c>
      <c r="HQ112" t="str">
        <f>""</f>
        <v/>
      </c>
      <c r="HR112" t="str">
        <f>""</f>
        <v/>
      </c>
      <c r="HS112" t="str">
        <f>""</f>
        <v/>
      </c>
      <c r="HT112" t="str">
        <f>""</f>
        <v/>
      </c>
      <c r="HU112" t="str">
        <f>""</f>
        <v/>
      </c>
      <c r="HV112" t="str">
        <f>""</f>
        <v/>
      </c>
      <c r="HW112" t="str">
        <f>""</f>
        <v/>
      </c>
      <c r="HX112" t="str">
        <f>""</f>
        <v/>
      </c>
      <c r="HY112" t="str">
        <f>""</f>
        <v/>
      </c>
      <c r="HZ112" t="str">
        <f>""</f>
        <v/>
      </c>
      <c r="IA112" t="str">
        <f>""</f>
        <v/>
      </c>
      <c r="IB112" t="str">
        <f>""</f>
        <v/>
      </c>
      <c r="IC112" t="str">
        <f>""</f>
        <v/>
      </c>
      <c r="ID112" t="str">
        <f>""</f>
        <v/>
      </c>
      <c r="IE112" t="str">
        <f>""</f>
        <v/>
      </c>
      <c r="IF112" t="str">
        <f>""</f>
        <v/>
      </c>
      <c r="IG112" t="str">
        <f>""</f>
        <v/>
      </c>
      <c r="IH112" t="str">
        <f>""</f>
        <v/>
      </c>
      <c r="II112" t="str">
        <f>""</f>
        <v/>
      </c>
      <c r="IJ112" t="str">
        <f>""</f>
        <v/>
      </c>
      <c r="IK112" t="str">
        <f>""</f>
        <v/>
      </c>
      <c r="IL112" t="str">
        <f>""</f>
        <v/>
      </c>
      <c r="IM112" t="str">
        <f>""</f>
        <v/>
      </c>
      <c r="IN112" t="str">
        <f>""</f>
        <v/>
      </c>
      <c r="IO112" t="str">
        <f>""</f>
        <v/>
      </c>
      <c r="IP112" t="str">
        <f>""</f>
        <v/>
      </c>
      <c r="IQ112" t="str">
        <f>""</f>
        <v/>
      </c>
      <c r="IR112" t="str">
        <f>""</f>
        <v/>
      </c>
      <c r="IS112" t="str">
        <f>""</f>
        <v/>
      </c>
      <c r="IT112" t="str">
        <f>""</f>
        <v/>
      </c>
      <c r="IU112" t="str">
        <f>""</f>
        <v/>
      </c>
      <c r="IV112" t="str">
        <f>""</f>
        <v/>
      </c>
      <c r="IW112" t="str">
        <f>""</f>
        <v/>
      </c>
      <c r="IX112" t="str">
        <f>""</f>
        <v/>
      </c>
      <c r="IY112" t="str">
        <f>""</f>
        <v/>
      </c>
      <c r="IZ112" t="str">
        <f>""</f>
        <v/>
      </c>
      <c r="JA112" t="str">
        <f>""</f>
        <v/>
      </c>
      <c r="JB112" t="str">
        <f>""</f>
        <v/>
      </c>
      <c r="JC112" t="str">
        <f>""</f>
        <v/>
      </c>
      <c r="JD112" t="str">
        <f>""</f>
        <v/>
      </c>
      <c r="JE112" t="str">
        <f>""</f>
        <v/>
      </c>
      <c r="JF112" t="str">
        <f>""</f>
        <v/>
      </c>
      <c r="JG112" t="str">
        <f>""</f>
        <v/>
      </c>
      <c r="JH112" t="str">
        <f>""</f>
        <v/>
      </c>
      <c r="JI112" t="str">
        <f>""</f>
        <v/>
      </c>
      <c r="JJ112" t="str">
        <f>""</f>
        <v/>
      </c>
      <c r="JK112" t="str">
        <f>""</f>
        <v/>
      </c>
    </row>
    <row r="114" spans="1:271" x14ac:dyDescent="0.3">
      <c r="A114" t="str">
        <f>"zMETAB14"</f>
        <v>zMETAB14</v>
      </c>
      <c r="B114" t="str">
        <f>""</f>
        <v/>
      </c>
      <c r="C114" t="str">
        <f>""</f>
        <v/>
      </c>
      <c r="D114" t="str">
        <f>""</f>
        <v/>
      </c>
      <c r="E114" t="str">
        <f>""</f>
        <v/>
      </c>
      <c r="F114" t="str">
        <f>""</f>
        <v/>
      </c>
      <c r="G114" t="str">
        <f>""</f>
        <v/>
      </c>
      <c r="H114" t="str">
        <f>""</f>
        <v/>
      </c>
      <c r="I114" t="str">
        <f>""</f>
        <v/>
      </c>
      <c r="J114" t="str">
        <f>""</f>
        <v/>
      </c>
      <c r="K114" t="str">
        <f>""</f>
        <v/>
      </c>
      <c r="L114" t="str">
        <f>""</f>
        <v/>
      </c>
      <c r="M114" t="str">
        <f>""</f>
        <v/>
      </c>
      <c r="N114" t="str">
        <f>""</f>
        <v/>
      </c>
      <c r="O114" t="str">
        <f>""</f>
        <v/>
      </c>
      <c r="P114" t="str">
        <f>""</f>
        <v/>
      </c>
      <c r="Q114" t="str">
        <f>""</f>
        <v/>
      </c>
      <c r="R114" t="str">
        <f>""</f>
        <v/>
      </c>
      <c r="S114" t="str">
        <f>""</f>
        <v/>
      </c>
      <c r="T114" t="str">
        <f>""</f>
        <v/>
      </c>
      <c r="U114" t="str">
        <f>""</f>
        <v/>
      </c>
      <c r="V114" t="str">
        <f>""</f>
        <v/>
      </c>
      <c r="W114" t="str">
        <f>""</f>
        <v/>
      </c>
      <c r="X114" t="str">
        <f>""</f>
        <v/>
      </c>
      <c r="Y114" t="str">
        <f>""</f>
        <v/>
      </c>
      <c r="Z114" t="str">
        <f>""</f>
        <v/>
      </c>
      <c r="AA114" t="str">
        <f>""</f>
        <v/>
      </c>
      <c r="AB114" t="str">
        <f>""</f>
        <v/>
      </c>
      <c r="AC114" t="str">
        <f>""</f>
        <v/>
      </c>
      <c r="AD114" t="str">
        <f>""</f>
        <v/>
      </c>
      <c r="AE114" t="str">
        <f>""</f>
        <v/>
      </c>
      <c r="AF114" t="str">
        <f>""</f>
        <v/>
      </c>
      <c r="AG114" t="str">
        <f>""</f>
        <v/>
      </c>
      <c r="AH114" t="str">
        <f>""</f>
        <v/>
      </c>
      <c r="AI114" t="str">
        <f>""</f>
        <v/>
      </c>
      <c r="AJ114" t="str">
        <f>""</f>
        <v/>
      </c>
      <c r="AK114" t="str">
        <f>""</f>
        <v/>
      </c>
      <c r="AL114" t="str">
        <f>""</f>
        <v/>
      </c>
      <c r="AM114" t="str">
        <f>""</f>
        <v/>
      </c>
      <c r="AN114" t="str">
        <f>""</f>
        <v/>
      </c>
      <c r="AO114" t="str">
        <f>"0.0149"</f>
        <v>0.0149</v>
      </c>
      <c r="AP114" t="str">
        <f>"0.0188"</f>
        <v>0.0188</v>
      </c>
      <c r="AQ114" t="str">
        <f>"0.00323"</f>
        <v>0.00323</v>
      </c>
      <c r="AR114" t="str">
        <f>""</f>
        <v/>
      </c>
      <c r="AS114" t="str">
        <f>""</f>
        <v/>
      </c>
      <c r="AT114" t="str">
        <f>""</f>
        <v/>
      </c>
      <c r="AU114" t="str">
        <f>""</f>
        <v/>
      </c>
      <c r="AV114" t="str">
        <f>""</f>
        <v/>
      </c>
      <c r="AW114" t="str">
        <f>""</f>
        <v/>
      </c>
      <c r="AX114" t="str">
        <f>""</f>
        <v/>
      </c>
      <c r="AY114" t="str">
        <f>""</f>
        <v/>
      </c>
      <c r="AZ114" t="str">
        <f>""</f>
        <v/>
      </c>
      <c r="BA114" t="str">
        <f>""</f>
        <v/>
      </c>
      <c r="BB114" t="str">
        <f>""</f>
        <v/>
      </c>
      <c r="BC114" t="str">
        <f>""</f>
        <v/>
      </c>
      <c r="BD114" t="str">
        <f>""</f>
        <v/>
      </c>
      <c r="BE114" t="str">
        <f>""</f>
        <v/>
      </c>
      <c r="BF114" t="str">
        <f>""</f>
        <v/>
      </c>
      <c r="BG114" t="str">
        <f>""</f>
        <v/>
      </c>
      <c r="BH114" t="str">
        <f>""</f>
        <v/>
      </c>
      <c r="BI114" t="str">
        <f>""</f>
        <v/>
      </c>
      <c r="BJ114" t="str">
        <f>""</f>
        <v/>
      </c>
      <c r="BK114" t="str">
        <f>""</f>
        <v/>
      </c>
      <c r="BL114" t="str">
        <f>""</f>
        <v/>
      </c>
      <c r="BM114" t="str">
        <f>""</f>
        <v/>
      </c>
      <c r="BN114" t="str">
        <f>""</f>
        <v/>
      </c>
      <c r="BO114" t="str">
        <f>""</f>
        <v/>
      </c>
      <c r="BP114" t="str">
        <f>""</f>
        <v/>
      </c>
      <c r="BQ114" t="str">
        <f>""</f>
        <v/>
      </c>
      <c r="BR114" t="str">
        <f>""</f>
        <v/>
      </c>
      <c r="BS114" t="str">
        <f>""</f>
        <v/>
      </c>
      <c r="BT114" t="str">
        <f>""</f>
        <v/>
      </c>
      <c r="BU114" t="str">
        <f>""</f>
        <v/>
      </c>
      <c r="BV114" t="str">
        <f>""</f>
        <v/>
      </c>
      <c r="BW114" t="str">
        <f>""</f>
        <v/>
      </c>
      <c r="BX114" t="str">
        <f>""</f>
        <v/>
      </c>
      <c r="BY114" t="str">
        <f>""</f>
        <v/>
      </c>
      <c r="BZ114" t="str">
        <f>""</f>
        <v/>
      </c>
      <c r="CA114" t="str">
        <f>""</f>
        <v/>
      </c>
      <c r="CB114" t="str">
        <f>""</f>
        <v/>
      </c>
      <c r="CC114" t="str">
        <f>""</f>
        <v/>
      </c>
      <c r="CD114" t="str">
        <f>""</f>
        <v/>
      </c>
      <c r="CE114" t="str">
        <f>""</f>
        <v/>
      </c>
      <c r="CF114" t="str">
        <f>""</f>
        <v/>
      </c>
      <c r="CG114" t="str">
        <f>""</f>
        <v/>
      </c>
      <c r="CH114" t="str">
        <f>"0.0863"</f>
        <v>0.0863</v>
      </c>
      <c r="CI114" t="str">
        <f>"0.0313"</f>
        <v>0.0313</v>
      </c>
      <c r="CJ114" t="str">
        <f>"-0.0230"</f>
        <v>-0.0230</v>
      </c>
      <c r="CK114" t="str">
        <f>""</f>
        <v/>
      </c>
      <c r="CL114" t="str">
        <f>""</f>
        <v/>
      </c>
      <c r="CM114" t="str">
        <f>""</f>
        <v/>
      </c>
      <c r="CN114" t="str">
        <f>""</f>
        <v/>
      </c>
      <c r="CO114" t="str">
        <f>""</f>
        <v/>
      </c>
      <c r="CP114" t="str">
        <f>""</f>
        <v/>
      </c>
      <c r="CQ114" t="str">
        <f>""</f>
        <v/>
      </c>
      <c r="CR114" t="str">
        <f>""</f>
        <v/>
      </c>
      <c r="CS114" t="str">
        <f>""</f>
        <v/>
      </c>
      <c r="CT114" t="str">
        <f>""</f>
        <v/>
      </c>
      <c r="CU114" t="str">
        <f>""</f>
        <v/>
      </c>
      <c r="CV114" t="str">
        <f>""</f>
        <v/>
      </c>
      <c r="CW114" t="str">
        <f>""</f>
        <v/>
      </c>
      <c r="CX114" t="str">
        <f>""</f>
        <v/>
      </c>
      <c r="CY114" t="str">
        <f>""</f>
        <v/>
      </c>
      <c r="CZ114" t="str">
        <f>""</f>
        <v/>
      </c>
      <c r="DA114" t="str">
        <f>""</f>
        <v/>
      </c>
      <c r="DB114" t="str">
        <f>""</f>
        <v/>
      </c>
      <c r="DC114" t="str">
        <f>""</f>
        <v/>
      </c>
      <c r="DD114" t="str">
        <f>""</f>
        <v/>
      </c>
      <c r="DE114" t="str">
        <f>""</f>
        <v/>
      </c>
      <c r="DF114" t="str">
        <f>""</f>
        <v/>
      </c>
      <c r="DG114" t="str">
        <f>""</f>
        <v/>
      </c>
      <c r="DH114" t="str">
        <f>""</f>
        <v/>
      </c>
      <c r="DI114" t="str">
        <f>""</f>
        <v/>
      </c>
      <c r="DJ114" t="str">
        <f>""</f>
        <v/>
      </c>
      <c r="DK114" t="str">
        <f>""</f>
        <v/>
      </c>
      <c r="DL114" t="str">
        <f>""</f>
        <v/>
      </c>
      <c r="DM114" t="str">
        <f>""</f>
        <v/>
      </c>
      <c r="DN114" t="str">
        <f>""</f>
        <v/>
      </c>
      <c r="DO114" t="str">
        <f>""</f>
        <v/>
      </c>
      <c r="DP114" t="str">
        <f>""</f>
        <v/>
      </c>
      <c r="DQ114" t="str">
        <f>""</f>
        <v/>
      </c>
      <c r="DR114" t="str">
        <f>""</f>
        <v/>
      </c>
      <c r="DS114" t="str">
        <f>""</f>
        <v/>
      </c>
      <c r="DT114" t="str">
        <f>""</f>
        <v/>
      </c>
      <c r="DU114" t="str">
        <f>""</f>
        <v/>
      </c>
      <c r="DV114" t="str">
        <f>""</f>
        <v/>
      </c>
      <c r="DW114" t="str">
        <f>""</f>
        <v/>
      </c>
      <c r="DX114" t="str">
        <f>""</f>
        <v/>
      </c>
      <c r="DY114" t="str">
        <f>""</f>
        <v/>
      </c>
      <c r="DZ114" t="str">
        <f>""</f>
        <v/>
      </c>
      <c r="EA114" t="str">
        <f>"0.0385"</f>
        <v>0.0385</v>
      </c>
      <c r="EB114" t="str">
        <f>"0.00725"</f>
        <v>0.00725</v>
      </c>
      <c r="EC114" t="str">
        <f>"-0.0340"</f>
        <v>-0.0340</v>
      </c>
      <c r="ED114" t="str">
        <f>""</f>
        <v/>
      </c>
      <c r="EE114" t="str">
        <f>""</f>
        <v/>
      </c>
      <c r="EF114" t="str">
        <f>""</f>
        <v/>
      </c>
      <c r="EG114" t="str">
        <f>""</f>
        <v/>
      </c>
      <c r="EH114" t="str">
        <f>""</f>
        <v/>
      </c>
      <c r="EI114" t="str">
        <f>""</f>
        <v/>
      </c>
      <c r="EJ114" t="str">
        <f>""</f>
        <v/>
      </c>
      <c r="EK114" t="str">
        <f>""</f>
        <v/>
      </c>
      <c r="EL114" t="str">
        <f>""</f>
        <v/>
      </c>
      <c r="EM114" t="str">
        <f>""</f>
        <v/>
      </c>
      <c r="EN114" t="str">
        <f>""</f>
        <v/>
      </c>
      <c r="EO114" t="str">
        <f>""</f>
        <v/>
      </c>
      <c r="EP114" t="str">
        <f>""</f>
        <v/>
      </c>
      <c r="EQ114" t="str">
        <f>""</f>
        <v/>
      </c>
      <c r="ER114" t="str">
        <f>""</f>
        <v/>
      </c>
      <c r="ES114" t="str">
        <f>""</f>
        <v/>
      </c>
      <c r="ET114" t="str">
        <f>""</f>
        <v/>
      </c>
      <c r="EU114" t="str">
        <f>""</f>
        <v/>
      </c>
      <c r="EV114" t="str">
        <f>""</f>
        <v/>
      </c>
      <c r="EW114" t="str">
        <f>""</f>
        <v/>
      </c>
      <c r="EX114" t="str">
        <f>""</f>
        <v/>
      </c>
      <c r="EY114" t="str">
        <f>""</f>
        <v/>
      </c>
      <c r="EZ114" t="str">
        <f>""</f>
        <v/>
      </c>
      <c r="FA114" t="str">
        <f>""</f>
        <v/>
      </c>
      <c r="FB114" t="str">
        <f>""</f>
        <v/>
      </c>
      <c r="FC114" t="str">
        <f>""</f>
        <v/>
      </c>
      <c r="FD114" t="str">
        <f>""</f>
        <v/>
      </c>
      <c r="FE114" t="str">
        <f>""</f>
        <v/>
      </c>
      <c r="FF114" t="str">
        <f>""</f>
        <v/>
      </c>
      <c r="FG114" t="str">
        <f>""</f>
        <v/>
      </c>
      <c r="FH114" t="str">
        <f>""</f>
        <v/>
      </c>
      <c r="FI114" t="str">
        <f>""</f>
        <v/>
      </c>
      <c r="FJ114" t="str">
        <f>""</f>
        <v/>
      </c>
      <c r="FK114" t="str">
        <f>""</f>
        <v/>
      </c>
      <c r="FL114" t="str">
        <f>""</f>
        <v/>
      </c>
      <c r="FM114" t="str">
        <f>""</f>
        <v/>
      </c>
      <c r="FN114" t="str">
        <f>""</f>
        <v/>
      </c>
      <c r="FO114" t="str">
        <f>""</f>
        <v/>
      </c>
      <c r="FP114" t="str">
        <f>""</f>
        <v/>
      </c>
      <c r="FQ114" t="str">
        <f>""</f>
        <v/>
      </c>
      <c r="FR114" t="str">
        <f>""</f>
        <v/>
      </c>
      <c r="FS114" t="str">
        <f>""</f>
        <v/>
      </c>
      <c r="FT114" t="str">
        <f>"0.117"</f>
        <v>0.117</v>
      </c>
      <c r="FU114" t="str">
        <f>"0.0435"</f>
        <v>0.0435</v>
      </c>
      <c r="FV114" t="str">
        <f>"-0.00449"</f>
        <v>-0.00449</v>
      </c>
      <c r="FW114" t="str">
        <f>""</f>
        <v/>
      </c>
      <c r="FX114" t="str">
        <f>""</f>
        <v/>
      </c>
      <c r="FY114" t="str">
        <f>""</f>
        <v/>
      </c>
      <c r="FZ114" t="str">
        <f>""</f>
        <v/>
      </c>
      <c r="GA114" t="str">
        <f>""</f>
        <v/>
      </c>
      <c r="GB114" t="str">
        <f>""</f>
        <v/>
      </c>
      <c r="GC114" t="str">
        <f>""</f>
        <v/>
      </c>
      <c r="GD114" t="str">
        <f>""</f>
        <v/>
      </c>
      <c r="GE114" t="str">
        <f>""</f>
        <v/>
      </c>
      <c r="GF114" t="str">
        <f>""</f>
        <v/>
      </c>
      <c r="GG114" t="str">
        <f>""</f>
        <v/>
      </c>
      <c r="GH114" t="str">
        <f>""</f>
        <v/>
      </c>
      <c r="GI114" t="str">
        <f>""</f>
        <v/>
      </c>
      <c r="GJ114" t="str">
        <f>""</f>
        <v/>
      </c>
      <c r="GK114" t="str">
        <f>""</f>
        <v/>
      </c>
      <c r="GL114" t="str">
        <f>""</f>
        <v/>
      </c>
      <c r="GM114" t="str">
        <f>""</f>
        <v/>
      </c>
      <c r="GN114" t="str">
        <f>""</f>
        <v/>
      </c>
      <c r="GO114" t="str">
        <f>""</f>
        <v/>
      </c>
      <c r="GP114" t="str">
        <f>""</f>
        <v/>
      </c>
      <c r="GQ114" t="str">
        <f>""</f>
        <v/>
      </c>
      <c r="GR114" t="str">
        <f>""</f>
        <v/>
      </c>
      <c r="GS114" t="str">
        <f>""</f>
        <v/>
      </c>
      <c r="GT114" t="str">
        <f>""</f>
        <v/>
      </c>
      <c r="GU114" t="str">
        <f>""</f>
        <v/>
      </c>
      <c r="GV114" t="str">
        <f>""</f>
        <v/>
      </c>
      <c r="GW114" t="str">
        <f>""</f>
        <v/>
      </c>
      <c r="GX114" t="str">
        <f>""</f>
        <v/>
      </c>
      <c r="GY114" t="str">
        <f>""</f>
        <v/>
      </c>
      <c r="GZ114" t="str">
        <f>""</f>
        <v/>
      </c>
      <c r="HA114" t="str">
        <f>""</f>
        <v/>
      </c>
      <c r="HB114" t="str">
        <f>""</f>
        <v/>
      </c>
      <c r="HC114" t="str">
        <f>""</f>
        <v/>
      </c>
      <c r="HD114" t="str">
        <f>""</f>
        <v/>
      </c>
      <c r="HE114" t="str">
        <f>""</f>
        <v/>
      </c>
      <c r="HF114" t="str">
        <f>""</f>
        <v/>
      </c>
      <c r="HG114" t="str">
        <f>""</f>
        <v/>
      </c>
      <c r="HH114" t="str">
        <f>""</f>
        <v/>
      </c>
      <c r="HI114" t="str">
        <f>""</f>
        <v/>
      </c>
      <c r="HJ114" t="str">
        <f>""</f>
        <v/>
      </c>
      <c r="HK114" t="str">
        <f>""</f>
        <v/>
      </c>
      <c r="HL114" t="str">
        <f>""</f>
        <v/>
      </c>
      <c r="HM114" t="str">
        <f>"0.0714"</f>
        <v>0.0714</v>
      </c>
      <c r="HN114" t="str">
        <f>"0.0503"</f>
        <v>0.0503</v>
      </c>
      <c r="HO114" t="str">
        <f>"0.00757"</f>
        <v>0.00757</v>
      </c>
      <c r="HP114" t="str">
        <f>""</f>
        <v/>
      </c>
      <c r="HQ114" t="str">
        <f>""</f>
        <v/>
      </c>
      <c r="HR114" t="str">
        <f>""</f>
        <v/>
      </c>
      <c r="HS114" t="str">
        <f>""</f>
        <v/>
      </c>
      <c r="HT114" t="str">
        <f>""</f>
        <v/>
      </c>
      <c r="HU114" t="str">
        <f>""</f>
        <v/>
      </c>
      <c r="HV114" t="str">
        <f>""</f>
        <v/>
      </c>
      <c r="HW114" t="str">
        <f>""</f>
        <v/>
      </c>
      <c r="HX114" t="str">
        <f>""</f>
        <v/>
      </c>
      <c r="HY114" t="str">
        <f>""</f>
        <v/>
      </c>
      <c r="HZ114" t="str">
        <f>""</f>
        <v/>
      </c>
      <c r="IA114" t="str">
        <f>""</f>
        <v/>
      </c>
      <c r="IB114" t="str">
        <f>""</f>
        <v/>
      </c>
      <c r="IC114" t="str">
        <f>""</f>
        <v/>
      </c>
      <c r="ID114" t="str">
        <f>""</f>
        <v/>
      </c>
      <c r="IE114" t="str">
        <f>""</f>
        <v/>
      </c>
      <c r="IF114" t="str">
        <f>""</f>
        <v/>
      </c>
      <c r="IG114" t="str">
        <f>""</f>
        <v/>
      </c>
      <c r="IH114" t="str">
        <f>""</f>
        <v/>
      </c>
      <c r="II114" t="str">
        <f>""</f>
        <v/>
      </c>
      <c r="IJ114" t="str">
        <f>""</f>
        <v/>
      </c>
      <c r="IK114" t="str">
        <f>""</f>
        <v/>
      </c>
      <c r="IL114" t="str">
        <f>""</f>
        <v/>
      </c>
      <c r="IM114" t="str">
        <f>""</f>
        <v/>
      </c>
      <c r="IN114" t="str">
        <f>""</f>
        <v/>
      </c>
      <c r="IO114" t="str">
        <f>""</f>
        <v/>
      </c>
      <c r="IP114" t="str">
        <f>""</f>
        <v/>
      </c>
      <c r="IQ114" t="str">
        <f>""</f>
        <v/>
      </c>
      <c r="IR114" t="str">
        <f>""</f>
        <v/>
      </c>
      <c r="IS114" t="str">
        <f>""</f>
        <v/>
      </c>
      <c r="IT114" t="str">
        <f>""</f>
        <v/>
      </c>
      <c r="IU114" t="str">
        <f>""</f>
        <v/>
      </c>
      <c r="IV114" t="str">
        <f>""</f>
        <v/>
      </c>
      <c r="IW114" t="str">
        <f>""</f>
        <v/>
      </c>
      <c r="IX114" t="str">
        <f>""</f>
        <v/>
      </c>
      <c r="IY114" t="str">
        <f>""</f>
        <v/>
      </c>
      <c r="IZ114" t="str">
        <f>""</f>
        <v/>
      </c>
      <c r="JA114" t="str">
        <f>""</f>
        <v/>
      </c>
      <c r="JB114" t="str">
        <f>""</f>
        <v/>
      </c>
      <c r="JC114" t="str">
        <f>""</f>
        <v/>
      </c>
      <c r="JD114" t="str">
        <f>""</f>
        <v/>
      </c>
      <c r="JE114" t="str">
        <f>""</f>
        <v/>
      </c>
      <c r="JF114" t="str">
        <f>"0.0628"</f>
        <v>0.0628</v>
      </c>
      <c r="JG114" t="str">
        <f>"-0.00636"</f>
        <v>-0.00636</v>
      </c>
      <c r="JH114" t="str">
        <f>"-0.00545"</f>
        <v>-0.00545</v>
      </c>
      <c r="JI114" t="str">
        <f>""</f>
        <v/>
      </c>
      <c r="JJ114" t="str">
        <f>""</f>
        <v/>
      </c>
      <c r="JK114" t="str">
        <f>""</f>
        <v/>
      </c>
    </row>
    <row r="115" spans="1:271" x14ac:dyDescent="0.3">
      <c r="A115" t="str">
        <f>""</f>
        <v/>
      </c>
      <c r="B115" t="str">
        <f>""</f>
        <v/>
      </c>
      <c r="C115" t="str">
        <f>""</f>
        <v/>
      </c>
      <c r="D115" t="str">
        <f>""</f>
        <v/>
      </c>
      <c r="E115" t="str">
        <f>""</f>
        <v/>
      </c>
      <c r="F115" t="str">
        <f>""</f>
        <v/>
      </c>
      <c r="G115" t="str">
        <f>""</f>
        <v/>
      </c>
      <c r="H115" t="str">
        <f>""</f>
        <v/>
      </c>
      <c r="I115" t="str">
        <f>""</f>
        <v/>
      </c>
      <c r="J115" t="str">
        <f>""</f>
        <v/>
      </c>
      <c r="K115" t="str">
        <f>""</f>
        <v/>
      </c>
      <c r="L115" t="str">
        <f>""</f>
        <v/>
      </c>
      <c r="M115" t="str">
        <f>""</f>
        <v/>
      </c>
      <c r="N115" t="str">
        <f>""</f>
        <v/>
      </c>
      <c r="O115" t="str">
        <f>""</f>
        <v/>
      </c>
      <c r="P115" t="str">
        <f>""</f>
        <v/>
      </c>
      <c r="Q115" t="str">
        <f>""</f>
        <v/>
      </c>
      <c r="R115" t="str">
        <f>""</f>
        <v/>
      </c>
      <c r="S115" t="str">
        <f>""</f>
        <v/>
      </c>
      <c r="T115" t="str">
        <f>""</f>
        <v/>
      </c>
      <c r="U115" t="str">
        <f>""</f>
        <v/>
      </c>
      <c r="V115" t="str">
        <f>""</f>
        <v/>
      </c>
      <c r="W115" t="str">
        <f>""</f>
        <v/>
      </c>
      <c r="X115" t="str">
        <f>""</f>
        <v/>
      </c>
      <c r="Y115" t="str">
        <f>""</f>
        <v/>
      </c>
      <c r="Z115" t="str">
        <f>""</f>
        <v/>
      </c>
      <c r="AA115" t="str">
        <f>""</f>
        <v/>
      </c>
      <c r="AB115" t="str">
        <f>""</f>
        <v/>
      </c>
      <c r="AC115" t="str">
        <f>""</f>
        <v/>
      </c>
      <c r="AD115" t="str">
        <f>""</f>
        <v/>
      </c>
      <c r="AE115" t="str">
        <f>""</f>
        <v/>
      </c>
      <c r="AF115" t="str">
        <f>""</f>
        <v/>
      </c>
      <c r="AG115" t="str">
        <f>""</f>
        <v/>
      </c>
      <c r="AH115" t="str">
        <f>""</f>
        <v/>
      </c>
      <c r="AI115" t="str">
        <f>""</f>
        <v/>
      </c>
      <c r="AJ115" t="str">
        <f>""</f>
        <v/>
      </c>
      <c r="AK115" t="str">
        <f>""</f>
        <v/>
      </c>
      <c r="AL115" t="str">
        <f>""</f>
        <v/>
      </c>
      <c r="AM115" t="str">
        <f>""</f>
        <v/>
      </c>
      <c r="AN115" t="str">
        <f>""</f>
        <v/>
      </c>
      <c r="AO115" t="str">
        <f>"(0.0749)"</f>
        <v>(0.0749)</v>
      </c>
      <c r="AP115" t="str">
        <f>"(0.0598)"</f>
        <v>(0.0598)</v>
      </c>
      <c r="AQ115" t="str">
        <f>"(0.0333)"</f>
        <v>(0.0333)</v>
      </c>
      <c r="AR115" t="str">
        <f>""</f>
        <v/>
      </c>
      <c r="AS115" t="str">
        <f>""</f>
        <v/>
      </c>
      <c r="AT115" t="str">
        <f>""</f>
        <v/>
      </c>
      <c r="AU115" t="str">
        <f>""</f>
        <v/>
      </c>
      <c r="AV115" t="str">
        <f>""</f>
        <v/>
      </c>
      <c r="AW115" t="str">
        <f>""</f>
        <v/>
      </c>
      <c r="AX115" t="str">
        <f>""</f>
        <v/>
      </c>
      <c r="AY115" t="str">
        <f>""</f>
        <v/>
      </c>
      <c r="AZ115" t="str">
        <f>""</f>
        <v/>
      </c>
      <c r="BA115" t="str">
        <f>""</f>
        <v/>
      </c>
      <c r="BB115" t="str">
        <f>""</f>
        <v/>
      </c>
      <c r="BC115" t="str">
        <f>""</f>
        <v/>
      </c>
      <c r="BD115" t="str">
        <f>""</f>
        <v/>
      </c>
      <c r="BE115" t="str">
        <f>""</f>
        <v/>
      </c>
      <c r="BF115" t="str">
        <f>""</f>
        <v/>
      </c>
      <c r="BG115" t="str">
        <f>""</f>
        <v/>
      </c>
      <c r="BH115" t="str">
        <f>""</f>
        <v/>
      </c>
      <c r="BI115" t="str">
        <f>""</f>
        <v/>
      </c>
      <c r="BJ115" t="str">
        <f>""</f>
        <v/>
      </c>
      <c r="BK115" t="str">
        <f>""</f>
        <v/>
      </c>
      <c r="BL115" t="str">
        <f>""</f>
        <v/>
      </c>
      <c r="BM115" t="str">
        <f>""</f>
        <v/>
      </c>
      <c r="BN115" t="str">
        <f>""</f>
        <v/>
      </c>
      <c r="BO115" t="str">
        <f>""</f>
        <v/>
      </c>
      <c r="BP115" t="str">
        <f>""</f>
        <v/>
      </c>
      <c r="BQ115" t="str">
        <f>""</f>
        <v/>
      </c>
      <c r="BR115" t="str">
        <f>""</f>
        <v/>
      </c>
      <c r="BS115" t="str">
        <f>""</f>
        <v/>
      </c>
      <c r="BT115" t="str">
        <f>""</f>
        <v/>
      </c>
      <c r="BU115" t="str">
        <f>""</f>
        <v/>
      </c>
      <c r="BV115" t="str">
        <f>""</f>
        <v/>
      </c>
      <c r="BW115" t="str">
        <f>""</f>
        <v/>
      </c>
      <c r="BX115" t="str">
        <f>""</f>
        <v/>
      </c>
      <c r="BY115" t="str">
        <f>""</f>
        <v/>
      </c>
      <c r="BZ115" t="str">
        <f>""</f>
        <v/>
      </c>
      <c r="CA115" t="str">
        <f>""</f>
        <v/>
      </c>
      <c r="CB115" t="str">
        <f>""</f>
        <v/>
      </c>
      <c r="CC115" t="str">
        <f>""</f>
        <v/>
      </c>
      <c r="CD115" t="str">
        <f>""</f>
        <v/>
      </c>
      <c r="CE115" t="str">
        <f>""</f>
        <v/>
      </c>
      <c r="CF115" t="str">
        <f>""</f>
        <v/>
      </c>
      <c r="CG115" t="str">
        <f>""</f>
        <v/>
      </c>
      <c r="CH115" t="str">
        <f>"(0.0752)"</f>
        <v>(0.0752)</v>
      </c>
      <c r="CI115" t="str">
        <f>"(0.0599)"</f>
        <v>(0.0599)</v>
      </c>
      <c r="CJ115" t="str">
        <f>"(0.0321)"</f>
        <v>(0.0321)</v>
      </c>
      <c r="CK115" t="str">
        <f>""</f>
        <v/>
      </c>
      <c r="CL115" t="str">
        <f>""</f>
        <v/>
      </c>
      <c r="CM115" t="str">
        <f>""</f>
        <v/>
      </c>
      <c r="CN115" t="str">
        <f>""</f>
        <v/>
      </c>
      <c r="CO115" t="str">
        <f>""</f>
        <v/>
      </c>
      <c r="CP115" t="str">
        <f>""</f>
        <v/>
      </c>
      <c r="CQ115" t="str">
        <f>""</f>
        <v/>
      </c>
      <c r="CR115" t="str">
        <f>""</f>
        <v/>
      </c>
      <c r="CS115" t="str">
        <f>""</f>
        <v/>
      </c>
      <c r="CT115" t="str">
        <f>""</f>
        <v/>
      </c>
      <c r="CU115" t="str">
        <f>""</f>
        <v/>
      </c>
      <c r="CV115" t="str">
        <f>""</f>
        <v/>
      </c>
      <c r="CW115" t="str">
        <f>""</f>
        <v/>
      </c>
      <c r="CX115" t="str">
        <f>""</f>
        <v/>
      </c>
      <c r="CY115" t="str">
        <f>""</f>
        <v/>
      </c>
      <c r="CZ115" t="str">
        <f>""</f>
        <v/>
      </c>
      <c r="DA115" t="str">
        <f>""</f>
        <v/>
      </c>
      <c r="DB115" t="str">
        <f>""</f>
        <v/>
      </c>
      <c r="DC115" t="str">
        <f>""</f>
        <v/>
      </c>
      <c r="DD115" t="str">
        <f>""</f>
        <v/>
      </c>
      <c r="DE115" t="str">
        <f>""</f>
        <v/>
      </c>
      <c r="DF115" t="str">
        <f>""</f>
        <v/>
      </c>
      <c r="DG115" t="str">
        <f>""</f>
        <v/>
      </c>
      <c r="DH115" t="str">
        <f>""</f>
        <v/>
      </c>
      <c r="DI115" t="str">
        <f>""</f>
        <v/>
      </c>
      <c r="DJ115" t="str">
        <f>""</f>
        <v/>
      </c>
      <c r="DK115" t="str">
        <f>""</f>
        <v/>
      </c>
      <c r="DL115" t="str">
        <f>""</f>
        <v/>
      </c>
      <c r="DM115" t="str">
        <f>""</f>
        <v/>
      </c>
      <c r="DN115" t="str">
        <f>""</f>
        <v/>
      </c>
      <c r="DO115" t="str">
        <f>""</f>
        <v/>
      </c>
      <c r="DP115" t="str">
        <f>""</f>
        <v/>
      </c>
      <c r="DQ115" t="str">
        <f>""</f>
        <v/>
      </c>
      <c r="DR115" t="str">
        <f>""</f>
        <v/>
      </c>
      <c r="DS115" t="str">
        <f>""</f>
        <v/>
      </c>
      <c r="DT115" t="str">
        <f>""</f>
        <v/>
      </c>
      <c r="DU115" t="str">
        <f>""</f>
        <v/>
      </c>
      <c r="DV115" t="str">
        <f>""</f>
        <v/>
      </c>
      <c r="DW115" t="str">
        <f>""</f>
        <v/>
      </c>
      <c r="DX115" t="str">
        <f>""</f>
        <v/>
      </c>
      <c r="DY115" t="str">
        <f>""</f>
        <v/>
      </c>
      <c r="DZ115" t="str">
        <f>""</f>
        <v/>
      </c>
      <c r="EA115" t="str">
        <f>"(0.0747)"</f>
        <v>(0.0747)</v>
      </c>
      <c r="EB115" t="str">
        <f>"(0.0562)"</f>
        <v>(0.0562)</v>
      </c>
      <c r="EC115" t="str">
        <f>"(0.0315)"</f>
        <v>(0.0315)</v>
      </c>
      <c r="ED115" t="str">
        <f>""</f>
        <v/>
      </c>
      <c r="EE115" t="str">
        <f>""</f>
        <v/>
      </c>
      <c r="EF115" t="str">
        <f>""</f>
        <v/>
      </c>
      <c r="EG115" t="str">
        <f>""</f>
        <v/>
      </c>
      <c r="EH115" t="str">
        <f>""</f>
        <v/>
      </c>
      <c r="EI115" t="str">
        <f>""</f>
        <v/>
      </c>
      <c r="EJ115" t="str">
        <f>""</f>
        <v/>
      </c>
      <c r="EK115" t="str">
        <f>""</f>
        <v/>
      </c>
      <c r="EL115" t="str">
        <f>""</f>
        <v/>
      </c>
      <c r="EM115" t="str">
        <f>""</f>
        <v/>
      </c>
      <c r="EN115" t="str">
        <f>""</f>
        <v/>
      </c>
      <c r="EO115" t="str">
        <f>""</f>
        <v/>
      </c>
      <c r="EP115" t="str">
        <f>""</f>
        <v/>
      </c>
      <c r="EQ115" t="str">
        <f>""</f>
        <v/>
      </c>
      <c r="ER115" t="str">
        <f>""</f>
        <v/>
      </c>
      <c r="ES115" t="str">
        <f>""</f>
        <v/>
      </c>
      <c r="ET115" t="str">
        <f>""</f>
        <v/>
      </c>
      <c r="EU115" t="str">
        <f>""</f>
        <v/>
      </c>
      <c r="EV115" t="str">
        <f>""</f>
        <v/>
      </c>
      <c r="EW115" t="str">
        <f>""</f>
        <v/>
      </c>
      <c r="EX115" t="str">
        <f>""</f>
        <v/>
      </c>
      <c r="EY115" t="str">
        <f>""</f>
        <v/>
      </c>
      <c r="EZ115" t="str">
        <f>""</f>
        <v/>
      </c>
      <c r="FA115" t="str">
        <f>""</f>
        <v/>
      </c>
      <c r="FB115" t="str">
        <f>""</f>
        <v/>
      </c>
      <c r="FC115" t="str">
        <f>""</f>
        <v/>
      </c>
      <c r="FD115" t="str">
        <f>""</f>
        <v/>
      </c>
      <c r="FE115" t="str">
        <f>""</f>
        <v/>
      </c>
      <c r="FF115" t="str">
        <f>""</f>
        <v/>
      </c>
      <c r="FG115" t="str">
        <f>""</f>
        <v/>
      </c>
      <c r="FH115" t="str">
        <f>""</f>
        <v/>
      </c>
      <c r="FI115" t="str">
        <f>""</f>
        <v/>
      </c>
      <c r="FJ115" t="str">
        <f>""</f>
        <v/>
      </c>
      <c r="FK115" t="str">
        <f>""</f>
        <v/>
      </c>
      <c r="FL115" t="str">
        <f>""</f>
        <v/>
      </c>
      <c r="FM115" t="str">
        <f>""</f>
        <v/>
      </c>
      <c r="FN115" t="str">
        <f>""</f>
        <v/>
      </c>
      <c r="FO115" t="str">
        <f>""</f>
        <v/>
      </c>
      <c r="FP115" t="str">
        <f>""</f>
        <v/>
      </c>
      <c r="FQ115" t="str">
        <f>""</f>
        <v/>
      </c>
      <c r="FR115" t="str">
        <f>""</f>
        <v/>
      </c>
      <c r="FS115" t="str">
        <f>""</f>
        <v/>
      </c>
      <c r="FT115" t="str">
        <f>"(0.0715)"</f>
        <v>(0.0715)</v>
      </c>
      <c r="FU115" t="str">
        <f>"(0.0597)"</f>
        <v>(0.0597)</v>
      </c>
      <c r="FV115" t="str">
        <f>"(0.0317)"</f>
        <v>(0.0317)</v>
      </c>
      <c r="FW115" t="str">
        <f>""</f>
        <v/>
      </c>
      <c r="FX115" t="str">
        <f>""</f>
        <v/>
      </c>
      <c r="FY115" t="str">
        <f>""</f>
        <v/>
      </c>
      <c r="FZ115" t="str">
        <f>""</f>
        <v/>
      </c>
      <c r="GA115" t="str">
        <f>""</f>
        <v/>
      </c>
      <c r="GB115" t="str">
        <f>""</f>
        <v/>
      </c>
      <c r="GC115" t="str">
        <f>""</f>
        <v/>
      </c>
      <c r="GD115" t="str">
        <f>""</f>
        <v/>
      </c>
      <c r="GE115" t="str">
        <f>""</f>
        <v/>
      </c>
      <c r="GF115" t="str">
        <f>""</f>
        <v/>
      </c>
      <c r="GG115" t="str">
        <f>""</f>
        <v/>
      </c>
      <c r="GH115" t="str">
        <f>""</f>
        <v/>
      </c>
      <c r="GI115" t="str">
        <f>""</f>
        <v/>
      </c>
      <c r="GJ115" t="str">
        <f>""</f>
        <v/>
      </c>
      <c r="GK115" t="str">
        <f>""</f>
        <v/>
      </c>
      <c r="GL115" t="str">
        <f>""</f>
        <v/>
      </c>
      <c r="GM115" t="str">
        <f>""</f>
        <v/>
      </c>
      <c r="GN115" t="str">
        <f>""</f>
        <v/>
      </c>
      <c r="GO115" t="str">
        <f>""</f>
        <v/>
      </c>
      <c r="GP115" t="str">
        <f>""</f>
        <v/>
      </c>
      <c r="GQ115" t="str">
        <f>""</f>
        <v/>
      </c>
      <c r="GR115" t="str">
        <f>""</f>
        <v/>
      </c>
      <c r="GS115" t="str">
        <f>""</f>
        <v/>
      </c>
      <c r="GT115" t="str">
        <f>""</f>
        <v/>
      </c>
      <c r="GU115" t="str">
        <f>""</f>
        <v/>
      </c>
      <c r="GV115" t="str">
        <f>""</f>
        <v/>
      </c>
      <c r="GW115" t="str">
        <f>""</f>
        <v/>
      </c>
      <c r="GX115" t="str">
        <f>""</f>
        <v/>
      </c>
      <c r="GY115" t="str">
        <f>""</f>
        <v/>
      </c>
      <c r="GZ115" t="str">
        <f>""</f>
        <v/>
      </c>
      <c r="HA115" t="str">
        <f>""</f>
        <v/>
      </c>
      <c r="HB115" t="str">
        <f>""</f>
        <v/>
      </c>
      <c r="HC115" t="str">
        <f>""</f>
        <v/>
      </c>
      <c r="HD115" t="str">
        <f>""</f>
        <v/>
      </c>
      <c r="HE115" t="str">
        <f>""</f>
        <v/>
      </c>
      <c r="HF115" t="str">
        <f>""</f>
        <v/>
      </c>
      <c r="HG115" t="str">
        <f>""</f>
        <v/>
      </c>
      <c r="HH115" t="str">
        <f>""</f>
        <v/>
      </c>
      <c r="HI115" t="str">
        <f>""</f>
        <v/>
      </c>
      <c r="HJ115" t="str">
        <f>""</f>
        <v/>
      </c>
      <c r="HK115" t="str">
        <f>""</f>
        <v/>
      </c>
      <c r="HL115" t="str">
        <f>""</f>
        <v/>
      </c>
      <c r="HM115" t="str">
        <f>"(0.0734)"</f>
        <v>(0.0734)</v>
      </c>
      <c r="HN115" t="str">
        <f>"(0.0613)"</f>
        <v>(0.0613)</v>
      </c>
      <c r="HO115" t="str">
        <f>"(0.0325)"</f>
        <v>(0.0325)</v>
      </c>
      <c r="HP115" t="str">
        <f>""</f>
        <v/>
      </c>
      <c r="HQ115" t="str">
        <f>""</f>
        <v/>
      </c>
      <c r="HR115" t="str">
        <f>""</f>
        <v/>
      </c>
      <c r="HS115" t="str">
        <f>""</f>
        <v/>
      </c>
      <c r="HT115" t="str">
        <f>""</f>
        <v/>
      </c>
      <c r="HU115" t="str">
        <f>""</f>
        <v/>
      </c>
      <c r="HV115" t="str">
        <f>""</f>
        <v/>
      </c>
      <c r="HW115" t="str">
        <f>""</f>
        <v/>
      </c>
      <c r="HX115" t="str">
        <f>""</f>
        <v/>
      </c>
      <c r="HY115" t="str">
        <f>""</f>
        <v/>
      </c>
      <c r="HZ115" t="str">
        <f>""</f>
        <v/>
      </c>
      <c r="IA115" t="str">
        <f>""</f>
        <v/>
      </c>
      <c r="IB115" t="str">
        <f>""</f>
        <v/>
      </c>
      <c r="IC115" t="str">
        <f>""</f>
        <v/>
      </c>
      <c r="ID115" t="str">
        <f>""</f>
        <v/>
      </c>
      <c r="IE115" t="str">
        <f>""</f>
        <v/>
      </c>
      <c r="IF115" t="str">
        <f>""</f>
        <v/>
      </c>
      <c r="IG115" t="str">
        <f>""</f>
        <v/>
      </c>
      <c r="IH115" t="str">
        <f>""</f>
        <v/>
      </c>
      <c r="II115" t="str">
        <f>""</f>
        <v/>
      </c>
      <c r="IJ115" t="str">
        <f>""</f>
        <v/>
      </c>
      <c r="IK115" t="str">
        <f>""</f>
        <v/>
      </c>
      <c r="IL115" t="str">
        <f>""</f>
        <v/>
      </c>
      <c r="IM115" t="str">
        <f>""</f>
        <v/>
      </c>
      <c r="IN115" t="str">
        <f>""</f>
        <v/>
      </c>
      <c r="IO115" t="str">
        <f>""</f>
        <v/>
      </c>
      <c r="IP115" t="str">
        <f>""</f>
        <v/>
      </c>
      <c r="IQ115" t="str">
        <f>""</f>
        <v/>
      </c>
      <c r="IR115" t="str">
        <f>""</f>
        <v/>
      </c>
      <c r="IS115" t="str">
        <f>""</f>
        <v/>
      </c>
      <c r="IT115" t="str">
        <f>""</f>
        <v/>
      </c>
      <c r="IU115" t="str">
        <f>""</f>
        <v/>
      </c>
      <c r="IV115" t="str">
        <f>""</f>
        <v/>
      </c>
      <c r="IW115" t="str">
        <f>""</f>
        <v/>
      </c>
      <c r="IX115" t="str">
        <f>""</f>
        <v/>
      </c>
      <c r="IY115" t="str">
        <f>""</f>
        <v/>
      </c>
      <c r="IZ115" t="str">
        <f>""</f>
        <v/>
      </c>
      <c r="JA115" t="str">
        <f>""</f>
        <v/>
      </c>
      <c r="JB115" t="str">
        <f>""</f>
        <v/>
      </c>
      <c r="JC115" t="str">
        <f>""</f>
        <v/>
      </c>
      <c r="JD115" t="str">
        <f>""</f>
        <v/>
      </c>
      <c r="JE115" t="str">
        <f>""</f>
        <v/>
      </c>
      <c r="JF115" t="str">
        <f>"(0.0745)"</f>
        <v>(0.0745)</v>
      </c>
      <c r="JG115" t="str">
        <f>"(0.0613)"</f>
        <v>(0.0613)</v>
      </c>
      <c r="JH115" t="str">
        <f>"(0.0331)"</f>
        <v>(0.0331)</v>
      </c>
      <c r="JI115" t="str">
        <f>""</f>
        <v/>
      </c>
      <c r="JJ115" t="str">
        <f>""</f>
        <v/>
      </c>
      <c r="JK115" t="str">
        <f>""</f>
        <v/>
      </c>
    </row>
    <row r="117" spans="1:271" x14ac:dyDescent="0.3">
      <c r="A117" t="str">
        <f>"c.zMETAB14#c.PM1"</f>
        <v>c.zMETAB14#c.PM1</v>
      </c>
      <c r="B117" t="str">
        <f>""</f>
        <v/>
      </c>
      <c r="C117" t="str">
        <f>""</f>
        <v/>
      </c>
      <c r="D117" t="str">
        <f>""</f>
        <v/>
      </c>
      <c r="E117" t="str">
        <f>""</f>
        <v/>
      </c>
      <c r="F117" t="str">
        <f>""</f>
        <v/>
      </c>
      <c r="G117" t="str">
        <f>""</f>
        <v/>
      </c>
      <c r="H117" t="str">
        <f>""</f>
        <v/>
      </c>
      <c r="I117" t="str">
        <f>""</f>
        <v/>
      </c>
      <c r="J117" t="str">
        <f>""</f>
        <v/>
      </c>
      <c r="K117" t="str">
        <f>""</f>
        <v/>
      </c>
      <c r="L117" t="str">
        <f>""</f>
        <v/>
      </c>
      <c r="M117" t="str">
        <f>""</f>
        <v/>
      </c>
      <c r="N117" t="str">
        <f>""</f>
        <v/>
      </c>
      <c r="O117" t="str">
        <f>""</f>
        <v/>
      </c>
      <c r="P117" t="str">
        <f>""</f>
        <v/>
      </c>
      <c r="Q117" t="str">
        <f>""</f>
        <v/>
      </c>
      <c r="R117" t="str">
        <f>""</f>
        <v/>
      </c>
      <c r="S117" t="str">
        <f>""</f>
        <v/>
      </c>
      <c r="T117" t="str">
        <f>""</f>
        <v/>
      </c>
      <c r="U117" t="str">
        <f>""</f>
        <v/>
      </c>
      <c r="V117" t="str">
        <f>""</f>
        <v/>
      </c>
      <c r="W117" t="str">
        <f>""</f>
        <v/>
      </c>
      <c r="X117" t="str">
        <f>""</f>
        <v/>
      </c>
      <c r="Y117" t="str">
        <f>""</f>
        <v/>
      </c>
      <c r="Z117" t="str">
        <f>""</f>
        <v/>
      </c>
      <c r="AA117" t="str">
        <f>""</f>
        <v/>
      </c>
      <c r="AB117" t="str">
        <f>""</f>
        <v/>
      </c>
      <c r="AC117" t="str">
        <f>""</f>
        <v/>
      </c>
      <c r="AD117" t="str">
        <f>""</f>
        <v/>
      </c>
      <c r="AE117" t="str">
        <f>""</f>
        <v/>
      </c>
      <c r="AF117" t="str">
        <f>""</f>
        <v/>
      </c>
      <c r="AG117" t="str">
        <f>""</f>
        <v/>
      </c>
      <c r="AH117" t="str">
        <f>""</f>
        <v/>
      </c>
      <c r="AI117" t="str">
        <f>""</f>
        <v/>
      </c>
      <c r="AJ117" t="str">
        <f>""</f>
        <v/>
      </c>
      <c r="AK117" t="str">
        <f>""</f>
        <v/>
      </c>
      <c r="AL117" t="str">
        <f>""</f>
        <v/>
      </c>
      <c r="AM117" t="str">
        <f>""</f>
        <v/>
      </c>
      <c r="AN117" t="str">
        <f>""</f>
        <v/>
      </c>
      <c r="AO117" t="str">
        <f>"0.0744"</f>
        <v>0.0744</v>
      </c>
      <c r="AP117" t="str">
        <f>"0.0510"</f>
        <v>0.0510</v>
      </c>
      <c r="AQ117" t="str">
        <f>"-0.0172"</f>
        <v>-0.0172</v>
      </c>
      <c r="AR117" t="str">
        <f>""</f>
        <v/>
      </c>
      <c r="AS117" t="str">
        <f>""</f>
        <v/>
      </c>
      <c r="AT117" t="str">
        <f>""</f>
        <v/>
      </c>
      <c r="AU117" t="str">
        <f>""</f>
        <v/>
      </c>
      <c r="AV117" t="str">
        <f>""</f>
        <v/>
      </c>
      <c r="AW117" t="str">
        <f>""</f>
        <v/>
      </c>
      <c r="AX117" t="str">
        <f>""</f>
        <v/>
      </c>
      <c r="AY117" t="str">
        <f>""</f>
        <v/>
      </c>
      <c r="AZ117" t="str">
        <f>""</f>
        <v/>
      </c>
      <c r="BA117" t="str">
        <f>""</f>
        <v/>
      </c>
      <c r="BB117" t="str">
        <f>""</f>
        <v/>
      </c>
      <c r="BC117" t="str">
        <f>""</f>
        <v/>
      </c>
      <c r="BD117" t="str">
        <f>""</f>
        <v/>
      </c>
      <c r="BE117" t="str">
        <f>""</f>
        <v/>
      </c>
      <c r="BF117" t="str">
        <f>""</f>
        <v/>
      </c>
      <c r="BG117" t="str">
        <f>""</f>
        <v/>
      </c>
      <c r="BH117" t="str">
        <f>""</f>
        <v/>
      </c>
      <c r="BI117" t="str">
        <f>""</f>
        <v/>
      </c>
      <c r="BJ117" t="str">
        <f>""</f>
        <v/>
      </c>
      <c r="BK117" t="str">
        <f>""</f>
        <v/>
      </c>
      <c r="BL117" t="str">
        <f>""</f>
        <v/>
      </c>
      <c r="BM117" t="str">
        <f>""</f>
        <v/>
      </c>
      <c r="BN117" t="str">
        <f>""</f>
        <v/>
      </c>
      <c r="BO117" t="str">
        <f>""</f>
        <v/>
      </c>
      <c r="BP117" t="str">
        <f>""</f>
        <v/>
      </c>
      <c r="BQ117" t="str">
        <f>""</f>
        <v/>
      </c>
      <c r="BR117" t="str">
        <f>""</f>
        <v/>
      </c>
      <c r="BS117" t="str">
        <f>""</f>
        <v/>
      </c>
      <c r="BT117" t="str">
        <f>""</f>
        <v/>
      </c>
      <c r="BU117" t="str">
        <f>""</f>
        <v/>
      </c>
      <c r="BV117" t="str">
        <f>""</f>
        <v/>
      </c>
      <c r="BW117" t="str">
        <f>""</f>
        <v/>
      </c>
      <c r="BX117" t="str">
        <f>""</f>
        <v/>
      </c>
      <c r="BY117" t="str">
        <f>""</f>
        <v/>
      </c>
      <c r="BZ117" t="str">
        <f>""</f>
        <v/>
      </c>
      <c r="CA117" t="str">
        <f>""</f>
        <v/>
      </c>
      <c r="CB117" t="str">
        <f>""</f>
        <v/>
      </c>
      <c r="CC117" t="str">
        <f>""</f>
        <v/>
      </c>
      <c r="CD117" t="str">
        <f>""</f>
        <v/>
      </c>
      <c r="CE117" t="str">
        <f>""</f>
        <v/>
      </c>
      <c r="CF117" t="str">
        <f>""</f>
        <v/>
      </c>
      <c r="CG117" t="str">
        <f>""</f>
        <v/>
      </c>
      <c r="CH117" t="str">
        <f>""</f>
        <v/>
      </c>
      <c r="CI117" t="str">
        <f>""</f>
        <v/>
      </c>
      <c r="CJ117" t="str">
        <f>""</f>
        <v/>
      </c>
      <c r="CK117" t="str">
        <f>""</f>
        <v/>
      </c>
      <c r="CL117" t="str">
        <f>""</f>
        <v/>
      </c>
      <c r="CM117" t="str">
        <f>""</f>
        <v/>
      </c>
      <c r="CN117" t="str">
        <f>""</f>
        <v/>
      </c>
      <c r="CO117" t="str">
        <f>""</f>
        <v/>
      </c>
      <c r="CP117" t="str">
        <f>""</f>
        <v/>
      </c>
      <c r="CQ117" t="str">
        <f>""</f>
        <v/>
      </c>
      <c r="CR117" t="str">
        <f>""</f>
        <v/>
      </c>
      <c r="CS117" t="str">
        <f>""</f>
        <v/>
      </c>
      <c r="CT117" t="str">
        <f>""</f>
        <v/>
      </c>
      <c r="CU117" t="str">
        <f>""</f>
        <v/>
      </c>
      <c r="CV117" t="str">
        <f>""</f>
        <v/>
      </c>
      <c r="CW117" t="str">
        <f>""</f>
        <v/>
      </c>
      <c r="CX117" t="str">
        <f>""</f>
        <v/>
      </c>
      <c r="CY117" t="str">
        <f>""</f>
        <v/>
      </c>
      <c r="CZ117" t="str">
        <f>""</f>
        <v/>
      </c>
      <c r="DA117" t="str">
        <f>""</f>
        <v/>
      </c>
      <c r="DB117" t="str">
        <f>""</f>
        <v/>
      </c>
      <c r="DC117" t="str">
        <f>""</f>
        <v/>
      </c>
      <c r="DD117" t="str">
        <f>""</f>
        <v/>
      </c>
      <c r="DE117" t="str">
        <f>""</f>
        <v/>
      </c>
      <c r="DF117" t="str">
        <f>""</f>
        <v/>
      </c>
      <c r="DG117" t="str">
        <f>""</f>
        <v/>
      </c>
      <c r="DH117" t="str">
        <f>""</f>
        <v/>
      </c>
      <c r="DI117" t="str">
        <f>""</f>
        <v/>
      </c>
      <c r="DJ117" t="str">
        <f>""</f>
        <v/>
      </c>
      <c r="DK117" t="str">
        <f>""</f>
        <v/>
      </c>
      <c r="DL117" t="str">
        <f>""</f>
        <v/>
      </c>
      <c r="DM117" t="str">
        <f>""</f>
        <v/>
      </c>
      <c r="DN117" t="str">
        <f>""</f>
        <v/>
      </c>
      <c r="DO117" t="str">
        <f>""</f>
        <v/>
      </c>
      <c r="DP117" t="str">
        <f>""</f>
        <v/>
      </c>
      <c r="DQ117" t="str">
        <f>""</f>
        <v/>
      </c>
      <c r="DR117" t="str">
        <f>""</f>
        <v/>
      </c>
      <c r="DS117" t="str">
        <f>""</f>
        <v/>
      </c>
      <c r="DT117" t="str">
        <f>""</f>
        <v/>
      </c>
      <c r="DU117" t="str">
        <f>""</f>
        <v/>
      </c>
      <c r="DV117" t="str">
        <f>""</f>
        <v/>
      </c>
      <c r="DW117" t="str">
        <f>""</f>
        <v/>
      </c>
      <c r="DX117" t="str">
        <f>""</f>
        <v/>
      </c>
      <c r="DY117" t="str">
        <f>""</f>
        <v/>
      </c>
      <c r="DZ117" t="str">
        <f>""</f>
        <v/>
      </c>
      <c r="EA117" t="str">
        <f>""</f>
        <v/>
      </c>
      <c r="EB117" t="str">
        <f>""</f>
        <v/>
      </c>
      <c r="EC117" t="str">
        <f>""</f>
        <v/>
      </c>
      <c r="ED117" t="str">
        <f>""</f>
        <v/>
      </c>
      <c r="EE117" t="str">
        <f>""</f>
        <v/>
      </c>
      <c r="EF117" t="str">
        <f>""</f>
        <v/>
      </c>
      <c r="EG117" t="str">
        <f>""</f>
        <v/>
      </c>
      <c r="EH117" t="str">
        <f>""</f>
        <v/>
      </c>
      <c r="EI117" t="str">
        <f>""</f>
        <v/>
      </c>
      <c r="EJ117" t="str">
        <f>""</f>
        <v/>
      </c>
      <c r="EK117" t="str">
        <f>""</f>
        <v/>
      </c>
      <c r="EL117" t="str">
        <f>""</f>
        <v/>
      </c>
      <c r="EM117" t="str">
        <f>""</f>
        <v/>
      </c>
      <c r="EN117" t="str">
        <f>""</f>
        <v/>
      </c>
      <c r="EO117" t="str">
        <f>""</f>
        <v/>
      </c>
      <c r="EP117" t="str">
        <f>""</f>
        <v/>
      </c>
      <c r="EQ117" t="str">
        <f>""</f>
        <v/>
      </c>
      <c r="ER117" t="str">
        <f>""</f>
        <v/>
      </c>
      <c r="ES117" t="str">
        <f>""</f>
        <v/>
      </c>
      <c r="ET117" t="str">
        <f>""</f>
        <v/>
      </c>
      <c r="EU117" t="str">
        <f>""</f>
        <v/>
      </c>
      <c r="EV117" t="str">
        <f>""</f>
        <v/>
      </c>
      <c r="EW117" t="str">
        <f>""</f>
        <v/>
      </c>
      <c r="EX117" t="str">
        <f>""</f>
        <v/>
      </c>
      <c r="EY117" t="str">
        <f>""</f>
        <v/>
      </c>
      <c r="EZ117" t="str">
        <f>""</f>
        <v/>
      </c>
      <c r="FA117" t="str">
        <f>""</f>
        <v/>
      </c>
      <c r="FB117" t="str">
        <f>""</f>
        <v/>
      </c>
      <c r="FC117" t="str">
        <f>""</f>
        <v/>
      </c>
      <c r="FD117" t="str">
        <f>""</f>
        <v/>
      </c>
      <c r="FE117" t="str">
        <f>""</f>
        <v/>
      </c>
      <c r="FF117" t="str">
        <f>""</f>
        <v/>
      </c>
      <c r="FG117" t="str">
        <f>""</f>
        <v/>
      </c>
      <c r="FH117" t="str">
        <f>""</f>
        <v/>
      </c>
      <c r="FI117" t="str">
        <f>""</f>
        <v/>
      </c>
      <c r="FJ117" t="str">
        <f>""</f>
        <v/>
      </c>
      <c r="FK117" t="str">
        <f>""</f>
        <v/>
      </c>
      <c r="FL117" t="str">
        <f>""</f>
        <v/>
      </c>
      <c r="FM117" t="str">
        <f>""</f>
        <v/>
      </c>
      <c r="FN117" t="str">
        <f>""</f>
        <v/>
      </c>
      <c r="FO117" t="str">
        <f>""</f>
        <v/>
      </c>
      <c r="FP117" t="str">
        <f>""</f>
        <v/>
      </c>
      <c r="FQ117" t="str">
        <f>""</f>
        <v/>
      </c>
      <c r="FR117" t="str">
        <f>""</f>
        <v/>
      </c>
      <c r="FS117" t="str">
        <f>""</f>
        <v/>
      </c>
      <c r="FT117" t="str">
        <f>""</f>
        <v/>
      </c>
      <c r="FU117" t="str">
        <f>""</f>
        <v/>
      </c>
      <c r="FV117" t="str">
        <f>""</f>
        <v/>
      </c>
      <c r="FW117" t="str">
        <f>""</f>
        <v/>
      </c>
      <c r="FX117" t="str">
        <f>""</f>
        <v/>
      </c>
      <c r="FY117" t="str">
        <f>""</f>
        <v/>
      </c>
      <c r="FZ117" t="str">
        <f>""</f>
        <v/>
      </c>
      <c r="GA117" t="str">
        <f>""</f>
        <v/>
      </c>
      <c r="GB117" t="str">
        <f>""</f>
        <v/>
      </c>
      <c r="GC117" t="str">
        <f>""</f>
        <v/>
      </c>
      <c r="GD117" t="str">
        <f>""</f>
        <v/>
      </c>
      <c r="GE117" t="str">
        <f>""</f>
        <v/>
      </c>
      <c r="GF117" t="str">
        <f>""</f>
        <v/>
      </c>
      <c r="GG117" t="str">
        <f>""</f>
        <v/>
      </c>
      <c r="GH117" t="str">
        <f>""</f>
        <v/>
      </c>
      <c r="GI117" t="str">
        <f>""</f>
        <v/>
      </c>
      <c r="GJ117" t="str">
        <f>""</f>
        <v/>
      </c>
      <c r="GK117" t="str">
        <f>""</f>
        <v/>
      </c>
      <c r="GL117" t="str">
        <f>""</f>
        <v/>
      </c>
      <c r="GM117" t="str">
        <f>""</f>
        <v/>
      </c>
      <c r="GN117" t="str">
        <f>""</f>
        <v/>
      </c>
      <c r="GO117" t="str">
        <f>""</f>
        <v/>
      </c>
      <c r="GP117" t="str">
        <f>""</f>
        <v/>
      </c>
      <c r="GQ117" t="str">
        <f>""</f>
        <v/>
      </c>
      <c r="GR117" t="str">
        <f>""</f>
        <v/>
      </c>
      <c r="GS117" t="str">
        <f>""</f>
        <v/>
      </c>
      <c r="GT117" t="str">
        <f>""</f>
        <v/>
      </c>
      <c r="GU117" t="str">
        <f>""</f>
        <v/>
      </c>
      <c r="GV117" t="str">
        <f>""</f>
        <v/>
      </c>
      <c r="GW117" t="str">
        <f>""</f>
        <v/>
      </c>
      <c r="GX117" t="str">
        <f>""</f>
        <v/>
      </c>
      <c r="GY117" t="str">
        <f>""</f>
        <v/>
      </c>
      <c r="GZ117" t="str">
        <f>""</f>
        <v/>
      </c>
      <c r="HA117" t="str">
        <f>""</f>
        <v/>
      </c>
      <c r="HB117" t="str">
        <f>""</f>
        <v/>
      </c>
      <c r="HC117" t="str">
        <f>""</f>
        <v/>
      </c>
      <c r="HD117" t="str">
        <f>""</f>
        <v/>
      </c>
      <c r="HE117" t="str">
        <f>""</f>
        <v/>
      </c>
      <c r="HF117" t="str">
        <f>""</f>
        <v/>
      </c>
      <c r="HG117" t="str">
        <f>""</f>
        <v/>
      </c>
      <c r="HH117" t="str">
        <f>""</f>
        <v/>
      </c>
      <c r="HI117" t="str">
        <f>""</f>
        <v/>
      </c>
      <c r="HJ117" t="str">
        <f>""</f>
        <v/>
      </c>
      <c r="HK117" t="str">
        <f>""</f>
        <v/>
      </c>
      <c r="HL117" t="str">
        <f>""</f>
        <v/>
      </c>
      <c r="HM117" t="str">
        <f>""</f>
        <v/>
      </c>
      <c r="HN117" t="str">
        <f>""</f>
        <v/>
      </c>
      <c r="HO117" t="str">
        <f>""</f>
        <v/>
      </c>
      <c r="HP117" t="str">
        <f>""</f>
        <v/>
      </c>
      <c r="HQ117" t="str">
        <f>""</f>
        <v/>
      </c>
      <c r="HR117" t="str">
        <f>""</f>
        <v/>
      </c>
      <c r="HS117" t="str">
        <f>""</f>
        <v/>
      </c>
      <c r="HT117" t="str">
        <f>""</f>
        <v/>
      </c>
      <c r="HU117" t="str">
        <f>""</f>
        <v/>
      </c>
      <c r="HV117" t="str">
        <f>""</f>
        <v/>
      </c>
      <c r="HW117" t="str">
        <f>""</f>
        <v/>
      </c>
      <c r="HX117" t="str">
        <f>""</f>
        <v/>
      </c>
      <c r="HY117" t="str">
        <f>""</f>
        <v/>
      </c>
      <c r="HZ117" t="str">
        <f>""</f>
        <v/>
      </c>
      <c r="IA117" t="str">
        <f>""</f>
        <v/>
      </c>
      <c r="IB117" t="str">
        <f>""</f>
        <v/>
      </c>
      <c r="IC117" t="str">
        <f>""</f>
        <v/>
      </c>
      <c r="ID117" t="str">
        <f>""</f>
        <v/>
      </c>
      <c r="IE117" t="str">
        <f>""</f>
        <v/>
      </c>
      <c r="IF117" t="str">
        <f>""</f>
        <v/>
      </c>
      <c r="IG117" t="str">
        <f>""</f>
        <v/>
      </c>
      <c r="IH117" t="str">
        <f>""</f>
        <v/>
      </c>
      <c r="II117" t="str">
        <f>""</f>
        <v/>
      </c>
      <c r="IJ117" t="str">
        <f>""</f>
        <v/>
      </c>
      <c r="IK117" t="str">
        <f>""</f>
        <v/>
      </c>
      <c r="IL117" t="str">
        <f>""</f>
        <v/>
      </c>
      <c r="IM117" t="str">
        <f>""</f>
        <v/>
      </c>
      <c r="IN117" t="str">
        <f>""</f>
        <v/>
      </c>
      <c r="IO117" t="str">
        <f>""</f>
        <v/>
      </c>
      <c r="IP117" t="str">
        <f>""</f>
        <v/>
      </c>
      <c r="IQ117" t="str">
        <f>""</f>
        <v/>
      </c>
      <c r="IR117" t="str">
        <f>""</f>
        <v/>
      </c>
      <c r="IS117" t="str">
        <f>""</f>
        <v/>
      </c>
      <c r="IT117" t="str">
        <f>""</f>
        <v/>
      </c>
      <c r="IU117" t="str">
        <f>""</f>
        <v/>
      </c>
      <c r="IV117" t="str">
        <f>""</f>
        <v/>
      </c>
      <c r="IW117" t="str">
        <f>""</f>
        <v/>
      </c>
      <c r="IX117" t="str">
        <f>""</f>
        <v/>
      </c>
      <c r="IY117" t="str">
        <f>""</f>
        <v/>
      </c>
      <c r="IZ117" t="str">
        <f>""</f>
        <v/>
      </c>
      <c r="JA117" t="str">
        <f>""</f>
        <v/>
      </c>
      <c r="JB117" t="str">
        <f>""</f>
        <v/>
      </c>
      <c r="JC117" t="str">
        <f>""</f>
        <v/>
      </c>
      <c r="JD117" t="str">
        <f>""</f>
        <v/>
      </c>
      <c r="JE117" t="str">
        <f>""</f>
        <v/>
      </c>
      <c r="JF117" t="str">
        <f>""</f>
        <v/>
      </c>
      <c r="JG117" t="str">
        <f>""</f>
        <v/>
      </c>
      <c r="JH117" t="str">
        <f>""</f>
        <v/>
      </c>
      <c r="JI117" t="str">
        <f>""</f>
        <v/>
      </c>
      <c r="JJ117" t="str">
        <f>""</f>
        <v/>
      </c>
      <c r="JK117" t="str">
        <f>""</f>
        <v/>
      </c>
    </row>
    <row r="118" spans="1:271" x14ac:dyDescent="0.3">
      <c r="A118" t="str">
        <f>""</f>
        <v/>
      </c>
      <c r="B118" t="str">
        <f>""</f>
        <v/>
      </c>
      <c r="C118" t="str">
        <f>""</f>
        <v/>
      </c>
      <c r="D118" t="str">
        <f>""</f>
        <v/>
      </c>
      <c r="E118" t="str">
        <f>""</f>
        <v/>
      </c>
      <c r="F118" t="str">
        <f>""</f>
        <v/>
      </c>
      <c r="G118" t="str">
        <f>""</f>
        <v/>
      </c>
      <c r="H118" t="str">
        <f>""</f>
        <v/>
      </c>
      <c r="I118" t="str">
        <f>""</f>
        <v/>
      </c>
      <c r="J118" t="str">
        <f>""</f>
        <v/>
      </c>
      <c r="K118" t="str">
        <f>""</f>
        <v/>
      </c>
      <c r="L118" t="str">
        <f>""</f>
        <v/>
      </c>
      <c r="M118" t="str">
        <f>""</f>
        <v/>
      </c>
      <c r="N118" t="str">
        <f>""</f>
        <v/>
      </c>
      <c r="O118" t="str">
        <f>""</f>
        <v/>
      </c>
      <c r="P118" t="str">
        <f>""</f>
        <v/>
      </c>
      <c r="Q118" t="str">
        <f>""</f>
        <v/>
      </c>
      <c r="R118" t="str">
        <f>""</f>
        <v/>
      </c>
      <c r="S118" t="str">
        <f>""</f>
        <v/>
      </c>
      <c r="T118" t="str">
        <f>""</f>
        <v/>
      </c>
      <c r="U118" t="str">
        <f>""</f>
        <v/>
      </c>
      <c r="V118" t="str">
        <f>""</f>
        <v/>
      </c>
      <c r="W118" t="str">
        <f>""</f>
        <v/>
      </c>
      <c r="X118" t="str">
        <f>""</f>
        <v/>
      </c>
      <c r="Y118" t="str">
        <f>""</f>
        <v/>
      </c>
      <c r="Z118" t="str">
        <f>""</f>
        <v/>
      </c>
      <c r="AA118" t="str">
        <f>""</f>
        <v/>
      </c>
      <c r="AB118" t="str">
        <f>""</f>
        <v/>
      </c>
      <c r="AC118" t="str">
        <f>""</f>
        <v/>
      </c>
      <c r="AD118" t="str">
        <f>""</f>
        <v/>
      </c>
      <c r="AE118" t="str">
        <f>""</f>
        <v/>
      </c>
      <c r="AF118" t="str">
        <f>""</f>
        <v/>
      </c>
      <c r="AG118" t="str">
        <f>""</f>
        <v/>
      </c>
      <c r="AH118" t="str">
        <f>""</f>
        <v/>
      </c>
      <c r="AI118" t="str">
        <f>""</f>
        <v/>
      </c>
      <c r="AJ118" t="str">
        <f>""</f>
        <v/>
      </c>
      <c r="AK118" t="str">
        <f>""</f>
        <v/>
      </c>
      <c r="AL118" t="str">
        <f>""</f>
        <v/>
      </c>
      <c r="AM118" t="str">
        <f>""</f>
        <v/>
      </c>
      <c r="AN118" t="str">
        <f>""</f>
        <v/>
      </c>
      <c r="AO118" t="str">
        <f>"(0.104)"</f>
        <v>(0.104)</v>
      </c>
      <c r="AP118" t="str">
        <f>"(0.0829)"</f>
        <v>(0.0829)</v>
      </c>
      <c r="AQ118" t="str">
        <f>"(0.0443)"</f>
        <v>(0.0443)</v>
      </c>
      <c r="AR118" t="str">
        <f>""</f>
        <v/>
      </c>
      <c r="AS118" t="str">
        <f>""</f>
        <v/>
      </c>
      <c r="AT118" t="str">
        <f>""</f>
        <v/>
      </c>
      <c r="AU118" t="str">
        <f>""</f>
        <v/>
      </c>
      <c r="AV118" t="str">
        <f>""</f>
        <v/>
      </c>
      <c r="AW118" t="str">
        <f>""</f>
        <v/>
      </c>
      <c r="AX118" t="str">
        <f>""</f>
        <v/>
      </c>
      <c r="AY118" t="str">
        <f>""</f>
        <v/>
      </c>
      <c r="AZ118" t="str">
        <f>""</f>
        <v/>
      </c>
      <c r="BA118" t="str">
        <f>""</f>
        <v/>
      </c>
      <c r="BB118" t="str">
        <f>""</f>
        <v/>
      </c>
      <c r="BC118" t="str">
        <f>""</f>
        <v/>
      </c>
      <c r="BD118" t="str">
        <f>""</f>
        <v/>
      </c>
      <c r="BE118" t="str">
        <f>""</f>
        <v/>
      </c>
      <c r="BF118" t="str">
        <f>""</f>
        <v/>
      </c>
      <c r="BG118" t="str">
        <f>""</f>
        <v/>
      </c>
      <c r="BH118" t="str">
        <f>""</f>
        <v/>
      </c>
      <c r="BI118" t="str">
        <f>""</f>
        <v/>
      </c>
      <c r="BJ118" t="str">
        <f>""</f>
        <v/>
      </c>
      <c r="BK118" t="str">
        <f>""</f>
        <v/>
      </c>
      <c r="BL118" t="str">
        <f>""</f>
        <v/>
      </c>
      <c r="BM118" t="str">
        <f>""</f>
        <v/>
      </c>
      <c r="BN118" t="str">
        <f>""</f>
        <v/>
      </c>
      <c r="BO118" t="str">
        <f>""</f>
        <v/>
      </c>
      <c r="BP118" t="str">
        <f>""</f>
        <v/>
      </c>
      <c r="BQ118" t="str">
        <f>""</f>
        <v/>
      </c>
      <c r="BR118" t="str">
        <f>""</f>
        <v/>
      </c>
      <c r="BS118" t="str">
        <f>""</f>
        <v/>
      </c>
      <c r="BT118" t="str">
        <f>""</f>
        <v/>
      </c>
      <c r="BU118" t="str">
        <f>""</f>
        <v/>
      </c>
      <c r="BV118" t="str">
        <f>""</f>
        <v/>
      </c>
      <c r="BW118" t="str">
        <f>""</f>
        <v/>
      </c>
      <c r="BX118" t="str">
        <f>""</f>
        <v/>
      </c>
      <c r="BY118" t="str">
        <f>""</f>
        <v/>
      </c>
      <c r="BZ118" t="str">
        <f>""</f>
        <v/>
      </c>
      <c r="CA118" t="str">
        <f>""</f>
        <v/>
      </c>
      <c r="CB118" t="str">
        <f>""</f>
        <v/>
      </c>
      <c r="CC118" t="str">
        <f>""</f>
        <v/>
      </c>
      <c r="CD118" t="str">
        <f>""</f>
        <v/>
      </c>
      <c r="CE118" t="str">
        <f>""</f>
        <v/>
      </c>
      <c r="CF118" t="str">
        <f>""</f>
        <v/>
      </c>
      <c r="CG118" t="str">
        <f>""</f>
        <v/>
      </c>
      <c r="CH118" t="str">
        <f>""</f>
        <v/>
      </c>
      <c r="CI118" t="str">
        <f>""</f>
        <v/>
      </c>
      <c r="CJ118" t="str">
        <f>""</f>
        <v/>
      </c>
      <c r="CK118" t="str">
        <f>""</f>
        <v/>
      </c>
      <c r="CL118" t="str">
        <f>""</f>
        <v/>
      </c>
      <c r="CM118" t="str">
        <f>""</f>
        <v/>
      </c>
      <c r="CN118" t="str">
        <f>""</f>
        <v/>
      </c>
      <c r="CO118" t="str">
        <f>""</f>
        <v/>
      </c>
      <c r="CP118" t="str">
        <f>""</f>
        <v/>
      </c>
      <c r="CQ118" t="str">
        <f>""</f>
        <v/>
      </c>
      <c r="CR118" t="str">
        <f>""</f>
        <v/>
      </c>
      <c r="CS118" t="str">
        <f>""</f>
        <v/>
      </c>
      <c r="CT118" t="str">
        <f>""</f>
        <v/>
      </c>
      <c r="CU118" t="str">
        <f>""</f>
        <v/>
      </c>
      <c r="CV118" t="str">
        <f>""</f>
        <v/>
      </c>
      <c r="CW118" t="str">
        <f>""</f>
        <v/>
      </c>
      <c r="CX118" t="str">
        <f>""</f>
        <v/>
      </c>
      <c r="CY118" t="str">
        <f>""</f>
        <v/>
      </c>
      <c r="CZ118" t="str">
        <f>""</f>
        <v/>
      </c>
      <c r="DA118" t="str">
        <f>""</f>
        <v/>
      </c>
      <c r="DB118" t="str">
        <f>""</f>
        <v/>
      </c>
      <c r="DC118" t="str">
        <f>""</f>
        <v/>
      </c>
      <c r="DD118" t="str">
        <f>""</f>
        <v/>
      </c>
      <c r="DE118" t="str">
        <f>""</f>
        <v/>
      </c>
      <c r="DF118" t="str">
        <f>""</f>
        <v/>
      </c>
      <c r="DG118" t="str">
        <f>""</f>
        <v/>
      </c>
      <c r="DH118" t="str">
        <f>""</f>
        <v/>
      </c>
      <c r="DI118" t="str">
        <f>""</f>
        <v/>
      </c>
      <c r="DJ118" t="str">
        <f>""</f>
        <v/>
      </c>
      <c r="DK118" t="str">
        <f>""</f>
        <v/>
      </c>
      <c r="DL118" t="str">
        <f>""</f>
        <v/>
      </c>
      <c r="DM118" t="str">
        <f>""</f>
        <v/>
      </c>
      <c r="DN118" t="str">
        <f>""</f>
        <v/>
      </c>
      <c r="DO118" t="str">
        <f>""</f>
        <v/>
      </c>
      <c r="DP118" t="str">
        <f>""</f>
        <v/>
      </c>
      <c r="DQ118" t="str">
        <f>""</f>
        <v/>
      </c>
      <c r="DR118" t="str">
        <f>""</f>
        <v/>
      </c>
      <c r="DS118" t="str">
        <f>""</f>
        <v/>
      </c>
      <c r="DT118" t="str">
        <f>""</f>
        <v/>
      </c>
      <c r="DU118" t="str">
        <f>""</f>
        <v/>
      </c>
      <c r="DV118" t="str">
        <f>""</f>
        <v/>
      </c>
      <c r="DW118" t="str">
        <f>""</f>
        <v/>
      </c>
      <c r="DX118" t="str">
        <f>""</f>
        <v/>
      </c>
      <c r="DY118" t="str">
        <f>""</f>
        <v/>
      </c>
      <c r="DZ118" t="str">
        <f>""</f>
        <v/>
      </c>
      <c r="EA118" t="str">
        <f>""</f>
        <v/>
      </c>
      <c r="EB118" t="str">
        <f>""</f>
        <v/>
      </c>
      <c r="EC118" t="str">
        <f>""</f>
        <v/>
      </c>
      <c r="ED118" t="str">
        <f>""</f>
        <v/>
      </c>
      <c r="EE118" t="str">
        <f>""</f>
        <v/>
      </c>
      <c r="EF118" t="str">
        <f>""</f>
        <v/>
      </c>
      <c r="EG118" t="str">
        <f>""</f>
        <v/>
      </c>
      <c r="EH118" t="str">
        <f>""</f>
        <v/>
      </c>
      <c r="EI118" t="str">
        <f>""</f>
        <v/>
      </c>
      <c r="EJ118" t="str">
        <f>""</f>
        <v/>
      </c>
      <c r="EK118" t="str">
        <f>""</f>
        <v/>
      </c>
      <c r="EL118" t="str">
        <f>""</f>
        <v/>
      </c>
      <c r="EM118" t="str">
        <f>""</f>
        <v/>
      </c>
      <c r="EN118" t="str">
        <f>""</f>
        <v/>
      </c>
      <c r="EO118" t="str">
        <f>""</f>
        <v/>
      </c>
      <c r="EP118" t="str">
        <f>""</f>
        <v/>
      </c>
      <c r="EQ118" t="str">
        <f>""</f>
        <v/>
      </c>
      <c r="ER118" t="str">
        <f>""</f>
        <v/>
      </c>
      <c r="ES118" t="str">
        <f>""</f>
        <v/>
      </c>
      <c r="ET118" t="str">
        <f>""</f>
        <v/>
      </c>
      <c r="EU118" t="str">
        <f>""</f>
        <v/>
      </c>
      <c r="EV118" t="str">
        <f>""</f>
        <v/>
      </c>
      <c r="EW118" t="str">
        <f>""</f>
        <v/>
      </c>
      <c r="EX118" t="str">
        <f>""</f>
        <v/>
      </c>
      <c r="EY118" t="str">
        <f>""</f>
        <v/>
      </c>
      <c r="EZ118" t="str">
        <f>""</f>
        <v/>
      </c>
      <c r="FA118" t="str">
        <f>""</f>
        <v/>
      </c>
      <c r="FB118" t="str">
        <f>""</f>
        <v/>
      </c>
      <c r="FC118" t="str">
        <f>""</f>
        <v/>
      </c>
      <c r="FD118" t="str">
        <f>""</f>
        <v/>
      </c>
      <c r="FE118" t="str">
        <f>""</f>
        <v/>
      </c>
      <c r="FF118" t="str">
        <f>""</f>
        <v/>
      </c>
      <c r="FG118" t="str">
        <f>""</f>
        <v/>
      </c>
      <c r="FH118" t="str">
        <f>""</f>
        <v/>
      </c>
      <c r="FI118" t="str">
        <f>""</f>
        <v/>
      </c>
      <c r="FJ118" t="str">
        <f>""</f>
        <v/>
      </c>
      <c r="FK118" t="str">
        <f>""</f>
        <v/>
      </c>
      <c r="FL118" t="str">
        <f>""</f>
        <v/>
      </c>
      <c r="FM118" t="str">
        <f>""</f>
        <v/>
      </c>
      <c r="FN118" t="str">
        <f>""</f>
        <v/>
      </c>
      <c r="FO118" t="str">
        <f>""</f>
        <v/>
      </c>
      <c r="FP118" t="str">
        <f>""</f>
        <v/>
      </c>
      <c r="FQ118" t="str">
        <f>""</f>
        <v/>
      </c>
      <c r="FR118" t="str">
        <f>""</f>
        <v/>
      </c>
      <c r="FS118" t="str">
        <f>""</f>
        <v/>
      </c>
      <c r="FT118" t="str">
        <f>""</f>
        <v/>
      </c>
      <c r="FU118" t="str">
        <f>""</f>
        <v/>
      </c>
      <c r="FV118" t="str">
        <f>""</f>
        <v/>
      </c>
      <c r="FW118" t="str">
        <f>""</f>
        <v/>
      </c>
      <c r="FX118" t="str">
        <f>""</f>
        <v/>
      </c>
      <c r="FY118" t="str">
        <f>""</f>
        <v/>
      </c>
      <c r="FZ118" t="str">
        <f>""</f>
        <v/>
      </c>
      <c r="GA118" t="str">
        <f>""</f>
        <v/>
      </c>
      <c r="GB118" t="str">
        <f>""</f>
        <v/>
      </c>
      <c r="GC118" t="str">
        <f>""</f>
        <v/>
      </c>
      <c r="GD118" t="str">
        <f>""</f>
        <v/>
      </c>
      <c r="GE118" t="str">
        <f>""</f>
        <v/>
      </c>
      <c r="GF118" t="str">
        <f>""</f>
        <v/>
      </c>
      <c r="GG118" t="str">
        <f>""</f>
        <v/>
      </c>
      <c r="GH118" t="str">
        <f>""</f>
        <v/>
      </c>
      <c r="GI118" t="str">
        <f>""</f>
        <v/>
      </c>
      <c r="GJ118" t="str">
        <f>""</f>
        <v/>
      </c>
      <c r="GK118" t="str">
        <f>""</f>
        <v/>
      </c>
      <c r="GL118" t="str">
        <f>""</f>
        <v/>
      </c>
      <c r="GM118" t="str">
        <f>""</f>
        <v/>
      </c>
      <c r="GN118" t="str">
        <f>""</f>
        <v/>
      </c>
      <c r="GO118" t="str">
        <f>""</f>
        <v/>
      </c>
      <c r="GP118" t="str">
        <f>""</f>
        <v/>
      </c>
      <c r="GQ118" t="str">
        <f>""</f>
        <v/>
      </c>
      <c r="GR118" t="str">
        <f>""</f>
        <v/>
      </c>
      <c r="GS118" t="str">
        <f>""</f>
        <v/>
      </c>
      <c r="GT118" t="str">
        <f>""</f>
        <v/>
      </c>
      <c r="GU118" t="str">
        <f>""</f>
        <v/>
      </c>
      <c r="GV118" t="str">
        <f>""</f>
        <v/>
      </c>
      <c r="GW118" t="str">
        <f>""</f>
        <v/>
      </c>
      <c r="GX118" t="str">
        <f>""</f>
        <v/>
      </c>
      <c r="GY118" t="str">
        <f>""</f>
        <v/>
      </c>
      <c r="GZ118" t="str">
        <f>""</f>
        <v/>
      </c>
      <c r="HA118" t="str">
        <f>""</f>
        <v/>
      </c>
      <c r="HB118" t="str">
        <f>""</f>
        <v/>
      </c>
      <c r="HC118" t="str">
        <f>""</f>
        <v/>
      </c>
      <c r="HD118" t="str">
        <f>""</f>
        <v/>
      </c>
      <c r="HE118" t="str">
        <f>""</f>
        <v/>
      </c>
      <c r="HF118" t="str">
        <f>""</f>
        <v/>
      </c>
      <c r="HG118" t="str">
        <f>""</f>
        <v/>
      </c>
      <c r="HH118" t="str">
        <f>""</f>
        <v/>
      </c>
      <c r="HI118" t="str">
        <f>""</f>
        <v/>
      </c>
      <c r="HJ118" t="str">
        <f>""</f>
        <v/>
      </c>
      <c r="HK118" t="str">
        <f>""</f>
        <v/>
      </c>
      <c r="HL118" t="str">
        <f>""</f>
        <v/>
      </c>
      <c r="HM118" t="str">
        <f>""</f>
        <v/>
      </c>
      <c r="HN118" t="str">
        <f>""</f>
        <v/>
      </c>
      <c r="HO118" t="str">
        <f>""</f>
        <v/>
      </c>
      <c r="HP118" t="str">
        <f>""</f>
        <v/>
      </c>
      <c r="HQ118" t="str">
        <f>""</f>
        <v/>
      </c>
      <c r="HR118" t="str">
        <f>""</f>
        <v/>
      </c>
      <c r="HS118" t="str">
        <f>""</f>
        <v/>
      </c>
      <c r="HT118" t="str">
        <f>""</f>
        <v/>
      </c>
      <c r="HU118" t="str">
        <f>""</f>
        <v/>
      </c>
      <c r="HV118" t="str">
        <f>""</f>
        <v/>
      </c>
      <c r="HW118" t="str">
        <f>""</f>
        <v/>
      </c>
      <c r="HX118" t="str">
        <f>""</f>
        <v/>
      </c>
      <c r="HY118" t="str">
        <f>""</f>
        <v/>
      </c>
      <c r="HZ118" t="str">
        <f>""</f>
        <v/>
      </c>
      <c r="IA118" t="str">
        <f>""</f>
        <v/>
      </c>
      <c r="IB118" t="str">
        <f>""</f>
        <v/>
      </c>
      <c r="IC118" t="str">
        <f>""</f>
        <v/>
      </c>
      <c r="ID118" t="str">
        <f>""</f>
        <v/>
      </c>
      <c r="IE118" t="str">
        <f>""</f>
        <v/>
      </c>
      <c r="IF118" t="str">
        <f>""</f>
        <v/>
      </c>
      <c r="IG118" t="str">
        <f>""</f>
        <v/>
      </c>
      <c r="IH118" t="str">
        <f>""</f>
        <v/>
      </c>
      <c r="II118" t="str">
        <f>""</f>
        <v/>
      </c>
      <c r="IJ118" t="str">
        <f>""</f>
        <v/>
      </c>
      <c r="IK118" t="str">
        <f>""</f>
        <v/>
      </c>
      <c r="IL118" t="str">
        <f>""</f>
        <v/>
      </c>
      <c r="IM118" t="str">
        <f>""</f>
        <v/>
      </c>
      <c r="IN118" t="str">
        <f>""</f>
        <v/>
      </c>
      <c r="IO118" t="str">
        <f>""</f>
        <v/>
      </c>
      <c r="IP118" t="str">
        <f>""</f>
        <v/>
      </c>
      <c r="IQ118" t="str">
        <f>""</f>
        <v/>
      </c>
      <c r="IR118" t="str">
        <f>""</f>
        <v/>
      </c>
      <c r="IS118" t="str">
        <f>""</f>
        <v/>
      </c>
      <c r="IT118" t="str">
        <f>""</f>
        <v/>
      </c>
      <c r="IU118" t="str">
        <f>""</f>
        <v/>
      </c>
      <c r="IV118" t="str">
        <f>""</f>
        <v/>
      </c>
      <c r="IW118" t="str">
        <f>""</f>
        <v/>
      </c>
      <c r="IX118" t="str">
        <f>""</f>
        <v/>
      </c>
      <c r="IY118" t="str">
        <f>""</f>
        <v/>
      </c>
      <c r="IZ118" t="str">
        <f>""</f>
        <v/>
      </c>
      <c r="JA118" t="str">
        <f>""</f>
        <v/>
      </c>
      <c r="JB118" t="str">
        <f>""</f>
        <v/>
      </c>
      <c r="JC118" t="str">
        <f>""</f>
        <v/>
      </c>
      <c r="JD118" t="str">
        <f>""</f>
        <v/>
      </c>
      <c r="JE118" t="str">
        <f>""</f>
        <v/>
      </c>
      <c r="JF118" t="str">
        <f>""</f>
        <v/>
      </c>
      <c r="JG118" t="str">
        <f>""</f>
        <v/>
      </c>
      <c r="JH118" t="str">
        <f>""</f>
        <v/>
      </c>
      <c r="JI118" t="str">
        <f>""</f>
        <v/>
      </c>
      <c r="JJ118" t="str">
        <f>""</f>
        <v/>
      </c>
      <c r="JK118" t="str">
        <f>""</f>
        <v/>
      </c>
    </row>
    <row r="120" spans="1:271" x14ac:dyDescent="0.3">
      <c r="A120" t="str">
        <f>"zMETAB15"</f>
        <v>zMETAB15</v>
      </c>
      <c r="B120" t="str">
        <f>""</f>
        <v/>
      </c>
      <c r="C120" t="str">
        <f>""</f>
        <v/>
      </c>
      <c r="D120" t="str">
        <f>""</f>
        <v/>
      </c>
      <c r="E120" t="str">
        <f>""</f>
        <v/>
      </c>
      <c r="F120" t="str">
        <f>""</f>
        <v/>
      </c>
      <c r="G120" t="str">
        <f>""</f>
        <v/>
      </c>
      <c r="H120" t="str">
        <f>""</f>
        <v/>
      </c>
      <c r="I120" t="str">
        <f>""</f>
        <v/>
      </c>
      <c r="J120" t="str">
        <f>""</f>
        <v/>
      </c>
      <c r="K120" t="str">
        <f>""</f>
        <v/>
      </c>
      <c r="L120" t="str">
        <f>""</f>
        <v/>
      </c>
      <c r="M120" t="str">
        <f>""</f>
        <v/>
      </c>
      <c r="N120" t="str">
        <f>""</f>
        <v/>
      </c>
      <c r="O120" t="str">
        <f>""</f>
        <v/>
      </c>
      <c r="P120" t="str">
        <f>""</f>
        <v/>
      </c>
      <c r="Q120" t="str">
        <f>""</f>
        <v/>
      </c>
      <c r="R120" t="str">
        <f>""</f>
        <v/>
      </c>
      <c r="S120" t="str">
        <f>""</f>
        <v/>
      </c>
      <c r="T120" t="str">
        <f>""</f>
        <v/>
      </c>
      <c r="U120" t="str">
        <f>""</f>
        <v/>
      </c>
      <c r="V120" t="str">
        <f>""</f>
        <v/>
      </c>
      <c r="W120" t="str">
        <f>""</f>
        <v/>
      </c>
      <c r="X120" t="str">
        <f>""</f>
        <v/>
      </c>
      <c r="Y120" t="str">
        <f>""</f>
        <v/>
      </c>
      <c r="Z120" t="str">
        <f>""</f>
        <v/>
      </c>
      <c r="AA120" t="str">
        <f>""</f>
        <v/>
      </c>
      <c r="AB120" t="str">
        <f>""</f>
        <v/>
      </c>
      <c r="AC120" t="str">
        <f>""</f>
        <v/>
      </c>
      <c r="AD120" t="str">
        <f>""</f>
        <v/>
      </c>
      <c r="AE120" t="str">
        <f>""</f>
        <v/>
      </c>
      <c r="AF120" t="str">
        <f>""</f>
        <v/>
      </c>
      <c r="AG120" t="str">
        <f>""</f>
        <v/>
      </c>
      <c r="AH120" t="str">
        <f>""</f>
        <v/>
      </c>
      <c r="AI120" t="str">
        <f>""</f>
        <v/>
      </c>
      <c r="AJ120" t="str">
        <f>""</f>
        <v/>
      </c>
      <c r="AK120" t="str">
        <f>""</f>
        <v/>
      </c>
      <c r="AL120" t="str">
        <f>""</f>
        <v/>
      </c>
      <c r="AM120" t="str">
        <f>""</f>
        <v/>
      </c>
      <c r="AN120" t="str">
        <f>""</f>
        <v/>
      </c>
      <c r="AO120" t="str">
        <f>""</f>
        <v/>
      </c>
      <c r="AP120" t="str">
        <f>""</f>
        <v/>
      </c>
      <c r="AQ120" t="str">
        <f>""</f>
        <v/>
      </c>
      <c r="AR120" t="str">
        <f>"-0.0554"</f>
        <v>-0.0554</v>
      </c>
      <c r="AS120" t="str">
        <f>"-0.0217"</f>
        <v>-0.0217</v>
      </c>
      <c r="AT120" t="str">
        <f>"0.0713*"</f>
        <v>0.0713*</v>
      </c>
      <c r="AU120" t="str">
        <f>""</f>
        <v/>
      </c>
      <c r="AV120" t="str">
        <f>""</f>
        <v/>
      </c>
      <c r="AW120" t="str">
        <f>""</f>
        <v/>
      </c>
      <c r="AX120" t="str">
        <f>""</f>
        <v/>
      </c>
      <c r="AY120" t="str">
        <f>""</f>
        <v/>
      </c>
      <c r="AZ120" t="str">
        <f>""</f>
        <v/>
      </c>
      <c r="BA120" t="str">
        <f>""</f>
        <v/>
      </c>
      <c r="BB120" t="str">
        <f>""</f>
        <v/>
      </c>
      <c r="BC120" t="str">
        <f>""</f>
        <v/>
      </c>
      <c r="BD120" t="str">
        <f>""</f>
        <v/>
      </c>
      <c r="BE120" t="str">
        <f>""</f>
        <v/>
      </c>
      <c r="BF120" t="str">
        <f>""</f>
        <v/>
      </c>
      <c r="BG120" t="str">
        <f>""</f>
        <v/>
      </c>
      <c r="BH120" t="str">
        <f>""</f>
        <v/>
      </c>
      <c r="BI120" t="str">
        <f>""</f>
        <v/>
      </c>
      <c r="BJ120" t="str">
        <f>""</f>
        <v/>
      </c>
      <c r="BK120" t="str">
        <f>""</f>
        <v/>
      </c>
      <c r="BL120" t="str">
        <f>""</f>
        <v/>
      </c>
      <c r="BM120" t="str">
        <f>""</f>
        <v/>
      </c>
      <c r="BN120" t="str">
        <f>""</f>
        <v/>
      </c>
      <c r="BO120" t="str">
        <f>""</f>
        <v/>
      </c>
      <c r="BP120" t="str">
        <f>""</f>
        <v/>
      </c>
      <c r="BQ120" t="str">
        <f>""</f>
        <v/>
      </c>
      <c r="BR120" t="str">
        <f>""</f>
        <v/>
      </c>
      <c r="BS120" t="str">
        <f>""</f>
        <v/>
      </c>
      <c r="BT120" t="str">
        <f>""</f>
        <v/>
      </c>
      <c r="BU120" t="str">
        <f>""</f>
        <v/>
      </c>
      <c r="BV120" t="str">
        <f>""</f>
        <v/>
      </c>
      <c r="BW120" t="str">
        <f>""</f>
        <v/>
      </c>
      <c r="BX120" t="str">
        <f>""</f>
        <v/>
      </c>
      <c r="BY120" t="str">
        <f>""</f>
        <v/>
      </c>
      <c r="BZ120" t="str">
        <f>""</f>
        <v/>
      </c>
      <c r="CA120" t="str">
        <f>""</f>
        <v/>
      </c>
      <c r="CB120" t="str">
        <f>""</f>
        <v/>
      </c>
      <c r="CC120" t="str">
        <f>""</f>
        <v/>
      </c>
      <c r="CD120" t="str">
        <f>""</f>
        <v/>
      </c>
      <c r="CE120" t="str">
        <f>""</f>
        <v/>
      </c>
      <c r="CF120" t="str">
        <f>""</f>
        <v/>
      </c>
      <c r="CG120" t="str">
        <f>""</f>
        <v/>
      </c>
      <c r="CH120" t="str">
        <f>""</f>
        <v/>
      </c>
      <c r="CI120" t="str">
        <f>""</f>
        <v/>
      </c>
      <c r="CJ120" t="str">
        <f>""</f>
        <v/>
      </c>
      <c r="CK120" t="str">
        <f>"-0.0314"</f>
        <v>-0.0314</v>
      </c>
      <c r="CL120" t="str">
        <f>"-0.0305"</f>
        <v>-0.0305</v>
      </c>
      <c r="CM120" t="str">
        <f>"0.0666*"</f>
        <v>0.0666*</v>
      </c>
      <c r="CN120" t="str">
        <f>""</f>
        <v/>
      </c>
      <c r="CO120" t="str">
        <f>""</f>
        <v/>
      </c>
      <c r="CP120" t="str">
        <f>""</f>
        <v/>
      </c>
      <c r="CQ120" t="str">
        <f>""</f>
        <v/>
      </c>
      <c r="CR120" t="str">
        <f>""</f>
        <v/>
      </c>
      <c r="CS120" t="str">
        <f>""</f>
        <v/>
      </c>
      <c r="CT120" t="str">
        <f>""</f>
        <v/>
      </c>
      <c r="CU120" t="str">
        <f>""</f>
        <v/>
      </c>
      <c r="CV120" t="str">
        <f>""</f>
        <v/>
      </c>
      <c r="CW120" t="str">
        <f>""</f>
        <v/>
      </c>
      <c r="CX120" t="str">
        <f>""</f>
        <v/>
      </c>
      <c r="CY120" t="str">
        <f>""</f>
        <v/>
      </c>
      <c r="CZ120" t="str">
        <f>""</f>
        <v/>
      </c>
      <c r="DA120" t="str">
        <f>""</f>
        <v/>
      </c>
      <c r="DB120" t="str">
        <f>""</f>
        <v/>
      </c>
      <c r="DC120" t="str">
        <f>""</f>
        <v/>
      </c>
      <c r="DD120" t="str">
        <f>""</f>
        <v/>
      </c>
      <c r="DE120" t="str">
        <f>""</f>
        <v/>
      </c>
      <c r="DF120" t="str">
        <f>""</f>
        <v/>
      </c>
      <c r="DG120" t="str">
        <f>""</f>
        <v/>
      </c>
      <c r="DH120" t="str">
        <f>""</f>
        <v/>
      </c>
      <c r="DI120" t="str">
        <f>""</f>
        <v/>
      </c>
      <c r="DJ120" t="str">
        <f>""</f>
        <v/>
      </c>
      <c r="DK120" t="str">
        <f>""</f>
        <v/>
      </c>
      <c r="DL120" t="str">
        <f>""</f>
        <v/>
      </c>
      <c r="DM120" t="str">
        <f>""</f>
        <v/>
      </c>
      <c r="DN120" t="str">
        <f>""</f>
        <v/>
      </c>
      <c r="DO120" t="str">
        <f>""</f>
        <v/>
      </c>
      <c r="DP120" t="str">
        <f>""</f>
        <v/>
      </c>
      <c r="DQ120" t="str">
        <f>""</f>
        <v/>
      </c>
      <c r="DR120" t="str">
        <f>""</f>
        <v/>
      </c>
      <c r="DS120" t="str">
        <f>""</f>
        <v/>
      </c>
      <c r="DT120" t="str">
        <f>""</f>
        <v/>
      </c>
      <c r="DU120" t="str">
        <f>""</f>
        <v/>
      </c>
      <c r="DV120" t="str">
        <f>""</f>
        <v/>
      </c>
      <c r="DW120" t="str">
        <f>""</f>
        <v/>
      </c>
      <c r="DX120" t="str">
        <f>""</f>
        <v/>
      </c>
      <c r="DY120" t="str">
        <f>""</f>
        <v/>
      </c>
      <c r="DZ120" t="str">
        <f>""</f>
        <v/>
      </c>
      <c r="EA120" t="str">
        <f>""</f>
        <v/>
      </c>
      <c r="EB120" t="str">
        <f>""</f>
        <v/>
      </c>
      <c r="EC120" t="str">
        <f>""</f>
        <v/>
      </c>
      <c r="ED120" t="str">
        <f>"-0.0563"</f>
        <v>-0.0563</v>
      </c>
      <c r="EE120" t="str">
        <f>"0.00133"</f>
        <v>0.00133</v>
      </c>
      <c r="EF120" t="str">
        <f>"0.0463"</f>
        <v>0.0463</v>
      </c>
      <c r="EG120" t="str">
        <f>""</f>
        <v/>
      </c>
      <c r="EH120" t="str">
        <f>""</f>
        <v/>
      </c>
      <c r="EI120" t="str">
        <f>""</f>
        <v/>
      </c>
      <c r="EJ120" t="str">
        <f>""</f>
        <v/>
      </c>
      <c r="EK120" t="str">
        <f>""</f>
        <v/>
      </c>
      <c r="EL120" t="str">
        <f>""</f>
        <v/>
      </c>
      <c r="EM120" t="str">
        <f>""</f>
        <v/>
      </c>
      <c r="EN120" t="str">
        <f>""</f>
        <v/>
      </c>
      <c r="EO120" t="str">
        <f>""</f>
        <v/>
      </c>
      <c r="EP120" t="str">
        <f>""</f>
        <v/>
      </c>
      <c r="EQ120" t="str">
        <f>""</f>
        <v/>
      </c>
      <c r="ER120" t="str">
        <f>""</f>
        <v/>
      </c>
      <c r="ES120" t="str">
        <f>""</f>
        <v/>
      </c>
      <c r="ET120" t="str">
        <f>""</f>
        <v/>
      </c>
      <c r="EU120" t="str">
        <f>""</f>
        <v/>
      </c>
      <c r="EV120" t="str">
        <f>""</f>
        <v/>
      </c>
      <c r="EW120" t="str">
        <f>""</f>
        <v/>
      </c>
      <c r="EX120" t="str">
        <f>""</f>
        <v/>
      </c>
      <c r="EY120" t="str">
        <f>""</f>
        <v/>
      </c>
      <c r="EZ120" t="str">
        <f>""</f>
        <v/>
      </c>
      <c r="FA120" t="str">
        <f>""</f>
        <v/>
      </c>
      <c r="FB120" t="str">
        <f>""</f>
        <v/>
      </c>
      <c r="FC120" t="str">
        <f>""</f>
        <v/>
      </c>
      <c r="FD120" t="str">
        <f>""</f>
        <v/>
      </c>
      <c r="FE120" t="str">
        <f>""</f>
        <v/>
      </c>
      <c r="FF120" t="str">
        <f>""</f>
        <v/>
      </c>
      <c r="FG120" t="str">
        <f>""</f>
        <v/>
      </c>
      <c r="FH120" t="str">
        <f>""</f>
        <v/>
      </c>
      <c r="FI120" t="str">
        <f>""</f>
        <v/>
      </c>
      <c r="FJ120" t="str">
        <f>""</f>
        <v/>
      </c>
      <c r="FK120" t="str">
        <f>""</f>
        <v/>
      </c>
      <c r="FL120" t="str">
        <f>""</f>
        <v/>
      </c>
      <c r="FM120" t="str">
        <f>""</f>
        <v/>
      </c>
      <c r="FN120" t="str">
        <f>""</f>
        <v/>
      </c>
      <c r="FO120" t="str">
        <f>""</f>
        <v/>
      </c>
      <c r="FP120" t="str">
        <f>""</f>
        <v/>
      </c>
      <c r="FQ120" t="str">
        <f>""</f>
        <v/>
      </c>
      <c r="FR120" t="str">
        <f>""</f>
        <v/>
      </c>
      <c r="FS120" t="str">
        <f>""</f>
        <v/>
      </c>
      <c r="FT120" t="str">
        <f>""</f>
        <v/>
      </c>
      <c r="FU120" t="str">
        <f>""</f>
        <v/>
      </c>
      <c r="FV120" t="str">
        <f>""</f>
        <v/>
      </c>
      <c r="FW120" t="str">
        <f>"-0.128"</f>
        <v>-0.128</v>
      </c>
      <c r="FX120" t="str">
        <f>"-0.0456"</f>
        <v>-0.0456</v>
      </c>
      <c r="FY120" t="str">
        <f>"0.0594"</f>
        <v>0.0594</v>
      </c>
      <c r="FZ120" t="str">
        <f>""</f>
        <v/>
      </c>
      <c r="GA120" t="str">
        <f>""</f>
        <v/>
      </c>
      <c r="GB120" t="str">
        <f>""</f>
        <v/>
      </c>
      <c r="GC120" t="str">
        <f>""</f>
        <v/>
      </c>
      <c r="GD120" t="str">
        <f>""</f>
        <v/>
      </c>
      <c r="GE120" t="str">
        <f>""</f>
        <v/>
      </c>
      <c r="GF120" t="str">
        <f>""</f>
        <v/>
      </c>
      <c r="GG120" t="str">
        <f>""</f>
        <v/>
      </c>
      <c r="GH120" t="str">
        <f>""</f>
        <v/>
      </c>
      <c r="GI120" t="str">
        <f>""</f>
        <v/>
      </c>
      <c r="GJ120" t="str">
        <f>""</f>
        <v/>
      </c>
      <c r="GK120" t="str">
        <f>""</f>
        <v/>
      </c>
      <c r="GL120" t="str">
        <f>""</f>
        <v/>
      </c>
      <c r="GM120" t="str">
        <f>""</f>
        <v/>
      </c>
      <c r="GN120" t="str">
        <f>""</f>
        <v/>
      </c>
      <c r="GO120" t="str">
        <f>""</f>
        <v/>
      </c>
      <c r="GP120" t="str">
        <f>""</f>
        <v/>
      </c>
      <c r="GQ120" t="str">
        <f>""</f>
        <v/>
      </c>
      <c r="GR120" t="str">
        <f>""</f>
        <v/>
      </c>
      <c r="GS120" t="str">
        <f>""</f>
        <v/>
      </c>
      <c r="GT120" t="str">
        <f>""</f>
        <v/>
      </c>
      <c r="GU120" t="str">
        <f>""</f>
        <v/>
      </c>
      <c r="GV120" t="str">
        <f>""</f>
        <v/>
      </c>
      <c r="GW120" t="str">
        <f>""</f>
        <v/>
      </c>
      <c r="GX120" t="str">
        <f>""</f>
        <v/>
      </c>
      <c r="GY120" t="str">
        <f>""</f>
        <v/>
      </c>
      <c r="GZ120" t="str">
        <f>""</f>
        <v/>
      </c>
      <c r="HA120" t="str">
        <f>""</f>
        <v/>
      </c>
      <c r="HB120" t="str">
        <f>""</f>
        <v/>
      </c>
      <c r="HC120" t="str">
        <f>""</f>
        <v/>
      </c>
      <c r="HD120" t="str">
        <f>""</f>
        <v/>
      </c>
      <c r="HE120" t="str">
        <f>""</f>
        <v/>
      </c>
      <c r="HF120" t="str">
        <f>""</f>
        <v/>
      </c>
      <c r="HG120" t="str">
        <f>""</f>
        <v/>
      </c>
      <c r="HH120" t="str">
        <f>""</f>
        <v/>
      </c>
      <c r="HI120" t="str">
        <f>""</f>
        <v/>
      </c>
      <c r="HJ120" t="str">
        <f>""</f>
        <v/>
      </c>
      <c r="HK120" t="str">
        <f>""</f>
        <v/>
      </c>
      <c r="HL120" t="str">
        <f>""</f>
        <v/>
      </c>
      <c r="HM120" t="str">
        <f>""</f>
        <v/>
      </c>
      <c r="HN120" t="str">
        <f>""</f>
        <v/>
      </c>
      <c r="HO120" t="str">
        <f>""</f>
        <v/>
      </c>
      <c r="HP120" t="str">
        <f>"-0.105"</f>
        <v>-0.105</v>
      </c>
      <c r="HQ120" t="str">
        <f>"-0.0470"</f>
        <v>-0.0470</v>
      </c>
      <c r="HR120" t="str">
        <f>"0.0668*"</f>
        <v>0.0668*</v>
      </c>
      <c r="HS120" t="str">
        <f>""</f>
        <v/>
      </c>
      <c r="HT120" t="str">
        <f>""</f>
        <v/>
      </c>
      <c r="HU120" t="str">
        <f>""</f>
        <v/>
      </c>
      <c r="HV120" t="str">
        <f>""</f>
        <v/>
      </c>
      <c r="HW120" t="str">
        <f>""</f>
        <v/>
      </c>
      <c r="HX120" t="str">
        <f>""</f>
        <v/>
      </c>
      <c r="HY120" t="str">
        <f>""</f>
        <v/>
      </c>
      <c r="HZ120" t="str">
        <f>""</f>
        <v/>
      </c>
      <c r="IA120" t="str">
        <f>""</f>
        <v/>
      </c>
      <c r="IB120" t="str">
        <f>""</f>
        <v/>
      </c>
      <c r="IC120" t="str">
        <f>""</f>
        <v/>
      </c>
      <c r="ID120" t="str">
        <f>""</f>
        <v/>
      </c>
      <c r="IE120" t="str">
        <f>""</f>
        <v/>
      </c>
      <c r="IF120" t="str">
        <f>""</f>
        <v/>
      </c>
      <c r="IG120" t="str">
        <f>""</f>
        <v/>
      </c>
      <c r="IH120" t="str">
        <f>""</f>
        <v/>
      </c>
      <c r="II120" t="str">
        <f>""</f>
        <v/>
      </c>
      <c r="IJ120" t="str">
        <f>""</f>
        <v/>
      </c>
      <c r="IK120" t="str">
        <f>""</f>
        <v/>
      </c>
      <c r="IL120" t="str">
        <f>""</f>
        <v/>
      </c>
      <c r="IM120" t="str">
        <f>""</f>
        <v/>
      </c>
      <c r="IN120" t="str">
        <f>""</f>
        <v/>
      </c>
      <c r="IO120" t="str">
        <f>""</f>
        <v/>
      </c>
      <c r="IP120" t="str">
        <f>""</f>
        <v/>
      </c>
      <c r="IQ120" t="str">
        <f>""</f>
        <v/>
      </c>
      <c r="IR120" t="str">
        <f>""</f>
        <v/>
      </c>
      <c r="IS120" t="str">
        <f>""</f>
        <v/>
      </c>
      <c r="IT120" t="str">
        <f>""</f>
        <v/>
      </c>
      <c r="IU120" t="str">
        <f>""</f>
        <v/>
      </c>
      <c r="IV120" t="str">
        <f>""</f>
        <v/>
      </c>
      <c r="IW120" t="str">
        <f>""</f>
        <v/>
      </c>
      <c r="IX120" t="str">
        <f>""</f>
        <v/>
      </c>
      <c r="IY120" t="str">
        <f>""</f>
        <v/>
      </c>
      <c r="IZ120" t="str">
        <f>""</f>
        <v/>
      </c>
      <c r="JA120" t="str">
        <f>""</f>
        <v/>
      </c>
      <c r="JB120" t="str">
        <f>""</f>
        <v/>
      </c>
      <c r="JC120" t="str">
        <f>""</f>
        <v/>
      </c>
      <c r="JD120" t="str">
        <f>""</f>
        <v/>
      </c>
      <c r="JE120" t="str">
        <f>""</f>
        <v/>
      </c>
      <c r="JF120" t="str">
        <f>""</f>
        <v/>
      </c>
      <c r="JG120" t="str">
        <f>""</f>
        <v/>
      </c>
      <c r="JH120" t="str">
        <f>""</f>
        <v/>
      </c>
      <c r="JI120" t="str">
        <f>"-0.129"</f>
        <v>-0.129</v>
      </c>
      <c r="JJ120" t="str">
        <f>"-0.0434"</f>
        <v>-0.0434</v>
      </c>
      <c r="JK120" t="str">
        <f>"0.102**"</f>
        <v>0.102**</v>
      </c>
    </row>
    <row r="121" spans="1:271" x14ac:dyDescent="0.3">
      <c r="A121" t="str">
        <f>""</f>
        <v/>
      </c>
      <c r="B121" t="str">
        <f>""</f>
        <v/>
      </c>
      <c r="C121" t="str">
        <f>""</f>
        <v/>
      </c>
      <c r="D121" t="str">
        <f>""</f>
        <v/>
      </c>
      <c r="E121" t="str">
        <f>""</f>
        <v/>
      </c>
      <c r="F121" t="str">
        <f>""</f>
        <v/>
      </c>
      <c r="G121" t="str">
        <f>""</f>
        <v/>
      </c>
      <c r="H121" t="str">
        <f>""</f>
        <v/>
      </c>
      <c r="I121" t="str">
        <f>""</f>
        <v/>
      </c>
      <c r="J121" t="str">
        <f>""</f>
        <v/>
      </c>
      <c r="K121" t="str">
        <f>""</f>
        <v/>
      </c>
      <c r="L121" t="str">
        <f>""</f>
        <v/>
      </c>
      <c r="M121" t="str">
        <f>""</f>
        <v/>
      </c>
      <c r="N121" t="str">
        <f>""</f>
        <v/>
      </c>
      <c r="O121" t="str">
        <f>""</f>
        <v/>
      </c>
      <c r="P121" t="str">
        <f>""</f>
        <v/>
      </c>
      <c r="Q121" t="str">
        <f>""</f>
        <v/>
      </c>
      <c r="R121" t="str">
        <f>""</f>
        <v/>
      </c>
      <c r="S121" t="str">
        <f>""</f>
        <v/>
      </c>
      <c r="T121" t="str">
        <f>""</f>
        <v/>
      </c>
      <c r="U121" t="str">
        <f>""</f>
        <v/>
      </c>
      <c r="V121" t="str">
        <f>""</f>
        <v/>
      </c>
      <c r="W121" t="str">
        <f>""</f>
        <v/>
      </c>
      <c r="X121" t="str">
        <f>""</f>
        <v/>
      </c>
      <c r="Y121" t="str">
        <f>""</f>
        <v/>
      </c>
      <c r="Z121" t="str">
        <f>""</f>
        <v/>
      </c>
      <c r="AA121" t="str">
        <f>""</f>
        <v/>
      </c>
      <c r="AB121" t="str">
        <f>""</f>
        <v/>
      </c>
      <c r="AC121" t="str">
        <f>""</f>
        <v/>
      </c>
      <c r="AD121" t="str">
        <f>""</f>
        <v/>
      </c>
      <c r="AE121" t="str">
        <f>""</f>
        <v/>
      </c>
      <c r="AF121" t="str">
        <f>""</f>
        <v/>
      </c>
      <c r="AG121" t="str">
        <f>""</f>
        <v/>
      </c>
      <c r="AH121" t="str">
        <f>""</f>
        <v/>
      </c>
      <c r="AI121" t="str">
        <f>""</f>
        <v/>
      </c>
      <c r="AJ121" t="str">
        <f>""</f>
        <v/>
      </c>
      <c r="AK121" t="str">
        <f>""</f>
        <v/>
      </c>
      <c r="AL121" t="str">
        <f>""</f>
        <v/>
      </c>
      <c r="AM121" t="str">
        <f>""</f>
        <v/>
      </c>
      <c r="AN121" t="str">
        <f>""</f>
        <v/>
      </c>
      <c r="AO121" t="str">
        <f>""</f>
        <v/>
      </c>
      <c r="AP121" t="str">
        <f>""</f>
        <v/>
      </c>
      <c r="AQ121" t="str">
        <f>""</f>
        <v/>
      </c>
      <c r="AR121" t="str">
        <f>"(0.0731)"</f>
        <v>(0.0731)</v>
      </c>
      <c r="AS121" t="str">
        <f>"(0.0592)"</f>
        <v>(0.0592)</v>
      </c>
      <c r="AT121" t="str">
        <f>"(0.0327)"</f>
        <v>(0.0327)</v>
      </c>
      <c r="AU121" t="str">
        <f>""</f>
        <v/>
      </c>
      <c r="AV121" t="str">
        <f>""</f>
        <v/>
      </c>
      <c r="AW121" t="str">
        <f>""</f>
        <v/>
      </c>
      <c r="AX121" t="str">
        <f>""</f>
        <v/>
      </c>
      <c r="AY121" t="str">
        <f>""</f>
        <v/>
      </c>
      <c r="AZ121" t="str">
        <f>""</f>
        <v/>
      </c>
      <c r="BA121" t="str">
        <f>""</f>
        <v/>
      </c>
      <c r="BB121" t="str">
        <f>""</f>
        <v/>
      </c>
      <c r="BC121" t="str">
        <f>""</f>
        <v/>
      </c>
      <c r="BD121" t="str">
        <f>""</f>
        <v/>
      </c>
      <c r="BE121" t="str">
        <f>""</f>
        <v/>
      </c>
      <c r="BF121" t="str">
        <f>""</f>
        <v/>
      </c>
      <c r="BG121" t="str">
        <f>""</f>
        <v/>
      </c>
      <c r="BH121" t="str">
        <f>""</f>
        <v/>
      </c>
      <c r="BI121" t="str">
        <f>""</f>
        <v/>
      </c>
      <c r="BJ121" t="str">
        <f>""</f>
        <v/>
      </c>
      <c r="BK121" t="str">
        <f>""</f>
        <v/>
      </c>
      <c r="BL121" t="str">
        <f>""</f>
        <v/>
      </c>
      <c r="BM121" t="str">
        <f>""</f>
        <v/>
      </c>
      <c r="BN121" t="str">
        <f>""</f>
        <v/>
      </c>
      <c r="BO121" t="str">
        <f>""</f>
        <v/>
      </c>
      <c r="BP121" t="str">
        <f>""</f>
        <v/>
      </c>
      <c r="BQ121" t="str">
        <f>""</f>
        <v/>
      </c>
      <c r="BR121" t="str">
        <f>""</f>
        <v/>
      </c>
      <c r="BS121" t="str">
        <f>""</f>
        <v/>
      </c>
      <c r="BT121" t="str">
        <f>""</f>
        <v/>
      </c>
      <c r="BU121" t="str">
        <f>""</f>
        <v/>
      </c>
      <c r="BV121" t="str">
        <f>""</f>
        <v/>
      </c>
      <c r="BW121" t="str">
        <f>""</f>
        <v/>
      </c>
      <c r="BX121" t="str">
        <f>""</f>
        <v/>
      </c>
      <c r="BY121" t="str">
        <f>""</f>
        <v/>
      </c>
      <c r="BZ121" t="str">
        <f>""</f>
        <v/>
      </c>
      <c r="CA121" t="str">
        <f>""</f>
        <v/>
      </c>
      <c r="CB121" t="str">
        <f>""</f>
        <v/>
      </c>
      <c r="CC121" t="str">
        <f>""</f>
        <v/>
      </c>
      <c r="CD121" t="str">
        <f>""</f>
        <v/>
      </c>
      <c r="CE121" t="str">
        <f>""</f>
        <v/>
      </c>
      <c r="CF121" t="str">
        <f>""</f>
        <v/>
      </c>
      <c r="CG121" t="str">
        <f>""</f>
        <v/>
      </c>
      <c r="CH121" t="str">
        <f>""</f>
        <v/>
      </c>
      <c r="CI121" t="str">
        <f>""</f>
        <v/>
      </c>
      <c r="CJ121" t="str">
        <f>""</f>
        <v/>
      </c>
      <c r="CK121" t="str">
        <f>"(0.0745)"</f>
        <v>(0.0745)</v>
      </c>
      <c r="CL121" t="str">
        <f>"(0.0605)"</f>
        <v>(0.0605)</v>
      </c>
      <c r="CM121" t="str">
        <f>"(0.0325)"</f>
        <v>(0.0325)</v>
      </c>
      <c r="CN121" t="str">
        <f>""</f>
        <v/>
      </c>
      <c r="CO121" t="str">
        <f>""</f>
        <v/>
      </c>
      <c r="CP121" t="str">
        <f>""</f>
        <v/>
      </c>
      <c r="CQ121" t="str">
        <f>""</f>
        <v/>
      </c>
      <c r="CR121" t="str">
        <f>""</f>
        <v/>
      </c>
      <c r="CS121" t="str">
        <f>""</f>
        <v/>
      </c>
      <c r="CT121" t="str">
        <f>""</f>
        <v/>
      </c>
      <c r="CU121" t="str">
        <f>""</f>
        <v/>
      </c>
      <c r="CV121" t="str">
        <f>""</f>
        <v/>
      </c>
      <c r="CW121" t="str">
        <f>""</f>
        <v/>
      </c>
      <c r="CX121" t="str">
        <f>""</f>
        <v/>
      </c>
      <c r="CY121" t="str">
        <f>""</f>
        <v/>
      </c>
      <c r="CZ121" t="str">
        <f>""</f>
        <v/>
      </c>
      <c r="DA121" t="str">
        <f>""</f>
        <v/>
      </c>
      <c r="DB121" t="str">
        <f>""</f>
        <v/>
      </c>
      <c r="DC121" t="str">
        <f>""</f>
        <v/>
      </c>
      <c r="DD121" t="str">
        <f>""</f>
        <v/>
      </c>
      <c r="DE121" t="str">
        <f>""</f>
        <v/>
      </c>
      <c r="DF121" t="str">
        <f>""</f>
        <v/>
      </c>
      <c r="DG121" t="str">
        <f>""</f>
        <v/>
      </c>
      <c r="DH121" t="str">
        <f>""</f>
        <v/>
      </c>
      <c r="DI121" t="str">
        <f>""</f>
        <v/>
      </c>
      <c r="DJ121" t="str">
        <f>""</f>
        <v/>
      </c>
      <c r="DK121" t="str">
        <f>""</f>
        <v/>
      </c>
      <c r="DL121" t="str">
        <f>""</f>
        <v/>
      </c>
      <c r="DM121" t="str">
        <f>""</f>
        <v/>
      </c>
      <c r="DN121" t="str">
        <f>""</f>
        <v/>
      </c>
      <c r="DO121" t="str">
        <f>""</f>
        <v/>
      </c>
      <c r="DP121" t="str">
        <f>""</f>
        <v/>
      </c>
      <c r="DQ121" t="str">
        <f>""</f>
        <v/>
      </c>
      <c r="DR121" t="str">
        <f>""</f>
        <v/>
      </c>
      <c r="DS121" t="str">
        <f>""</f>
        <v/>
      </c>
      <c r="DT121" t="str">
        <f>""</f>
        <v/>
      </c>
      <c r="DU121" t="str">
        <f>""</f>
        <v/>
      </c>
      <c r="DV121" t="str">
        <f>""</f>
        <v/>
      </c>
      <c r="DW121" t="str">
        <f>""</f>
        <v/>
      </c>
      <c r="DX121" t="str">
        <f>""</f>
        <v/>
      </c>
      <c r="DY121" t="str">
        <f>""</f>
        <v/>
      </c>
      <c r="DZ121" t="str">
        <f>""</f>
        <v/>
      </c>
      <c r="EA121" t="str">
        <f>""</f>
        <v/>
      </c>
      <c r="EB121" t="str">
        <f>""</f>
        <v/>
      </c>
      <c r="EC121" t="str">
        <f>""</f>
        <v/>
      </c>
      <c r="ED121" t="str">
        <f>"(0.0749)"</f>
        <v>(0.0749)</v>
      </c>
      <c r="EE121" t="str">
        <f>"(0.0571)"</f>
        <v>(0.0571)</v>
      </c>
      <c r="EF121" t="str">
        <f>"(0.0322)"</f>
        <v>(0.0322)</v>
      </c>
      <c r="EG121" t="str">
        <f>""</f>
        <v/>
      </c>
      <c r="EH121" t="str">
        <f>""</f>
        <v/>
      </c>
      <c r="EI121" t="str">
        <f>""</f>
        <v/>
      </c>
      <c r="EJ121" t="str">
        <f>""</f>
        <v/>
      </c>
      <c r="EK121" t="str">
        <f>""</f>
        <v/>
      </c>
      <c r="EL121" t="str">
        <f>""</f>
        <v/>
      </c>
      <c r="EM121" t="str">
        <f>""</f>
        <v/>
      </c>
      <c r="EN121" t="str">
        <f>""</f>
        <v/>
      </c>
      <c r="EO121" t="str">
        <f>""</f>
        <v/>
      </c>
      <c r="EP121" t="str">
        <f>""</f>
        <v/>
      </c>
      <c r="EQ121" t="str">
        <f>""</f>
        <v/>
      </c>
      <c r="ER121" t="str">
        <f>""</f>
        <v/>
      </c>
      <c r="ES121" t="str">
        <f>""</f>
        <v/>
      </c>
      <c r="ET121" t="str">
        <f>""</f>
        <v/>
      </c>
      <c r="EU121" t="str">
        <f>""</f>
        <v/>
      </c>
      <c r="EV121" t="str">
        <f>""</f>
        <v/>
      </c>
      <c r="EW121" t="str">
        <f>""</f>
        <v/>
      </c>
      <c r="EX121" t="str">
        <f>""</f>
        <v/>
      </c>
      <c r="EY121" t="str">
        <f>""</f>
        <v/>
      </c>
      <c r="EZ121" t="str">
        <f>""</f>
        <v/>
      </c>
      <c r="FA121" t="str">
        <f>""</f>
        <v/>
      </c>
      <c r="FB121" t="str">
        <f>""</f>
        <v/>
      </c>
      <c r="FC121" t="str">
        <f>""</f>
        <v/>
      </c>
      <c r="FD121" t="str">
        <f>""</f>
        <v/>
      </c>
      <c r="FE121" t="str">
        <f>""</f>
        <v/>
      </c>
      <c r="FF121" t="str">
        <f>""</f>
        <v/>
      </c>
      <c r="FG121" t="str">
        <f>""</f>
        <v/>
      </c>
      <c r="FH121" t="str">
        <f>""</f>
        <v/>
      </c>
      <c r="FI121" t="str">
        <f>""</f>
        <v/>
      </c>
      <c r="FJ121" t="str">
        <f>""</f>
        <v/>
      </c>
      <c r="FK121" t="str">
        <f>""</f>
        <v/>
      </c>
      <c r="FL121" t="str">
        <f>""</f>
        <v/>
      </c>
      <c r="FM121" t="str">
        <f>""</f>
        <v/>
      </c>
      <c r="FN121" t="str">
        <f>""</f>
        <v/>
      </c>
      <c r="FO121" t="str">
        <f>""</f>
        <v/>
      </c>
      <c r="FP121" t="str">
        <f>""</f>
        <v/>
      </c>
      <c r="FQ121" t="str">
        <f>""</f>
        <v/>
      </c>
      <c r="FR121" t="str">
        <f>""</f>
        <v/>
      </c>
      <c r="FS121" t="str">
        <f>""</f>
        <v/>
      </c>
      <c r="FT121" t="str">
        <f>""</f>
        <v/>
      </c>
      <c r="FU121" t="str">
        <f>""</f>
        <v/>
      </c>
      <c r="FV121" t="str">
        <f>""</f>
        <v/>
      </c>
      <c r="FW121" t="str">
        <f>"(0.0722)"</f>
        <v>(0.0722)</v>
      </c>
      <c r="FX121" t="str">
        <f>"(0.0614)"</f>
        <v>(0.0614)</v>
      </c>
      <c r="FY121" t="str">
        <f>"(0.0327)"</f>
        <v>(0.0327)</v>
      </c>
      <c r="FZ121" t="str">
        <f>""</f>
        <v/>
      </c>
      <c r="GA121" t="str">
        <f>""</f>
        <v/>
      </c>
      <c r="GB121" t="str">
        <f>""</f>
        <v/>
      </c>
      <c r="GC121" t="str">
        <f>""</f>
        <v/>
      </c>
      <c r="GD121" t="str">
        <f>""</f>
        <v/>
      </c>
      <c r="GE121" t="str">
        <f>""</f>
        <v/>
      </c>
      <c r="GF121" t="str">
        <f>""</f>
        <v/>
      </c>
      <c r="GG121" t="str">
        <f>""</f>
        <v/>
      </c>
      <c r="GH121" t="str">
        <f>""</f>
        <v/>
      </c>
      <c r="GI121" t="str">
        <f>""</f>
        <v/>
      </c>
      <c r="GJ121" t="str">
        <f>""</f>
        <v/>
      </c>
      <c r="GK121" t="str">
        <f>""</f>
        <v/>
      </c>
      <c r="GL121" t="str">
        <f>""</f>
        <v/>
      </c>
      <c r="GM121" t="str">
        <f>""</f>
        <v/>
      </c>
      <c r="GN121" t="str">
        <f>""</f>
        <v/>
      </c>
      <c r="GO121" t="str">
        <f>""</f>
        <v/>
      </c>
      <c r="GP121" t="str">
        <f>""</f>
        <v/>
      </c>
      <c r="GQ121" t="str">
        <f>""</f>
        <v/>
      </c>
      <c r="GR121" t="str">
        <f>""</f>
        <v/>
      </c>
      <c r="GS121" t="str">
        <f>""</f>
        <v/>
      </c>
      <c r="GT121" t="str">
        <f>""</f>
        <v/>
      </c>
      <c r="GU121" t="str">
        <f>""</f>
        <v/>
      </c>
      <c r="GV121" t="str">
        <f>""</f>
        <v/>
      </c>
      <c r="GW121" t="str">
        <f>""</f>
        <v/>
      </c>
      <c r="GX121" t="str">
        <f>""</f>
        <v/>
      </c>
      <c r="GY121" t="str">
        <f>""</f>
        <v/>
      </c>
      <c r="GZ121" t="str">
        <f>""</f>
        <v/>
      </c>
      <c r="HA121" t="str">
        <f>""</f>
        <v/>
      </c>
      <c r="HB121" t="str">
        <f>""</f>
        <v/>
      </c>
      <c r="HC121" t="str">
        <f>""</f>
        <v/>
      </c>
      <c r="HD121" t="str">
        <f>""</f>
        <v/>
      </c>
      <c r="HE121" t="str">
        <f>""</f>
        <v/>
      </c>
      <c r="HF121" t="str">
        <f>""</f>
        <v/>
      </c>
      <c r="HG121" t="str">
        <f>""</f>
        <v/>
      </c>
      <c r="HH121" t="str">
        <f>""</f>
        <v/>
      </c>
      <c r="HI121" t="str">
        <f>""</f>
        <v/>
      </c>
      <c r="HJ121" t="str">
        <f>""</f>
        <v/>
      </c>
      <c r="HK121" t="str">
        <f>""</f>
        <v/>
      </c>
      <c r="HL121" t="str">
        <f>""</f>
        <v/>
      </c>
      <c r="HM121" t="str">
        <f>""</f>
        <v/>
      </c>
      <c r="HN121" t="str">
        <f>""</f>
        <v/>
      </c>
      <c r="HO121" t="str">
        <f>""</f>
        <v/>
      </c>
      <c r="HP121" t="str">
        <f>"(0.0732)"</f>
        <v>(0.0732)</v>
      </c>
      <c r="HQ121" t="str">
        <f>"(0.0620)"</f>
        <v>(0.0620)</v>
      </c>
      <c r="HR121" t="str">
        <f>"(0.0327)"</f>
        <v>(0.0327)</v>
      </c>
      <c r="HS121" t="str">
        <f>""</f>
        <v/>
      </c>
      <c r="HT121" t="str">
        <f>""</f>
        <v/>
      </c>
      <c r="HU121" t="str">
        <f>""</f>
        <v/>
      </c>
      <c r="HV121" t="str">
        <f>""</f>
        <v/>
      </c>
      <c r="HW121" t="str">
        <f>""</f>
        <v/>
      </c>
      <c r="HX121" t="str">
        <f>""</f>
        <v/>
      </c>
      <c r="HY121" t="str">
        <f>""</f>
        <v/>
      </c>
      <c r="HZ121" t="str">
        <f>""</f>
        <v/>
      </c>
      <c r="IA121" t="str">
        <f>""</f>
        <v/>
      </c>
      <c r="IB121" t="str">
        <f>""</f>
        <v/>
      </c>
      <c r="IC121" t="str">
        <f>""</f>
        <v/>
      </c>
      <c r="ID121" t="str">
        <f>""</f>
        <v/>
      </c>
      <c r="IE121" t="str">
        <f>""</f>
        <v/>
      </c>
      <c r="IF121" t="str">
        <f>""</f>
        <v/>
      </c>
      <c r="IG121" t="str">
        <f>""</f>
        <v/>
      </c>
      <c r="IH121" t="str">
        <f>""</f>
        <v/>
      </c>
      <c r="II121" t="str">
        <f>""</f>
        <v/>
      </c>
      <c r="IJ121" t="str">
        <f>""</f>
        <v/>
      </c>
      <c r="IK121" t="str">
        <f>""</f>
        <v/>
      </c>
      <c r="IL121" t="str">
        <f>""</f>
        <v/>
      </c>
      <c r="IM121" t="str">
        <f>""</f>
        <v/>
      </c>
      <c r="IN121" t="str">
        <f>""</f>
        <v/>
      </c>
      <c r="IO121" t="str">
        <f>""</f>
        <v/>
      </c>
      <c r="IP121" t="str">
        <f>""</f>
        <v/>
      </c>
      <c r="IQ121" t="str">
        <f>""</f>
        <v/>
      </c>
      <c r="IR121" t="str">
        <f>""</f>
        <v/>
      </c>
      <c r="IS121" t="str">
        <f>""</f>
        <v/>
      </c>
      <c r="IT121" t="str">
        <f>""</f>
        <v/>
      </c>
      <c r="IU121" t="str">
        <f>""</f>
        <v/>
      </c>
      <c r="IV121" t="str">
        <f>""</f>
        <v/>
      </c>
      <c r="IW121" t="str">
        <f>""</f>
        <v/>
      </c>
      <c r="IX121" t="str">
        <f>""</f>
        <v/>
      </c>
      <c r="IY121" t="str">
        <f>""</f>
        <v/>
      </c>
      <c r="IZ121" t="str">
        <f>""</f>
        <v/>
      </c>
      <c r="JA121" t="str">
        <f>""</f>
        <v/>
      </c>
      <c r="JB121" t="str">
        <f>""</f>
        <v/>
      </c>
      <c r="JC121" t="str">
        <f>""</f>
        <v/>
      </c>
      <c r="JD121" t="str">
        <f>""</f>
        <v/>
      </c>
      <c r="JE121" t="str">
        <f>""</f>
        <v/>
      </c>
      <c r="JF121" t="str">
        <f>""</f>
        <v/>
      </c>
      <c r="JG121" t="str">
        <f>""</f>
        <v/>
      </c>
      <c r="JH121" t="str">
        <f>""</f>
        <v/>
      </c>
      <c r="JI121" t="str">
        <f>"(0.0739)"</f>
        <v>(0.0739)</v>
      </c>
      <c r="JJ121" t="str">
        <f>"(0.0617)"</f>
        <v>(0.0617)</v>
      </c>
      <c r="JK121" t="str">
        <f>"(0.0330)"</f>
        <v>(0.0330)</v>
      </c>
    </row>
    <row r="123" spans="1:271" x14ac:dyDescent="0.3">
      <c r="A123" t="str">
        <f>"c.zMETAB15#c.PM1"</f>
        <v>c.zMETAB15#c.PM1</v>
      </c>
      <c r="B123" t="str">
        <f>""</f>
        <v/>
      </c>
      <c r="C123" t="str">
        <f>""</f>
        <v/>
      </c>
      <c r="D123" t="str">
        <f>""</f>
        <v/>
      </c>
      <c r="E123" t="str">
        <f>""</f>
        <v/>
      </c>
      <c r="F123" t="str">
        <f>""</f>
        <v/>
      </c>
      <c r="G123" t="str">
        <f>""</f>
        <v/>
      </c>
      <c r="H123" t="str">
        <f>""</f>
        <v/>
      </c>
      <c r="I123" t="str">
        <f>""</f>
        <v/>
      </c>
      <c r="J123" t="str">
        <f>""</f>
        <v/>
      </c>
      <c r="K123" t="str">
        <f>""</f>
        <v/>
      </c>
      <c r="L123" t="str">
        <f>""</f>
        <v/>
      </c>
      <c r="M123" t="str">
        <f>""</f>
        <v/>
      </c>
      <c r="N123" t="str">
        <f>""</f>
        <v/>
      </c>
      <c r="O123" t="str">
        <f>""</f>
        <v/>
      </c>
      <c r="P123" t="str">
        <f>""</f>
        <v/>
      </c>
      <c r="Q123" t="str">
        <f>""</f>
        <v/>
      </c>
      <c r="R123" t="str">
        <f>""</f>
        <v/>
      </c>
      <c r="S123" t="str">
        <f>""</f>
        <v/>
      </c>
      <c r="T123" t="str">
        <f>""</f>
        <v/>
      </c>
      <c r="U123" t="str">
        <f>""</f>
        <v/>
      </c>
      <c r="V123" t="str">
        <f>""</f>
        <v/>
      </c>
      <c r="W123" t="str">
        <f>""</f>
        <v/>
      </c>
      <c r="X123" t="str">
        <f>""</f>
        <v/>
      </c>
      <c r="Y123" t="str">
        <f>""</f>
        <v/>
      </c>
      <c r="Z123" t="str">
        <f>""</f>
        <v/>
      </c>
      <c r="AA123" t="str">
        <f>""</f>
        <v/>
      </c>
      <c r="AB123" t="str">
        <f>""</f>
        <v/>
      </c>
      <c r="AC123" t="str">
        <f>""</f>
        <v/>
      </c>
      <c r="AD123" t="str">
        <f>""</f>
        <v/>
      </c>
      <c r="AE123" t="str">
        <f>""</f>
        <v/>
      </c>
      <c r="AF123" t="str">
        <f>""</f>
        <v/>
      </c>
      <c r="AG123" t="str">
        <f>""</f>
        <v/>
      </c>
      <c r="AH123" t="str">
        <f>""</f>
        <v/>
      </c>
      <c r="AI123" t="str">
        <f>""</f>
        <v/>
      </c>
      <c r="AJ123" t="str">
        <f>""</f>
        <v/>
      </c>
      <c r="AK123" t="str">
        <f>""</f>
        <v/>
      </c>
      <c r="AL123" t="str">
        <f>""</f>
        <v/>
      </c>
      <c r="AM123" t="str">
        <f>""</f>
        <v/>
      </c>
      <c r="AN123" t="str">
        <f>""</f>
        <v/>
      </c>
      <c r="AO123" t="str">
        <f>""</f>
        <v/>
      </c>
      <c r="AP123" t="str">
        <f>""</f>
        <v/>
      </c>
      <c r="AQ123" t="str">
        <f>""</f>
        <v/>
      </c>
      <c r="AR123" t="str">
        <f>"-0.0363"</f>
        <v>-0.0363</v>
      </c>
      <c r="AS123" t="str">
        <f>"-0.0297"</f>
        <v>-0.0297</v>
      </c>
      <c r="AT123" t="str">
        <f>"0.0107"</f>
        <v>0.0107</v>
      </c>
      <c r="AU123" t="str">
        <f>""</f>
        <v/>
      </c>
      <c r="AV123" t="str">
        <f>""</f>
        <v/>
      </c>
      <c r="AW123" t="str">
        <f>""</f>
        <v/>
      </c>
      <c r="AX123" t="str">
        <f>""</f>
        <v/>
      </c>
      <c r="AY123" t="str">
        <f>""</f>
        <v/>
      </c>
      <c r="AZ123" t="str">
        <f>""</f>
        <v/>
      </c>
      <c r="BA123" t="str">
        <f>""</f>
        <v/>
      </c>
      <c r="BB123" t="str">
        <f>""</f>
        <v/>
      </c>
      <c r="BC123" t="str">
        <f>""</f>
        <v/>
      </c>
      <c r="BD123" t="str">
        <f>""</f>
        <v/>
      </c>
      <c r="BE123" t="str">
        <f>""</f>
        <v/>
      </c>
      <c r="BF123" t="str">
        <f>""</f>
        <v/>
      </c>
      <c r="BG123" t="str">
        <f>""</f>
        <v/>
      </c>
      <c r="BH123" t="str">
        <f>""</f>
        <v/>
      </c>
      <c r="BI123" t="str">
        <f>""</f>
        <v/>
      </c>
      <c r="BJ123" t="str">
        <f>""</f>
        <v/>
      </c>
      <c r="BK123" t="str">
        <f>""</f>
        <v/>
      </c>
      <c r="BL123" t="str">
        <f>""</f>
        <v/>
      </c>
      <c r="BM123" t="str">
        <f>""</f>
        <v/>
      </c>
      <c r="BN123" t="str">
        <f>""</f>
        <v/>
      </c>
      <c r="BO123" t="str">
        <f>""</f>
        <v/>
      </c>
      <c r="BP123" t="str">
        <f>""</f>
        <v/>
      </c>
      <c r="BQ123" t="str">
        <f>""</f>
        <v/>
      </c>
      <c r="BR123" t="str">
        <f>""</f>
        <v/>
      </c>
      <c r="BS123" t="str">
        <f>""</f>
        <v/>
      </c>
      <c r="BT123" t="str">
        <f>""</f>
        <v/>
      </c>
      <c r="BU123" t="str">
        <f>""</f>
        <v/>
      </c>
      <c r="BV123" t="str">
        <f>""</f>
        <v/>
      </c>
      <c r="BW123" t="str">
        <f>""</f>
        <v/>
      </c>
      <c r="BX123" t="str">
        <f>""</f>
        <v/>
      </c>
      <c r="BY123" t="str">
        <f>""</f>
        <v/>
      </c>
      <c r="BZ123" t="str">
        <f>""</f>
        <v/>
      </c>
      <c r="CA123" t="str">
        <f>""</f>
        <v/>
      </c>
      <c r="CB123" t="str">
        <f>""</f>
        <v/>
      </c>
      <c r="CC123" t="str">
        <f>""</f>
        <v/>
      </c>
      <c r="CD123" t="str">
        <f>""</f>
        <v/>
      </c>
      <c r="CE123" t="str">
        <f>""</f>
        <v/>
      </c>
      <c r="CF123" t="str">
        <f>""</f>
        <v/>
      </c>
      <c r="CG123" t="str">
        <f>""</f>
        <v/>
      </c>
      <c r="CH123" t="str">
        <f>""</f>
        <v/>
      </c>
      <c r="CI123" t="str">
        <f>""</f>
        <v/>
      </c>
      <c r="CJ123" t="str">
        <f>""</f>
        <v/>
      </c>
      <c r="CK123" t="str">
        <f>""</f>
        <v/>
      </c>
      <c r="CL123" t="str">
        <f>""</f>
        <v/>
      </c>
      <c r="CM123" t="str">
        <f>""</f>
        <v/>
      </c>
      <c r="CN123" t="str">
        <f>""</f>
        <v/>
      </c>
      <c r="CO123" t="str">
        <f>""</f>
        <v/>
      </c>
      <c r="CP123" t="str">
        <f>""</f>
        <v/>
      </c>
      <c r="CQ123" t="str">
        <f>""</f>
        <v/>
      </c>
      <c r="CR123" t="str">
        <f>""</f>
        <v/>
      </c>
      <c r="CS123" t="str">
        <f>""</f>
        <v/>
      </c>
      <c r="CT123" t="str">
        <f>""</f>
        <v/>
      </c>
      <c r="CU123" t="str">
        <f>""</f>
        <v/>
      </c>
      <c r="CV123" t="str">
        <f>""</f>
        <v/>
      </c>
      <c r="CW123" t="str">
        <f>""</f>
        <v/>
      </c>
      <c r="CX123" t="str">
        <f>""</f>
        <v/>
      </c>
      <c r="CY123" t="str">
        <f>""</f>
        <v/>
      </c>
      <c r="CZ123" t="str">
        <f>""</f>
        <v/>
      </c>
      <c r="DA123" t="str">
        <f>""</f>
        <v/>
      </c>
      <c r="DB123" t="str">
        <f>""</f>
        <v/>
      </c>
      <c r="DC123" t="str">
        <f>""</f>
        <v/>
      </c>
      <c r="DD123" t="str">
        <f>""</f>
        <v/>
      </c>
      <c r="DE123" t="str">
        <f>""</f>
        <v/>
      </c>
      <c r="DF123" t="str">
        <f>""</f>
        <v/>
      </c>
      <c r="DG123" t="str">
        <f>""</f>
        <v/>
      </c>
      <c r="DH123" t="str">
        <f>""</f>
        <v/>
      </c>
      <c r="DI123" t="str">
        <f>""</f>
        <v/>
      </c>
      <c r="DJ123" t="str">
        <f>""</f>
        <v/>
      </c>
      <c r="DK123" t="str">
        <f>""</f>
        <v/>
      </c>
      <c r="DL123" t="str">
        <f>""</f>
        <v/>
      </c>
      <c r="DM123" t="str">
        <f>""</f>
        <v/>
      </c>
      <c r="DN123" t="str">
        <f>""</f>
        <v/>
      </c>
      <c r="DO123" t="str">
        <f>""</f>
        <v/>
      </c>
      <c r="DP123" t="str">
        <f>""</f>
        <v/>
      </c>
      <c r="DQ123" t="str">
        <f>""</f>
        <v/>
      </c>
      <c r="DR123" t="str">
        <f>""</f>
        <v/>
      </c>
      <c r="DS123" t="str">
        <f>""</f>
        <v/>
      </c>
      <c r="DT123" t="str">
        <f>""</f>
        <v/>
      </c>
      <c r="DU123" t="str">
        <f>""</f>
        <v/>
      </c>
      <c r="DV123" t="str">
        <f>""</f>
        <v/>
      </c>
      <c r="DW123" t="str">
        <f>""</f>
        <v/>
      </c>
      <c r="DX123" t="str">
        <f>""</f>
        <v/>
      </c>
      <c r="DY123" t="str">
        <f>""</f>
        <v/>
      </c>
      <c r="DZ123" t="str">
        <f>""</f>
        <v/>
      </c>
      <c r="EA123" t="str">
        <f>""</f>
        <v/>
      </c>
      <c r="EB123" t="str">
        <f>""</f>
        <v/>
      </c>
      <c r="EC123" t="str">
        <f>""</f>
        <v/>
      </c>
      <c r="ED123" t="str">
        <f>""</f>
        <v/>
      </c>
      <c r="EE123" t="str">
        <f>""</f>
        <v/>
      </c>
      <c r="EF123" t="str">
        <f>""</f>
        <v/>
      </c>
      <c r="EG123" t="str">
        <f>""</f>
        <v/>
      </c>
      <c r="EH123" t="str">
        <f>""</f>
        <v/>
      </c>
      <c r="EI123" t="str">
        <f>""</f>
        <v/>
      </c>
      <c r="EJ123" t="str">
        <f>""</f>
        <v/>
      </c>
      <c r="EK123" t="str">
        <f>""</f>
        <v/>
      </c>
      <c r="EL123" t="str">
        <f>""</f>
        <v/>
      </c>
      <c r="EM123" t="str">
        <f>""</f>
        <v/>
      </c>
      <c r="EN123" t="str">
        <f>""</f>
        <v/>
      </c>
      <c r="EO123" t="str">
        <f>""</f>
        <v/>
      </c>
      <c r="EP123" t="str">
        <f>""</f>
        <v/>
      </c>
      <c r="EQ123" t="str">
        <f>""</f>
        <v/>
      </c>
      <c r="ER123" t="str">
        <f>""</f>
        <v/>
      </c>
      <c r="ES123" t="str">
        <f>""</f>
        <v/>
      </c>
      <c r="ET123" t="str">
        <f>""</f>
        <v/>
      </c>
      <c r="EU123" t="str">
        <f>""</f>
        <v/>
      </c>
      <c r="EV123" t="str">
        <f>""</f>
        <v/>
      </c>
      <c r="EW123" t="str">
        <f>""</f>
        <v/>
      </c>
      <c r="EX123" t="str">
        <f>""</f>
        <v/>
      </c>
      <c r="EY123" t="str">
        <f>""</f>
        <v/>
      </c>
      <c r="EZ123" t="str">
        <f>""</f>
        <v/>
      </c>
      <c r="FA123" t="str">
        <f>""</f>
        <v/>
      </c>
      <c r="FB123" t="str">
        <f>""</f>
        <v/>
      </c>
      <c r="FC123" t="str">
        <f>""</f>
        <v/>
      </c>
      <c r="FD123" t="str">
        <f>""</f>
        <v/>
      </c>
      <c r="FE123" t="str">
        <f>""</f>
        <v/>
      </c>
      <c r="FF123" t="str">
        <f>""</f>
        <v/>
      </c>
      <c r="FG123" t="str">
        <f>""</f>
        <v/>
      </c>
      <c r="FH123" t="str">
        <f>""</f>
        <v/>
      </c>
      <c r="FI123" t="str">
        <f>""</f>
        <v/>
      </c>
      <c r="FJ123" t="str">
        <f>""</f>
        <v/>
      </c>
      <c r="FK123" t="str">
        <f>""</f>
        <v/>
      </c>
      <c r="FL123" t="str">
        <f>""</f>
        <v/>
      </c>
      <c r="FM123" t="str">
        <f>""</f>
        <v/>
      </c>
      <c r="FN123" t="str">
        <f>""</f>
        <v/>
      </c>
      <c r="FO123" t="str">
        <f>""</f>
        <v/>
      </c>
      <c r="FP123" t="str">
        <f>""</f>
        <v/>
      </c>
      <c r="FQ123" t="str">
        <f>""</f>
        <v/>
      </c>
      <c r="FR123" t="str">
        <f>""</f>
        <v/>
      </c>
      <c r="FS123" t="str">
        <f>""</f>
        <v/>
      </c>
      <c r="FT123" t="str">
        <f>""</f>
        <v/>
      </c>
      <c r="FU123" t="str">
        <f>""</f>
        <v/>
      </c>
      <c r="FV123" t="str">
        <f>""</f>
        <v/>
      </c>
      <c r="FW123" t="str">
        <f>""</f>
        <v/>
      </c>
      <c r="FX123" t="str">
        <f>""</f>
        <v/>
      </c>
      <c r="FY123" t="str">
        <f>""</f>
        <v/>
      </c>
      <c r="FZ123" t="str">
        <f>""</f>
        <v/>
      </c>
      <c r="GA123" t="str">
        <f>""</f>
        <v/>
      </c>
      <c r="GB123" t="str">
        <f>""</f>
        <v/>
      </c>
      <c r="GC123" t="str">
        <f>""</f>
        <v/>
      </c>
      <c r="GD123" t="str">
        <f>""</f>
        <v/>
      </c>
      <c r="GE123" t="str">
        <f>""</f>
        <v/>
      </c>
      <c r="GF123" t="str">
        <f>""</f>
        <v/>
      </c>
      <c r="GG123" t="str">
        <f>""</f>
        <v/>
      </c>
      <c r="GH123" t="str">
        <f>""</f>
        <v/>
      </c>
      <c r="GI123" t="str">
        <f>""</f>
        <v/>
      </c>
      <c r="GJ123" t="str">
        <f>""</f>
        <v/>
      </c>
      <c r="GK123" t="str">
        <f>""</f>
        <v/>
      </c>
      <c r="GL123" t="str">
        <f>""</f>
        <v/>
      </c>
      <c r="GM123" t="str">
        <f>""</f>
        <v/>
      </c>
      <c r="GN123" t="str">
        <f>""</f>
        <v/>
      </c>
      <c r="GO123" t="str">
        <f>""</f>
        <v/>
      </c>
      <c r="GP123" t="str">
        <f>""</f>
        <v/>
      </c>
      <c r="GQ123" t="str">
        <f>""</f>
        <v/>
      </c>
      <c r="GR123" t="str">
        <f>""</f>
        <v/>
      </c>
      <c r="GS123" t="str">
        <f>""</f>
        <v/>
      </c>
      <c r="GT123" t="str">
        <f>""</f>
        <v/>
      </c>
      <c r="GU123" t="str">
        <f>""</f>
        <v/>
      </c>
      <c r="GV123" t="str">
        <f>""</f>
        <v/>
      </c>
      <c r="GW123" t="str">
        <f>""</f>
        <v/>
      </c>
      <c r="GX123" t="str">
        <f>""</f>
        <v/>
      </c>
      <c r="GY123" t="str">
        <f>""</f>
        <v/>
      </c>
      <c r="GZ123" t="str">
        <f>""</f>
        <v/>
      </c>
      <c r="HA123" t="str">
        <f>""</f>
        <v/>
      </c>
      <c r="HB123" t="str">
        <f>""</f>
        <v/>
      </c>
      <c r="HC123" t="str">
        <f>""</f>
        <v/>
      </c>
      <c r="HD123" t="str">
        <f>""</f>
        <v/>
      </c>
      <c r="HE123" t="str">
        <f>""</f>
        <v/>
      </c>
      <c r="HF123" t="str">
        <f>""</f>
        <v/>
      </c>
      <c r="HG123" t="str">
        <f>""</f>
        <v/>
      </c>
      <c r="HH123" t="str">
        <f>""</f>
        <v/>
      </c>
      <c r="HI123" t="str">
        <f>""</f>
        <v/>
      </c>
      <c r="HJ123" t="str">
        <f>""</f>
        <v/>
      </c>
      <c r="HK123" t="str">
        <f>""</f>
        <v/>
      </c>
      <c r="HL123" t="str">
        <f>""</f>
        <v/>
      </c>
      <c r="HM123" t="str">
        <f>""</f>
        <v/>
      </c>
      <c r="HN123" t="str">
        <f>""</f>
        <v/>
      </c>
      <c r="HO123" t="str">
        <f>""</f>
        <v/>
      </c>
      <c r="HP123" t="str">
        <f>""</f>
        <v/>
      </c>
      <c r="HQ123" t="str">
        <f>""</f>
        <v/>
      </c>
      <c r="HR123" t="str">
        <f>""</f>
        <v/>
      </c>
      <c r="HS123" t="str">
        <f>""</f>
        <v/>
      </c>
      <c r="HT123" t="str">
        <f>""</f>
        <v/>
      </c>
      <c r="HU123" t="str">
        <f>""</f>
        <v/>
      </c>
      <c r="HV123" t="str">
        <f>""</f>
        <v/>
      </c>
      <c r="HW123" t="str">
        <f>""</f>
        <v/>
      </c>
      <c r="HX123" t="str">
        <f>""</f>
        <v/>
      </c>
      <c r="HY123" t="str">
        <f>""</f>
        <v/>
      </c>
      <c r="HZ123" t="str">
        <f>""</f>
        <v/>
      </c>
      <c r="IA123" t="str">
        <f>""</f>
        <v/>
      </c>
      <c r="IB123" t="str">
        <f>""</f>
        <v/>
      </c>
      <c r="IC123" t="str">
        <f>""</f>
        <v/>
      </c>
      <c r="ID123" t="str">
        <f>""</f>
        <v/>
      </c>
      <c r="IE123" t="str">
        <f>""</f>
        <v/>
      </c>
      <c r="IF123" t="str">
        <f>""</f>
        <v/>
      </c>
      <c r="IG123" t="str">
        <f>""</f>
        <v/>
      </c>
      <c r="IH123" t="str">
        <f>""</f>
        <v/>
      </c>
      <c r="II123" t="str">
        <f>""</f>
        <v/>
      </c>
      <c r="IJ123" t="str">
        <f>""</f>
        <v/>
      </c>
      <c r="IK123" t="str">
        <f>""</f>
        <v/>
      </c>
      <c r="IL123" t="str">
        <f>""</f>
        <v/>
      </c>
      <c r="IM123" t="str">
        <f>""</f>
        <v/>
      </c>
      <c r="IN123" t="str">
        <f>""</f>
        <v/>
      </c>
      <c r="IO123" t="str">
        <f>""</f>
        <v/>
      </c>
      <c r="IP123" t="str">
        <f>""</f>
        <v/>
      </c>
      <c r="IQ123" t="str">
        <f>""</f>
        <v/>
      </c>
      <c r="IR123" t="str">
        <f>""</f>
        <v/>
      </c>
      <c r="IS123" t="str">
        <f>""</f>
        <v/>
      </c>
      <c r="IT123" t="str">
        <f>""</f>
        <v/>
      </c>
      <c r="IU123" t="str">
        <f>""</f>
        <v/>
      </c>
      <c r="IV123" t="str">
        <f>""</f>
        <v/>
      </c>
      <c r="IW123" t="str">
        <f>""</f>
        <v/>
      </c>
      <c r="IX123" t="str">
        <f>""</f>
        <v/>
      </c>
      <c r="IY123" t="str">
        <f>""</f>
        <v/>
      </c>
      <c r="IZ123" t="str">
        <f>""</f>
        <v/>
      </c>
      <c r="JA123" t="str">
        <f>""</f>
        <v/>
      </c>
      <c r="JB123" t="str">
        <f>""</f>
        <v/>
      </c>
      <c r="JC123" t="str">
        <f>""</f>
        <v/>
      </c>
      <c r="JD123" t="str">
        <f>""</f>
        <v/>
      </c>
      <c r="JE123" t="str">
        <f>""</f>
        <v/>
      </c>
      <c r="JF123" t="str">
        <f>""</f>
        <v/>
      </c>
      <c r="JG123" t="str">
        <f>""</f>
        <v/>
      </c>
      <c r="JH123" t="str">
        <f>""</f>
        <v/>
      </c>
      <c r="JI123" t="str">
        <f>""</f>
        <v/>
      </c>
      <c r="JJ123" t="str">
        <f>""</f>
        <v/>
      </c>
      <c r="JK123" t="str">
        <f>""</f>
        <v/>
      </c>
    </row>
    <row r="124" spans="1:271" x14ac:dyDescent="0.3">
      <c r="A124" t="str">
        <f>""</f>
        <v/>
      </c>
      <c r="B124" t="str">
        <f>""</f>
        <v/>
      </c>
      <c r="C124" t="str">
        <f>""</f>
        <v/>
      </c>
      <c r="D124" t="str">
        <f>""</f>
        <v/>
      </c>
      <c r="E124" t="str">
        <f>""</f>
        <v/>
      </c>
      <c r="F124" t="str">
        <f>""</f>
        <v/>
      </c>
      <c r="G124" t="str">
        <f>""</f>
        <v/>
      </c>
      <c r="H124" t="str">
        <f>""</f>
        <v/>
      </c>
      <c r="I124" t="str">
        <f>""</f>
        <v/>
      </c>
      <c r="J124" t="str">
        <f>""</f>
        <v/>
      </c>
      <c r="K124" t="str">
        <f>""</f>
        <v/>
      </c>
      <c r="L124" t="str">
        <f>""</f>
        <v/>
      </c>
      <c r="M124" t="str">
        <f>""</f>
        <v/>
      </c>
      <c r="N124" t="str">
        <f>""</f>
        <v/>
      </c>
      <c r="O124" t="str">
        <f>""</f>
        <v/>
      </c>
      <c r="P124" t="str">
        <f>""</f>
        <v/>
      </c>
      <c r="Q124" t="str">
        <f>""</f>
        <v/>
      </c>
      <c r="R124" t="str">
        <f>""</f>
        <v/>
      </c>
      <c r="S124" t="str">
        <f>""</f>
        <v/>
      </c>
      <c r="T124" t="str">
        <f>""</f>
        <v/>
      </c>
      <c r="U124" t="str">
        <f>""</f>
        <v/>
      </c>
      <c r="V124" t="str">
        <f>""</f>
        <v/>
      </c>
      <c r="W124" t="str">
        <f>""</f>
        <v/>
      </c>
      <c r="X124" t="str">
        <f>""</f>
        <v/>
      </c>
      <c r="Y124" t="str">
        <f>""</f>
        <v/>
      </c>
      <c r="Z124" t="str">
        <f>""</f>
        <v/>
      </c>
      <c r="AA124" t="str">
        <f>""</f>
        <v/>
      </c>
      <c r="AB124" t="str">
        <f>""</f>
        <v/>
      </c>
      <c r="AC124" t="str">
        <f>""</f>
        <v/>
      </c>
      <c r="AD124" t="str">
        <f>""</f>
        <v/>
      </c>
      <c r="AE124" t="str">
        <f>""</f>
        <v/>
      </c>
      <c r="AF124" t="str">
        <f>""</f>
        <v/>
      </c>
      <c r="AG124" t="str">
        <f>""</f>
        <v/>
      </c>
      <c r="AH124" t="str">
        <f>""</f>
        <v/>
      </c>
      <c r="AI124" t="str">
        <f>""</f>
        <v/>
      </c>
      <c r="AJ124" t="str">
        <f>""</f>
        <v/>
      </c>
      <c r="AK124" t="str">
        <f>""</f>
        <v/>
      </c>
      <c r="AL124" t="str">
        <f>""</f>
        <v/>
      </c>
      <c r="AM124" t="str">
        <f>""</f>
        <v/>
      </c>
      <c r="AN124" t="str">
        <f>""</f>
        <v/>
      </c>
      <c r="AO124" t="str">
        <f>""</f>
        <v/>
      </c>
      <c r="AP124" t="str">
        <f>""</f>
        <v/>
      </c>
      <c r="AQ124" t="str">
        <f>""</f>
        <v/>
      </c>
      <c r="AR124" t="str">
        <f>"(0.105)"</f>
        <v>(0.105)</v>
      </c>
      <c r="AS124" t="str">
        <f>"(0.0838)"</f>
        <v>(0.0838)</v>
      </c>
      <c r="AT124" t="str">
        <f>"(0.0448)"</f>
        <v>(0.0448)</v>
      </c>
      <c r="AU124" t="str">
        <f>""</f>
        <v/>
      </c>
      <c r="AV124" t="str">
        <f>""</f>
        <v/>
      </c>
      <c r="AW124" t="str">
        <f>""</f>
        <v/>
      </c>
      <c r="AX124" t="str">
        <f>""</f>
        <v/>
      </c>
      <c r="AY124" t="str">
        <f>""</f>
        <v/>
      </c>
      <c r="AZ124" t="str">
        <f>""</f>
        <v/>
      </c>
      <c r="BA124" t="str">
        <f>""</f>
        <v/>
      </c>
      <c r="BB124" t="str">
        <f>""</f>
        <v/>
      </c>
      <c r="BC124" t="str">
        <f>""</f>
        <v/>
      </c>
      <c r="BD124" t="str">
        <f>""</f>
        <v/>
      </c>
      <c r="BE124" t="str">
        <f>""</f>
        <v/>
      </c>
      <c r="BF124" t="str">
        <f>""</f>
        <v/>
      </c>
      <c r="BG124" t="str">
        <f>""</f>
        <v/>
      </c>
      <c r="BH124" t="str">
        <f>""</f>
        <v/>
      </c>
      <c r="BI124" t="str">
        <f>""</f>
        <v/>
      </c>
      <c r="BJ124" t="str">
        <f>""</f>
        <v/>
      </c>
      <c r="BK124" t="str">
        <f>""</f>
        <v/>
      </c>
      <c r="BL124" t="str">
        <f>""</f>
        <v/>
      </c>
      <c r="BM124" t="str">
        <f>""</f>
        <v/>
      </c>
      <c r="BN124" t="str">
        <f>""</f>
        <v/>
      </c>
      <c r="BO124" t="str">
        <f>""</f>
        <v/>
      </c>
      <c r="BP124" t="str">
        <f>""</f>
        <v/>
      </c>
      <c r="BQ124" t="str">
        <f>""</f>
        <v/>
      </c>
      <c r="BR124" t="str">
        <f>""</f>
        <v/>
      </c>
      <c r="BS124" t="str">
        <f>""</f>
        <v/>
      </c>
      <c r="BT124" t="str">
        <f>""</f>
        <v/>
      </c>
      <c r="BU124" t="str">
        <f>""</f>
        <v/>
      </c>
      <c r="BV124" t="str">
        <f>""</f>
        <v/>
      </c>
      <c r="BW124" t="str">
        <f>""</f>
        <v/>
      </c>
      <c r="BX124" t="str">
        <f>""</f>
        <v/>
      </c>
      <c r="BY124" t="str">
        <f>""</f>
        <v/>
      </c>
      <c r="BZ124" t="str">
        <f>""</f>
        <v/>
      </c>
      <c r="CA124" t="str">
        <f>""</f>
        <v/>
      </c>
      <c r="CB124" t="str">
        <f>""</f>
        <v/>
      </c>
      <c r="CC124" t="str">
        <f>""</f>
        <v/>
      </c>
      <c r="CD124" t="str">
        <f>""</f>
        <v/>
      </c>
      <c r="CE124" t="str">
        <f>""</f>
        <v/>
      </c>
      <c r="CF124" t="str">
        <f>""</f>
        <v/>
      </c>
      <c r="CG124" t="str">
        <f>""</f>
        <v/>
      </c>
      <c r="CH124" t="str">
        <f>""</f>
        <v/>
      </c>
      <c r="CI124" t="str">
        <f>""</f>
        <v/>
      </c>
      <c r="CJ124" t="str">
        <f>""</f>
        <v/>
      </c>
      <c r="CK124" t="str">
        <f>""</f>
        <v/>
      </c>
      <c r="CL124" t="str">
        <f>""</f>
        <v/>
      </c>
      <c r="CM124" t="str">
        <f>""</f>
        <v/>
      </c>
      <c r="CN124" t="str">
        <f>""</f>
        <v/>
      </c>
      <c r="CO124" t="str">
        <f>""</f>
        <v/>
      </c>
      <c r="CP124" t="str">
        <f>""</f>
        <v/>
      </c>
      <c r="CQ124" t="str">
        <f>""</f>
        <v/>
      </c>
      <c r="CR124" t="str">
        <f>""</f>
        <v/>
      </c>
      <c r="CS124" t="str">
        <f>""</f>
        <v/>
      </c>
      <c r="CT124" t="str">
        <f>""</f>
        <v/>
      </c>
      <c r="CU124" t="str">
        <f>""</f>
        <v/>
      </c>
      <c r="CV124" t="str">
        <f>""</f>
        <v/>
      </c>
      <c r="CW124" t="str">
        <f>""</f>
        <v/>
      </c>
      <c r="CX124" t="str">
        <f>""</f>
        <v/>
      </c>
      <c r="CY124" t="str">
        <f>""</f>
        <v/>
      </c>
      <c r="CZ124" t="str">
        <f>""</f>
        <v/>
      </c>
      <c r="DA124" t="str">
        <f>""</f>
        <v/>
      </c>
      <c r="DB124" t="str">
        <f>""</f>
        <v/>
      </c>
      <c r="DC124" t="str">
        <f>""</f>
        <v/>
      </c>
      <c r="DD124" t="str">
        <f>""</f>
        <v/>
      </c>
      <c r="DE124" t="str">
        <f>""</f>
        <v/>
      </c>
      <c r="DF124" t="str">
        <f>""</f>
        <v/>
      </c>
      <c r="DG124" t="str">
        <f>""</f>
        <v/>
      </c>
      <c r="DH124" t="str">
        <f>""</f>
        <v/>
      </c>
      <c r="DI124" t="str">
        <f>""</f>
        <v/>
      </c>
      <c r="DJ124" t="str">
        <f>""</f>
        <v/>
      </c>
      <c r="DK124" t="str">
        <f>""</f>
        <v/>
      </c>
      <c r="DL124" t="str">
        <f>""</f>
        <v/>
      </c>
      <c r="DM124" t="str">
        <f>""</f>
        <v/>
      </c>
      <c r="DN124" t="str">
        <f>""</f>
        <v/>
      </c>
      <c r="DO124" t="str">
        <f>""</f>
        <v/>
      </c>
      <c r="DP124" t="str">
        <f>""</f>
        <v/>
      </c>
      <c r="DQ124" t="str">
        <f>""</f>
        <v/>
      </c>
      <c r="DR124" t="str">
        <f>""</f>
        <v/>
      </c>
      <c r="DS124" t="str">
        <f>""</f>
        <v/>
      </c>
      <c r="DT124" t="str">
        <f>""</f>
        <v/>
      </c>
      <c r="DU124" t="str">
        <f>""</f>
        <v/>
      </c>
      <c r="DV124" t="str">
        <f>""</f>
        <v/>
      </c>
      <c r="DW124" t="str">
        <f>""</f>
        <v/>
      </c>
      <c r="DX124" t="str">
        <f>""</f>
        <v/>
      </c>
      <c r="DY124" t="str">
        <f>""</f>
        <v/>
      </c>
      <c r="DZ124" t="str">
        <f>""</f>
        <v/>
      </c>
      <c r="EA124" t="str">
        <f>""</f>
        <v/>
      </c>
      <c r="EB124" t="str">
        <f>""</f>
        <v/>
      </c>
      <c r="EC124" t="str">
        <f>""</f>
        <v/>
      </c>
      <c r="ED124" t="str">
        <f>""</f>
        <v/>
      </c>
      <c r="EE124" t="str">
        <f>""</f>
        <v/>
      </c>
      <c r="EF124" t="str">
        <f>""</f>
        <v/>
      </c>
      <c r="EG124" t="str">
        <f>""</f>
        <v/>
      </c>
      <c r="EH124" t="str">
        <f>""</f>
        <v/>
      </c>
      <c r="EI124" t="str">
        <f>""</f>
        <v/>
      </c>
      <c r="EJ124" t="str">
        <f>""</f>
        <v/>
      </c>
      <c r="EK124" t="str">
        <f>""</f>
        <v/>
      </c>
      <c r="EL124" t="str">
        <f>""</f>
        <v/>
      </c>
      <c r="EM124" t="str">
        <f>""</f>
        <v/>
      </c>
      <c r="EN124" t="str">
        <f>""</f>
        <v/>
      </c>
      <c r="EO124" t="str">
        <f>""</f>
        <v/>
      </c>
      <c r="EP124" t="str">
        <f>""</f>
        <v/>
      </c>
      <c r="EQ124" t="str">
        <f>""</f>
        <v/>
      </c>
      <c r="ER124" t="str">
        <f>""</f>
        <v/>
      </c>
      <c r="ES124" t="str">
        <f>""</f>
        <v/>
      </c>
      <c r="ET124" t="str">
        <f>""</f>
        <v/>
      </c>
      <c r="EU124" t="str">
        <f>""</f>
        <v/>
      </c>
      <c r="EV124" t="str">
        <f>""</f>
        <v/>
      </c>
      <c r="EW124" t="str">
        <f>""</f>
        <v/>
      </c>
      <c r="EX124" t="str">
        <f>""</f>
        <v/>
      </c>
      <c r="EY124" t="str">
        <f>""</f>
        <v/>
      </c>
      <c r="EZ124" t="str">
        <f>""</f>
        <v/>
      </c>
      <c r="FA124" t="str">
        <f>""</f>
        <v/>
      </c>
      <c r="FB124" t="str">
        <f>""</f>
        <v/>
      </c>
      <c r="FC124" t="str">
        <f>""</f>
        <v/>
      </c>
      <c r="FD124" t="str">
        <f>""</f>
        <v/>
      </c>
      <c r="FE124" t="str">
        <f>""</f>
        <v/>
      </c>
      <c r="FF124" t="str">
        <f>""</f>
        <v/>
      </c>
      <c r="FG124" t="str">
        <f>""</f>
        <v/>
      </c>
      <c r="FH124" t="str">
        <f>""</f>
        <v/>
      </c>
      <c r="FI124" t="str">
        <f>""</f>
        <v/>
      </c>
      <c r="FJ124" t="str">
        <f>""</f>
        <v/>
      </c>
      <c r="FK124" t="str">
        <f>""</f>
        <v/>
      </c>
      <c r="FL124" t="str">
        <f>""</f>
        <v/>
      </c>
      <c r="FM124" t="str">
        <f>""</f>
        <v/>
      </c>
      <c r="FN124" t="str">
        <f>""</f>
        <v/>
      </c>
      <c r="FO124" t="str">
        <f>""</f>
        <v/>
      </c>
      <c r="FP124" t="str">
        <f>""</f>
        <v/>
      </c>
      <c r="FQ124" t="str">
        <f>""</f>
        <v/>
      </c>
      <c r="FR124" t="str">
        <f>""</f>
        <v/>
      </c>
      <c r="FS124" t="str">
        <f>""</f>
        <v/>
      </c>
      <c r="FT124" t="str">
        <f>""</f>
        <v/>
      </c>
      <c r="FU124" t="str">
        <f>""</f>
        <v/>
      </c>
      <c r="FV124" t="str">
        <f>""</f>
        <v/>
      </c>
      <c r="FW124" t="str">
        <f>""</f>
        <v/>
      </c>
      <c r="FX124" t="str">
        <f>""</f>
        <v/>
      </c>
      <c r="FY124" t="str">
        <f>""</f>
        <v/>
      </c>
      <c r="FZ124" t="str">
        <f>""</f>
        <v/>
      </c>
      <c r="GA124" t="str">
        <f>""</f>
        <v/>
      </c>
      <c r="GB124" t="str">
        <f>""</f>
        <v/>
      </c>
      <c r="GC124" t="str">
        <f>""</f>
        <v/>
      </c>
      <c r="GD124" t="str">
        <f>""</f>
        <v/>
      </c>
      <c r="GE124" t="str">
        <f>""</f>
        <v/>
      </c>
      <c r="GF124" t="str">
        <f>""</f>
        <v/>
      </c>
      <c r="GG124" t="str">
        <f>""</f>
        <v/>
      </c>
      <c r="GH124" t="str">
        <f>""</f>
        <v/>
      </c>
      <c r="GI124" t="str">
        <f>""</f>
        <v/>
      </c>
      <c r="GJ124" t="str">
        <f>""</f>
        <v/>
      </c>
      <c r="GK124" t="str">
        <f>""</f>
        <v/>
      </c>
      <c r="GL124" t="str">
        <f>""</f>
        <v/>
      </c>
      <c r="GM124" t="str">
        <f>""</f>
        <v/>
      </c>
      <c r="GN124" t="str">
        <f>""</f>
        <v/>
      </c>
      <c r="GO124" t="str">
        <f>""</f>
        <v/>
      </c>
      <c r="GP124" t="str">
        <f>""</f>
        <v/>
      </c>
      <c r="GQ124" t="str">
        <f>""</f>
        <v/>
      </c>
      <c r="GR124" t="str">
        <f>""</f>
        <v/>
      </c>
      <c r="GS124" t="str">
        <f>""</f>
        <v/>
      </c>
      <c r="GT124" t="str">
        <f>""</f>
        <v/>
      </c>
      <c r="GU124" t="str">
        <f>""</f>
        <v/>
      </c>
      <c r="GV124" t="str">
        <f>""</f>
        <v/>
      </c>
      <c r="GW124" t="str">
        <f>""</f>
        <v/>
      </c>
      <c r="GX124" t="str">
        <f>""</f>
        <v/>
      </c>
      <c r="GY124" t="str">
        <f>""</f>
        <v/>
      </c>
      <c r="GZ124" t="str">
        <f>""</f>
        <v/>
      </c>
      <c r="HA124" t="str">
        <f>""</f>
        <v/>
      </c>
      <c r="HB124" t="str">
        <f>""</f>
        <v/>
      </c>
      <c r="HC124" t="str">
        <f>""</f>
        <v/>
      </c>
      <c r="HD124" t="str">
        <f>""</f>
        <v/>
      </c>
      <c r="HE124" t="str">
        <f>""</f>
        <v/>
      </c>
      <c r="HF124" t="str">
        <f>""</f>
        <v/>
      </c>
      <c r="HG124" t="str">
        <f>""</f>
        <v/>
      </c>
      <c r="HH124" t="str">
        <f>""</f>
        <v/>
      </c>
      <c r="HI124" t="str">
        <f>""</f>
        <v/>
      </c>
      <c r="HJ124" t="str">
        <f>""</f>
        <v/>
      </c>
      <c r="HK124" t="str">
        <f>""</f>
        <v/>
      </c>
      <c r="HL124" t="str">
        <f>""</f>
        <v/>
      </c>
      <c r="HM124" t="str">
        <f>""</f>
        <v/>
      </c>
      <c r="HN124" t="str">
        <f>""</f>
        <v/>
      </c>
      <c r="HO124" t="str">
        <f>""</f>
        <v/>
      </c>
      <c r="HP124" t="str">
        <f>""</f>
        <v/>
      </c>
      <c r="HQ124" t="str">
        <f>""</f>
        <v/>
      </c>
      <c r="HR124" t="str">
        <f>""</f>
        <v/>
      </c>
      <c r="HS124" t="str">
        <f>""</f>
        <v/>
      </c>
      <c r="HT124" t="str">
        <f>""</f>
        <v/>
      </c>
      <c r="HU124" t="str">
        <f>""</f>
        <v/>
      </c>
      <c r="HV124" t="str">
        <f>""</f>
        <v/>
      </c>
      <c r="HW124" t="str">
        <f>""</f>
        <v/>
      </c>
      <c r="HX124" t="str">
        <f>""</f>
        <v/>
      </c>
      <c r="HY124" t="str">
        <f>""</f>
        <v/>
      </c>
      <c r="HZ124" t="str">
        <f>""</f>
        <v/>
      </c>
      <c r="IA124" t="str">
        <f>""</f>
        <v/>
      </c>
      <c r="IB124" t="str">
        <f>""</f>
        <v/>
      </c>
      <c r="IC124" t="str">
        <f>""</f>
        <v/>
      </c>
      <c r="ID124" t="str">
        <f>""</f>
        <v/>
      </c>
      <c r="IE124" t="str">
        <f>""</f>
        <v/>
      </c>
      <c r="IF124" t="str">
        <f>""</f>
        <v/>
      </c>
      <c r="IG124" t="str">
        <f>""</f>
        <v/>
      </c>
      <c r="IH124" t="str">
        <f>""</f>
        <v/>
      </c>
      <c r="II124" t="str">
        <f>""</f>
        <v/>
      </c>
      <c r="IJ124" t="str">
        <f>""</f>
        <v/>
      </c>
      <c r="IK124" t="str">
        <f>""</f>
        <v/>
      </c>
      <c r="IL124" t="str">
        <f>""</f>
        <v/>
      </c>
      <c r="IM124" t="str">
        <f>""</f>
        <v/>
      </c>
      <c r="IN124" t="str">
        <f>""</f>
        <v/>
      </c>
      <c r="IO124" t="str">
        <f>""</f>
        <v/>
      </c>
      <c r="IP124" t="str">
        <f>""</f>
        <v/>
      </c>
      <c r="IQ124" t="str">
        <f>""</f>
        <v/>
      </c>
      <c r="IR124" t="str">
        <f>""</f>
        <v/>
      </c>
      <c r="IS124" t="str">
        <f>""</f>
        <v/>
      </c>
      <c r="IT124" t="str">
        <f>""</f>
        <v/>
      </c>
      <c r="IU124" t="str">
        <f>""</f>
        <v/>
      </c>
      <c r="IV124" t="str">
        <f>""</f>
        <v/>
      </c>
      <c r="IW124" t="str">
        <f>""</f>
        <v/>
      </c>
      <c r="IX124" t="str">
        <f>""</f>
        <v/>
      </c>
      <c r="IY124" t="str">
        <f>""</f>
        <v/>
      </c>
      <c r="IZ124" t="str">
        <f>""</f>
        <v/>
      </c>
      <c r="JA124" t="str">
        <f>""</f>
        <v/>
      </c>
      <c r="JB124" t="str">
        <f>""</f>
        <v/>
      </c>
      <c r="JC124" t="str">
        <f>""</f>
        <v/>
      </c>
      <c r="JD124" t="str">
        <f>""</f>
        <v/>
      </c>
      <c r="JE124" t="str">
        <f>""</f>
        <v/>
      </c>
      <c r="JF124" t="str">
        <f>""</f>
        <v/>
      </c>
      <c r="JG124" t="str">
        <f>""</f>
        <v/>
      </c>
      <c r="JH124" t="str">
        <f>""</f>
        <v/>
      </c>
      <c r="JI124" t="str">
        <f>""</f>
        <v/>
      </c>
      <c r="JJ124" t="str">
        <f>""</f>
        <v/>
      </c>
      <c r="JK124" t="str">
        <f>""</f>
        <v/>
      </c>
    </row>
    <row r="126" spans="1:271" x14ac:dyDescent="0.3">
      <c r="A126" t="str">
        <f>"PM2"</f>
        <v>PM2</v>
      </c>
      <c r="B126" t="str">
        <f>""</f>
        <v/>
      </c>
      <c r="C126" t="str">
        <f>""</f>
        <v/>
      </c>
      <c r="D126" t="str">
        <f>""</f>
        <v/>
      </c>
      <c r="E126" t="str">
        <f>""</f>
        <v/>
      </c>
      <c r="F126" t="str">
        <f>""</f>
        <v/>
      </c>
      <c r="G126" t="str">
        <f>""</f>
        <v/>
      </c>
      <c r="H126" t="str">
        <f>""</f>
        <v/>
      </c>
      <c r="I126" t="str">
        <f>""</f>
        <v/>
      </c>
      <c r="J126" t="str">
        <f>""</f>
        <v/>
      </c>
      <c r="K126" t="str">
        <f>""</f>
        <v/>
      </c>
      <c r="L126" t="str">
        <f>""</f>
        <v/>
      </c>
      <c r="M126" t="str">
        <f>""</f>
        <v/>
      </c>
      <c r="N126" t="str">
        <f>""</f>
        <v/>
      </c>
      <c r="O126" t="str">
        <f>""</f>
        <v/>
      </c>
      <c r="P126" t="str">
        <f>""</f>
        <v/>
      </c>
      <c r="Q126" t="str">
        <f>""</f>
        <v/>
      </c>
      <c r="R126" t="str">
        <f>""</f>
        <v/>
      </c>
      <c r="S126" t="str">
        <f>""</f>
        <v/>
      </c>
      <c r="T126" t="str">
        <f>""</f>
        <v/>
      </c>
      <c r="U126" t="str">
        <f>""</f>
        <v/>
      </c>
      <c r="V126" t="str">
        <f>""</f>
        <v/>
      </c>
      <c r="W126" t="str">
        <f>""</f>
        <v/>
      </c>
      <c r="X126" t="str">
        <f>""</f>
        <v/>
      </c>
      <c r="Y126" t="str">
        <f>""</f>
        <v/>
      </c>
      <c r="Z126" t="str">
        <f>""</f>
        <v/>
      </c>
      <c r="AA126" t="str">
        <f>""</f>
        <v/>
      </c>
      <c r="AB126" t="str">
        <f>""</f>
        <v/>
      </c>
      <c r="AC126" t="str">
        <f>""</f>
        <v/>
      </c>
      <c r="AD126" t="str">
        <f>""</f>
        <v/>
      </c>
      <c r="AE126" t="str">
        <f>""</f>
        <v/>
      </c>
      <c r="AF126" t="str">
        <f>""</f>
        <v/>
      </c>
      <c r="AG126" t="str">
        <f>""</f>
        <v/>
      </c>
      <c r="AH126" t="str">
        <f>""</f>
        <v/>
      </c>
      <c r="AI126" t="str">
        <f>""</f>
        <v/>
      </c>
      <c r="AJ126" t="str">
        <f>""</f>
        <v/>
      </c>
      <c r="AK126" t="str">
        <f>""</f>
        <v/>
      </c>
      <c r="AL126" t="str">
        <f>""</f>
        <v/>
      </c>
      <c r="AM126" t="str">
        <f>""</f>
        <v/>
      </c>
      <c r="AN126" t="str">
        <f>""</f>
        <v/>
      </c>
      <c r="AO126" t="str">
        <f>""</f>
        <v/>
      </c>
      <c r="AP126" t="str">
        <f>""</f>
        <v/>
      </c>
      <c r="AQ126" t="str">
        <f>""</f>
        <v/>
      </c>
      <c r="AR126" t="str">
        <f>""</f>
        <v/>
      </c>
      <c r="AS126" t="str">
        <f>""</f>
        <v/>
      </c>
      <c r="AT126" t="str">
        <f>""</f>
        <v/>
      </c>
      <c r="AU126" t="str">
        <f>"-0.0728"</f>
        <v>-0.0728</v>
      </c>
      <c r="AV126" t="str">
        <f>"-0.0292"</f>
        <v>-0.0292</v>
      </c>
      <c r="AW126" t="str">
        <f>"-0.0232"</f>
        <v>-0.0232</v>
      </c>
      <c r="AX126" t="str">
        <f>"-0.0672"</f>
        <v>-0.0672</v>
      </c>
      <c r="AY126" t="str">
        <f>"-0.0232"</f>
        <v>-0.0232</v>
      </c>
      <c r="AZ126" t="str">
        <f>"0.00498"</f>
        <v>0.00498</v>
      </c>
      <c r="BA126" t="str">
        <f>"-0.0623"</f>
        <v>-0.0623</v>
      </c>
      <c r="BB126" t="str">
        <f>"-0.0214"</f>
        <v>-0.0214</v>
      </c>
      <c r="BC126" t="str">
        <f>"-0.0113"</f>
        <v>-0.0113</v>
      </c>
      <c r="BD126" t="str">
        <f>"-0.0745"</f>
        <v>-0.0745</v>
      </c>
      <c r="BE126" t="str">
        <f>"-0.0226"</f>
        <v>-0.0226</v>
      </c>
      <c r="BF126" t="str">
        <f>"0.00956"</f>
        <v>0.00956</v>
      </c>
      <c r="BG126" t="str">
        <f>"-0.0669"</f>
        <v>-0.0669</v>
      </c>
      <c r="BH126" t="str">
        <f>"-0.0265"</f>
        <v>-0.0265</v>
      </c>
      <c r="BI126" t="str">
        <f>"-0.0286"</f>
        <v>-0.0286</v>
      </c>
      <c r="BJ126" t="str">
        <f>"-0.0592"</f>
        <v>-0.0592</v>
      </c>
      <c r="BK126" t="str">
        <f>"-0.0285"</f>
        <v>-0.0285</v>
      </c>
      <c r="BL126" t="str">
        <f>"-0.0219"</f>
        <v>-0.0219</v>
      </c>
      <c r="BM126" t="str">
        <f>"-0.0598"</f>
        <v>-0.0598</v>
      </c>
      <c r="BN126" t="str">
        <f>"-0.0253"</f>
        <v>-0.0253</v>
      </c>
      <c r="BO126" t="str">
        <f>"-0.0120"</f>
        <v>-0.0120</v>
      </c>
      <c r="BP126" t="str">
        <f>"-0.0640"</f>
        <v>-0.0640</v>
      </c>
      <c r="BQ126" t="str">
        <f>"-0.0158"</f>
        <v>-0.0158</v>
      </c>
      <c r="BR126" t="str">
        <f>"-0.0139"</f>
        <v>-0.0139</v>
      </c>
      <c r="BS126" t="str">
        <f>"-0.0596"</f>
        <v>-0.0596</v>
      </c>
      <c r="BT126" t="str">
        <f>"-0.0188"</f>
        <v>-0.0188</v>
      </c>
      <c r="BU126" t="str">
        <f>"-0.0167"</f>
        <v>-0.0167</v>
      </c>
      <c r="BV126" t="str">
        <f>"-0.0607"</f>
        <v>-0.0607</v>
      </c>
      <c r="BW126" t="str">
        <f>"-0.0255"</f>
        <v>-0.0255</v>
      </c>
      <c r="BX126" t="str">
        <f>"-0.0147"</f>
        <v>-0.0147</v>
      </c>
      <c r="BY126" t="str">
        <f>"-0.0638"</f>
        <v>-0.0638</v>
      </c>
      <c r="BZ126" t="str">
        <f>"-0.0271"</f>
        <v>-0.0271</v>
      </c>
      <c r="CA126" t="str">
        <f>"-0.00597"</f>
        <v>-0.00597</v>
      </c>
      <c r="CB126" t="str">
        <f>"-0.0678"</f>
        <v>-0.0678</v>
      </c>
      <c r="CC126" t="str">
        <f>"-0.0121"</f>
        <v>-0.0121</v>
      </c>
      <c r="CD126" t="str">
        <f>"-0.0130"</f>
        <v>-0.0130</v>
      </c>
      <c r="CE126" t="str">
        <f>"-0.0972"</f>
        <v>-0.0972</v>
      </c>
      <c r="CF126" t="str">
        <f>"-0.0233"</f>
        <v>-0.0233</v>
      </c>
      <c r="CG126" t="str">
        <f>"-0.00975"</f>
        <v>-0.00975</v>
      </c>
      <c r="CH126" t="str">
        <f>"-0.0580"</f>
        <v>-0.0580</v>
      </c>
      <c r="CI126" t="str">
        <f>"-0.0226"</f>
        <v>-0.0226</v>
      </c>
      <c r="CJ126" t="str">
        <f>"-0.0116"</f>
        <v>-0.0116</v>
      </c>
      <c r="CK126" t="str">
        <f>"-0.0687"</f>
        <v>-0.0687</v>
      </c>
      <c r="CL126" t="str">
        <f>"-0.0223"</f>
        <v>-0.0223</v>
      </c>
      <c r="CM126" t="str">
        <f>"-0.0170"</f>
        <v>-0.0170</v>
      </c>
      <c r="CN126" t="str">
        <f>""</f>
        <v/>
      </c>
      <c r="CO126" t="str">
        <f>""</f>
        <v/>
      </c>
      <c r="CP126" t="str">
        <f>""</f>
        <v/>
      </c>
      <c r="CQ126" t="str">
        <f>""</f>
        <v/>
      </c>
      <c r="CR126" t="str">
        <f>""</f>
        <v/>
      </c>
      <c r="CS126" t="str">
        <f>""</f>
        <v/>
      </c>
      <c r="CT126" t="str">
        <f>""</f>
        <v/>
      </c>
      <c r="CU126" t="str">
        <f>""</f>
        <v/>
      </c>
      <c r="CV126" t="str">
        <f>""</f>
        <v/>
      </c>
      <c r="CW126" t="str">
        <f>""</f>
        <v/>
      </c>
      <c r="CX126" t="str">
        <f>""</f>
        <v/>
      </c>
      <c r="CY126" t="str">
        <f>""</f>
        <v/>
      </c>
      <c r="CZ126" t="str">
        <f>""</f>
        <v/>
      </c>
      <c r="DA126" t="str">
        <f>""</f>
        <v/>
      </c>
      <c r="DB126" t="str">
        <f>""</f>
        <v/>
      </c>
      <c r="DC126" t="str">
        <f>""</f>
        <v/>
      </c>
      <c r="DD126" t="str">
        <f>""</f>
        <v/>
      </c>
      <c r="DE126" t="str">
        <f>""</f>
        <v/>
      </c>
      <c r="DF126" t="str">
        <f>""</f>
        <v/>
      </c>
      <c r="DG126" t="str">
        <f>""</f>
        <v/>
      </c>
      <c r="DH126" t="str">
        <f>""</f>
        <v/>
      </c>
      <c r="DI126" t="str">
        <f>""</f>
        <v/>
      </c>
      <c r="DJ126" t="str">
        <f>""</f>
        <v/>
      </c>
      <c r="DK126" t="str">
        <f>""</f>
        <v/>
      </c>
      <c r="DL126" t="str">
        <f>""</f>
        <v/>
      </c>
      <c r="DM126" t="str">
        <f>""</f>
        <v/>
      </c>
      <c r="DN126" t="str">
        <f>""</f>
        <v/>
      </c>
      <c r="DO126" t="str">
        <f>""</f>
        <v/>
      </c>
      <c r="DP126" t="str">
        <f>""</f>
        <v/>
      </c>
      <c r="DQ126" t="str">
        <f>""</f>
        <v/>
      </c>
      <c r="DR126" t="str">
        <f>""</f>
        <v/>
      </c>
      <c r="DS126" t="str">
        <f>""</f>
        <v/>
      </c>
      <c r="DT126" t="str">
        <f>""</f>
        <v/>
      </c>
      <c r="DU126" t="str">
        <f>""</f>
        <v/>
      </c>
      <c r="DV126" t="str">
        <f>""</f>
        <v/>
      </c>
      <c r="DW126" t="str">
        <f>""</f>
        <v/>
      </c>
      <c r="DX126" t="str">
        <f>""</f>
        <v/>
      </c>
      <c r="DY126" t="str">
        <f>""</f>
        <v/>
      </c>
      <c r="DZ126" t="str">
        <f>""</f>
        <v/>
      </c>
      <c r="EA126" t="str">
        <f>""</f>
        <v/>
      </c>
      <c r="EB126" t="str">
        <f>""</f>
        <v/>
      </c>
      <c r="EC126" t="str">
        <f>""</f>
        <v/>
      </c>
      <c r="ED126" t="str">
        <f>""</f>
        <v/>
      </c>
      <c r="EE126" t="str">
        <f>""</f>
        <v/>
      </c>
      <c r="EF126" t="str">
        <f>""</f>
        <v/>
      </c>
      <c r="EG126" t="str">
        <f>""</f>
        <v/>
      </c>
      <c r="EH126" t="str">
        <f>""</f>
        <v/>
      </c>
      <c r="EI126" t="str">
        <f>""</f>
        <v/>
      </c>
      <c r="EJ126" t="str">
        <f>""</f>
        <v/>
      </c>
      <c r="EK126" t="str">
        <f>""</f>
        <v/>
      </c>
      <c r="EL126" t="str">
        <f>""</f>
        <v/>
      </c>
      <c r="EM126" t="str">
        <f>""</f>
        <v/>
      </c>
      <c r="EN126" t="str">
        <f>""</f>
        <v/>
      </c>
      <c r="EO126" t="str">
        <f>""</f>
        <v/>
      </c>
      <c r="EP126" t="str">
        <f>""</f>
        <v/>
      </c>
      <c r="EQ126" t="str">
        <f>""</f>
        <v/>
      </c>
      <c r="ER126" t="str">
        <f>""</f>
        <v/>
      </c>
      <c r="ES126" t="str">
        <f>""</f>
        <v/>
      </c>
      <c r="ET126" t="str">
        <f>""</f>
        <v/>
      </c>
      <c r="EU126" t="str">
        <f>""</f>
        <v/>
      </c>
      <c r="EV126" t="str">
        <f>""</f>
        <v/>
      </c>
      <c r="EW126" t="str">
        <f>""</f>
        <v/>
      </c>
      <c r="EX126" t="str">
        <f>""</f>
        <v/>
      </c>
      <c r="EY126" t="str">
        <f>""</f>
        <v/>
      </c>
      <c r="EZ126" t="str">
        <f>""</f>
        <v/>
      </c>
      <c r="FA126" t="str">
        <f>""</f>
        <v/>
      </c>
      <c r="FB126" t="str">
        <f>""</f>
        <v/>
      </c>
      <c r="FC126" t="str">
        <f>""</f>
        <v/>
      </c>
      <c r="FD126" t="str">
        <f>""</f>
        <v/>
      </c>
      <c r="FE126" t="str">
        <f>""</f>
        <v/>
      </c>
      <c r="FF126" t="str">
        <f>""</f>
        <v/>
      </c>
      <c r="FG126" t="str">
        <f>""</f>
        <v/>
      </c>
      <c r="FH126" t="str">
        <f>""</f>
        <v/>
      </c>
      <c r="FI126" t="str">
        <f>""</f>
        <v/>
      </c>
      <c r="FJ126" t="str">
        <f>""</f>
        <v/>
      </c>
      <c r="FK126" t="str">
        <f>""</f>
        <v/>
      </c>
      <c r="FL126" t="str">
        <f>""</f>
        <v/>
      </c>
      <c r="FM126" t="str">
        <f>""</f>
        <v/>
      </c>
      <c r="FN126" t="str">
        <f>""</f>
        <v/>
      </c>
      <c r="FO126" t="str">
        <f>""</f>
        <v/>
      </c>
      <c r="FP126" t="str">
        <f>""</f>
        <v/>
      </c>
      <c r="FQ126" t="str">
        <f>""</f>
        <v/>
      </c>
      <c r="FR126" t="str">
        <f>""</f>
        <v/>
      </c>
      <c r="FS126" t="str">
        <f>""</f>
        <v/>
      </c>
      <c r="FT126" t="str">
        <f>""</f>
        <v/>
      </c>
      <c r="FU126" t="str">
        <f>""</f>
        <v/>
      </c>
      <c r="FV126" t="str">
        <f>""</f>
        <v/>
      </c>
      <c r="FW126" t="str">
        <f>""</f>
        <v/>
      </c>
      <c r="FX126" t="str">
        <f>""</f>
        <v/>
      </c>
      <c r="FY126" t="str">
        <f>""</f>
        <v/>
      </c>
      <c r="FZ126" t="str">
        <f>""</f>
        <v/>
      </c>
      <c r="GA126" t="str">
        <f>""</f>
        <v/>
      </c>
      <c r="GB126" t="str">
        <f>""</f>
        <v/>
      </c>
      <c r="GC126" t="str">
        <f>""</f>
        <v/>
      </c>
      <c r="GD126" t="str">
        <f>""</f>
        <v/>
      </c>
      <c r="GE126" t="str">
        <f>""</f>
        <v/>
      </c>
      <c r="GF126" t="str">
        <f>""</f>
        <v/>
      </c>
      <c r="GG126" t="str">
        <f>""</f>
        <v/>
      </c>
      <c r="GH126" t="str">
        <f>""</f>
        <v/>
      </c>
      <c r="GI126" t="str">
        <f>""</f>
        <v/>
      </c>
      <c r="GJ126" t="str">
        <f>""</f>
        <v/>
      </c>
      <c r="GK126" t="str">
        <f>""</f>
        <v/>
      </c>
      <c r="GL126" t="str">
        <f>""</f>
        <v/>
      </c>
      <c r="GM126" t="str">
        <f>""</f>
        <v/>
      </c>
      <c r="GN126" t="str">
        <f>""</f>
        <v/>
      </c>
      <c r="GO126" t="str">
        <f>""</f>
        <v/>
      </c>
      <c r="GP126" t="str">
        <f>""</f>
        <v/>
      </c>
      <c r="GQ126" t="str">
        <f>""</f>
        <v/>
      </c>
      <c r="GR126" t="str">
        <f>""</f>
        <v/>
      </c>
      <c r="GS126" t="str">
        <f>""</f>
        <v/>
      </c>
      <c r="GT126" t="str">
        <f>""</f>
        <v/>
      </c>
      <c r="GU126" t="str">
        <f>""</f>
        <v/>
      </c>
      <c r="GV126" t="str">
        <f>""</f>
        <v/>
      </c>
      <c r="GW126" t="str">
        <f>""</f>
        <v/>
      </c>
      <c r="GX126" t="str">
        <f>""</f>
        <v/>
      </c>
      <c r="GY126" t="str">
        <f>""</f>
        <v/>
      </c>
      <c r="GZ126" t="str">
        <f>""</f>
        <v/>
      </c>
      <c r="HA126" t="str">
        <f>""</f>
        <v/>
      </c>
      <c r="HB126" t="str">
        <f>""</f>
        <v/>
      </c>
      <c r="HC126" t="str">
        <f>""</f>
        <v/>
      </c>
      <c r="HD126" t="str">
        <f>""</f>
        <v/>
      </c>
      <c r="HE126" t="str">
        <f>""</f>
        <v/>
      </c>
      <c r="HF126" t="str">
        <f>""</f>
        <v/>
      </c>
      <c r="HG126" t="str">
        <f>""</f>
        <v/>
      </c>
      <c r="HH126" t="str">
        <f>""</f>
        <v/>
      </c>
      <c r="HI126" t="str">
        <f>""</f>
        <v/>
      </c>
      <c r="HJ126" t="str">
        <f>""</f>
        <v/>
      </c>
      <c r="HK126" t="str">
        <f>""</f>
        <v/>
      </c>
      <c r="HL126" t="str">
        <f>""</f>
        <v/>
      </c>
      <c r="HM126" t="str">
        <f>""</f>
        <v/>
      </c>
      <c r="HN126" t="str">
        <f>""</f>
        <v/>
      </c>
      <c r="HO126" t="str">
        <f>""</f>
        <v/>
      </c>
      <c r="HP126" t="str">
        <f>""</f>
        <v/>
      </c>
      <c r="HQ126" t="str">
        <f>""</f>
        <v/>
      </c>
      <c r="HR126" t="str">
        <f>""</f>
        <v/>
      </c>
      <c r="HS126" t="str">
        <f>""</f>
        <v/>
      </c>
      <c r="HT126" t="str">
        <f>""</f>
        <v/>
      </c>
      <c r="HU126" t="str">
        <f>""</f>
        <v/>
      </c>
      <c r="HV126" t="str">
        <f>""</f>
        <v/>
      </c>
      <c r="HW126" t="str">
        <f>""</f>
        <v/>
      </c>
      <c r="HX126" t="str">
        <f>""</f>
        <v/>
      </c>
      <c r="HY126" t="str">
        <f>""</f>
        <v/>
      </c>
      <c r="HZ126" t="str">
        <f>""</f>
        <v/>
      </c>
      <c r="IA126" t="str">
        <f>""</f>
        <v/>
      </c>
      <c r="IB126" t="str">
        <f>""</f>
        <v/>
      </c>
      <c r="IC126" t="str">
        <f>""</f>
        <v/>
      </c>
      <c r="ID126" t="str">
        <f>""</f>
        <v/>
      </c>
      <c r="IE126" t="str">
        <f>""</f>
        <v/>
      </c>
      <c r="IF126" t="str">
        <f>""</f>
        <v/>
      </c>
      <c r="IG126" t="str">
        <f>""</f>
        <v/>
      </c>
      <c r="IH126" t="str">
        <f>""</f>
        <v/>
      </c>
      <c r="II126" t="str">
        <f>""</f>
        <v/>
      </c>
      <c r="IJ126" t="str">
        <f>""</f>
        <v/>
      </c>
      <c r="IK126" t="str">
        <f>""</f>
        <v/>
      </c>
      <c r="IL126" t="str">
        <f>""</f>
        <v/>
      </c>
      <c r="IM126" t="str">
        <f>""</f>
        <v/>
      </c>
      <c r="IN126" t="str">
        <f>""</f>
        <v/>
      </c>
      <c r="IO126" t="str">
        <f>""</f>
        <v/>
      </c>
      <c r="IP126" t="str">
        <f>""</f>
        <v/>
      </c>
      <c r="IQ126" t="str">
        <f>""</f>
        <v/>
      </c>
      <c r="IR126" t="str">
        <f>""</f>
        <v/>
      </c>
      <c r="IS126" t="str">
        <f>""</f>
        <v/>
      </c>
      <c r="IT126" t="str">
        <f>""</f>
        <v/>
      </c>
      <c r="IU126" t="str">
        <f>""</f>
        <v/>
      </c>
      <c r="IV126" t="str">
        <f>""</f>
        <v/>
      </c>
      <c r="IW126" t="str">
        <f>""</f>
        <v/>
      </c>
      <c r="IX126" t="str">
        <f>""</f>
        <v/>
      </c>
      <c r="IY126" t="str">
        <f>""</f>
        <v/>
      </c>
      <c r="IZ126" t="str">
        <f>""</f>
        <v/>
      </c>
      <c r="JA126" t="str">
        <f>""</f>
        <v/>
      </c>
      <c r="JB126" t="str">
        <f>""</f>
        <v/>
      </c>
      <c r="JC126" t="str">
        <f>""</f>
        <v/>
      </c>
      <c r="JD126" t="str">
        <f>""</f>
        <v/>
      </c>
      <c r="JE126" t="str">
        <f>""</f>
        <v/>
      </c>
      <c r="JF126" t="str">
        <f>""</f>
        <v/>
      </c>
      <c r="JG126" t="str">
        <f>""</f>
        <v/>
      </c>
      <c r="JH126" t="str">
        <f>""</f>
        <v/>
      </c>
      <c r="JI126" t="str">
        <f>""</f>
        <v/>
      </c>
      <c r="JJ126" t="str">
        <f>""</f>
        <v/>
      </c>
      <c r="JK126" t="str">
        <f>""</f>
        <v/>
      </c>
    </row>
    <row r="127" spans="1:271" x14ac:dyDescent="0.3">
      <c r="A127" t="str">
        <f>""</f>
        <v/>
      </c>
      <c r="B127" t="str">
        <f>""</f>
        <v/>
      </c>
      <c r="C127" t="str">
        <f>""</f>
        <v/>
      </c>
      <c r="D127" t="str">
        <f>""</f>
        <v/>
      </c>
      <c r="E127" t="str">
        <f>""</f>
        <v/>
      </c>
      <c r="F127" t="str">
        <f>""</f>
        <v/>
      </c>
      <c r="G127" t="str">
        <f>""</f>
        <v/>
      </c>
      <c r="H127" t="str">
        <f>""</f>
        <v/>
      </c>
      <c r="I127" t="str">
        <f>""</f>
        <v/>
      </c>
      <c r="J127" t="str">
        <f>""</f>
        <v/>
      </c>
      <c r="K127" t="str">
        <f>""</f>
        <v/>
      </c>
      <c r="L127" t="str">
        <f>""</f>
        <v/>
      </c>
      <c r="M127" t="str">
        <f>""</f>
        <v/>
      </c>
      <c r="N127" t="str">
        <f>""</f>
        <v/>
      </c>
      <c r="O127" t="str">
        <f>""</f>
        <v/>
      </c>
      <c r="P127" t="str">
        <f>""</f>
        <v/>
      </c>
      <c r="Q127" t="str">
        <f>""</f>
        <v/>
      </c>
      <c r="R127" t="str">
        <f>""</f>
        <v/>
      </c>
      <c r="S127" t="str">
        <f>""</f>
        <v/>
      </c>
      <c r="T127" t="str">
        <f>""</f>
        <v/>
      </c>
      <c r="U127" t="str">
        <f>""</f>
        <v/>
      </c>
      <c r="V127" t="str">
        <f>""</f>
        <v/>
      </c>
      <c r="W127" t="str">
        <f>""</f>
        <v/>
      </c>
      <c r="X127" t="str">
        <f>""</f>
        <v/>
      </c>
      <c r="Y127" t="str">
        <f>""</f>
        <v/>
      </c>
      <c r="Z127" t="str">
        <f>""</f>
        <v/>
      </c>
      <c r="AA127" t="str">
        <f>""</f>
        <v/>
      </c>
      <c r="AB127" t="str">
        <f>""</f>
        <v/>
      </c>
      <c r="AC127" t="str">
        <f>""</f>
        <v/>
      </c>
      <c r="AD127" t="str">
        <f>""</f>
        <v/>
      </c>
      <c r="AE127" t="str">
        <f>""</f>
        <v/>
      </c>
      <c r="AF127" t="str">
        <f>""</f>
        <v/>
      </c>
      <c r="AG127" t="str">
        <f>""</f>
        <v/>
      </c>
      <c r="AH127" t="str">
        <f>""</f>
        <v/>
      </c>
      <c r="AI127" t="str">
        <f>""</f>
        <v/>
      </c>
      <c r="AJ127" t="str">
        <f>""</f>
        <v/>
      </c>
      <c r="AK127" t="str">
        <f>""</f>
        <v/>
      </c>
      <c r="AL127" t="str">
        <f>""</f>
        <v/>
      </c>
      <c r="AM127" t="str">
        <f>""</f>
        <v/>
      </c>
      <c r="AN127" t="str">
        <f>""</f>
        <v/>
      </c>
      <c r="AO127" t="str">
        <f>""</f>
        <v/>
      </c>
      <c r="AP127" t="str">
        <f>""</f>
        <v/>
      </c>
      <c r="AQ127" t="str">
        <f>""</f>
        <v/>
      </c>
      <c r="AR127" t="str">
        <f>""</f>
        <v/>
      </c>
      <c r="AS127" t="str">
        <f>""</f>
        <v/>
      </c>
      <c r="AT127" t="str">
        <f>""</f>
        <v/>
      </c>
      <c r="AU127" t="str">
        <f>"(0.109)"</f>
        <v>(0.109)</v>
      </c>
      <c r="AV127" t="str">
        <f>"(0.0850)"</f>
        <v>(0.0850)</v>
      </c>
      <c r="AW127" t="str">
        <f>"(0.0462)"</f>
        <v>(0.0462)</v>
      </c>
      <c r="AX127" t="str">
        <f>"(0.107)"</f>
        <v>(0.107)</v>
      </c>
      <c r="AY127" t="str">
        <f>"(0.0841)"</f>
        <v>(0.0841)</v>
      </c>
      <c r="AZ127" t="str">
        <f>"(0.0464)"</f>
        <v>(0.0464)</v>
      </c>
      <c r="BA127" t="str">
        <f>"(0.107)"</f>
        <v>(0.107)</v>
      </c>
      <c r="BB127" t="str">
        <f>"(0.0843)"</f>
        <v>(0.0843)</v>
      </c>
      <c r="BC127" t="str">
        <f>"(0.0474)"</f>
        <v>(0.0474)</v>
      </c>
      <c r="BD127" t="str">
        <f>"(0.109)"</f>
        <v>(0.109)</v>
      </c>
      <c r="BE127" t="str">
        <f>"(0.0846)"</f>
        <v>(0.0846)</v>
      </c>
      <c r="BF127" t="str">
        <f>"(0.0473)"</f>
        <v>(0.0473)</v>
      </c>
      <c r="BG127" t="str">
        <f>"(0.107)"</f>
        <v>(0.107)</v>
      </c>
      <c r="BH127" t="str">
        <f>"(0.0845)"</f>
        <v>(0.0845)</v>
      </c>
      <c r="BI127" t="str">
        <f>"(0.0471)"</f>
        <v>(0.0471)</v>
      </c>
      <c r="BJ127" t="str">
        <f>"(0.107)"</f>
        <v>(0.107)</v>
      </c>
      <c r="BK127" t="str">
        <f>"(0.0842)"</f>
        <v>(0.0842)</v>
      </c>
      <c r="BL127" t="str">
        <f>"(0.0461)"</f>
        <v>(0.0461)</v>
      </c>
      <c r="BM127" t="str">
        <f>"(0.107)"</f>
        <v>(0.107)</v>
      </c>
      <c r="BN127" t="str">
        <f>"(0.0839)"</f>
        <v>(0.0839)</v>
      </c>
      <c r="BO127" t="str">
        <f>"(0.0466)"</f>
        <v>(0.0466)</v>
      </c>
      <c r="BP127" t="str">
        <f>"(0.107)"</f>
        <v>(0.107)</v>
      </c>
      <c r="BQ127" t="str">
        <f>"(0.0842)"</f>
        <v>(0.0842)</v>
      </c>
      <c r="BR127" t="str">
        <f>"(0.0457)"</f>
        <v>(0.0457)</v>
      </c>
      <c r="BS127" t="str">
        <f>"(0.107)"</f>
        <v>(0.107)</v>
      </c>
      <c r="BT127" t="str">
        <f>"(0.0840)"</f>
        <v>(0.0840)</v>
      </c>
      <c r="BU127" t="str">
        <f>"(0.0456)"</f>
        <v>(0.0456)</v>
      </c>
      <c r="BV127" t="str">
        <f>"(0.107)"</f>
        <v>(0.107)</v>
      </c>
      <c r="BW127" t="str">
        <f>"(0.0840)"</f>
        <v>(0.0840)</v>
      </c>
      <c r="BX127" t="str">
        <f>"(0.0456)"</f>
        <v>(0.0456)</v>
      </c>
      <c r="BY127" t="str">
        <f>"(0.107)"</f>
        <v>(0.107)</v>
      </c>
      <c r="BZ127" t="str">
        <f>"(0.0844)"</f>
        <v>(0.0844)</v>
      </c>
      <c r="CA127" t="str">
        <f>"(0.0465)"</f>
        <v>(0.0465)</v>
      </c>
      <c r="CB127" t="str">
        <f>"(0.107)"</f>
        <v>(0.107)</v>
      </c>
      <c r="CC127" t="str">
        <f>"(0.0843)"</f>
        <v>(0.0843)</v>
      </c>
      <c r="CD127" t="str">
        <f>"(0.0456)"</f>
        <v>(0.0456)</v>
      </c>
      <c r="CE127" t="str">
        <f>"(0.109)"</f>
        <v>(0.109)</v>
      </c>
      <c r="CF127" t="str">
        <f>"(0.0843)"</f>
        <v>(0.0843)</v>
      </c>
      <c r="CG127" t="str">
        <f>"(0.0462)"</f>
        <v>(0.0462)</v>
      </c>
      <c r="CH127" t="str">
        <f>"(0.107)"</f>
        <v>(0.107)</v>
      </c>
      <c r="CI127" t="str">
        <f>"(0.0839)"</f>
        <v>(0.0839)</v>
      </c>
      <c r="CJ127" t="str">
        <f>"(0.0457)"</f>
        <v>(0.0457)</v>
      </c>
      <c r="CK127" t="str">
        <f>"(0.107)"</f>
        <v>(0.107)</v>
      </c>
      <c r="CL127" t="str">
        <f>"(0.0839)"</f>
        <v>(0.0839)</v>
      </c>
      <c r="CM127" t="str">
        <f>"(0.0458)"</f>
        <v>(0.0458)</v>
      </c>
      <c r="CN127" t="str">
        <f>""</f>
        <v/>
      </c>
      <c r="CO127" t="str">
        <f>""</f>
        <v/>
      </c>
      <c r="CP127" t="str">
        <f>""</f>
        <v/>
      </c>
      <c r="CQ127" t="str">
        <f>""</f>
        <v/>
      </c>
      <c r="CR127" t="str">
        <f>""</f>
        <v/>
      </c>
      <c r="CS127" t="str">
        <f>""</f>
        <v/>
      </c>
      <c r="CT127" t="str">
        <f>""</f>
        <v/>
      </c>
      <c r="CU127" t="str">
        <f>""</f>
        <v/>
      </c>
      <c r="CV127" t="str">
        <f>""</f>
        <v/>
      </c>
      <c r="CW127" t="str">
        <f>""</f>
        <v/>
      </c>
      <c r="CX127" t="str">
        <f>""</f>
        <v/>
      </c>
      <c r="CY127" t="str">
        <f>""</f>
        <v/>
      </c>
      <c r="CZ127" t="str">
        <f>""</f>
        <v/>
      </c>
      <c r="DA127" t="str">
        <f>""</f>
        <v/>
      </c>
      <c r="DB127" t="str">
        <f>""</f>
        <v/>
      </c>
      <c r="DC127" t="str">
        <f>""</f>
        <v/>
      </c>
      <c r="DD127" t="str">
        <f>""</f>
        <v/>
      </c>
      <c r="DE127" t="str">
        <f>""</f>
        <v/>
      </c>
      <c r="DF127" t="str">
        <f>""</f>
        <v/>
      </c>
      <c r="DG127" t="str">
        <f>""</f>
        <v/>
      </c>
      <c r="DH127" t="str">
        <f>""</f>
        <v/>
      </c>
      <c r="DI127" t="str">
        <f>""</f>
        <v/>
      </c>
      <c r="DJ127" t="str">
        <f>""</f>
        <v/>
      </c>
      <c r="DK127" t="str">
        <f>""</f>
        <v/>
      </c>
      <c r="DL127" t="str">
        <f>""</f>
        <v/>
      </c>
      <c r="DM127" t="str">
        <f>""</f>
        <v/>
      </c>
      <c r="DN127" t="str">
        <f>""</f>
        <v/>
      </c>
      <c r="DO127" t="str">
        <f>""</f>
        <v/>
      </c>
      <c r="DP127" t="str">
        <f>""</f>
        <v/>
      </c>
      <c r="DQ127" t="str">
        <f>""</f>
        <v/>
      </c>
      <c r="DR127" t="str">
        <f>""</f>
        <v/>
      </c>
      <c r="DS127" t="str">
        <f>""</f>
        <v/>
      </c>
      <c r="DT127" t="str">
        <f>""</f>
        <v/>
      </c>
      <c r="DU127" t="str">
        <f>""</f>
        <v/>
      </c>
      <c r="DV127" t="str">
        <f>""</f>
        <v/>
      </c>
      <c r="DW127" t="str">
        <f>""</f>
        <v/>
      </c>
      <c r="DX127" t="str">
        <f>""</f>
        <v/>
      </c>
      <c r="DY127" t="str">
        <f>""</f>
        <v/>
      </c>
      <c r="DZ127" t="str">
        <f>""</f>
        <v/>
      </c>
      <c r="EA127" t="str">
        <f>""</f>
        <v/>
      </c>
      <c r="EB127" t="str">
        <f>""</f>
        <v/>
      </c>
      <c r="EC127" t="str">
        <f>""</f>
        <v/>
      </c>
      <c r="ED127" t="str">
        <f>""</f>
        <v/>
      </c>
      <c r="EE127" t="str">
        <f>""</f>
        <v/>
      </c>
      <c r="EF127" t="str">
        <f>""</f>
        <v/>
      </c>
      <c r="EG127" t="str">
        <f>""</f>
        <v/>
      </c>
      <c r="EH127" t="str">
        <f>""</f>
        <v/>
      </c>
      <c r="EI127" t="str">
        <f>""</f>
        <v/>
      </c>
      <c r="EJ127" t="str">
        <f>""</f>
        <v/>
      </c>
      <c r="EK127" t="str">
        <f>""</f>
        <v/>
      </c>
      <c r="EL127" t="str">
        <f>""</f>
        <v/>
      </c>
      <c r="EM127" t="str">
        <f>""</f>
        <v/>
      </c>
      <c r="EN127" t="str">
        <f>""</f>
        <v/>
      </c>
      <c r="EO127" t="str">
        <f>""</f>
        <v/>
      </c>
      <c r="EP127" t="str">
        <f>""</f>
        <v/>
      </c>
      <c r="EQ127" t="str">
        <f>""</f>
        <v/>
      </c>
      <c r="ER127" t="str">
        <f>""</f>
        <v/>
      </c>
      <c r="ES127" t="str">
        <f>""</f>
        <v/>
      </c>
      <c r="ET127" t="str">
        <f>""</f>
        <v/>
      </c>
      <c r="EU127" t="str">
        <f>""</f>
        <v/>
      </c>
      <c r="EV127" t="str">
        <f>""</f>
        <v/>
      </c>
      <c r="EW127" t="str">
        <f>""</f>
        <v/>
      </c>
      <c r="EX127" t="str">
        <f>""</f>
        <v/>
      </c>
      <c r="EY127" t="str">
        <f>""</f>
        <v/>
      </c>
      <c r="EZ127" t="str">
        <f>""</f>
        <v/>
      </c>
      <c r="FA127" t="str">
        <f>""</f>
        <v/>
      </c>
      <c r="FB127" t="str">
        <f>""</f>
        <v/>
      </c>
      <c r="FC127" t="str">
        <f>""</f>
        <v/>
      </c>
      <c r="FD127" t="str">
        <f>""</f>
        <v/>
      </c>
      <c r="FE127" t="str">
        <f>""</f>
        <v/>
      </c>
      <c r="FF127" t="str">
        <f>""</f>
        <v/>
      </c>
      <c r="FG127" t="str">
        <f>""</f>
        <v/>
      </c>
      <c r="FH127" t="str">
        <f>""</f>
        <v/>
      </c>
      <c r="FI127" t="str">
        <f>""</f>
        <v/>
      </c>
      <c r="FJ127" t="str">
        <f>""</f>
        <v/>
      </c>
      <c r="FK127" t="str">
        <f>""</f>
        <v/>
      </c>
      <c r="FL127" t="str">
        <f>""</f>
        <v/>
      </c>
      <c r="FM127" t="str">
        <f>""</f>
        <v/>
      </c>
      <c r="FN127" t="str">
        <f>""</f>
        <v/>
      </c>
      <c r="FO127" t="str">
        <f>""</f>
        <v/>
      </c>
      <c r="FP127" t="str">
        <f>""</f>
        <v/>
      </c>
      <c r="FQ127" t="str">
        <f>""</f>
        <v/>
      </c>
      <c r="FR127" t="str">
        <f>""</f>
        <v/>
      </c>
      <c r="FS127" t="str">
        <f>""</f>
        <v/>
      </c>
      <c r="FT127" t="str">
        <f>""</f>
        <v/>
      </c>
      <c r="FU127" t="str">
        <f>""</f>
        <v/>
      </c>
      <c r="FV127" t="str">
        <f>""</f>
        <v/>
      </c>
      <c r="FW127" t="str">
        <f>""</f>
        <v/>
      </c>
      <c r="FX127" t="str">
        <f>""</f>
        <v/>
      </c>
      <c r="FY127" t="str">
        <f>""</f>
        <v/>
      </c>
      <c r="FZ127" t="str">
        <f>""</f>
        <v/>
      </c>
      <c r="GA127" t="str">
        <f>""</f>
        <v/>
      </c>
      <c r="GB127" t="str">
        <f>""</f>
        <v/>
      </c>
      <c r="GC127" t="str">
        <f>""</f>
        <v/>
      </c>
      <c r="GD127" t="str">
        <f>""</f>
        <v/>
      </c>
      <c r="GE127" t="str">
        <f>""</f>
        <v/>
      </c>
      <c r="GF127" t="str">
        <f>""</f>
        <v/>
      </c>
      <c r="GG127" t="str">
        <f>""</f>
        <v/>
      </c>
      <c r="GH127" t="str">
        <f>""</f>
        <v/>
      </c>
      <c r="GI127" t="str">
        <f>""</f>
        <v/>
      </c>
      <c r="GJ127" t="str">
        <f>""</f>
        <v/>
      </c>
      <c r="GK127" t="str">
        <f>""</f>
        <v/>
      </c>
      <c r="GL127" t="str">
        <f>""</f>
        <v/>
      </c>
      <c r="GM127" t="str">
        <f>""</f>
        <v/>
      </c>
      <c r="GN127" t="str">
        <f>""</f>
        <v/>
      </c>
      <c r="GO127" t="str">
        <f>""</f>
        <v/>
      </c>
      <c r="GP127" t="str">
        <f>""</f>
        <v/>
      </c>
      <c r="GQ127" t="str">
        <f>""</f>
        <v/>
      </c>
      <c r="GR127" t="str">
        <f>""</f>
        <v/>
      </c>
      <c r="GS127" t="str">
        <f>""</f>
        <v/>
      </c>
      <c r="GT127" t="str">
        <f>""</f>
        <v/>
      </c>
      <c r="GU127" t="str">
        <f>""</f>
        <v/>
      </c>
      <c r="GV127" t="str">
        <f>""</f>
        <v/>
      </c>
      <c r="GW127" t="str">
        <f>""</f>
        <v/>
      </c>
      <c r="GX127" t="str">
        <f>""</f>
        <v/>
      </c>
      <c r="GY127" t="str">
        <f>""</f>
        <v/>
      </c>
      <c r="GZ127" t="str">
        <f>""</f>
        <v/>
      </c>
      <c r="HA127" t="str">
        <f>""</f>
        <v/>
      </c>
      <c r="HB127" t="str">
        <f>""</f>
        <v/>
      </c>
      <c r="HC127" t="str">
        <f>""</f>
        <v/>
      </c>
      <c r="HD127" t="str">
        <f>""</f>
        <v/>
      </c>
      <c r="HE127" t="str">
        <f>""</f>
        <v/>
      </c>
      <c r="HF127" t="str">
        <f>""</f>
        <v/>
      </c>
      <c r="HG127" t="str">
        <f>""</f>
        <v/>
      </c>
      <c r="HH127" t="str">
        <f>""</f>
        <v/>
      </c>
      <c r="HI127" t="str">
        <f>""</f>
        <v/>
      </c>
      <c r="HJ127" t="str">
        <f>""</f>
        <v/>
      </c>
      <c r="HK127" t="str">
        <f>""</f>
        <v/>
      </c>
      <c r="HL127" t="str">
        <f>""</f>
        <v/>
      </c>
      <c r="HM127" t="str">
        <f>""</f>
        <v/>
      </c>
      <c r="HN127" t="str">
        <f>""</f>
        <v/>
      </c>
      <c r="HO127" t="str">
        <f>""</f>
        <v/>
      </c>
      <c r="HP127" t="str">
        <f>""</f>
        <v/>
      </c>
      <c r="HQ127" t="str">
        <f>""</f>
        <v/>
      </c>
      <c r="HR127" t="str">
        <f>""</f>
        <v/>
      </c>
      <c r="HS127" t="str">
        <f>""</f>
        <v/>
      </c>
      <c r="HT127" t="str">
        <f>""</f>
        <v/>
      </c>
      <c r="HU127" t="str">
        <f>""</f>
        <v/>
      </c>
      <c r="HV127" t="str">
        <f>""</f>
        <v/>
      </c>
      <c r="HW127" t="str">
        <f>""</f>
        <v/>
      </c>
      <c r="HX127" t="str">
        <f>""</f>
        <v/>
      </c>
      <c r="HY127" t="str">
        <f>""</f>
        <v/>
      </c>
      <c r="HZ127" t="str">
        <f>""</f>
        <v/>
      </c>
      <c r="IA127" t="str">
        <f>""</f>
        <v/>
      </c>
      <c r="IB127" t="str">
        <f>""</f>
        <v/>
      </c>
      <c r="IC127" t="str">
        <f>""</f>
        <v/>
      </c>
      <c r="ID127" t="str">
        <f>""</f>
        <v/>
      </c>
      <c r="IE127" t="str">
        <f>""</f>
        <v/>
      </c>
      <c r="IF127" t="str">
        <f>""</f>
        <v/>
      </c>
      <c r="IG127" t="str">
        <f>""</f>
        <v/>
      </c>
      <c r="IH127" t="str">
        <f>""</f>
        <v/>
      </c>
      <c r="II127" t="str">
        <f>""</f>
        <v/>
      </c>
      <c r="IJ127" t="str">
        <f>""</f>
        <v/>
      </c>
      <c r="IK127" t="str">
        <f>""</f>
        <v/>
      </c>
      <c r="IL127" t="str">
        <f>""</f>
        <v/>
      </c>
      <c r="IM127" t="str">
        <f>""</f>
        <v/>
      </c>
      <c r="IN127" t="str">
        <f>""</f>
        <v/>
      </c>
      <c r="IO127" t="str">
        <f>""</f>
        <v/>
      </c>
      <c r="IP127" t="str">
        <f>""</f>
        <v/>
      </c>
      <c r="IQ127" t="str">
        <f>""</f>
        <v/>
      </c>
      <c r="IR127" t="str">
        <f>""</f>
        <v/>
      </c>
      <c r="IS127" t="str">
        <f>""</f>
        <v/>
      </c>
      <c r="IT127" t="str">
        <f>""</f>
        <v/>
      </c>
      <c r="IU127" t="str">
        <f>""</f>
        <v/>
      </c>
      <c r="IV127" t="str">
        <f>""</f>
        <v/>
      </c>
      <c r="IW127" t="str">
        <f>""</f>
        <v/>
      </c>
      <c r="IX127" t="str">
        <f>""</f>
        <v/>
      </c>
      <c r="IY127" t="str">
        <f>""</f>
        <v/>
      </c>
      <c r="IZ127" t="str">
        <f>""</f>
        <v/>
      </c>
      <c r="JA127" t="str">
        <f>""</f>
        <v/>
      </c>
      <c r="JB127" t="str">
        <f>""</f>
        <v/>
      </c>
      <c r="JC127" t="str">
        <f>""</f>
        <v/>
      </c>
      <c r="JD127" t="str">
        <f>""</f>
        <v/>
      </c>
      <c r="JE127" t="str">
        <f>""</f>
        <v/>
      </c>
      <c r="JF127" t="str">
        <f>""</f>
        <v/>
      </c>
      <c r="JG127" t="str">
        <f>""</f>
        <v/>
      </c>
      <c r="JH127" t="str">
        <f>""</f>
        <v/>
      </c>
      <c r="JI127" t="str">
        <f>""</f>
        <v/>
      </c>
      <c r="JJ127" t="str">
        <f>""</f>
        <v/>
      </c>
      <c r="JK127" t="str">
        <f>""</f>
        <v/>
      </c>
    </row>
    <row r="129" spans="1:271" x14ac:dyDescent="0.3">
      <c r="A129" t="str">
        <f>"c.zMETAB1#c.PM2"</f>
        <v>c.zMETAB1#c.PM2</v>
      </c>
      <c r="B129" t="str">
        <f>""</f>
        <v/>
      </c>
      <c r="C129" t="str">
        <f>""</f>
        <v/>
      </c>
      <c r="D129" t="str">
        <f>""</f>
        <v/>
      </c>
      <c r="E129" t="str">
        <f>""</f>
        <v/>
      </c>
      <c r="F129" t="str">
        <f>""</f>
        <v/>
      </c>
      <c r="G129" t="str">
        <f>""</f>
        <v/>
      </c>
      <c r="H129" t="str">
        <f>""</f>
        <v/>
      </c>
      <c r="I129" t="str">
        <f>""</f>
        <v/>
      </c>
      <c r="J129" t="str">
        <f>""</f>
        <v/>
      </c>
      <c r="K129" t="str">
        <f>""</f>
        <v/>
      </c>
      <c r="L129" t="str">
        <f>""</f>
        <v/>
      </c>
      <c r="M129" t="str">
        <f>""</f>
        <v/>
      </c>
      <c r="N129" t="str">
        <f>""</f>
        <v/>
      </c>
      <c r="O129" t="str">
        <f>""</f>
        <v/>
      </c>
      <c r="P129" t="str">
        <f>""</f>
        <v/>
      </c>
      <c r="Q129" t="str">
        <f>""</f>
        <v/>
      </c>
      <c r="R129" t="str">
        <f>""</f>
        <v/>
      </c>
      <c r="S129" t="str">
        <f>""</f>
        <v/>
      </c>
      <c r="T129" t="str">
        <f>""</f>
        <v/>
      </c>
      <c r="U129" t="str">
        <f>""</f>
        <v/>
      </c>
      <c r="V129" t="str">
        <f>""</f>
        <v/>
      </c>
      <c r="W129" t="str">
        <f>""</f>
        <v/>
      </c>
      <c r="X129" t="str">
        <f>""</f>
        <v/>
      </c>
      <c r="Y129" t="str">
        <f>""</f>
        <v/>
      </c>
      <c r="Z129" t="str">
        <f>""</f>
        <v/>
      </c>
      <c r="AA129" t="str">
        <f>""</f>
        <v/>
      </c>
      <c r="AB129" t="str">
        <f>""</f>
        <v/>
      </c>
      <c r="AC129" t="str">
        <f>""</f>
        <v/>
      </c>
      <c r="AD129" t="str">
        <f>""</f>
        <v/>
      </c>
      <c r="AE129" t="str">
        <f>""</f>
        <v/>
      </c>
      <c r="AF129" t="str">
        <f>""</f>
        <v/>
      </c>
      <c r="AG129" t="str">
        <f>""</f>
        <v/>
      </c>
      <c r="AH129" t="str">
        <f>""</f>
        <v/>
      </c>
      <c r="AI129" t="str">
        <f>""</f>
        <v/>
      </c>
      <c r="AJ129" t="str">
        <f>""</f>
        <v/>
      </c>
      <c r="AK129" t="str">
        <f>""</f>
        <v/>
      </c>
      <c r="AL129" t="str">
        <f>""</f>
        <v/>
      </c>
      <c r="AM129" t="str">
        <f>""</f>
        <v/>
      </c>
      <c r="AN129" t="str">
        <f>""</f>
        <v/>
      </c>
      <c r="AO129" t="str">
        <f>""</f>
        <v/>
      </c>
      <c r="AP129" t="str">
        <f>""</f>
        <v/>
      </c>
      <c r="AQ129" t="str">
        <f>""</f>
        <v/>
      </c>
      <c r="AR129" t="str">
        <f>""</f>
        <v/>
      </c>
      <c r="AS129" t="str">
        <f>""</f>
        <v/>
      </c>
      <c r="AT129" t="str">
        <f>""</f>
        <v/>
      </c>
      <c r="AU129" t="str">
        <f>"-0.0454"</f>
        <v>-0.0454</v>
      </c>
      <c r="AV129" t="str">
        <f>"-0.00747"</f>
        <v>-0.00747</v>
      </c>
      <c r="AW129" t="str">
        <f>"-0.0269"</f>
        <v>-0.0269</v>
      </c>
      <c r="AX129" t="str">
        <f>""</f>
        <v/>
      </c>
      <c r="AY129" t="str">
        <f>""</f>
        <v/>
      </c>
      <c r="AZ129" t="str">
        <f>""</f>
        <v/>
      </c>
      <c r="BA129" t="str">
        <f>""</f>
        <v/>
      </c>
      <c r="BB129" t="str">
        <f>""</f>
        <v/>
      </c>
      <c r="BC129" t="str">
        <f>""</f>
        <v/>
      </c>
      <c r="BD129" t="str">
        <f>""</f>
        <v/>
      </c>
      <c r="BE129" t="str">
        <f>""</f>
        <v/>
      </c>
      <c r="BF129" t="str">
        <f>""</f>
        <v/>
      </c>
      <c r="BG129" t="str">
        <f>""</f>
        <v/>
      </c>
      <c r="BH129" t="str">
        <f>""</f>
        <v/>
      </c>
      <c r="BI129" t="str">
        <f>""</f>
        <v/>
      </c>
      <c r="BJ129" t="str">
        <f>""</f>
        <v/>
      </c>
      <c r="BK129" t="str">
        <f>""</f>
        <v/>
      </c>
      <c r="BL129" t="str">
        <f>""</f>
        <v/>
      </c>
      <c r="BM129" t="str">
        <f>""</f>
        <v/>
      </c>
      <c r="BN129" t="str">
        <f>""</f>
        <v/>
      </c>
      <c r="BO129" t="str">
        <f>""</f>
        <v/>
      </c>
      <c r="BP129" t="str">
        <f>""</f>
        <v/>
      </c>
      <c r="BQ129" t="str">
        <f>""</f>
        <v/>
      </c>
      <c r="BR129" t="str">
        <f>""</f>
        <v/>
      </c>
      <c r="BS129" t="str">
        <f>""</f>
        <v/>
      </c>
      <c r="BT129" t="str">
        <f>""</f>
        <v/>
      </c>
      <c r="BU129" t="str">
        <f>""</f>
        <v/>
      </c>
      <c r="BV129" t="str">
        <f>""</f>
        <v/>
      </c>
      <c r="BW129" t="str">
        <f>""</f>
        <v/>
      </c>
      <c r="BX129" t="str">
        <f>""</f>
        <v/>
      </c>
      <c r="BY129" t="str">
        <f>""</f>
        <v/>
      </c>
      <c r="BZ129" t="str">
        <f>""</f>
        <v/>
      </c>
      <c r="CA129" t="str">
        <f>""</f>
        <v/>
      </c>
      <c r="CB129" t="str">
        <f>""</f>
        <v/>
      </c>
      <c r="CC129" t="str">
        <f>""</f>
        <v/>
      </c>
      <c r="CD129" t="str">
        <f>""</f>
        <v/>
      </c>
      <c r="CE129" t="str">
        <f>""</f>
        <v/>
      </c>
      <c r="CF129" t="str">
        <f>""</f>
        <v/>
      </c>
      <c r="CG129" t="str">
        <f>""</f>
        <v/>
      </c>
      <c r="CH129" t="str">
        <f>""</f>
        <v/>
      </c>
      <c r="CI129" t="str">
        <f>""</f>
        <v/>
      </c>
      <c r="CJ129" t="str">
        <f>""</f>
        <v/>
      </c>
      <c r="CK129" t="str">
        <f>""</f>
        <v/>
      </c>
      <c r="CL129" t="str">
        <f>""</f>
        <v/>
      </c>
      <c r="CM129" t="str">
        <f>""</f>
        <v/>
      </c>
      <c r="CN129" t="str">
        <f>""</f>
        <v/>
      </c>
      <c r="CO129" t="str">
        <f>""</f>
        <v/>
      </c>
      <c r="CP129" t="str">
        <f>""</f>
        <v/>
      </c>
      <c r="CQ129" t="str">
        <f>""</f>
        <v/>
      </c>
      <c r="CR129" t="str">
        <f>""</f>
        <v/>
      </c>
      <c r="CS129" t="str">
        <f>""</f>
        <v/>
      </c>
      <c r="CT129" t="str">
        <f>""</f>
        <v/>
      </c>
      <c r="CU129" t="str">
        <f>""</f>
        <v/>
      </c>
      <c r="CV129" t="str">
        <f>""</f>
        <v/>
      </c>
      <c r="CW129" t="str">
        <f>""</f>
        <v/>
      </c>
      <c r="CX129" t="str">
        <f>""</f>
        <v/>
      </c>
      <c r="CY129" t="str">
        <f>""</f>
        <v/>
      </c>
      <c r="CZ129" t="str">
        <f>""</f>
        <v/>
      </c>
      <c r="DA129" t="str">
        <f>""</f>
        <v/>
      </c>
      <c r="DB129" t="str">
        <f>""</f>
        <v/>
      </c>
      <c r="DC129" t="str">
        <f>""</f>
        <v/>
      </c>
      <c r="DD129" t="str">
        <f>""</f>
        <v/>
      </c>
      <c r="DE129" t="str">
        <f>""</f>
        <v/>
      </c>
      <c r="DF129" t="str">
        <f>""</f>
        <v/>
      </c>
      <c r="DG129" t="str">
        <f>""</f>
        <v/>
      </c>
      <c r="DH129" t="str">
        <f>""</f>
        <v/>
      </c>
      <c r="DI129" t="str">
        <f>""</f>
        <v/>
      </c>
      <c r="DJ129" t="str">
        <f>""</f>
        <v/>
      </c>
      <c r="DK129" t="str">
        <f>""</f>
        <v/>
      </c>
      <c r="DL129" t="str">
        <f>""</f>
        <v/>
      </c>
      <c r="DM129" t="str">
        <f>""</f>
        <v/>
      </c>
      <c r="DN129" t="str">
        <f>""</f>
        <v/>
      </c>
      <c r="DO129" t="str">
        <f>""</f>
        <v/>
      </c>
      <c r="DP129" t="str">
        <f>""</f>
        <v/>
      </c>
      <c r="DQ129" t="str">
        <f>""</f>
        <v/>
      </c>
      <c r="DR129" t="str">
        <f>""</f>
        <v/>
      </c>
      <c r="DS129" t="str">
        <f>""</f>
        <v/>
      </c>
      <c r="DT129" t="str">
        <f>""</f>
        <v/>
      </c>
      <c r="DU129" t="str">
        <f>""</f>
        <v/>
      </c>
      <c r="DV129" t="str">
        <f>""</f>
        <v/>
      </c>
      <c r="DW129" t="str">
        <f>""</f>
        <v/>
      </c>
      <c r="DX129" t="str">
        <f>""</f>
        <v/>
      </c>
      <c r="DY129" t="str">
        <f>""</f>
        <v/>
      </c>
      <c r="DZ129" t="str">
        <f>""</f>
        <v/>
      </c>
      <c r="EA129" t="str">
        <f>""</f>
        <v/>
      </c>
      <c r="EB129" t="str">
        <f>""</f>
        <v/>
      </c>
      <c r="EC129" t="str">
        <f>""</f>
        <v/>
      </c>
      <c r="ED129" t="str">
        <f>""</f>
        <v/>
      </c>
      <c r="EE129" t="str">
        <f>""</f>
        <v/>
      </c>
      <c r="EF129" t="str">
        <f>""</f>
        <v/>
      </c>
      <c r="EG129" t="str">
        <f>""</f>
        <v/>
      </c>
      <c r="EH129" t="str">
        <f>""</f>
        <v/>
      </c>
      <c r="EI129" t="str">
        <f>""</f>
        <v/>
      </c>
      <c r="EJ129" t="str">
        <f>""</f>
        <v/>
      </c>
      <c r="EK129" t="str">
        <f>""</f>
        <v/>
      </c>
      <c r="EL129" t="str">
        <f>""</f>
        <v/>
      </c>
      <c r="EM129" t="str">
        <f>""</f>
        <v/>
      </c>
      <c r="EN129" t="str">
        <f>""</f>
        <v/>
      </c>
      <c r="EO129" t="str">
        <f>""</f>
        <v/>
      </c>
      <c r="EP129" t="str">
        <f>""</f>
        <v/>
      </c>
      <c r="EQ129" t="str">
        <f>""</f>
        <v/>
      </c>
      <c r="ER129" t="str">
        <f>""</f>
        <v/>
      </c>
      <c r="ES129" t="str">
        <f>""</f>
        <v/>
      </c>
      <c r="ET129" t="str">
        <f>""</f>
        <v/>
      </c>
      <c r="EU129" t="str">
        <f>""</f>
        <v/>
      </c>
      <c r="EV129" t="str">
        <f>""</f>
        <v/>
      </c>
      <c r="EW129" t="str">
        <f>""</f>
        <v/>
      </c>
      <c r="EX129" t="str">
        <f>""</f>
        <v/>
      </c>
      <c r="EY129" t="str">
        <f>""</f>
        <v/>
      </c>
      <c r="EZ129" t="str">
        <f>""</f>
        <v/>
      </c>
      <c r="FA129" t="str">
        <f>""</f>
        <v/>
      </c>
      <c r="FB129" t="str">
        <f>""</f>
        <v/>
      </c>
      <c r="FC129" t="str">
        <f>""</f>
        <v/>
      </c>
      <c r="FD129" t="str">
        <f>""</f>
        <v/>
      </c>
      <c r="FE129" t="str">
        <f>""</f>
        <v/>
      </c>
      <c r="FF129" t="str">
        <f>""</f>
        <v/>
      </c>
      <c r="FG129" t="str">
        <f>""</f>
        <v/>
      </c>
      <c r="FH129" t="str">
        <f>""</f>
        <v/>
      </c>
      <c r="FI129" t="str">
        <f>""</f>
        <v/>
      </c>
      <c r="FJ129" t="str">
        <f>""</f>
        <v/>
      </c>
      <c r="FK129" t="str">
        <f>""</f>
        <v/>
      </c>
      <c r="FL129" t="str">
        <f>""</f>
        <v/>
      </c>
      <c r="FM129" t="str">
        <f>""</f>
        <v/>
      </c>
      <c r="FN129" t="str">
        <f>""</f>
        <v/>
      </c>
      <c r="FO129" t="str">
        <f>""</f>
        <v/>
      </c>
      <c r="FP129" t="str">
        <f>""</f>
        <v/>
      </c>
      <c r="FQ129" t="str">
        <f>""</f>
        <v/>
      </c>
      <c r="FR129" t="str">
        <f>""</f>
        <v/>
      </c>
      <c r="FS129" t="str">
        <f>""</f>
        <v/>
      </c>
      <c r="FT129" t="str">
        <f>""</f>
        <v/>
      </c>
      <c r="FU129" t="str">
        <f>""</f>
        <v/>
      </c>
      <c r="FV129" t="str">
        <f>""</f>
        <v/>
      </c>
      <c r="FW129" t="str">
        <f>""</f>
        <v/>
      </c>
      <c r="FX129" t="str">
        <f>""</f>
        <v/>
      </c>
      <c r="FY129" t="str">
        <f>""</f>
        <v/>
      </c>
      <c r="FZ129" t="str">
        <f>""</f>
        <v/>
      </c>
      <c r="GA129" t="str">
        <f>""</f>
        <v/>
      </c>
      <c r="GB129" t="str">
        <f>""</f>
        <v/>
      </c>
      <c r="GC129" t="str">
        <f>""</f>
        <v/>
      </c>
      <c r="GD129" t="str">
        <f>""</f>
        <v/>
      </c>
      <c r="GE129" t="str">
        <f>""</f>
        <v/>
      </c>
      <c r="GF129" t="str">
        <f>""</f>
        <v/>
      </c>
      <c r="GG129" t="str">
        <f>""</f>
        <v/>
      </c>
      <c r="GH129" t="str">
        <f>""</f>
        <v/>
      </c>
      <c r="GI129" t="str">
        <f>""</f>
        <v/>
      </c>
      <c r="GJ129" t="str">
        <f>""</f>
        <v/>
      </c>
      <c r="GK129" t="str">
        <f>""</f>
        <v/>
      </c>
      <c r="GL129" t="str">
        <f>""</f>
        <v/>
      </c>
      <c r="GM129" t="str">
        <f>""</f>
        <v/>
      </c>
      <c r="GN129" t="str">
        <f>""</f>
        <v/>
      </c>
      <c r="GO129" t="str">
        <f>""</f>
        <v/>
      </c>
      <c r="GP129" t="str">
        <f>""</f>
        <v/>
      </c>
      <c r="GQ129" t="str">
        <f>""</f>
        <v/>
      </c>
      <c r="GR129" t="str">
        <f>""</f>
        <v/>
      </c>
      <c r="GS129" t="str">
        <f>""</f>
        <v/>
      </c>
      <c r="GT129" t="str">
        <f>""</f>
        <v/>
      </c>
      <c r="GU129" t="str">
        <f>""</f>
        <v/>
      </c>
      <c r="GV129" t="str">
        <f>""</f>
        <v/>
      </c>
      <c r="GW129" t="str">
        <f>""</f>
        <v/>
      </c>
      <c r="GX129" t="str">
        <f>""</f>
        <v/>
      </c>
      <c r="GY129" t="str">
        <f>""</f>
        <v/>
      </c>
      <c r="GZ129" t="str">
        <f>""</f>
        <v/>
      </c>
      <c r="HA129" t="str">
        <f>""</f>
        <v/>
      </c>
      <c r="HB129" t="str">
        <f>""</f>
        <v/>
      </c>
      <c r="HC129" t="str">
        <f>""</f>
        <v/>
      </c>
      <c r="HD129" t="str">
        <f>""</f>
        <v/>
      </c>
      <c r="HE129" t="str">
        <f>""</f>
        <v/>
      </c>
      <c r="HF129" t="str">
        <f>""</f>
        <v/>
      </c>
      <c r="HG129" t="str">
        <f>""</f>
        <v/>
      </c>
      <c r="HH129" t="str">
        <f>""</f>
        <v/>
      </c>
      <c r="HI129" t="str">
        <f>""</f>
        <v/>
      </c>
      <c r="HJ129" t="str">
        <f>""</f>
        <v/>
      </c>
      <c r="HK129" t="str">
        <f>""</f>
        <v/>
      </c>
      <c r="HL129" t="str">
        <f>""</f>
        <v/>
      </c>
      <c r="HM129" t="str">
        <f>""</f>
        <v/>
      </c>
      <c r="HN129" t="str">
        <f>""</f>
        <v/>
      </c>
      <c r="HO129" t="str">
        <f>""</f>
        <v/>
      </c>
      <c r="HP129" t="str">
        <f>""</f>
        <v/>
      </c>
      <c r="HQ129" t="str">
        <f>""</f>
        <v/>
      </c>
      <c r="HR129" t="str">
        <f>""</f>
        <v/>
      </c>
      <c r="HS129" t="str">
        <f>""</f>
        <v/>
      </c>
      <c r="HT129" t="str">
        <f>""</f>
        <v/>
      </c>
      <c r="HU129" t="str">
        <f>""</f>
        <v/>
      </c>
      <c r="HV129" t="str">
        <f>""</f>
        <v/>
      </c>
      <c r="HW129" t="str">
        <f>""</f>
        <v/>
      </c>
      <c r="HX129" t="str">
        <f>""</f>
        <v/>
      </c>
      <c r="HY129" t="str">
        <f>""</f>
        <v/>
      </c>
      <c r="HZ129" t="str">
        <f>""</f>
        <v/>
      </c>
      <c r="IA129" t="str">
        <f>""</f>
        <v/>
      </c>
      <c r="IB129" t="str">
        <f>""</f>
        <v/>
      </c>
      <c r="IC129" t="str">
        <f>""</f>
        <v/>
      </c>
      <c r="ID129" t="str">
        <f>""</f>
        <v/>
      </c>
      <c r="IE129" t="str">
        <f>""</f>
        <v/>
      </c>
      <c r="IF129" t="str">
        <f>""</f>
        <v/>
      </c>
      <c r="IG129" t="str">
        <f>""</f>
        <v/>
      </c>
      <c r="IH129" t="str">
        <f>""</f>
        <v/>
      </c>
      <c r="II129" t="str">
        <f>""</f>
        <v/>
      </c>
      <c r="IJ129" t="str">
        <f>""</f>
        <v/>
      </c>
      <c r="IK129" t="str">
        <f>""</f>
        <v/>
      </c>
      <c r="IL129" t="str">
        <f>""</f>
        <v/>
      </c>
      <c r="IM129" t="str">
        <f>""</f>
        <v/>
      </c>
      <c r="IN129" t="str">
        <f>""</f>
        <v/>
      </c>
      <c r="IO129" t="str">
        <f>""</f>
        <v/>
      </c>
      <c r="IP129" t="str">
        <f>""</f>
        <v/>
      </c>
      <c r="IQ129" t="str">
        <f>""</f>
        <v/>
      </c>
      <c r="IR129" t="str">
        <f>""</f>
        <v/>
      </c>
      <c r="IS129" t="str">
        <f>""</f>
        <v/>
      </c>
      <c r="IT129" t="str">
        <f>""</f>
        <v/>
      </c>
      <c r="IU129" t="str">
        <f>""</f>
        <v/>
      </c>
      <c r="IV129" t="str">
        <f>""</f>
        <v/>
      </c>
      <c r="IW129" t="str">
        <f>""</f>
        <v/>
      </c>
      <c r="IX129" t="str">
        <f>""</f>
        <v/>
      </c>
      <c r="IY129" t="str">
        <f>""</f>
        <v/>
      </c>
      <c r="IZ129" t="str">
        <f>""</f>
        <v/>
      </c>
      <c r="JA129" t="str">
        <f>""</f>
        <v/>
      </c>
      <c r="JB129" t="str">
        <f>""</f>
        <v/>
      </c>
      <c r="JC129" t="str">
        <f>""</f>
        <v/>
      </c>
      <c r="JD129" t="str">
        <f>""</f>
        <v/>
      </c>
      <c r="JE129" t="str">
        <f>""</f>
        <v/>
      </c>
      <c r="JF129" t="str">
        <f>""</f>
        <v/>
      </c>
      <c r="JG129" t="str">
        <f>""</f>
        <v/>
      </c>
      <c r="JH129" t="str">
        <f>""</f>
        <v/>
      </c>
      <c r="JI129" t="str">
        <f>""</f>
        <v/>
      </c>
      <c r="JJ129" t="str">
        <f>""</f>
        <v/>
      </c>
      <c r="JK129" t="str">
        <f>""</f>
        <v/>
      </c>
    </row>
    <row r="130" spans="1:271" x14ac:dyDescent="0.3">
      <c r="A130" t="str">
        <f>""</f>
        <v/>
      </c>
      <c r="B130" t="str">
        <f>""</f>
        <v/>
      </c>
      <c r="C130" t="str">
        <f>""</f>
        <v/>
      </c>
      <c r="D130" t="str">
        <f>""</f>
        <v/>
      </c>
      <c r="E130" t="str">
        <f>""</f>
        <v/>
      </c>
      <c r="F130" t="str">
        <f>""</f>
        <v/>
      </c>
      <c r="G130" t="str">
        <f>""</f>
        <v/>
      </c>
      <c r="H130" t="str">
        <f>""</f>
        <v/>
      </c>
      <c r="I130" t="str">
        <f>""</f>
        <v/>
      </c>
      <c r="J130" t="str">
        <f>""</f>
        <v/>
      </c>
      <c r="K130" t="str">
        <f>""</f>
        <v/>
      </c>
      <c r="L130" t="str">
        <f>""</f>
        <v/>
      </c>
      <c r="M130" t="str">
        <f>""</f>
        <v/>
      </c>
      <c r="N130" t="str">
        <f>""</f>
        <v/>
      </c>
      <c r="O130" t="str">
        <f>""</f>
        <v/>
      </c>
      <c r="P130" t="str">
        <f>""</f>
        <v/>
      </c>
      <c r="Q130" t="str">
        <f>""</f>
        <v/>
      </c>
      <c r="R130" t="str">
        <f>""</f>
        <v/>
      </c>
      <c r="S130" t="str">
        <f>""</f>
        <v/>
      </c>
      <c r="T130" t="str">
        <f>""</f>
        <v/>
      </c>
      <c r="U130" t="str">
        <f>""</f>
        <v/>
      </c>
      <c r="V130" t="str">
        <f>""</f>
        <v/>
      </c>
      <c r="W130" t="str">
        <f>""</f>
        <v/>
      </c>
      <c r="X130" t="str">
        <f>""</f>
        <v/>
      </c>
      <c r="Y130" t="str">
        <f>""</f>
        <v/>
      </c>
      <c r="Z130" t="str">
        <f>""</f>
        <v/>
      </c>
      <c r="AA130" t="str">
        <f>""</f>
        <v/>
      </c>
      <c r="AB130" t="str">
        <f>""</f>
        <v/>
      </c>
      <c r="AC130" t="str">
        <f>""</f>
        <v/>
      </c>
      <c r="AD130" t="str">
        <f>""</f>
        <v/>
      </c>
      <c r="AE130" t="str">
        <f>""</f>
        <v/>
      </c>
      <c r="AF130" t="str">
        <f>""</f>
        <v/>
      </c>
      <c r="AG130" t="str">
        <f>""</f>
        <v/>
      </c>
      <c r="AH130" t="str">
        <f>""</f>
        <v/>
      </c>
      <c r="AI130" t="str">
        <f>""</f>
        <v/>
      </c>
      <c r="AJ130" t="str">
        <f>""</f>
        <v/>
      </c>
      <c r="AK130" t="str">
        <f>""</f>
        <v/>
      </c>
      <c r="AL130" t="str">
        <f>""</f>
        <v/>
      </c>
      <c r="AM130" t="str">
        <f>""</f>
        <v/>
      </c>
      <c r="AN130" t="str">
        <f>""</f>
        <v/>
      </c>
      <c r="AO130" t="str">
        <f>""</f>
        <v/>
      </c>
      <c r="AP130" t="str">
        <f>""</f>
        <v/>
      </c>
      <c r="AQ130" t="str">
        <f>""</f>
        <v/>
      </c>
      <c r="AR130" t="str">
        <f>""</f>
        <v/>
      </c>
      <c r="AS130" t="str">
        <f>""</f>
        <v/>
      </c>
      <c r="AT130" t="str">
        <f>""</f>
        <v/>
      </c>
      <c r="AU130" t="str">
        <f>"(0.104)"</f>
        <v>(0.104)</v>
      </c>
      <c r="AV130" t="str">
        <f>"(0.0810)"</f>
        <v>(0.0810)</v>
      </c>
      <c r="AW130" t="str">
        <f>"(0.0438)"</f>
        <v>(0.0438)</v>
      </c>
      <c r="AX130" t="str">
        <f>""</f>
        <v/>
      </c>
      <c r="AY130" t="str">
        <f>""</f>
        <v/>
      </c>
      <c r="AZ130" t="str">
        <f>""</f>
        <v/>
      </c>
      <c r="BA130" t="str">
        <f>""</f>
        <v/>
      </c>
      <c r="BB130" t="str">
        <f>""</f>
        <v/>
      </c>
      <c r="BC130" t="str">
        <f>""</f>
        <v/>
      </c>
      <c r="BD130" t="str">
        <f>""</f>
        <v/>
      </c>
      <c r="BE130" t="str">
        <f>""</f>
        <v/>
      </c>
      <c r="BF130" t="str">
        <f>""</f>
        <v/>
      </c>
      <c r="BG130" t="str">
        <f>""</f>
        <v/>
      </c>
      <c r="BH130" t="str">
        <f>""</f>
        <v/>
      </c>
      <c r="BI130" t="str">
        <f>""</f>
        <v/>
      </c>
      <c r="BJ130" t="str">
        <f>""</f>
        <v/>
      </c>
      <c r="BK130" t="str">
        <f>""</f>
        <v/>
      </c>
      <c r="BL130" t="str">
        <f>""</f>
        <v/>
      </c>
      <c r="BM130" t="str">
        <f>""</f>
        <v/>
      </c>
      <c r="BN130" t="str">
        <f>""</f>
        <v/>
      </c>
      <c r="BO130" t="str">
        <f>""</f>
        <v/>
      </c>
      <c r="BP130" t="str">
        <f>""</f>
        <v/>
      </c>
      <c r="BQ130" t="str">
        <f>""</f>
        <v/>
      </c>
      <c r="BR130" t="str">
        <f>""</f>
        <v/>
      </c>
      <c r="BS130" t="str">
        <f>""</f>
        <v/>
      </c>
      <c r="BT130" t="str">
        <f>""</f>
        <v/>
      </c>
      <c r="BU130" t="str">
        <f>""</f>
        <v/>
      </c>
      <c r="BV130" t="str">
        <f>""</f>
        <v/>
      </c>
      <c r="BW130" t="str">
        <f>""</f>
        <v/>
      </c>
      <c r="BX130" t="str">
        <f>""</f>
        <v/>
      </c>
      <c r="BY130" t="str">
        <f>""</f>
        <v/>
      </c>
      <c r="BZ130" t="str">
        <f>""</f>
        <v/>
      </c>
      <c r="CA130" t="str">
        <f>""</f>
        <v/>
      </c>
      <c r="CB130" t="str">
        <f>""</f>
        <v/>
      </c>
      <c r="CC130" t="str">
        <f>""</f>
        <v/>
      </c>
      <c r="CD130" t="str">
        <f>""</f>
        <v/>
      </c>
      <c r="CE130" t="str">
        <f>""</f>
        <v/>
      </c>
      <c r="CF130" t="str">
        <f>""</f>
        <v/>
      </c>
      <c r="CG130" t="str">
        <f>""</f>
        <v/>
      </c>
      <c r="CH130" t="str">
        <f>""</f>
        <v/>
      </c>
      <c r="CI130" t="str">
        <f>""</f>
        <v/>
      </c>
      <c r="CJ130" t="str">
        <f>""</f>
        <v/>
      </c>
      <c r="CK130" t="str">
        <f>""</f>
        <v/>
      </c>
      <c r="CL130" t="str">
        <f>""</f>
        <v/>
      </c>
      <c r="CM130" t="str">
        <f>""</f>
        <v/>
      </c>
      <c r="CN130" t="str">
        <f>""</f>
        <v/>
      </c>
      <c r="CO130" t="str">
        <f>""</f>
        <v/>
      </c>
      <c r="CP130" t="str">
        <f>""</f>
        <v/>
      </c>
      <c r="CQ130" t="str">
        <f>""</f>
        <v/>
      </c>
      <c r="CR130" t="str">
        <f>""</f>
        <v/>
      </c>
      <c r="CS130" t="str">
        <f>""</f>
        <v/>
      </c>
      <c r="CT130" t="str">
        <f>""</f>
        <v/>
      </c>
      <c r="CU130" t="str">
        <f>""</f>
        <v/>
      </c>
      <c r="CV130" t="str">
        <f>""</f>
        <v/>
      </c>
      <c r="CW130" t="str">
        <f>""</f>
        <v/>
      </c>
      <c r="CX130" t="str">
        <f>""</f>
        <v/>
      </c>
      <c r="CY130" t="str">
        <f>""</f>
        <v/>
      </c>
      <c r="CZ130" t="str">
        <f>""</f>
        <v/>
      </c>
      <c r="DA130" t="str">
        <f>""</f>
        <v/>
      </c>
      <c r="DB130" t="str">
        <f>""</f>
        <v/>
      </c>
      <c r="DC130" t="str">
        <f>""</f>
        <v/>
      </c>
      <c r="DD130" t="str">
        <f>""</f>
        <v/>
      </c>
      <c r="DE130" t="str">
        <f>""</f>
        <v/>
      </c>
      <c r="DF130" t="str">
        <f>""</f>
        <v/>
      </c>
      <c r="DG130" t="str">
        <f>""</f>
        <v/>
      </c>
      <c r="DH130" t="str">
        <f>""</f>
        <v/>
      </c>
      <c r="DI130" t="str">
        <f>""</f>
        <v/>
      </c>
      <c r="DJ130" t="str">
        <f>""</f>
        <v/>
      </c>
      <c r="DK130" t="str">
        <f>""</f>
        <v/>
      </c>
      <c r="DL130" t="str">
        <f>""</f>
        <v/>
      </c>
      <c r="DM130" t="str">
        <f>""</f>
        <v/>
      </c>
      <c r="DN130" t="str">
        <f>""</f>
        <v/>
      </c>
      <c r="DO130" t="str">
        <f>""</f>
        <v/>
      </c>
      <c r="DP130" t="str">
        <f>""</f>
        <v/>
      </c>
      <c r="DQ130" t="str">
        <f>""</f>
        <v/>
      </c>
      <c r="DR130" t="str">
        <f>""</f>
        <v/>
      </c>
      <c r="DS130" t="str">
        <f>""</f>
        <v/>
      </c>
      <c r="DT130" t="str">
        <f>""</f>
        <v/>
      </c>
      <c r="DU130" t="str">
        <f>""</f>
        <v/>
      </c>
      <c r="DV130" t="str">
        <f>""</f>
        <v/>
      </c>
      <c r="DW130" t="str">
        <f>""</f>
        <v/>
      </c>
      <c r="DX130" t="str">
        <f>""</f>
        <v/>
      </c>
      <c r="DY130" t="str">
        <f>""</f>
        <v/>
      </c>
      <c r="DZ130" t="str">
        <f>""</f>
        <v/>
      </c>
      <c r="EA130" t="str">
        <f>""</f>
        <v/>
      </c>
      <c r="EB130" t="str">
        <f>""</f>
        <v/>
      </c>
      <c r="EC130" t="str">
        <f>""</f>
        <v/>
      </c>
      <c r="ED130" t="str">
        <f>""</f>
        <v/>
      </c>
      <c r="EE130" t="str">
        <f>""</f>
        <v/>
      </c>
      <c r="EF130" t="str">
        <f>""</f>
        <v/>
      </c>
      <c r="EG130" t="str">
        <f>""</f>
        <v/>
      </c>
      <c r="EH130" t="str">
        <f>""</f>
        <v/>
      </c>
      <c r="EI130" t="str">
        <f>""</f>
        <v/>
      </c>
      <c r="EJ130" t="str">
        <f>""</f>
        <v/>
      </c>
      <c r="EK130" t="str">
        <f>""</f>
        <v/>
      </c>
      <c r="EL130" t="str">
        <f>""</f>
        <v/>
      </c>
      <c r="EM130" t="str">
        <f>""</f>
        <v/>
      </c>
      <c r="EN130" t="str">
        <f>""</f>
        <v/>
      </c>
      <c r="EO130" t="str">
        <f>""</f>
        <v/>
      </c>
      <c r="EP130" t="str">
        <f>""</f>
        <v/>
      </c>
      <c r="EQ130" t="str">
        <f>""</f>
        <v/>
      </c>
      <c r="ER130" t="str">
        <f>""</f>
        <v/>
      </c>
      <c r="ES130" t="str">
        <f>""</f>
        <v/>
      </c>
      <c r="ET130" t="str">
        <f>""</f>
        <v/>
      </c>
      <c r="EU130" t="str">
        <f>""</f>
        <v/>
      </c>
      <c r="EV130" t="str">
        <f>""</f>
        <v/>
      </c>
      <c r="EW130" t="str">
        <f>""</f>
        <v/>
      </c>
      <c r="EX130" t="str">
        <f>""</f>
        <v/>
      </c>
      <c r="EY130" t="str">
        <f>""</f>
        <v/>
      </c>
      <c r="EZ130" t="str">
        <f>""</f>
        <v/>
      </c>
      <c r="FA130" t="str">
        <f>""</f>
        <v/>
      </c>
      <c r="FB130" t="str">
        <f>""</f>
        <v/>
      </c>
      <c r="FC130" t="str">
        <f>""</f>
        <v/>
      </c>
      <c r="FD130" t="str">
        <f>""</f>
        <v/>
      </c>
      <c r="FE130" t="str">
        <f>""</f>
        <v/>
      </c>
      <c r="FF130" t="str">
        <f>""</f>
        <v/>
      </c>
      <c r="FG130" t="str">
        <f>""</f>
        <v/>
      </c>
      <c r="FH130" t="str">
        <f>""</f>
        <v/>
      </c>
      <c r="FI130" t="str">
        <f>""</f>
        <v/>
      </c>
      <c r="FJ130" t="str">
        <f>""</f>
        <v/>
      </c>
      <c r="FK130" t="str">
        <f>""</f>
        <v/>
      </c>
      <c r="FL130" t="str">
        <f>""</f>
        <v/>
      </c>
      <c r="FM130" t="str">
        <f>""</f>
        <v/>
      </c>
      <c r="FN130" t="str">
        <f>""</f>
        <v/>
      </c>
      <c r="FO130" t="str">
        <f>""</f>
        <v/>
      </c>
      <c r="FP130" t="str">
        <f>""</f>
        <v/>
      </c>
      <c r="FQ130" t="str">
        <f>""</f>
        <v/>
      </c>
      <c r="FR130" t="str">
        <f>""</f>
        <v/>
      </c>
      <c r="FS130" t="str">
        <f>""</f>
        <v/>
      </c>
      <c r="FT130" t="str">
        <f>""</f>
        <v/>
      </c>
      <c r="FU130" t="str">
        <f>""</f>
        <v/>
      </c>
      <c r="FV130" t="str">
        <f>""</f>
        <v/>
      </c>
      <c r="FW130" t="str">
        <f>""</f>
        <v/>
      </c>
      <c r="FX130" t="str">
        <f>""</f>
        <v/>
      </c>
      <c r="FY130" t="str">
        <f>""</f>
        <v/>
      </c>
      <c r="FZ130" t="str">
        <f>""</f>
        <v/>
      </c>
      <c r="GA130" t="str">
        <f>""</f>
        <v/>
      </c>
      <c r="GB130" t="str">
        <f>""</f>
        <v/>
      </c>
      <c r="GC130" t="str">
        <f>""</f>
        <v/>
      </c>
      <c r="GD130" t="str">
        <f>""</f>
        <v/>
      </c>
      <c r="GE130" t="str">
        <f>""</f>
        <v/>
      </c>
      <c r="GF130" t="str">
        <f>""</f>
        <v/>
      </c>
      <c r="GG130" t="str">
        <f>""</f>
        <v/>
      </c>
      <c r="GH130" t="str">
        <f>""</f>
        <v/>
      </c>
      <c r="GI130" t="str">
        <f>""</f>
        <v/>
      </c>
      <c r="GJ130" t="str">
        <f>""</f>
        <v/>
      </c>
      <c r="GK130" t="str">
        <f>""</f>
        <v/>
      </c>
      <c r="GL130" t="str">
        <f>""</f>
        <v/>
      </c>
      <c r="GM130" t="str">
        <f>""</f>
        <v/>
      </c>
      <c r="GN130" t="str">
        <f>""</f>
        <v/>
      </c>
      <c r="GO130" t="str">
        <f>""</f>
        <v/>
      </c>
      <c r="GP130" t="str">
        <f>""</f>
        <v/>
      </c>
      <c r="GQ130" t="str">
        <f>""</f>
        <v/>
      </c>
      <c r="GR130" t="str">
        <f>""</f>
        <v/>
      </c>
      <c r="GS130" t="str">
        <f>""</f>
        <v/>
      </c>
      <c r="GT130" t="str">
        <f>""</f>
        <v/>
      </c>
      <c r="GU130" t="str">
        <f>""</f>
        <v/>
      </c>
      <c r="GV130" t="str">
        <f>""</f>
        <v/>
      </c>
      <c r="GW130" t="str">
        <f>""</f>
        <v/>
      </c>
      <c r="GX130" t="str">
        <f>""</f>
        <v/>
      </c>
      <c r="GY130" t="str">
        <f>""</f>
        <v/>
      </c>
      <c r="GZ130" t="str">
        <f>""</f>
        <v/>
      </c>
      <c r="HA130" t="str">
        <f>""</f>
        <v/>
      </c>
      <c r="HB130" t="str">
        <f>""</f>
        <v/>
      </c>
      <c r="HC130" t="str">
        <f>""</f>
        <v/>
      </c>
      <c r="HD130" t="str">
        <f>""</f>
        <v/>
      </c>
      <c r="HE130" t="str">
        <f>""</f>
        <v/>
      </c>
      <c r="HF130" t="str">
        <f>""</f>
        <v/>
      </c>
      <c r="HG130" t="str">
        <f>""</f>
        <v/>
      </c>
      <c r="HH130" t="str">
        <f>""</f>
        <v/>
      </c>
      <c r="HI130" t="str">
        <f>""</f>
        <v/>
      </c>
      <c r="HJ130" t="str">
        <f>""</f>
        <v/>
      </c>
      <c r="HK130" t="str">
        <f>""</f>
        <v/>
      </c>
      <c r="HL130" t="str">
        <f>""</f>
        <v/>
      </c>
      <c r="HM130" t="str">
        <f>""</f>
        <v/>
      </c>
      <c r="HN130" t="str">
        <f>""</f>
        <v/>
      </c>
      <c r="HO130" t="str">
        <f>""</f>
        <v/>
      </c>
      <c r="HP130" t="str">
        <f>""</f>
        <v/>
      </c>
      <c r="HQ130" t="str">
        <f>""</f>
        <v/>
      </c>
      <c r="HR130" t="str">
        <f>""</f>
        <v/>
      </c>
      <c r="HS130" t="str">
        <f>""</f>
        <v/>
      </c>
      <c r="HT130" t="str">
        <f>""</f>
        <v/>
      </c>
      <c r="HU130" t="str">
        <f>""</f>
        <v/>
      </c>
      <c r="HV130" t="str">
        <f>""</f>
        <v/>
      </c>
      <c r="HW130" t="str">
        <f>""</f>
        <v/>
      </c>
      <c r="HX130" t="str">
        <f>""</f>
        <v/>
      </c>
      <c r="HY130" t="str">
        <f>""</f>
        <v/>
      </c>
      <c r="HZ130" t="str">
        <f>""</f>
        <v/>
      </c>
      <c r="IA130" t="str">
        <f>""</f>
        <v/>
      </c>
      <c r="IB130" t="str">
        <f>""</f>
        <v/>
      </c>
      <c r="IC130" t="str">
        <f>""</f>
        <v/>
      </c>
      <c r="ID130" t="str">
        <f>""</f>
        <v/>
      </c>
      <c r="IE130" t="str">
        <f>""</f>
        <v/>
      </c>
      <c r="IF130" t="str">
        <f>""</f>
        <v/>
      </c>
      <c r="IG130" t="str">
        <f>""</f>
        <v/>
      </c>
      <c r="IH130" t="str">
        <f>""</f>
        <v/>
      </c>
      <c r="II130" t="str">
        <f>""</f>
        <v/>
      </c>
      <c r="IJ130" t="str">
        <f>""</f>
        <v/>
      </c>
      <c r="IK130" t="str">
        <f>""</f>
        <v/>
      </c>
      <c r="IL130" t="str">
        <f>""</f>
        <v/>
      </c>
      <c r="IM130" t="str">
        <f>""</f>
        <v/>
      </c>
      <c r="IN130" t="str">
        <f>""</f>
        <v/>
      </c>
      <c r="IO130" t="str">
        <f>""</f>
        <v/>
      </c>
      <c r="IP130" t="str">
        <f>""</f>
        <v/>
      </c>
      <c r="IQ130" t="str">
        <f>""</f>
        <v/>
      </c>
      <c r="IR130" t="str">
        <f>""</f>
        <v/>
      </c>
      <c r="IS130" t="str">
        <f>""</f>
        <v/>
      </c>
      <c r="IT130" t="str">
        <f>""</f>
        <v/>
      </c>
      <c r="IU130" t="str">
        <f>""</f>
        <v/>
      </c>
      <c r="IV130" t="str">
        <f>""</f>
        <v/>
      </c>
      <c r="IW130" t="str">
        <f>""</f>
        <v/>
      </c>
      <c r="IX130" t="str">
        <f>""</f>
        <v/>
      </c>
      <c r="IY130" t="str">
        <f>""</f>
        <v/>
      </c>
      <c r="IZ130" t="str">
        <f>""</f>
        <v/>
      </c>
      <c r="JA130" t="str">
        <f>""</f>
        <v/>
      </c>
      <c r="JB130" t="str">
        <f>""</f>
        <v/>
      </c>
      <c r="JC130" t="str">
        <f>""</f>
        <v/>
      </c>
      <c r="JD130" t="str">
        <f>""</f>
        <v/>
      </c>
      <c r="JE130" t="str">
        <f>""</f>
        <v/>
      </c>
      <c r="JF130" t="str">
        <f>""</f>
        <v/>
      </c>
      <c r="JG130" t="str">
        <f>""</f>
        <v/>
      </c>
      <c r="JH130" t="str">
        <f>""</f>
        <v/>
      </c>
      <c r="JI130" t="str">
        <f>""</f>
        <v/>
      </c>
      <c r="JJ130" t="str">
        <f>""</f>
        <v/>
      </c>
      <c r="JK130" t="str">
        <f>""</f>
        <v/>
      </c>
    </row>
    <row r="132" spans="1:271" x14ac:dyDescent="0.3">
      <c r="A132" t="str">
        <f>"c.zMETAB2#c.PM2"</f>
        <v>c.zMETAB2#c.PM2</v>
      </c>
      <c r="B132" t="str">
        <f>""</f>
        <v/>
      </c>
      <c r="C132" t="str">
        <f>""</f>
        <v/>
      </c>
      <c r="D132" t="str">
        <f>""</f>
        <v/>
      </c>
      <c r="E132" t="str">
        <f>""</f>
        <v/>
      </c>
      <c r="F132" t="str">
        <f>""</f>
        <v/>
      </c>
      <c r="G132" t="str">
        <f>""</f>
        <v/>
      </c>
      <c r="H132" t="str">
        <f>""</f>
        <v/>
      </c>
      <c r="I132" t="str">
        <f>""</f>
        <v/>
      </c>
      <c r="J132" t="str">
        <f>""</f>
        <v/>
      </c>
      <c r="K132" t="str">
        <f>""</f>
        <v/>
      </c>
      <c r="L132" t="str">
        <f>""</f>
        <v/>
      </c>
      <c r="M132" t="str">
        <f>""</f>
        <v/>
      </c>
      <c r="N132" t="str">
        <f>""</f>
        <v/>
      </c>
      <c r="O132" t="str">
        <f>""</f>
        <v/>
      </c>
      <c r="P132" t="str">
        <f>""</f>
        <v/>
      </c>
      <c r="Q132" t="str">
        <f>""</f>
        <v/>
      </c>
      <c r="R132" t="str">
        <f>""</f>
        <v/>
      </c>
      <c r="S132" t="str">
        <f>""</f>
        <v/>
      </c>
      <c r="T132" t="str">
        <f>""</f>
        <v/>
      </c>
      <c r="U132" t="str">
        <f>""</f>
        <v/>
      </c>
      <c r="V132" t="str">
        <f>""</f>
        <v/>
      </c>
      <c r="W132" t="str">
        <f>""</f>
        <v/>
      </c>
      <c r="X132" t="str">
        <f>""</f>
        <v/>
      </c>
      <c r="Y132" t="str">
        <f>""</f>
        <v/>
      </c>
      <c r="Z132" t="str">
        <f>""</f>
        <v/>
      </c>
      <c r="AA132" t="str">
        <f>""</f>
        <v/>
      </c>
      <c r="AB132" t="str">
        <f>""</f>
        <v/>
      </c>
      <c r="AC132" t="str">
        <f>""</f>
        <v/>
      </c>
      <c r="AD132" t="str">
        <f>""</f>
        <v/>
      </c>
      <c r="AE132" t="str">
        <f>""</f>
        <v/>
      </c>
      <c r="AF132" t="str">
        <f>""</f>
        <v/>
      </c>
      <c r="AG132" t="str">
        <f>""</f>
        <v/>
      </c>
      <c r="AH132" t="str">
        <f>""</f>
        <v/>
      </c>
      <c r="AI132" t="str">
        <f>""</f>
        <v/>
      </c>
      <c r="AJ132" t="str">
        <f>""</f>
        <v/>
      </c>
      <c r="AK132" t="str">
        <f>""</f>
        <v/>
      </c>
      <c r="AL132" t="str">
        <f>""</f>
        <v/>
      </c>
      <c r="AM132" t="str">
        <f>""</f>
        <v/>
      </c>
      <c r="AN132" t="str">
        <f>""</f>
        <v/>
      </c>
      <c r="AO132" t="str">
        <f>""</f>
        <v/>
      </c>
      <c r="AP132" t="str">
        <f>""</f>
        <v/>
      </c>
      <c r="AQ132" t="str">
        <f>""</f>
        <v/>
      </c>
      <c r="AR132" t="str">
        <f>""</f>
        <v/>
      </c>
      <c r="AS132" t="str">
        <f>""</f>
        <v/>
      </c>
      <c r="AT132" t="str">
        <f>""</f>
        <v/>
      </c>
      <c r="AU132" t="str">
        <f>""</f>
        <v/>
      </c>
      <c r="AV132" t="str">
        <f>""</f>
        <v/>
      </c>
      <c r="AW132" t="str">
        <f>""</f>
        <v/>
      </c>
      <c r="AX132" t="str">
        <f>"-0.0713"</f>
        <v>-0.0713</v>
      </c>
      <c r="AY132" t="str">
        <f>"-0.0416"</f>
        <v>-0.0416</v>
      </c>
      <c r="AZ132" t="str">
        <f>"0.0938*"</f>
        <v>0.0938*</v>
      </c>
      <c r="BA132" t="str">
        <f>""</f>
        <v/>
      </c>
      <c r="BB132" t="str">
        <f>""</f>
        <v/>
      </c>
      <c r="BC132" t="str">
        <f>""</f>
        <v/>
      </c>
      <c r="BD132" t="str">
        <f>""</f>
        <v/>
      </c>
      <c r="BE132" t="str">
        <f>""</f>
        <v/>
      </c>
      <c r="BF132" t="str">
        <f>""</f>
        <v/>
      </c>
      <c r="BG132" t="str">
        <f>""</f>
        <v/>
      </c>
      <c r="BH132" t="str">
        <f>""</f>
        <v/>
      </c>
      <c r="BI132" t="str">
        <f>""</f>
        <v/>
      </c>
      <c r="BJ132" t="str">
        <f>""</f>
        <v/>
      </c>
      <c r="BK132" t="str">
        <f>""</f>
        <v/>
      </c>
      <c r="BL132" t="str">
        <f>""</f>
        <v/>
      </c>
      <c r="BM132" t="str">
        <f>""</f>
        <v/>
      </c>
      <c r="BN132" t="str">
        <f>""</f>
        <v/>
      </c>
      <c r="BO132" t="str">
        <f>""</f>
        <v/>
      </c>
      <c r="BP132" t="str">
        <f>""</f>
        <v/>
      </c>
      <c r="BQ132" t="str">
        <f>""</f>
        <v/>
      </c>
      <c r="BR132" t="str">
        <f>""</f>
        <v/>
      </c>
      <c r="BS132" t="str">
        <f>""</f>
        <v/>
      </c>
      <c r="BT132" t="str">
        <f>""</f>
        <v/>
      </c>
      <c r="BU132" t="str">
        <f>""</f>
        <v/>
      </c>
      <c r="BV132" t="str">
        <f>""</f>
        <v/>
      </c>
      <c r="BW132" t="str">
        <f>""</f>
        <v/>
      </c>
      <c r="BX132" t="str">
        <f>""</f>
        <v/>
      </c>
      <c r="BY132" t="str">
        <f>""</f>
        <v/>
      </c>
      <c r="BZ132" t="str">
        <f>""</f>
        <v/>
      </c>
      <c r="CA132" t="str">
        <f>""</f>
        <v/>
      </c>
      <c r="CB132" t="str">
        <f>""</f>
        <v/>
      </c>
      <c r="CC132" t="str">
        <f>""</f>
        <v/>
      </c>
      <c r="CD132" t="str">
        <f>""</f>
        <v/>
      </c>
      <c r="CE132" t="str">
        <f>""</f>
        <v/>
      </c>
      <c r="CF132" t="str">
        <f>""</f>
        <v/>
      </c>
      <c r="CG132" t="str">
        <f>""</f>
        <v/>
      </c>
      <c r="CH132" t="str">
        <f>""</f>
        <v/>
      </c>
      <c r="CI132" t="str">
        <f>""</f>
        <v/>
      </c>
      <c r="CJ132" t="str">
        <f>""</f>
        <v/>
      </c>
      <c r="CK132" t="str">
        <f>""</f>
        <v/>
      </c>
      <c r="CL132" t="str">
        <f>""</f>
        <v/>
      </c>
      <c r="CM132" t="str">
        <f>""</f>
        <v/>
      </c>
      <c r="CN132" t="str">
        <f>""</f>
        <v/>
      </c>
      <c r="CO132" t="str">
        <f>""</f>
        <v/>
      </c>
      <c r="CP132" t="str">
        <f>""</f>
        <v/>
      </c>
      <c r="CQ132" t="str">
        <f>""</f>
        <v/>
      </c>
      <c r="CR132" t="str">
        <f>""</f>
        <v/>
      </c>
      <c r="CS132" t="str">
        <f>""</f>
        <v/>
      </c>
      <c r="CT132" t="str">
        <f>""</f>
        <v/>
      </c>
      <c r="CU132" t="str">
        <f>""</f>
        <v/>
      </c>
      <c r="CV132" t="str">
        <f>""</f>
        <v/>
      </c>
      <c r="CW132" t="str">
        <f>""</f>
        <v/>
      </c>
      <c r="CX132" t="str">
        <f>""</f>
        <v/>
      </c>
      <c r="CY132" t="str">
        <f>""</f>
        <v/>
      </c>
      <c r="CZ132" t="str">
        <f>""</f>
        <v/>
      </c>
      <c r="DA132" t="str">
        <f>""</f>
        <v/>
      </c>
      <c r="DB132" t="str">
        <f>""</f>
        <v/>
      </c>
      <c r="DC132" t="str">
        <f>""</f>
        <v/>
      </c>
      <c r="DD132" t="str">
        <f>""</f>
        <v/>
      </c>
      <c r="DE132" t="str">
        <f>""</f>
        <v/>
      </c>
      <c r="DF132" t="str">
        <f>""</f>
        <v/>
      </c>
      <c r="DG132" t="str">
        <f>""</f>
        <v/>
      </c>
      <c r="DH132" t="str">
        <f>""</f>
        <v/>
      </c>
      <c r="DI132" t="str">
        <f>""</f>
        <v/>
      </c>
      <c r="DJ132" t="str">
        <f>""</f>
        <v/>
      </c>
      <c r="DK132" t="str">
        <f>""</f>
        <v/>
      </c>
      <c r="DL132" t="str">
        <f>""</f>
        <v/>
      </c>
      <c r="DM132" t="str">
        <f>""</f>
        <v/>
      </c>
      <c r="DN132" t="str">
        <f>""</f>
        <v/>
      </c>
      <c r="DO132" t="str">
        <f>""</f>
        <v/>
      </c>
      <c r="DP132" t="str">
        <f>""</f>
        <v/>
      </c>
      <c r="DQ132" t="str">
        <f>""</f>
        <v/>
      </c>
      <c r="DR132" t="str">
        <f>""</f>
        <v/>
      </c>
      <c r="DS132" t="str">
        <f>""</f>
        <v/>
      </c>
      <c r="DT132" t="str">
        <f>""</f>
        <v/>
      </c>
      <c r="DU132" t="str">
        <f>""</f>
        <v/>
      </c>
      <c r="DV132" t="str">
        <f>""</f>
        <v/>
      </c>
      <c r="DW132" t="str">
        <f>""</f>
        <v/>
      </c>
      <c r="DX132" t="str">
        <f>""</f>
        <v/>
      </c>
      <c r="DY132" t="str">
        <f>""</f>
        <v/>
      </c>
      <c r="DZ132" t="str">
        <f>""</f>
        <v/>
      </c>
      <c r="EA132" t="str">
        <f>""</f>
        <v/>
      </c>
      <c r="EB132" t="str">
        <f>""</f>
        <v/>
      </c>
      <c r="EC132" t="str">
        <f>""</f>
        <v/>
      </c>
      <c r="ED132" t="str">
        <f>""</f>
        <v/>
      </c>
      <c r="EE132" t="str">
        <f>""</f>
        <v/>
      </c>
      <c r="EF132" t="str">
        <f>""</f>
        <v/>
      </c>
      <c r="EG132" t="str">
        <f>""</f>
        <v/>
      </c>
      <c r="EH132" t="str">
        <f>""</f>
        <v/>
      </c>
      <c r="EI132" t="str">
        <f>""</f>
        <v/>
      </c>
      <c r="EJ132" t="str">
        <f>""</f>
        <v/>
      </c>
      <c r="EK132" t="str">
        <f>""</f>
        <v/>
      </c>
      <c r="EL132" t="str">
        <f>""</f>
        <v/>
      </c>
      <c r="EM132" t="str">
        <f>""</f>
        <v/>
      </c>
      <c r="EN132" t="str">
        <f>""</f>
        <v/>
      </c>
      <c r="EO132" t="str">
        <f>""</f>
        <v/>
      </c>
      <c r="EP132" t="str">
        <f>""</f>
        <v/>
      </c>
      <c r="EQ132" t="str">
        <f>""</f>
        <v/>
      </c>
      <c r="ER132" t="str">
        <f>""</f>
        <v/>
      </c>
      <c r="ES132" t="str">
        <f>""</f>
        <v/>
      </c>
      <c r="ET132" t="str">
        <f>""</f>
        <v/>
      </c>
      <c r="EU132" t="str">
        <f>""</f>
        <v/>
      </c>
      <c r="EV132" t="str">
        <f>""</f>
        <v/>
      </c>
      <c r="EW132" t="str">
        <f>""</f>
        <v/>
      </c>
      <c r="EX132" t="str">
        <f>""</f>
        <v/>
      </c>
      <c r="EY132" t="str">
        <f>""</f>
        <v/>
      </c>
      <c r="EZ132" t="str">
        <f>""</f>
        <v/>
      </c>
      <c r="FA132" t="str">
        <f>""</f>
        <v/>
      </c>
      <c r="FB132" t="str">
        <f>""</f>
        <v/>
      </c>
      <c r="FC132" t="str">
        <f>""</f>
        <v/>
      </c>
      <c r="FD132" t="str">
        <f>""</f>
        <v/>
      </c>
      <c r="FE132" t="str">
        <f>""</f>
        <v/>
      </c>
      <c r="FF132" t="str">
        <f>""</f>
        <v/>
      </c>
      <c r="FG132" t="str">
        <f>""</f>
        <v/>
      </c>
      <c r="FH132" t="str">
        <f>""</f>
        <v/>
      </c>
      <c r="FI132" t="str">
        <f>""</f>
        <v/>
      </c>
      <c r="FJ132" t="str">
        <f>""</f>
        <v/>
      </c>
      <c r="FK132" t="str">
        <f>""</f>
        <v/>
      </c>
      <c r="FL132" t="str">
        <f>""</f>
        <v/>
      </c>
      <c r="FM132" t="str">
        <f>""</f>
        <v/>
      </c>
      <c r="FN132" t="str">
        <f>""</f>
        <v/>
      </c>
      <c r="FO132" t="str">
        <f>""</f>
        <v/>
      </c>
      <c r="FP132" t="str">
        <f>""</f>
        <v/>
      </c>
      <c r="FQ132" t="str">
        <f>""</f>
        <v/>
      </c>
      <c r="FR132" t="str">
        <f>""</f>
        <v/>
      </c>
      <c r="FS132" t="str">
        <f>""</f>
        <v/>
      </c>
      <c r="FT132" t="str">
        <f>""</f>
        <v/>
      </c>
      <c r="FU132" t="str">
        <f>""</f>
        <v/>
      </c>
      <c r="FV132" t="str">
        <f>""</f>
        <v/>
      </c>
      <c r="FW132" t="str">
        <f>""</f>
        <v/>
      </c>
      <c r="FX132" t="str">
        <f>""</f>
        <v/>
      </c>
      <c r="FY132" t="str">
        <f>""</f>
        <v/>
      </c>
      <c r="FZ132" t="str">
        <f>""</f>
        <v/>
      </c>
      <c r="GA132" t="str">
        <f>""</f>
        <v/>
      </c>
      <c r="GB132" t="str">
        <f>""</f>
        <v/>
      </c>
      <c r="GC132" t="str">
        <f>""</f>
        <v/>
      </c>
      <c r="GD132" t="str">
        <f>""</f>
        <v/>
      </c>
      <c r="GE132" t="str">
        <f>""</f>
        <v/>
      </c>
      <c r="GF132" t="str">
        <f>""</f>
        <v/>
      </c>
      <c r="GG132" t="str">
        <f>""</f>
        <v/>
      </c>
      <c r="GH132" t="str">
        <f>""</f>
        <v/>
      </c>
      <c r="GI132" t="str">
        <f>""</f>
        <v/>
      </c>
      <c r="GJ132" t="str">
        <f>""</f>
        <v/>
      </c>
      <c r="GK132" t="str">
        <f>""</f>
        <v/>
      </c>
      <c r="GL132" t="str">
        <f>""</f>
        <v/>
      </c>
      <c r="GM132" t="str">
        <f>""</f>
        <v/>
      </c>
      <c r="GN132" t="str">
        <f>""</f>
        <v/>
      </c>
      <c r="GO132" t="str">
        <f>""</f>
        <v/>
      </c>
      <c r="GP132" t="str">
        <f>""</f>
        <v/>
      </c>
      <c r="GQ132" t="str">
        <f>""</f>
        <v/>
      </c>
      <c r="GR132" t="str">
        <f>""</f>
        <v/>
      </c>
      <c r="GS132" t="str">
        <f>""</f>
        <v/>
      </c>
      <c r="GT132" t="str">
        <f>""</f>
        <v/>
      </c>
      <c r="GU132" t="str">
        <f>""</f>
        <v/>
      </c>
      <c r="GV132" t="str">
        <f>""</f>
        <v/>
      </c>
      <c r="GW132" t="str">
        <f>""</f>
        <v/>
      </c>
      <c r="GX132" t="str">
        <f>""</f>
        <v/>
      </c>
      <c r="GY132" t="str">
        <f>""</f>
        <v/>
      </c>
      <c r="GZ132" t="str">
        <f>""</f>
        <v/>
      </c>
      <c r="HA132" t="str">
        <f>""</f>
        <v/>
      </c>
      <c r="HB132" t="str">
        <f>""</f>
        <v/>
      </c>
      <c r="HC132" t="str">
        <f>""</f>
        <v/>
      </c>
      <c r="HD132" t="str">
        <f>""</f>
        <v/>
      </c>
      <c r="HE132" t="str">
        <f>""</f>
        <v/>
      </c>
      <c r="HF132" t="str">
        <f>""</f>
        <v/>
      </c>
      <c r="HG132" t="str">
        <f>""</f>
        <v/>
      </c>
      <c r="HH132" t="str">
        <f>""</f>
        <v/>
      </c>
      <c r="HI132" t="str">
        <f>""</f>
        <v/>
      </c>
      <c r="HJ132" t="str">
        <f>""</f>
        <v/>
      </c>
      <c r="HK132" t="str">
        <f>""</f>
        <v/>
      </c>
      <c r="HL132" t="str">
        <f>""</f>
        <v/>
      </c>
      <c r="HM132" t="str">
        <f>""</f>
        <v/>
      </c>
      <c r="HN132" t="str">
        <f>""</f>
        <v/>
      </c>
      <c r="HO132" t="str">
        <f>""</f>
        <v/>
      </c>
      <c r="HP132" t="str">
        <f>""</f>
        <v/>
      </c>
      <c r="HQ132" t="str">
        <f>""</f>
        <v/>
      </c>
      <c r="HR132" t="str">
        <f>""</f>
        <v/>
      </c>
      <c r="HS132" t="str">
        <f>""</f>
        <v/>
      </c>
      <c r="HT132" t="str">
        <f>""</f>
        <v/>
      </c>
      <c r="HU132" t="str">
        <f>""</f>
        <v/>
      </c>
      <c r="HV132" t="str">
        <f>""</f>
        <v/>
      </c>
      <c r="HW132" t="str">
        <f>""</f>
        <v/>
      </c>
      <c r="HX132" t="str">
        <f>""</f>
        <v/>
      </c>
      <c r="HY132" t="str">
        <f>""</f>
        <v/>
      </c>
      <c r="HZ132" t="str">
        <f>""</f>
        <v/>
      </c>
      <c r="IA132" t="str">
        <f>""</f>
        <v/>
      </c>
      <c r="IB132" t="str">
        <f>""</f>
        <v/>
      </c>
      <c r="IC132" t="str">
        <f>""</f>
        <v/>
      </c>
      <c r="ID132" t="str">
        <f>""</f>
        <v/>
      </c>
      <c r="IE132" t="str">
        <f>""</f>
        <v/>
      </c>
      <c r="IF132" t="str">
        <f>""</f>
        <v/>
      </c>
      <c r="IG132" t="str">
        <f>""</f>
        <v/>
      </c>
      <c r="IH132" t="str">
        <f>""</f>
        <v/>
      </c>
      <c r="II132" t="str">
        <f>""</f>
        <v/>
      </c>
      <c r="IJ132" t="str">
        <f>""</f>
        <v/>
      </c>
      <c r="IK132" t="str">
        <f>""</f>
        <v/>
      </c>
      <c r="IL132" t="str">
        <f>""</f>
        <v/>
      </c>
      <c r="IM132" t="str">
        <f>""</f>
        <v/>
      </c>
      <c r="IN132" t="str">
        <f>""</f>
        <v/>
      </c>
      <c r="IO132" t="str">
        <f>""</f>
        <v/>
      </c>
      <c r="IP132" t="str">
        <f>""</f>
        <v/>
      </c>
      <c r="IQ132" t="str">
        <f>""</f>
        <v/>
      </c>
      <c r="IR132" t="str">
        <f>""</f>
        <v/>
      </c>
      <c r="IS132" t="str">
        <f>""</f>
        <v/>
      </c>
      <c r="IT132" t="str">
        <f>""</f>
        <v/>
      </c>
      <c r="IU132" t="str">
        <f>""</f>
        <v/>
      </c>
      <c r="IV132" t="str">
        <f>""</f>
        <v/>
      </c>
      <c r="IW132" t="str">
        <f>""</f>
        <v/>
      </c>
      <c r="IX132" t="str">
        <f>""</f>
        <v/>
      </c>
      <c r="IY132" t="str">
        <f>""</f>
        <v/>
      </c>
      <c r="IZ132" t="str">
        <f>""</f>
        <v/>
      </c>
      <c r="JA132" t="str">
        <f>""</f>
        <v/>
      </c>
      <c r="JB132" t="str">
        <f>""</f>
        <v/>
      </c>
      <c r="JC132" t="str">
        <f>""</f>
        <v/>
      </c>
      <c r="JD132" t="str">
        <f>""</f>
        <v/>
      </c>
      <c r="JE132" t="str">
        <f>""</f>
        <v/>
      </c>
      <c r="JF132" t="str">
        <f>""</f>
        <v/>
      </c>
      <c r="JG132" t="str">
        <f>""</f>
        <v/>
      </c>
      <c r="JH132" t="str">
        <f>""</f>
        <v/>
      </c>
      <c r="JI132" t="str">
        <f>""</f>
        <v/>
      </c>
      <c r="JJ132" t="str">
        <f>""</f>
        <v/>
      </c>
      <c r="JK132" t="str">
        <f>""</f>
        <v/>
      </c>
    </row>
    <row r="133" spans="1:271" x14ac:dyDescent="0.3">
      <c r="A133" t="str">
        <f>""</f>
        <v/>
      </c>
      <c r="B133" t="str">
        <f>""</f>
        <v/>
      </c>
      <c r="C133" t="str">
        <f>""</f>
        <v/>
      </c>
      <c r="D133" t="str">
        <f>""</f>
        <v/>
      </c>
      <c r="E133" t="str">
        <f>""</f>
        <v/>
      </c>
      <c r="F133" t="str">
        <f>""</f>
        <v/>
      </c>
      <c r="G133" t="str">
        <f>""</f>
        <v/>
      </c>
      <c r="H133" t="str">
        <f>""</f>
        <v/>
      </c>
      <c r="I133" t="str">
        <f>""</f>
        <v/>
      </c>
      <c r="J133" t="str">
        <f>""</f>
        <v/>
      </c>
      <c r="K133" t="str">
        <f>""</f>
        <v/>
      </c>
      <c r="L133" t="str">
        <f>""</f>
        <v/>
      </c>
      <c r="M133" t="str">
        <f>""</f>
        <v/>
      </c>
      <c r="N133" t="str">
        <f>""</f>
        <v/>
      </c>
      <c r="O133" t="str">
        <f>""</f>
        <v/>
      </c>
      <c r="P133" t="str">
        <f>""</f>
        <v/>
      </c>
      <c r="Q133" t="str">
        <f>""</f>
        <v/>
      </c>
      <c r="R133" t="str">
        <f>""</f>
        <v/>
      </c>
      <c r="S133" t="str">
        <f>""</f>
        <v/>
      </c>
      <c r="T133" t="str">
        <f>""</f>
        <v/>
      </c>
      <c r="U133" t="str">
        <f>""</f>
        <v/>
      </c>
      <c r="V133" t="str">
        <f>""</f>
        <v/>
      </c>
      <c r="W133" t="str">
        <f>""</f>
        <v/>
      </c>
      <c r="X133" t="str">
        <f>""</f>
        <v/>
      </c>
      <c r="Y133" t="str">
        <f>""</f>
        <v/>
      </c>
      <c r="Z133" t="str">
        <f>""</f>
        <v/>
      </c>
      <c r="AA133" t="str">
        <f>""</f>
        <v/>
      </c>
      <c r="AB133" t="str">
        <f>""</f>
        <v/>
      </c>
      <c r="AC133" t="str">
        <f>""</f>
        <v/>
      </c>
      <c r="AD133" t="str">
        <f>""</f>
        <v/>
      </c>
      <c r="AE133" t="str">
        <f>""</f>
        <v/>
      </c>
      <c r="AF133" t="str">
        <f>""</f>
        <v/>
      </c>
      <c r="AG133" t="str">
        <f>""</f>
        <v/>
      </c>
      <c r="AH133" t="str">
        <f>""</f>
        <v/>
      </c>
      <c r="AI133" t="str">
        <f>""</f>
        <v/>
      </c>
      <c r="AJ133" t="str">
        <f>""</f>
        <v/>
      </c>
      <c r="AK133" t="str">
        <f>""</f>
        <v/>
      </c>
      <c r="AL133" t="str">
        <f>""</f>
        <v/>
      </c>
      <c r="AM133" t="str">
        <f>""</f>
        <v/>
      </c>
      <c r="AN133" t="str">
        <f>""</f>
        <v/>
      </c>
      <c r="AO133" t="str">
        <f>""</f>
        <v/>
      </c>
      <c r="AP133" t="str">
        <f>""</f>
        <v/>
      </c>
      <c r="AQ133" t="str">
        <f>""</f>
        <v/>
      </c>
      <c r="AR133" t="str">
        <f>""</f>
        <v/>
      </c>
      <c r="AS133" t="str">
        <f>""</f>
        <v/>
      </c>
      <c r="AT133" t="str">
        <f>""</f>
        <v/>
      </c>
      <c r="AU133" t="str">
        <f>""</f>
        <v/>
      </c>
      <c r="AV133" t="str">
        <f>""</f>
        <v/>
      </c>
      <c r="AW133" t="str">
        <f>""</f>
        <v/>
      </c>
      <c r="AX133" t="str">
        <f>"(0.103)"</f>
        <v>(0.103)</v>
      </c>
      <c r="AY133" t="str">
        <f>"(0.0804)"</f>
        <v>(0.0804)</v>
      </c>
      <c r="AZ133" t="str">
        <f>"(0.0447)"</f>
        <v>(0.0447)</v>
      </c>
      <c r="BA133" t="str">
        <f>""</f>
        <v/>
      </c>
      <c r="BB133" t="str">
        <f>""</f>
        <v/>
      </c>
      <c r="BC133" t="str">
        <f>""</f>
        <v/>
      </c>
      <c r="BD133" t="str">
        <f>""</f>
        <v/>
      </c>
      <c r="BE133" t="str">
        <f>""</f>
        <v/>
      </c>
      <c r="BF133" t="str">
        <f>""</f>
        <v/>
      </c>
      <c r="BG133" t="str">
        <f>""</f>
        <v/>
      </c>
      <c r="BH133" t="str">
        <f>""</f>
        <v/>
      </c>
      <c r="BI133" t="str">
        <f>""</f>
        <v/>
      </c>
      <c r="BJ133" t="str">
        <f>""</f>
        <v/>
      </c>
      <c r="BK133" t="str">
        <f>""</f>
        <v/>
      </c>
      <c r="BL133" t="str">
        <f>""</f>
        <v/>
      </c>
      <c r="BM133" t="str">
        <f>""</f>
        <v/>
      </c>
      <c r="BN133" t="str">
        <f>""</f>
        <v/>
      </c>
      <c r="BO133" t="str">
        <f>""</f>
        <v/>
      </c>
      <c r="BP133" t="str">
        <f>""</f>
        <v/>
      </c>
      <c r="BQ133" t="str">
        <f>""</f>
        <v/>
      </c>
      <c r="BR133" t="str">
        <f>""</f>
        <v/>
      </c>
      <c r="BS133" t="str">
        <f>""</f>
        <v/>
      </c>
      <c r="BT133" t="str">
        <f>""</f>
        <v/>
      </c>
      <c r="BU133" t="str">
        <f>""</f>
        <v/>
      </c>
      <c r="BV133" t="str">
        <f>""</f>
        <v/>
      </c>
      <c r="BW133" t="str">
        <f>""</f>
        <v/>
      </c>
      <c r="BX133" t="str">
        <f>""</f>
        <v/>
      </c>
      <c r="BY133" t="str">
        <f>""</f>
        <v/>
      </c>
      <c r="BZ133" t="str">
        <f>""</f>
        <v/>
      </c>
      <c r="CA133" t="str">
        <f>""</f>
        <v/>
      </c>
      <c r="CB133" t="str">
        <f>""</f>
        <v/>
      </c>
      <c r="CC133" t="str">
        <f>""</f>
        <v/>
      </c>
      <c r="CD133" t="str">
        <f>""</f>
        <v/>
      </c>
      <c r="CE133" t="str">
        <f>""</f>
        <v/>
      </c>
      <c r="CF133" t="str">
        <f>""</f>
        <v/>
      </c>
      <c r="CG133" t="str">
        <f>""</f>
        <v/>
      </c>
      <c r="CH133" t="str">
        <f>""</f>
        <v/>
      </c>
      <c r="CI133" t="str">
        <f>""</f>
        <v/>
      </c>
      <c r="CJ133" t="str">
        <f>""</f>
        <v/>
      </c>
      <c r="CK133" t="str">
        <f>""</f>
        <v/>
      </c>
      <c r="CL133" t="str">
        <f>""</f>
        <v/>
      </c>
      <c r="CM133" t="str">
        <f>""</f>
        <v/>
      </c>
      <c r="CN133" t="str">
        <f>""</f>
        <v/>
      </c>
      <c r="CO133" t="str">
        <f>""</f>
        <v/>
      </c>
      <c r="CP133" t="str">
        <f>""</f>
        <v/>
      </c>
      <c r="CQ133" t="str">
        <f>""</f>
        <v/>
      </c>
      <c r="CR133" t="str">
        <f>""</f>
        <v/>
      </c>
      <c r="CS133" t="str">
        <f>""</f>
        <v/>
      </c>
      <c r="CT133" t="str">
        <f>""</f>
        <v/>
      </c>
      <c r="CU133" t="str">
        <f>""</f>
        <v/>
      </c>
      <c r="CV133" t="str">
        <f>""</f>
        <v/>
      </c>
      <c r="CW133" t="str">
        <f>""</f>
        <v/>
      </c>
      <c r="CX133" t="str">
        <f>""</f>
        <v/>
      </c>
      <c r="CY133" t="str">
        <f>""</f>
        <v/>
      </c>
      <c r="CZ133" t="str">
        <f>""</f>
        <v/>
      </c>
      <c r="DA133" t="str">
        <f>""</f>
        <v/>
      </c>
      <c r="DB133" t="str">
        <f>""</f>
        <v/>
      </c>
      <c r="DC133" t="str">
        <f>""</f>
        <v/>
      </c>
      <c r="DD133" t="str">
        <f>""</f>
        <v/>
      </c>
      <c r="DE133" t="str">
        <f>""</f>
        <v/>
      </c>
      <c r="DF133" t="str">
        <f>""</f>
        <v/>
      </c>
      <c r="DG133" t="str">
        <f>""</f>
        <v/>
      </c>
      <c r="DH133" t="str">
        <f>""</f>
        <v/>
      </c>
      <c r="DI133" t="str">
        <f>""</f>
        <v/>
      </c>
      <c r="DJ133" t="str">
        <f>""</f>
        <v/>
      </c>
      <c r="DK133" t="str">
        <f>""</f>
        <v/>
      </c>
      <c r="DL133" t="str">
        <f>""</f>
        <v/>
      </c>
      <c r="DM133" t="str">
        <f>""</f>
        <v/>
      </c>
      <c r="DN133" t="str">
        <f>""</f>
        <v/>
      </c>
      <c r="DO133" t="str">
        <f>""</f>
        <v/>
      </c>
      <c r="DP133" t="str">
        <f>""</f>
        <v/>
      </c>
      <c r="DQ133" t="str">
        <f>""</f>
        <v/>
      </c>
      <c r="DR133" t="str">
        <f>""</f>
        <v/>
      </c>
      <c r="DS133" t="str">
        <f>""</f>
        <v/>
      </c>
      <c r="DT133" t="str">
        <f>""</f>
        <v/>
      </c>
      <c r="DU133" t="str">
        <f>""</f>
        <v/>
      </c>
      <c r="DV133" t="str">
        <f>""</f>
        <v/>
      </c>
      <c r="DW133" t="str">
        <f>""</f>
        <v/>
      </c>
      <c r="DX133" t="str">
        <f>""</f>
        <v/>
      </c>
      <c r="DY133" t="str">
        <f>""</f>
        <v/>
      </c>
      <c r="DZ133" t="str">
        <f>""</f>
        <v/>
      </c>
      <c r="EA133" t="str">
        <f>""</f>
        <v/>
      </c>
      <c r="EB133" t="str">
        <f>""</f>
        <v/>
      </c>
      <c r="EC133" t="str">
        <f>""</f>
        <v/>
      </c>
      <c r="ED133" t="str">
        <f>""</f>
        <v/>
      </c>
      <c r="EE133" t="str">
        <f>""</f>
        <v/>
      </c>
      <c r="EF133" t="str">
        <f>""</f>
        <v/>
      </c>
      <c r="EG133" t="str">
        <f>""</f>
        <v/>
      </c>
      <c r="EH133" t="str">
        <f>""</f>
        <v/>
      </c>
      <c r="EI133" t="str">
        <f>""</f>
        <v/>
      </c>
      <c r="EJ133" t="str">
        <f>""</f>
        <v/>
      </c>
      <c r="EK133" t="str">
        <f>""</f>
        <v/>
      </c>
      <c r="EL133" t="str">
        <f>""</f>
        <v/>
      </c>
      <c r="EM133" t="str">
        <f>""</f>
        <v/>
      </c>
      <c r="EN133" t="str">
        <f>""</f>
        <v/>
      </c>
      <c r="EO133" t="str">
        <f>""</f>
        <v/>
      </c>
      <c r="EP133" t="str">
        <f>""</f>
        <v/>
      </c>
      <c r="EQ133" t="str">
        <f>""</f>
        <v/>
      </c>
      <c r="ER133" t="str">
        <f>""</f>
        <v/>
      </c>
      <c r="ES133" t="str">
        <f>""</f>
        <v/>
      </c>
      <c r="ET133" t="str">
        <f>""</f>
        <v/>
      </c>
      <c r="EU133" t="str">
        <f>""</f>
        <v/>
      </c>
      <c r="EV133" t="str">
        <f>""</f>
        <v/>
      </c>
      <c r="EW133" t="str">
        <f>""</f>
        <v/>
      </c>
      <c r="EX133" t="str">
        <f>""</f>
        <v/>
      </c>
      <c r="EY133" t="str">
        <f>""</f>
        <v/>
      </c>
      <c r="EZ133" t="str">
        <f>""</f>
        <v/>
      </c>
      <c r="FA133" t="str">
        <f>""</f>
        <v/>
      </c>
      <c r="FB133" t="str">
        <f>""</f>
        <v/>
      </c>
      <c r="FC133" t="str">
        <f>""</f>
        <v/>
      </c>
      <c r="FD133" t="str">
        <f>""</f>
        <v/>
      </c>
      <c r="FE133" t="str">
        <f>""</f>
        <v/>
      </c>
      <c r="FF133" t="str">
        <f>""</f>
        <v/>
      </c>
      <c r="FG133" t="str">
        <f>""</f>
        <v/>
      </c>
      <c r="FH133" t="str">
        <f>""</f>
        <v/>
      </c>
      <c r="FI133" t="str">
        <f>""</f>
        <v/>
      </c>
      <c r="FJ133" t="str">
        <f>""</f>
        <v/>
      </c>
      <c r="FK133" t="str">
        <f>""</f>
        <v/>
      </c>
      <c r="FL133" t="str">
        <f>""</f>
        <v/>
      </c>
      <c r="FM133" t="str">
        <f>""</f>
        <v/>
      </c>
      <c r="FN133" t="str">
        <f>""</f>
        <v/>
      </c>
      <c r="FO133" t="str">
        <f>""</f>
        <v/>
      </c>
      <c r="FP133" t="str">
        <f>""</f>
        <v/>
      </c>
      <c r="FQ133" t="str">
        <f>""</f>
        <v/>
      </c>
      <c r="FR133" t="str">
        <f>""</f>
        <v/>
      </c>
      <c r="FS133" t="str">
        <f>""</f>
        <v/>
      </c>
      <c r="FT133" t="str">
        <f>""</f>
        <v/>
      </c>
      <c r="FU133" t="str">
        <f>""</f>
        <v/>
      </c>
      <c r="FV133" t="str">
        <f>""</f>
        <v/>
      </c>
      <c r="FW133" t="str">
        <f>""</f>
        <v/>
      </c>
      <c r="FX133" t="str">
        <f>""</f>
        <v/>
      </c>
      <c r="FY133" t="str">
        <f>""</f>
        <v/>
      </c>
      <c r="FZ133" t="str">
        <f>""</f>
        <v/>
      </c>
      <c r="GA133" t="str">
        <f>""</f>
        <v/>
      </c>
      <c r="GB133" t="str">
        <f>""</f>
        <v/>
      </c>
      <c r="GC133" t="str">
        <f>""</f>
        <v/>
      </c>
      <c r="GD133" t="str">
        <f>""</f>
        <v/>
      </c>
      <c r="GE133" t="str">
        <f>""</f>
        <v/>
      </c>
      <c r="GF133" t="str">
        <f>""</f>
        <v/>
      </c>
      <c r="GG133" t="str">
        <f>""</f>
        <v/>
      </c>
      <c r="GH133" t="str">
        <f>""</f>
        <v/>
      </c>
      <c r="GI133" t="str">
        <f>""</f>
        <v/>
      </c>
      <c r="GJ133" t="str">
        <f>""</f>
        <v/>
      </c>
      <c r="GK133" t="str">
        <f>""</f>
        <v/>
      </c>
      <c r="GL133" t="str">
        <f>""</f>
        <v/>
      </c>
      <c r="GM133" t="str">
        <f>""</f>
        <v/>
      </c>
      <c r="GN133" t="str">
        <f>""</f>
        <v/>
      </c>
      <c r="GO133" t="str">
        <f>""</f>
        <v/>
      </c>
      <c r="GP133" t="str">
        <f>""</f>
        <v/>
      </c>
      <c r="GQ133" t="str">
        <f>""</f>
        <v/>
      </c>
      <c r="GR133" t="str">
        <f>""</f>
        <v/>
      </c>
      <c r="GS133" t="str">
        <f>""</f>
        <v/>
      </c>
      <c r="GT133" t="str">
        <f>""</f>
        <v/>
      </c>
      <c r="GU133" t="str">
        <f>""</f>
        <v/>
      </c>
      <c r="GV133" t="str">
        <f>""</f>
        <v/>
      </c>
      <c r="GW133" t="str">
        <f>""</f>
        <v/>
      </c>
      <c r="GX133" t="str">
        <f>""</f>
        <v/>
      </c>
      <c r="GY133" t="str">
        <f>""</f>
        <v/>
      </c>
      <c r="GZ133" t="str">
        <f>""</f>
        <v/>
      </c>
      <c r="HA133" t="str">
        <f>""</f>
        <v/>
      </c>
      <c r="HB133" t="str">
        <f>""</f>
        <v/>
      </c>
      <c r="HC133" t="str">
        <f>""</f>
        <v/>
      </c>
      <c r="HD133" t="str">
        <f>""</f>
        <v/>
      </c>
      <c r="HE133" t="str">
        <f>""</f>
        <v/>
      </c>
      <c r="HF133" t="str">
        <f>""</f>
        <v/>
      </c>
      <c r="HG133" t="str">
        <f>""</f>
        <v/>
      </c>
      <c r="HH133" t="str">
        <f>""</f>
        <v/>
      </c>
      <c r="HI133" t="str">
        <f>""</f>
        <v/>
      </c>
      <c r="HJ133" t="str">
        <f>""</f>
        <v/>
      </c>
      <c r="HK133" t="str">
        <f>""</f>
        <v/>
      </c>
      <c r="HL133" t="str">
        <f>""</f>
        <v/>
      </c>
      <c r="HM133" t="str">
        <f>""</f>
        <v/>
      </c>
      <c r="HN133" t="str">
        <f>""</f>
        <v/>
      </c>
      <c r="HO133" t="str">
        <f>""</f>
        <v/>
      </c>
      <c r="HP133" t="str">
        <f>""</f>
        <v/>
      </c>
      <c r="HQ133" t="str">
        <f>""</f>
        <v/>
      </c>
      <c r="HR133" t="str">
        <f>""</f>
        <v/>
      </c>
      <c r="HS133" t="str">
        <f>""</f>
        <v/>
      </c>
      <c r="HT133" t="str">
        <f>""</f>
        <v/>
      </c>
      <c r="HU133" t="str">
        <f>""</f>
        <v/>
      </c>
      <c r="HV133" t="str">
        <f>""</f>
        <v/>
      </c>
      <c r="HW133" t="str">
        <f>""</f>
        <v/>
      </c>
      <c r="HX133" t="str">
        <f>""</f>
        <v/>
      </c>
      <c r="HY133" t="str">
        <f>""</f>
        <v/>
      </c>
      <c r="HZ133" t="str">
        <f>""</f>
        <v/>
      </c>
      <c r="IA133" t="str">
        <f>""</f>
        <v/>
      </c>
      <c r="IB133" t="str">
        <f>""</f>
        <v/>
      </c>
      <c r="IC133" t="str">
        <f>""</f>
        <v/>
      </c>
      <c r="ID133" t="str">
        <f>""</f>
        <v/>
      </c>
      <c r="IE133" t="str">
        <f>""</f>
        <v/>
      </c>
      <c r="IF133" t="str">
        <f>""</f>
        <v/>
      </c>
      <c r="IG133" t="str">
        <f>""</f>
        <v/>
      </c>
      <c r="IH133" t="str">
        <f>""</f>
        <v/>
      </c>
      <c r="II133" t="str">
        <f>""</f>
        <v/>
      </c>
      <c r="IJ133" t="str">
        <f>""</f>
        <v/>
      </c>
      <c r="IK133" t="str">
        <f>""</f>
        <v/>
      </c>
      <c r="IL133" t="str">
        <f>""</f>
        <v/>
      </c>
      <c r="IM133" t="str">
        <f>""</f>
        <v/>
      </c>
      <c r="IN133" t="str">
        <f>""</f>
        <v/>
      </c>
      <c r="IO133" t="str">
        <f>""</f>
        <v/>
      </c>
      <c r="IP133" t="str">
        <f>""</f>
        <v/>
      </c>
      <c r="IQ133" t="str">
        <f>""</f>
        <v/>
      </c>
      <c r="IR133" t="str">
        <f>""</f>
        <v/>
      </c>
      <c r="IS133" t="str">
        <f>""</f>
        <v/>
      </c>
      <c r="IT133" t="str">
        <f>""</f>
        <v/>
      </c>
      <c r="IU133" t="str">
        <f>""</f>
        <v/>
      </c>
      <c r="IV133" t="str">
        <f>""</f>
        <v/>
      </c>
      <c r="IW133" t="str">
        <f>""</f>
        <v/>
      </c>
      <c r="IX133" t="str">
        <f>""</f>
        <v/>
      </c>
      <c r="IY133" t="str">
        <f>""</f>
        <v/>
      </c>
      <c r="IZ133" t="str">
        <f>""</f>
        <v/>
      </c>
      <c r="JA133" t="str">
        <f>""</f>
        <v/>
      </c>
      <c r="JB133" t="str">
        <f>""</f>
        <v/>
      </c>
      <c r="JC133" t="str">
        <f>""</f>
        <v/>
      </c>
      <c r="JD133" t="str">
        <f>""</f>
        <v/>
      </c>
      <c r="JE133" t="str">
        <f>""</f>
        <v/>
      </c>
      <c r="JF133" t="str">
        <f>""</f>
        <v/>
      </c>
      <c r="JG133" t="str">
        <f>""</f>
        <v/>
      </c>
      <c r="JH133" t="str">
        <f>""</f>
        <v/>
      </c>
      <c r="JI133" t="str">
        <f>""</f>
        <v/>
      </c>
      <c r="JJ133" t="str">
        <f>""</f>
        <v/>
      </c>
      <c r="JK133" t="str">
        <f>""</f>
        <v/>
      </c>
    </row>
    <row r="135" spans="1:271" x14ac:dyDescent="0.3">
      <c r="A135" t="str">
        <f>"c.zMETAB3#c.PM2"</f>
        <v>c.zMETAB3#c.PM2</v>
      </c>
      <c r="B135" t="str">
        <f>""</f>
        <v/>
      </c>
      <c r="C135" t="str">
        <f>""</f>
        <v/>
      </c>
      <c r="D135" t="str">
        <f>""</f>
        <v/>
      </c>
      <c r="E135" t="str">
        <f>""</f>
        <v/>
      </c>
      <c r="F135" t="str">
        <f>""</f>
        <v/>
      </c>
      <c r="G135" t="str">
        <f>""</f>
        <v/>
      </c>
      <c r="H135" t="str">
        <f>""</f>
        <v/>
      </c>
      <c r="I135" t="str">
        <f>""</f>
        <v/>
      </c>
      <c r="J135" t="str">
        <f>""</f>
        <v/>
      </c>
      <c r="K135" t="str">
        <f>""</f>
        <v/>
      </c>
      <c r="L135" t="str">
        <f>""</f>
        <v/>
      </c>
      <c r="M135" t="str">
        <f>""</f>
        <v/>
      </c>
      <c r="N135" t="str">
        <f>""</f>
        <v/>
      </c>
      <c r="O135" t="str">
        <f>""</f>
        <v/>
      </c>
      <c r="P135" t="str">
        <f>""</f>
        <v/>
      </c>
      <c r="Q135" t="str">
        <f>""</f>
        <v/>
      </c>
      <c r="R135" t="str">
        <f>""</f>
        <v/>
      </c>
      <c r="S135" t="str">
        <f>""</f>
        <v/>
      </c>
      <c r="T135" t="str">
        <f>""</f>
        <v/>
      </c>
      <c r="U135" t="str">
        <f>""</f>
        <v/>
      </c>
      <c r="V135" t="str">
        <f>""</f>
        <v/>
      </c>
      <c r="W135" t="str">
        <f>""</f>
        <v/>
      </c>
      <c r="X135" t="str">
        <f>""</f>
        <v/>
      </c>
      <c r="Y135" t="str">
        <f>""</f>
        <v/>
      </c>
      <c r="Z135" t="str">
        <f>""</f>
        <v/>
      </c>
      <c r="AA135" t="str">
        <f>""</f>
        <v/>
      </c>
      <c r="AB135" t="str">
        <f>""</f>
        <v/>
      </c>
      <c r="AC135" t="str">
        <f>""</f>
        <v/>
      </c>
      <c r="AD135" t="str">
        <f>""</f>
        <v/>
      </c>
      <c r="AE135" t="str">
        <f>""</f>
        <v/>
      </c>
      <c r="AF135" t="str">
        <f>""</f>
        <v/>
      </c>
      <c r="AG135" t="str">
        <f>""</f>
        <v/>
      </c>
      <c r="AH135" t="str">
        <f>""</f>
        <v/>
      </c>
      <c r="AI135" t="str">
        <f>""</f>
        <v/>
      </c>
      <c r="AJ135" t="str">
        <f>""</f>
        <v/>
      </c>
      <c r="AK135" t="str">
        <f>""</f>
        <v/>
      </c>
      <c r="AL135" t="str">
        <f>""</f>
        <v/>
      </c>
      <c r="AM135" t="str">
        <f>""</f>
        <v/>
      </c>
      <c r="AN135" t="str">
        <f>""</f>
        <v/>
      </c>
      <c r="AO135" t="str">
        <f>""</f>
        <v/>
      </c>
      <c r="AP135" t="str">
        <f>""</f>
        <v/>
      </c>
      <c r="AQ135" t="str">
        <f>""</f>
        <v/>
      </c>
      <c r="AR135" t="str">
        <f>""</f>
        <v/>
      </c>
      <c r="AS135" t="str">
        <f>""</f>
        <v/>
      </c>
      <c r="AT135" t="str">
        <f>""</f>
        <v/>
      </c>
      <c r="AU135" t="str">
        <f>""</f>
        <v/>
      </c>
      <c r="AV135" t="str">
        <f>""</f>
        <v/>
      </c>
      <c r="AW135" t="str">
        <f>""</f>
        <v/>
      </c>
      <c r="AX135" t="str">
        <f>""</f>
        <v/>
      </c>
      <c r="AY135" t="str">
        <f>""</f>
        <v/>
      </c>
      <c r="AZ135" t="str">
        <f>""</f>
        <v/>
      </c>
      <c r="BA135" t="str">
        <f>"0.0810"</f>
        <v>0.0810</v>
      </c>
      <c r="BB135" t="str">
        <f>"0.00193"</f>
        <v>0.00193</v>
      </c>
      <c r="BC135" t="str">
        <f>"-0.00916"</f>
        <v>-0.00916</v>
      </c>
      <c r="BD135" t="str">
        <f>""</f>
        <v/>
      </c>
      <c r="BE135" t="str">
        <f>""</f>
        <v/>
      </c>
      <c r="BF135" t="str">
        <f>""</f>
        <v/>
      </c>
      <c r="BG135" t="str">
        <f>""</f>
        <v/>
      </c>
      <c r="BH135" t="str">
        <f>""</f>
        <v/>
      </c>
      <c r="BI135" t="str">
        <f>""</f>
        <v/>
      </c>
      <c r="BJ135" t="str">
        <f>""</f>
        <v/>
      </c>
      <c r="BK135" t="str">
        <f>""</f>
        <v/>
      </c>
      <c r="BL135" t="str">
        <f>""</f>
        <v/>
      </c>
      <c r="BM135" t="str">
        <f>""</f>
        <v/>
      </c>
      <c r="BN135" t="str">
        <f>""</f>
        <v/>
      </c>
      <c r="BO135" t="str">
        <f>""</f>
        <v/>
      </c>
      <c r="BP135" t="str">
        <f>""</f>
        <v/>
      </c>
      <c r="BQ135" t="str">
        <f>""</f>
        <v/>
      </c>
      <c r="BR135" t="str">
        <f>""</f>
        <v/>
      </c>
      <c r="BS135" t="str">
        <f>""</f>
        <v/>
      </c>
      <c r="BT135" t="str">
        <f>""</f>
        <v/>
      </c>
      <c r="BU135" t="str">
        <f>""</f>
        <v/>
      </c>
      <c r="BV135" t="str">
        <f>""</f>
        <v/>
      </c>
      <c r="BW135" t="str">
        <f>""</f>
        <v/>
      </c>
      <c r="BX135" t="str">
        <f>""</f>
        <v/>
      </c>
      <c r="BY135" t="str">
        <f>""</f>
        <v/>
      </c>
      <c r="BZ135" t="str">
        <f>""</f>
        <v/>
      </c>
      <c r="CA135" t="str">
        <f>""</f>
        <v/>
      </c>
      <c r="CB135" t="str">
        <f>""</f>
        <v/>
      </c>
      <c r="CC135" t="str">
        <f>""</f>
        <v/>
      </c>
      <c r="CD135" t="str">
        <f>""</f>
        <v/>
      </c>
      <c r="CE135" t="str">
        <f>""</f>
        <v/>
      </c>
      <c r="CF135" t="str">
        <f>""</f>
        <v/>
      </c>
      <c r="CG135" t="str">
        <f>""</f>
        <v/>
      </c>
      <c r="CH135" t="str">
        <f>""</f>
        <v/>
      </c>
      <c r="CI135" t="str">
        <f>""</f>
        <v/>
      </c>
      <c r="CJ135" t="str">
        <f>""</f>
        <v/>
      </c>
      <c r="CK135" t="str">
        <f>""</f>
        <v/>
      </c>
      <c r="CL135" t="str">
        <f>""</f>
        <v/>
      </c>
      <c r="CM135" t="str">
        <f>""</f>
        <v/>
      </c>
      <c r="CN135" t="str">
        <f>""</f>
        <v/>
      </c>
      <c r="CO135" t="str">
        <f>""</f>
        <v/>
      </c>
      <c r="CP135" t="str">
        <f>""</f>
        <v/>
      </c>
      <c r="CQ135" t="str">
        <f>""</f>
        <v/>
      </c>
      <c r="CR135" t="str">
        <f>""</f>
        <v/>
      </c>
      <c r="CS135" t="str">
        <f>""</f>
        <v/>
      </c>
      <c r="CT135" t="str">
        <f>""</f>
        <v/>
      </c>
      <c r="CU135" t="str">
        <f>""</f>
        <v/>
      </c>
      <c r="CV135" t="str">
        <f>""</f>
        <v/>
      </c>
      <c r="CW135" t="str">
        <f>""</f>
        <v/>
      </c>
      <c r="CX135" t="str">
        <f>""</f>
        <v/>
      </c>
      <c r="CY135" t="str">
        <f>""</f>
        <v/>
      </c>
      <c r="CZ135" t="str">
        <f>""</f>
        <v/>
      </c>
      <c r="DA135" t="str">
        <f>""</f>
        <v/>
      </c>
      <c r="DB135" t="str">
        <f>""</f>
        <v/>
      </c>
      <c r="DC135" t="str">
        <f>""</f>
        <v/>
      </c>
      <c r="DD135" t="str">
        <f>""</f>
        <v/>
      </c>
      <c r="DE135" t="str">
        <f>""</f>
        <v/>
      </c>
      <c r="DF135" t="str">
        <f>""</f>
        <v/>
      </c>
      <c r="DG135" t="str">
        <f>""</f>
        <v/>
      </c>
      <c r="DH135" t="str">
        <f>""</f>
        <v/>
      </c>
      <c r="DI135" t="str">
        <f>""</f>
        <v/>
      </c>
      <c r="DJ135" t="str">
        <f>""</f>
        <v/>
      </c>
      <c r="DK135" t="str">
        <f>""</f>
        <v/>
      </c>
      <c r="DL135" t="str">
        <f>""</f>
        <v/>
      </c>
      <c r="DM135" t="str">
        <f>""</f>
        <v/>
      </c>
      <c r="DN135" t="str">
        <f>""</f>
        <v/>
      </c>
      <c r="DO135" t="str">
        <f>""</f>
        <v/>
      </c>
      <c r="DP135" t="str">
        <f>""</f>
        <v/>
      </c>
      <c r="DQ135" t="str">
        <f>""</f>
        <v/>
      </c>
      <c r="DR135" t="str">
        <f>""</f>
        <v/>
      </c>
      <c r="DS135" t="str">
        <f>""</f>
        <v/>
      </c>
      <c r="DT135" t="str">
        <f>""</f>
        <v/>
      </c>
      <c r="DU135" t="str">
        <f>""</f>
        <v/>
      </c>
      <c r="DV135" t="str">
        <f>""</f>
        <v/>
      </c>
      <c r="DW135" t="str">
        <f>""</f>
        <v/>
      </c>
      <c r="DX135" t="str">
        <f>""</f>
        <v/>
      </c>
      <c r="DY135" t="str">
        <f>""</f>
        <v/>
      </c>
      <c r="DZ135" t="str">
        <f>""</f>
        <v/>
      </c>
      <c r="EA135" t="str">
        <f>""</f>
        <v/>
      </c>
      <c r="EB135" t="str">
        <f>""</f>
        <v/>
      </c>
      <c r="EC135" t="str">
        <f>""</f>
        <v/>
      </c>
      <c r="ED135" t="str">
        <f>""</f>
        <v/>
      </c>
      <c r="EE135" t="str">
        <f>""</f>
        <v/>
      </c>
      <c r="EF135" t="str">
        <f>""</f>
        <v/>
      </c>
      <c r="EG135" t="str">
        <f>""</f>
        <v/>
      </c>
      <c r="EH135" t="str">
        <f>""</f>
        <v/>
      </c>
      <c r="EI135" t="str">
        <f>""</f>
        <v/>
      </c>
      <c r="EJ135" t="str">
        <f>""</f>
        <v/>
      </c>
      <c r="EK135" t="str">
        <f>""</f>
        <v/>
      </c>
      <c r="EL135" t="str">
        <f>""</f>
        <v/>
      </c>
      <c r="EM135" t="str">
        <f>""</f>
        <v/>
      </c>
      <c r="EN135" t="str">
        <f>""</f>
        <v/>
      </c>
      <c r="EO135" t="str">
        <f>""</f>
        <v/>
      </c>
      <c r="EP135" t="str">
        <f>""</f>
        <v/>
      </c>
      <c r="EQ135" t="str">
        <f>""</f>
        <v/>
      </c>
      <c r="ER135" t="str">
        <f>""</f>
        <v/>
      </c>
      <c r="ES135" t="str">
        <f>""</f>
        <v/>
      </c>
      <c r="ET135" t="str">
        <f>""</f>
        <v/>
      </c>
      <c r="EU135" t="str">
        <f>""</f>
        <v/>
      </c>
      <c r="EV135" t="str">
        <f>""</f>
        <v/>
      </c>
      <c r="EW135" t="str">
        <f>""</f>
        <v/>
      </c>
      <c r="EX135" t="str">
        <f>""</f>
        <v/>
      </c>
      <c r="EY135" t="str">
        <f>""</f>
        <v/>
      </c>
      <c r="EZ135" t="str">
        <f>""</f>
        <v/>
      </c>
      <c r="FA135" t="str">
        <f>""</f>
        <v/>
      </c>
      <c r="FB135" t="str">
        <f>""</f>
        <v/>
      </c>
      <c r="FC135" t="str">
        <f>""</f>
        <v/>
      </c>
      <c r="FD135" t="str">
        <f>""</f>
        <v/>
      </c>
      <c r="FE135" t="str">
        <f>""</f>
        <v/>
      </c>
      <c r="FF135" t="str">
        <f>""</f>
        <v/>
      </c>
      <c r="FG135" t="str">
        <f>""</f>
        <v/>
      </c>
      <c r="FH135" t="str">
        <f>""</f>
        <v/>
      </c>
      <c r="FI135" t="str">
        <f>""</f>
        <v/>
      </c>
      <c r="FJ135" t="str">
        <f>""</f>
        <v/>
      </c>
      <c r="FK135" t="str">
        <f>""</f>
        <v/>
      </c>
      <c r="FL135" t="str">
        <f>""</f>
        <v/>
      </c>
      <c r="FM135" t="str">
        <f>""</f>
        <v/>
      </c>
      <c r="FN135" t="str">
        <f>""</f>
        <v/>
      </c>
      <c r="FO135" t="str">
        <f>""</f>
        <v/>
      </c>
      <c r="FP135" t="str">
        <f>""</f>
        <v/>
      </c>
      <c r="FQ135" t="str">
        <f>""</f>
        <v/>
      </c>
      <c r="FR135" t="str">
        <f>""</f>
        <v/>
      </c>
      <c r="FS135" t="str">
        <f>""</f>
        <v/>
      </c>
      <c r="FT135" t="str">
        <f>""</f>
        <v/>
      </c>
      <c r="FU135" t="str">
        <f>""</f>
        <v/>
      </c>
      <c r="FV135" t="str">
        <f>""</f>
        <v/>
      </c>
      <c r="FW135" t="str">
        <f>""</f>
        <v/>
      </c>
      <c r="FX135" t="str">
        <f>""</f>
        <v/>
      </c>
      <c r="FY135" t="str">
        <f>""</f>
        <v/>
      </c>
      <c r="FZ135" t="str">
        <f>""</f>
        <v/>
      </c>
      <c r="GA135" t="str">
        <f>""</f>
        <v/>
      </c>
      <c r="GB135" t="str">
        <f>""</f>
        <v/>
      </c>
      <c r="GC135" t="str">
        <f>""</f>
        <v/>
      </c>
      <c r="GD135" t="str">
        <f>""</f>
        <v/>
      </c>
      <c r="GE135" t="str">
        <f>""</f>
        <v/>
      </c>
      <c r="GF135" t="str">
        <f>""</f>
        <v/>
      </c>
      <c r="GG135" t="str">
        <f>""</f>
        <v/>
      </c>
      <c r="GH135" t="str">
        <f>""</f>
        <v/>
      </c>
      <c r="GI135" t="str">
        <f>""</f>
        <v/>
      </c>
      <c r="GJ135" t="str">
        <f>""</f>
        <v/>
      </c>
      <c r="GK135" t="str">
        <f>""</f>
        <v/>
      </c>
      <c r="GL135" t="str">
        <f>""</f>
        <v/>
      </c>
      <c r="GM135" t="str">
        <f>""</f>
        <v/>
      </c>
      <c r="GN135" t="str">
        <f>""</f>
        <v/>
      </c>
      <c r="GO135" t="str">
        <f>""</f>
        <v/>
      </c>
      <c r="GP135" t="str">
        <f>""</f>
        <v/>
      </c>
      <c r="GQ135" t="str">
        <f>""</f>
        <v/>
      </c>
      <c r="GR135" t="str">
        <f>""</f>
        <v/>
      </c>
      <c r="GS135" t="str">
        <f>""</f>
        <v/>
      </c>
      <c r="GT135" t="str">
        <f>""</f>
        <v/>
      </c>
      <c r="GU135" t="str">
        <f>""</f>
        <v/>
      </c>
      <c r="GV135" t="str">
        <f>""</f>
        <v/>
      </c>
      <c r="GW135" t="str">
        <f>""</f>
        <v/>
      </c>
      <c r="GX135" t="str">
        <f>""</f>
        <v/>
      </c>
      <c r="GY135" t="str">
        <f>""</f>
        <v/>
      </c>
      <c r="GZ135" t="str">
        <f>""</f>
        <v/>
      </c>
      <c r="HA135" t="str">
        <f>""</f>
        <v/>
      </c>
      <c r="HB135" t="str">
        <f>""</f>
        <v/>
      </c>
      <c r="HC135" t="str">
        <f>""</f>
        <v/>
      </c>
      <c r="HD135" t="str">
        <f>""</f>
        <v/>
      </c>
      <c r="HE135" t="str">
        <f>""</f>
        <v/>
      </c>
      <c r="HF135" t="str">
        <f>""</f>
        <v/>
      </c>
      <c r="HG135" t="str">
        <f>""</f>
        <v/>
      </c>
      <c r="HH135" t="str">
        <f>""</f>
        <v/>
      </c>
      <c r="HI135" t="str">
        <f>""</f>
        <v/>
      </c>
      <c r="HJ135" t="str">
        <f>""</f>
        <v/>
      </c>
      <c r="HK135" t="str">
        <f>""</f>
        <v/>
      </c>
      <c r="HL135" t="str">
        <f>""</f>
        <v/>
      </c>
      <c r="HM135" t="str">
        <f>""</f>
        <v/>
      </c>
      <c r="HN135" t="str">
        <f>""</f>
        <v/>
      </c>
      <c r="HO135" t="str">
        <f>""</f>
        <v/>
      </c>
      <c r="HP135" t="str">
        <f>""</f>
        <v/>
      </c>
      <c r="HQ135" t="str">
        <f>""</f>
        <v/>
      </c>
      <c r="HR135" t="str">
        <f>""</f>
        <v/>
      </c>
      <c r="HS135" t="str">
        <f>""</f>
        <v/>
      </c>
      <c r="HT135" t="str">
        <f>""</f>
        <v/>
      </c>
      <c r="HU135" t="str">
        <f>""</f>
        <v/>
      </c>
      <c r="HV135" t="str">
        <f>""</f>
        <v/>
      </c>
      <c r="HW135" t="str">
        <f>""</f>
        <v/>
      </c>
      <c r="HX135" t="str">
        <f>""</f>
        <v/>
      </c>
      <c r="HY135" t="str">
        <f>""</f>
        <v/>
      </c>
      <c r="HZ135" t="str">
        <f>""</f>
        <v/>
      </c>
      <c r="IA135" t="str">
        <f>""</f>
        <v/>
      </c>
      <c r="IB135" t="str">
        <f>""</f>
        <v/>
      </c>
      <c r="IC135" t="str">
        <f>""</f>
        <v/>
      </c>
      <c r="ID135" t="str">
        <f>""</f>
        <v/>
      </c>
      <c r="IE135" t="str">
        <f>""</f>
        <v/>
      </c>
      <c r="IF135" t="str">
        <f>""</f>
        <v/>
      </c>
      <c r="IG135" t="str">
        <f>""</f>
        <v/>
      </c>
      <c r="IH135" t="str">
        <f>""</f>
        <v/>
      </c>
      <c r="II135" t="str">
        <f>""</f>
        <v/>
      </c>
      <c r="IJ135" t="str">
        <f>""</f>
        <v/>
      </c>
      <c r="IK135" t="str">
        <f>""</f>
        <v/>
      </c>
      <c r="IL135" t="str">
        <f>""</f>
        <v/>
      </c>
      <c r="IM135" t="str">
        <f>""</f>
        <v/>
      </c>
      <c r="IN135" t="str">
        <f>""</f>
        <v/>
      </c>
      <c r="IO135" t="str">
        <f>""</f>
        <v/>
      </c>
      <c r="IP135" t="str">
        <f>""</f>
        <v/>
      </c>
      <c r="IQ135" t="str">
        <f>""</f>
        <v/>
      </c>
      <c r="IR135" t="str">
        <f>""</f>
        <v/>
      </c>
      <c r="IS135" t="str">
        <f>""</f>
        <v/>
      </c>
      <c r="IT135" t="str">
        <f>""</f>
        <v/>
      </c>
      <c r="IU135" t="str">
        <f>""</f>
        <v/>
      </c>
      <c r="IV135" t="str">
        <f>""</f>
        <v/>
      </c>
      <c r="IW135" t="str">
        <f>""</f>
        <v/>
      </c>
      <c r="IX135" t="str">
        <f>""</f>
        <v/>
      </c>
      <c r="IY135" t="str">
        <f>""</f>
        <v/>
      </c>
      <c r="IZ135" t="str">
        <f>""</f>
        <v/>
      </c>
      <c r="JA135" t="str">
        <f>""</f>
        <v/>
      </c>
      <c r="JB135" t="str">
        <f>""</f>
        <v/>
      </c>
      <c r="JC135" t="str">
        <f>""</f>
        <v/>
      </c>
      <c r="JD135" t="str">
        <f>""</f>
        <v/>
      </c>
      <c r="JE135" t="str">
        <f>""</f>
        <v/>
      </c>
      <c r="JF135" t="str">
        <f>""</f>
        <v/>
      </c>
      <c r="JG135" t="str">
        <f>""</f>
        <v/>
      </c>
      <c r="JH135" t="str">
        <f>""</f>
        <v/>
      </c>
      <c r="JI135" t="str">
        <f>""</f>
        <v/>
      </c>
      <c r="JJ135" t="str">
        <f>""</f>
        <v/>
      </c>
      <c r="JK135" t="str">
        <f>""</f>
        <v/>
      </c>
    </row>
    <row r="136" spans="1:271" x14ac:dyDescent="0.3">
      <c r="A136" t="str">
        <f>""</f>
        <v/>
      </c>
      <c r="B136" t="str">
        <f>""</f>
        <v/>
      </c>
      <c r="C136" t="str">
        <f>""</f>
        <v/>
      </c>
      <c r="D136" t="str">
        <f>""</f>
        <v/>
      </c>
      <c r="E136" t="str">
        <f>""</f>
        <v/>
      </c>
      <c r="F136" t="str">
        <f>""</f>
        <v/>
      </c>
      <c r="G136" t="str">
        <f>""</f>
        <v/>
      </c>
      <c r="H136" t="str">
        <f>""</f>
        <v/>
      </c>
      <c r="I136" t="str">
        <f>""</f>
        <v/>
      </c>
      <c r="J136" t="str">
        <f>""</f>
        <v/>
      </c>
      <c r="K136" t="str">
        <f>""</f>
        <v/>
      </c>
      <c r="L136" t="str">
        <f>""</f>
        <v/>
      </c>
      <c r="M136" t="str">
        <f>""</f>
        <v/>
      </c>
      <c r="N136" t="str">
        <f>""</f>
        <v/>
      </c>
      <c r="O136" t="str">
        <f>""</f>
        <v/>
      </c>
      <c r="P136" t="str">
        <f>""</f>
        <v/>
      </c>
      <c r="Q136" t="str">
        <f>""</f>
        <v/>
      </c>
      <c r="R136" t="str">
        <f>""</f>
        <v/>
      </c>
      <c r="S136" t="str">
        <f>""</f>
        <v/>
      </c>
      <c r="T136" t="str">
        <f>""</f>
        <v/>
      </c>
      <c r="U136" t="str">
        <f>""</f>
        <v/>
      </c>
      <c r="V136" t="str">
        <f>""</f>
        <v/>
      </c>
      <c r="W136" t="str">
        <f>""</f>
        <v/>
      </c>
      <c r="X136" t="str">
        <f>""</f>
        <v/>
      </c>
      <c r="Y136" t="str">
        <f>""</f>
        <v/>
      </c>
      <c r="Z136" t="str">
        <f>""</f>
        <v/>
      </c>
      <c r="AA136" t="str">
        <f>""</f>
        <v/>
      </c>
      <c r="AB136" t="str">
        <f>""</f>
        <v/>
      </c>
      <c r="AC136" t="str">
        <f>""</f>
        <v/>
      </c>
      <c r="AD136" t="str">
        <f>""</f>
        <v/>
      </c>
      <c r="AE136" t="str">
        <f>""</f>
        <v/>
      </c>
      <c r="AF136" t="str">
        <f>""</f>
        <v/>
      </c>
      <c r="AG136" t="str">
        <f>""</f>
        <v/>
      </c>
      <c r="AH136" t="str">
        <f>""</f>
        <v/>
      </c>
      <c r="AI136" t="str">
        <f>""</f>
        <v/>
      </c>
      <c r="AJ136" t="str">
        <f>""</f>
        <v/>
      </c>
      <c r="AK136" t="str">
        <f>""</f>
        <v/>
      </c>
      <c r="AL136" t="str">
        <f>""</f>
        <v/>
      </c>
      <c r="AM136" t="str">
        <f>""</f>
        <v/>
      </c>
      <c r="AN136" t="str">
        <f>""</f>
        <v/>
      </c>
      <c r="AO136" t="str">
        <f>""</f>
        <v/>
      </c>
      <c r="AP136" t="str">
        <f>""</f>
        <v/>
      </c>
      <c r="AQ136" t="str">
        <f>""</f>
        <v/>
      </c>
      <c r="AR136" t="str">
        <f>""</f>
        <v/>
      </c>
      <c r="AS136" t="str">
        <f>""</f>
        <v/>
      </c>
      <c r="AT136" t="str">
        <f>""</f>
        <v/>
      </c>
      <c r="AU136" t="str">
        <f>""</f>
        <v/>
      </c>
      <c r="AV136" t="str">
        <f>""</f>
        <v/>
      </c>
      <c r="AW136" t="str">
        <f>""</f>
        <v/>
      </c>
      <c r="AX136" t="str">
        <f>""</f>
        <v/>
      </c>
      <c r="AY136" t="str">
        <f>""</f>
        <v/>
      </c>
      <c r="AZ136" t="str">
        <f>""</f>
        <v/>
      </c>
      <c r="BA136" t="str">
        <f>"(0.107)"</f>
        <v>(0.107)</v>
      </c>
      <c r="BB136" t="str">
        <f>"(0.0828)"</f>
        <v>(0.0828)</v>
      </c>
      <c r="BC136" t="str">
        <f>"(0.0414)"</f>
        <v>(0.0414)</v>
      </c>
      <c r="BD136" t="str">
        <f>""</f>
        <v/>
      </c>
      <c r="BE136" t="str">
        <f>""</f>
        <v/>
      </c>
      <c r="BF136" t="str">
        <f>""</f>
        <v/>
      </c>
      <c r="BG136" t="str">
        <f>""</f>
        <v/>
      </c>
      <c r="BH136" t="str">
        <f>""</f>
        <v/>
      </c>
      <c r="BI136" t="str">
        <f>""</f>
        <v/>
      </c>
      <c r="BJ136" t="str">
        <f>""</f>
        <v/>
      </c>
      <c r="BK136" t="str">
        <f>""</f>
        <v/>
      </c>
      <c r="BL136" t="str">
        <f>""</f>
        <v/>
      </c>
      <c r="BM136" t="str">
        <f>""</f>
        <v/>
      </c>
      <c r="BN136" t="str">
        <f>""</f>
        <v/>
      </c>
      <c r="BO136" t="str">
        <f>""</f>
        <v/>
      </c>
      <c r="BP136" t="str">
        <f>""</f>
        <v/>
      </c>
      <c r="BQ136" t="str">
        <f>""</f>
        <v/>
      </c>
      <c r="BR136" t="str">
        <f>""</f>
        <v/>
      </c>
      <c r="BS136" t="str">
        <f>""</f>
        <v/>
      </c>
      <c r="BT136" t="str">
        <f>""</f>
        <v/>
      </c>
      <c r="BU136" t="str">
        <f>""</f>
        <v/>
      </c>
      <c r="BV136" t="str">
        <f>""</f>
        <v/>
      </c>
      <c r="BW136" t="str">
        <f>""</f>
        <v/>
      </c>
      <c r="BX136" t="str">
        <f>""</f>
        <v/>
      </c>
      <c r="BY136" t="str">
        <f>""</f>
        <v/>
      </c>
      <c r="BZ136" t="str">
        <f>""</f>
        <v/>
      </c>
      <c r="CA136" t="str">
        <f>""</f>
        <v/>
      </c>
      <c r="CB136" t="str">
        <f>""</f>
        <v/>
      </c>
      <c r="CC136" t="str">
        <f>""</f>
        <v/>
      </c>
      <c r="CD136" t="str">
        <f>""</f>
        <v/>
      </c>
      <c r="CE136" t="str">
        <f>""</f>
        <v/>
      </c>
      <c r="CF136" t="str">
        <f>""</f>
        <v/>
      </c>
      <c r="CG136" t="str">
        <f>""</f>
        <v/>
      </c>
      <c r="CH136" t="str">
        <f>""</f>
        <v/>
      </c>
      <c r="CI136" t="str">
        <f>""</f>
        <v/>
      </c>
      <c r="CJ136" t="str">
        <f>""</f>
        <v/>
      </c>
      <c r="CK136" t="str">
        <f>""</f>
        <v/>
      </c>
      <c r="CL136" t="str">
        <f>""</f>
        <v/>
      </c>
      <c r="CM136" t="str">
        <f>""</f>
        <v/>
      </c>
      <c r="CN136" t="str">
        <f>""</f>
        <v/>
      </c>
      <c r="CO136" t="str">
        <f>""</f>
        <v/>
      </c>
      <c r="CP136" t="str">
        <f>""</f>
        <v/>
      </c>
      <c r="CQ136" t="str">
        <f>""</f>
        <v/>
      </c>
      <c r="CR136" t="str">
        <f>""</f>
        <v/>
      </c>
      <c r="CS136" t="str">
        <f>""</f>
        <v/>
      </c>
      <c r="CT136" t="str">
        <f>""</f>
        <v/>
      </c>
      <c r="CU136" t="str">
        <f>""</f>
        <v/>
      </c>
      <c r="CV136" t="str">
        <f>""</f>
        <v/>
      </c>
      <c r="CW136" t="str">
        <f>""</f>
        <v/>
      </c>
      <c r="CX136" t="str">
        <f>""</f>
        <v/>
      </c>
      <c r="CY136" t="str">
        <f>""</f>
        <v/>
      </c>
      <c r="CZ136" t="str">
        <f>""</f>
        <v/>
      </c>
      <c r="DA136" t="str">
        <f>""</f>
        <v/>
      </c>
      <c r="DB136" t="str">
        <f>""</f>
        <v/>
      </c>
      <c r="DC136" t="str">
        <f>""</f>
        <v/>
      </c>
      <c r="DD136" t="str">
        <f>""</f>
        <v/>
      </c>
      <c r="DE136" t="str">
        <f>""</f>
        <v/>
      </c>
      <c r="DF136" t="str">
        <f>""</f>
        <v/>
      </c>
      <c r="DG136" t="str">
        <f>""</f>
        <v/>
      </c>
      <c r="DH136" t="str">
        <f>""</f>
        <v/>
      </c>
      <c r="DI136" t="str">
        <f>""</f>
        <v/>
      </c>
      <c r="DJ136" t="str">
        <f>""</f>
        <v/>
      </c>
      <c r="DK136" t="str">
        <f>""</f>
        <v/>
      </c>
      <c r="DL136" t="str">
        <f>""</f>
        <v/>
      </c>
      <c r="DM136" t="str">
        <f>""</f>
        <v/>
      </c>
      <c r="DN136" t="str">
        <f>""</f>
        <v/>
      </c>
      <c r="DO136" t="str">
        <f>""</f>
        <v/>
      </c>
      <c r="DP136" t="str">
        <f>""</f>
        <v/>
      </c>
      <c r="DQ136" t="str">
        <f>""</f>
        <v/>
      </c>
      <c r="DR136" t="str">
        <f>""</f>
        <v/>
      </c>
      <c r="DS136" t="str">
        <f>""</f>
        <v/>
      </c>
      <c r="DT136" t="str">
        <f>""</f>
        <v/>
      </c>
      <c r="DU136" t="str">
        <f>""</f>
        <v/>
      </c>
      <c r="DV136" t="str">
        <f>""</f>
        <v/>
      </c>
      <c r="DW136" t="str">
        <f>""</f>
        <v/>
      </c>
      <c r="DX136" t="str">
        <f>""</f>
        <v/>
      </c>
      <c r="DY136" t="str">
        <f>""</f>
        <v/>
      </c>
      <c r="DZ136" t="str">
        <f>""</f>
        <v/>
      </c>
      <c r="EA136" t="str">
        <f>""</f>
        <v/>
      </c>
      <c r="EB136" t="str">
        <f>""</f>
        <v/>
      </c>
      <c r="EC136" t="str">
        <f>""</f>
        <v/>
      </c>
      <c r="ED136" t="str">
        <f>""</f>
        <v/>
      </c>
      <c r="EE136" t="str">
        <f>""</f>
        <v/>
      </c>
      <c r="EF136" t="str">
        <f>""</f>
        <v/>
      </c>
      <c r="EG136" t="str">
        <f>""</f>
        <v/>
      </c>
      <c r="EH136" t="str">
        <f>""</f>
        <v/>
      </c>
      <c r="EI136" t="str">
        <f>""</f>
        <v/>
      </c>
      <c r="EJ136" t="str">
        <f>""</f>
        <v/>
      </c>
      <c r="EK136" t="str">
        <f>""</f>
        <v/>
      </c>
      <c r="EL136" t="str">
        <f>""</f>
        <v/>
      </c>
      <c r="EM136" t="str">
        <f>""</f>
        <v/>
      </c>
      <c r="EN136" t="str">
        <f>""</f>
        <v/>
      </c>
      <c r="EO136" t="str">
        <f>""</f>
        <v/>
      </c>
      <c r="EP136" t="str">
        <f>""</f>
        <v/>
      </c>
      <c r="EQ136" t="str">
        <f>""</f>
        <v/>
      </c>
      <c r="ER136" t="str">
        <f>""</f>
        <v/>
      </c>
      <c r="ES136" t="str">
        <f>""</f>
        <v/>
      </c>
      <c r="ET136" t="str">
        <f>""</f>
        <v/>
      </c>
      <c r="EU136" t="str">
        <f>""</f>
        <v/>
      </c>
      <c r="EV136" t="str">
        <f>""</f>
        <v/>
      </c>
      <c r="EW136" t="str">
        <f>""</f>
        <v/>
      </c>
      <c r="EX136" t="str">
        <f>""</f>
        <v/>
      </c>
      <c r="EY136" t="str">
        <f>""</f>
        <v/>
      </c>
      <c r="EZ136" t="str">
        <f>""</f>
        <v/>
      </c>
      <c r="FA136" t="str">
        <f>""</f>
        <v/>
      </c>
      <c r="FB136" t="str">
        <f>""</f>
        <v/>
      </c>
      <c r="FC136" t="str">
        <f>""</f>
        <v/>
      </c>
      <c r="FD136" t="str">
        <f>""</f>
        <v/>
      </c>
      <c r="FE136" t="str">
        <f>""</f>
        <v/>
      </c>
      <c r="FF136" t="str">
        <f>""</f>
        <v/>
      </c>
      <c r="FG136" t="str">
        <f>""</f>
        <v/>
      </c>
      <c r="FH136" t="str">
        <f>""</f>
        <v/>
      </c>
      <c r="FI136" t="str">
        <f>""</f>
        <v/>
      </c>
      <c r="FJ136" t="str">
        <f>""</f>
        <v/>
      </c>
      <c r="FK136" t="str">
        <f>""</f>
        <v/>
      </c>
      <c r="FL136" t="str">
        <f>""</f>
        <v/>
      </c>
      <c r="FM136" t="str">
        <f>""</f>
        <v/>
      </c>
      <c r="FN136" t="str">
        <f>""</f>
        <v/>
      </c>
      <c r="FO136" t="str">
        <f>""</f>
        <v/>
      </c>
      <c r="FP136" t="str">
        <f>""</f>
        <v/>
      </c>
      <c r="FQ136" t="str">
        <f>""</f>
        <v/>
      </c>
      <c r="FR136" t="str">
        <f>""</f>
        <v/>
      </c>
      <c r="FS136" t="str">
        <f>""</f>
        <v/>
      </c>
      <c r="FT136" t="str">
        <f>""</f>
        <v/>
      </c>
      <c r="FU136" t="str">
        <f>""</f>
        <v/>
      </c>
      <c r="FV136" t="str">
        <f>""</f>
        <v/>
      </c>
      <c r="FW136" t="str">
        <f>""</f>
        <v/>
      </c>
      <c r="FX136" t="str">
        <f>""</f>
        <v/>
      </c>
      <c r="FY136" t="str">
        <f>""</f>
        <v/>
      </c>
      <c r="FZ136" t="str">
        <f>""</f>
        <v/>
      </c>
      <c r="GA136" t="str">
        <f>""</f>
        <v/>
      </c>
      <c r="GB136" t="str">
        <f>""</f>
        <v/>
      </c>
      <c r="GC136" t="str">
        <f>""</f>
        <v/>
      </c>
      <c r="GD136" t="str">
        <f>""</f>
        <v/>
      </c>
      <c r="GE136" t="str">
        <f>""</f>
        <v/>
      </c>
      <c r="GF136" t="str">
        <f>""</f>
        <v/>
      </c>
      <c r="GG136" t="str">
        <f>""</f>
        <v/>
      </c>
      <c r="GH136" t="str">
        <f>""</f>
        <v/>
      </c>
      <c r="GI136" t="str">
        <f>""</f>
        <v/>
      </c>
      <c r="GJ136" t="str">
        <f>""</f>
        <v/>
      </c>
      <c r="GK136" t="str">
        <f>""</f>
        <v/>
      </c>
      <c r="GL136" t="str">
        <f>""</f>
        <v/>
      </c>
      <c r="GM136" t="str">
        <f>""</f>
        <v/>
      </c>
      <c r="GN136" t="str">
        <f>""</f>
        <v/>
      </c>
      <c r="GO136" t="str">
        <f>""</f>
        <v/>
      </c>
      <c r="GP136" t="str">
        <f>""</f>
        <v/>
      </c>
      <c r="GQ136" t="str">
        <f>""</f>
        <v/>
      </c>
      <c r="GR136" t="str">
        <f>""</f>
        <v/>
      </c>
      <c r="GS136" t="str">
        <f>""</f>
        <v/>
      </c>
      <c r="GT136" t="str">
        <f>""</f>
        <v/>
      </c>
      <c r="GU136" t="str">
        <f>""</f>
        <v/>
      </c>
      <c r="GV136" t="str">
        <f>""</f>
        <v/>
      </c>
      <c r="GW136" t="str">
        <f>""</f>
        <v/>
      </c>
      <c r="GX136" t="str">
        <f>""</f>
        <v/>
      </c>
      <c r="GY136" t="str">
        <f>""</f>
        <v/>
      </c>
      <c r="GZ136" t="str">
        <f>""</f>
        <v/>
      </c>
      <c r="HA136" t="str">
        <f>""</f>
        <v/>
      </c>
      <c r="HB136" t="str">
        <f>""</f>
        <v/>
      </c>
      <c r="HC136" t="str">
        <f>""</f>
        <v/>
      </c>
      <c r="HD136" t="str">
        <f>""</f>
        <v/>
      </c>
      <c r="HE136" t="str">
        <f>""</f>
        <v/>
      </c>
      <c r="HF136" t="str">
        <f>""</f>
        <v/>
      </c>
      <c r="HG136" t="str">
        <f>""</f>
        <v/>
      </c>
      <c r="HH136" t="str">
        <f>""</f>
        <v/>
      </c>
      <c r="HI136" t="str">
        <f>""</f>
        <v/>
      </c>
      <c r="HJ136" t="str">
        <f>""</f>
        <v/>
      </c>
      <c r="HK136" t="str">
        <f>""</f>
        <v/>
      </c>
      <c r="HL136" t="str">
        <f>""</f>
        <v/>
      </c>
      <c r="HM136" t="str">
        <f>""</f>
        <v/>
      </c>
      <c r="HN136" t="str">
        <f>""</f>
        <v/>
      </c>
      <c r="HO136" t="str">
        <f>""</f>
        <v/>
      </c>
      <c r="HP136" t="str">
        <f>""</f>
        <v/>
      </c>
      <c r="HQ136" t="str">
        <f>""</f>
        <v/>
      </c>
      <c r="HR136" t="str">
        <f>""</f>
        <v/>
      </c>
      <c r="HS136" t="str">
        <f>""</f>
        <v/>
      </c>
      <c r="HT136" t="str">
        <f>""</f>
        <v/>
      </c>
      <c r="HU136" t="str">
        <f>""</f>
        <v/>
      </c>
      <c r="HV136" t="str">
        <f>""</f>
        <v/>
      </c>
      <c r="HW136" t="str">
        <f>""</f>
        <v/>
      </c>
      <c r="HX136" t="str">
        <f>""</f>
        <v/>
      </c>
      <c r="HY136" t="str">
        <f>""</f>
        <v/>
      </c>
      <c r="HZ136" t="str">
        <f>""</f>
        <v/>
      </c>
      <c r="IA136" t="str">
        <f>""</f>
        <v/>
      </c>
      <c r="IB136" t="str">
        <f>""</f>
        <v/>
      </c>
      <c r="IC136" t="str">
        <f>""</f>
        <v/>
      </c>
      <c r="ID136" t="str">
        <f>""</f>
        <v/>
      </c>
      <c r="IE136" t="str">
        <f>""</f>
        <v/>
      </c>
      <c r="IF136" t="str">
        <f>""</f>
        <v/>
      </c>
      <c r="IG136" t="str">
        <f>""</f>
        <v/>
      </c>
      <c r="IH136" t="str">
        <f>""</f>
        <v/>
      </c>
      <c r="II136" t="str">
        <f>""</f>
        <v/>
      </c>
      <c r="IJ136" t="str">
        <f>""</f>
        <v/>
      </c>
      <c r="IK136" t="str">
        <f>""</f>
        <v/>
      </c>
      <c r="IL136" t="str">
        <f>""</f>
        <v/>
      </c>
      <c r="IM136" t="str">
        <f>""</f>
        <v/>
      </c>
      <c r="IN136" t="str">
        <f>""</f>
        <v/>
      </c>
      <c r="IO136" t="str">
        <f>""</f>
        <v/>
      </c>
      <c r="IP136" t="str">
        <f>""</f>
        <v/>
      </c>
      <c r="IQ136" t="str">
        <f>""</f>
        <v/>
      </c>
      <c r="IR136" t="str">
        <f>""</f>
        <v/>
      </c>
      <c r="IS136" t="str">
        <f>""</f>
        <v/>
      </c>
      <c r="IT136" t="str">
        <f>""</f>
        <v/>
      </c>
      <c r="IU136" t="str">
        <f>""</f>
        <v/>
      </c>
      <c r="IV136" t="str">
        <f>""</f>
        <v/>
      </c>
      <c r="IW136" t="str">
        <f>""</f>
        <v/>
      </c>
      <c r="IX136" t="str">
        <f>""</f>
        <v/>
      </c>
      <c r="IY136" t="str">
        <f>""</f>
        <v/>
      </c>
      <c r="IZ136" t="str">
        <f>""</f>
        <v/>
      </c>
      <c r="JA136" t="str">
        <f>""</f>
        <v/>
      </c>
      <c r="JB136" t="str">
        <f>""</f>
        <v/>
      </c>
      <c r="JC136" t="str">
        <f>""</f>
        <v/>
      </c>
      <c r="JD136" t="str">
        <f>""</f>
        <v/>
      </c>
      <c r="JE136" t="str">
        <f>""</f>
        <v/>
      </c>
      <c r="JF136" t="str">
        <f>""</f>
        <v/>
      </c>
      <c r="JG136" t="str">
        <f>""</f>
        <v/>
      </c>
      <c r="JH136" t="str">
        <f>""</f>
        <v/>
      </c>
      <c r="JI136" t="str">
        <f>""</f>
        <v/>
      </c>
      <c r="JJ136" t="str">
        <f>""</f>
        <v/>
      </c>
      <c r="JK136" t="str">
        <f>""</f>
        <v/>
      </c>
    </row>
    <row r="138" spans="1:271" x14ac:dyDescent="0.3">
      <c r="A138" t="str">
        <f>"c.zMETAB4#c.PM2"</f>
        <v>c.zMETAB4#c.PM2</v>
      </c>
      <c r="B138" t="str">
        <f>""</f>
        <v/>
      </c>
      <c r="C138" t="str">
        <f>""</f>
        <v/>
      </c>
      <c r="D138" t="str">
        <f>""</f>
        <v/>
      </c>
      <c r="E138" t="str">
        <f>""</f>
        <v/>
      </c>
      <c r="F138" t="str">
        <f>""</f>
        <v/>
      </c>
      <c r="G138" t="str">
        <f>""</f>
        <v/>
      </c>
      <c r="H138" t="str">
        <f>""</f>
        <v/>
      </c>
      <c r="I138" t="str">
        <f>""</f>
        <v/>
      </c>
      <c r="J138" t="str">
        <f>""</f>
        <v/>
      </c>
      <c r="K138" t="str">
        <f>""</f>
        <v/>
      </c>
      <c r="L138" t="str">
        <f>""</f>
        <v/>
      </c>
      <c r="M138" t="str">
        <f>""</f>
        <v/>
      </c>
      <c r="N138" t="str">
        <f>""</f>
        <v/>
      </c>
      <c r="O138" t="str">
        <f>""</f>
        <v/>
      </c>
      <c r="P138" t="str">
        <f>""</f>
        <v/>
      </c>
      <c r="Q138" t="str">
        <f>""</f>
        <v/>
      </c>
      <c r="R138" t="str">
        <f>""</f>
        <v/>
      </c>
      <c r="S138" t="str">
        <f>""</f>
        <v/>
      </c>
      <c r="T138" t="str">
        <f>""</f>
        <v/>
      </c>
      <c r="U138" t="str">
        <f>""</f>
        <v/>
      </c>
      <c r="V138" t="str">
        <f>""</f>
        <v/>
      </c>
      <c r="W138" t="str">
        <f>""</f>
        <v/>
      </c>
      <c r="X138" t="str">
        <f>""</f>
        <v/>
      </c>
      <c r="Y138" t="str">
        <f>""</f>
        <v/>
      </c>
      <c r="Z138" t="str">
        <f>""</f>
        <v/>
      </c>
      <c r="AA138" t="str">
        <f>""</f>
        <v/>
      </c>
      <c r="AB138" t="str">
        <f>""</f>
        <v/>
      </c>
      <c r="AC138" t="str">
        <f>""</f>
        <v/>
      </c>
      <c r="AD138" t="str">
        <f>""</f>
        <v/>
      </c>
      <c r="AE138" t="str">
        <f>""</f>
        <v/>
      </c>
      <c r="AF138" t="str">
        <f>""</f>
        <v/>
      </c>
      <c r="AG138" t="str">
        <f>""</f>
        <v/>
      </c>
      <c r="AH138" t="str">
        <f>""</f>
        <v/>
      </c>
      <c r="AI138" t="str">
        <f>""</f>
        <v/>
      </c>
      <c r="AJ138" t="str">
        <f>""</f>
        <v/>
      </c>
      <c r="AK138" t="str">
        <f>""</f>
        <v/>
      </c>
      <c r="AL138" t="str">
        <f>""</f>
        <v/>
      </c>
      <c r="AM138" t="str">
        <f>""</f>
        <v/>
      </c>
      <c r="AN138" t="str">
        <f>""</f>
        <v/>
      </c>
      <c r="AO138" t="str">
        <f>""</f>
        <v/>
      </c>
      <c r="AP138" t="str">
        <f>""</f>
        <v/>
      </c>
      <c r="AQ138" t="str">
        <f>""</f>
        <v/>
      </c>
      <c r="AR138" t="str">
        <f>""</f>
        <v/>
      </c>
      <c r="AS138" t="str">
        <f>""</f>
        <v/>
      </c>
      <c r="AT138" t="str">
        <f>""</f>
        <v/>
      </c>
      <c r="AU138" t="str">
        <f>""</f>
        <v/>
      </c>
      <c r="AV138" t="str">
        <f>""</f>
        <v/>
      </c>
      <c r="AW138" t="str">
        <f>""</f>
        <v/>
      </c>
      <c r="AX138" t="str">
        <f>""</f>
        <v/>
      </c>
      <c r="AY138" t="str">
        <f>""</f>
        <v/>
      </c>
      <c r="AZ138" t="str">
        <f>""</f>
        <v/>
      </c>
      <c r="BA138" t="str">
        <f>""</f>
        <v/>
      </c>
      <c r="BB138" t="str">
        <f>""</f>
        <v/>
      </c>
      <c r="BC138" t="str">
        <f>""</f>
        <v/>
      </c>
      <c r="BD138" t="str">
        <f>"-0.0669"</f>
        <v>-0.0669</v>
      </c>
      <c r="BE138" t="str">
        <f>"0.000454"</f>
        <v>0.000454</v>
      </c>
      <c r="BF138" t="str">
        <f>"0.0751"</f>
        <v>0.0751</v>
      </c>
      <c r="BG138" t="str">
        <f>""</f>
        <v/>
      </c>
      <c r="BH138" t="str">
        <f>""</f>
        <v/>
      </c>
      <c r="BI138" t="str">
        <f>""</f>
        <v/>
      </c>
      <c r="BJ138" t="str">
        <f>""</f>
        <v/>
      </c>
      <c r="BK138" t="str">
        <f>""</f>
        <v/>
      </c>
      <c r="BL138" t="str">
        <f>""</f>
        <v/>
      </c>
      <c r="BM138" t="str">
        <f>""</f>
        <v/>
      </c>
      <c r="BN138" t="str">
        <f>""</f>
        <v/>
      </c>
      <c r="BO138" t="str">
        <f>""</f>
        <v/>
      </c>
      <c r="BP138" t="str">
        <f>""</f>
        <v/>
      </c>
      <c r="BQ138" t="str">
        <f>""</f>
        <v/>
      </c>
      <c r="BR138" t="str">
        <f>""</f>
        <v/>
      </c>
      <c r="BS138" t="str">
        <f>""</f>
        <v/>
      </c>
      <c r="BT138" t="str">
        <f>""</f>
        <v/>
      </c>
      <c r="BU138" t="str">
        <f>""</f>
        <v/>
      </c>
      <c r="BV138" t="str">
        <f>""</f>
        <v/>
      </c>
      <c r="BW138" t="str">
        <f>""</f>
        <v/>
      </c>
      <c r="BX138" t="str">
        <f>""</f>
        <v/>
      </c>
      <c r="BY138" t="str">
        <f>""</f>
        <v/>
      </c>
      <c r="BZ138" t="str">
        <f>""</f>
        <v/>
      </c>
      <c r="CA138" t="str">
        <f>""</f>
        <v/>
      </c>
      <c r="CB138" t="str">
        <f>""</f>
        <v/>
      </c>
      <c r="CC138" t="str">
        <f>""</f>
        <v/>
      </c>
      <c r="CD138" t="str">
        <f>""</f>
        <v/>
      </c>
      <c r="CE138" t="str">
        <f>""</f>
        <v/>
      </c>
      <c r="CF138" t="str">
        <f>""</f>
        <v/>
      </c>
      <c r="CG138" t="str">
        <f>""</f>
        <v/>
      </c>
      <c r="CH138" t="str">
        <f>""</f>
        <v/>
      </c>
      <c r="CI138" t="str">
        <f>""</f>
        <v/>
      </c>
      <c r="CJ138" t="str">
        <f>""</f>
        <v/>
      </c>
      <c r="CK138" t="str">
        <f>""</f>
        <v/>
      </c>
      <c r="CL138" t="str">
        <f>""</f>
        <v/>
      </c>
      <c r="CM138" t="str">
        <f>""</f>
        <v/>
      </c>
      <c r="CN138" t="str">
        <f>""</f>
        <v/>
      </c>
      <c r="CO138" t="str">
        <f>""</f>
        <v/>
      </c>
      <c r="CP138" t="str">
        <f>""</f>
        <v/>
      </c>
      <c r="CQ138" t="str">
        <f>""</f>
        <v/>
      </c>
      <c r="CR138" t="str">
        <f>""</f>
        <v/>
      </c>
      <c r="CS138" t="str">
        <f>""</f>
        <v/>
      </c>
      <c r="CT138" t="str">
        <f>""</f>
        <v/>
      </c>
      <c r="CU138" t="str">
        <f>""</f>
        <v/>
      </c>
      <c r="CV138" t="str">
        <f>""</f>
        <v/>
      </c>
      <c r="CW138" t="str">
        <f>""</f>
        <v/>
      </c>
      <c r="CX138" t="str">
        <f>""</f>
        <v/>
      </c>
      <c r="CY138" t="str">
        <f>""</f>
        <v/>
      </c>
      <c r="CZ138" t="str">
        <f>""</f>
        <v/>
      </c>
      <c r="DA138" t="str">
        <f>""</f>
        <v/>
      </c>
      <c r="DB138" t="str">
        <f>""</f>
        <v/>
      </c>
      <c r="DC138" t="str">
        <f>""</f>
        <v/>
      </c>
      <c r="DD138" t="str">
        <f>""</f>
        <v/>
      </c>
      <c r="DE138" t="str">
        <f>""</f>
        <v/>
      </c>
      <c r="DF138" t="str">
        <f>""</f>
        <v/>
      </c>
      <c r="DG138" t="str">
        <f>""</f>
        <v/>
      </c>
      <c r="DH138" t="str">
        <f>""</f>
        <v/>
      </c>
      <c r="DI138" t="str">
        <f>""</f>
        <v/>
      </c>
      <c r="DJ138" t="str">
        <f>""</f>
        <v/>
      </c>
      <c r="DK138" t="str">
        <f>""</f>
        <v/>
      </c>
      <c r="DL138" t="str">
        <f>""</f>
        <v/>
      </c>
      <c r="DM138" t="str">
        <f>""</f>
        <v/>
      </c>
      <c r="DN138" t="str">
        <f>""</f>
        <v/>
      </c>
      <c r="DO138" t="str">
        <f>""</f>
        <v/>
      </c>
      <c r="DP138" t="str">
        <f>""</f>
        <v/>
      </c>
      <c r="DQ138" t="str">
        <f>""</f>
        <v/>
      </c>
      <c r="DR138" t="str">
        <f>""</f>
        <v/>
      </c>
      <c r="DS138" t="str">
        <f>""</f>
        <v/>
      </c>
      <c r="DT138" t="str">
        <f>""</f>
        <v/>
      </c>
      <c r="DU138" t="str">
        <f>""</f>
        <v/>
      </c>
      <c r="DV138" t="str">
        <f>""</f>
        <v/>
      </c>
      <c r="DW138" t="str">
        <f>""</f>
        <v/>
      </c>
      <c r="DX138" t="str">
        <f>""</f>
        <v/>
      </c>
      <c r="DY138" t="str">
        <f>""</f>
        <v/>
      </c>
      <c r="DZ138" t="str">
        <f>""</f>
        <v/>
      </c>
      <c r="EA138" t="str">
        <f>""</f>
        <v/>
      </c>
      <c r="EB138" t="str">
        <f>""</f>
        <v/>
      </c>
      <c r="EC138" t="str">
        <f>""</f>
        <v/>
      </c>
      <c r="ED138" t="str">
        <f>""</f>
        <v/>
      </c>
      <c r="EE138" t="str">
        <f>""</f>
        <v/>
      </c>
      <c r="EF138" t="str">
        <f>""</f>
        <v/>
      </c>
      <c r="EG138" t="str">
        <f>""</f>
        <v/>
      </c>
      <c r="EH138" t="str">
        <f>""</f>
        <v/>
      </c>
      <c r="EI138" t="str">
        <f>""</f>
        <v/>
      </c>
      <c r="EJ138" t="str">
        <f>""</f>
        <v/>
      </c>
      <c r="EK138" t="str">
        <f>""</f>
        <v/>
      </c>
      <c r="EL138" t="str">
        <f>""</f>
        <v/>
      </c>
      <c r="EM138" t="str">
        <f>""</f>
        <v/>
      </c>
      <c r="EN138" t="str">
        <f>""</f>
        <v/>
      </c>
      <c r="EO138" t="str">
        <f>""</f>
        <v/>
      </c>
      <c r="EP138" t="str">
        <f>""</f>
        <v/>
      </c>
      <c r="EQ138" t="str">
        <f>""</f>
        <v/>
      </c>
      <c r="ER138" t="str">
        <f>""</f>
        <v/>
      </c>
      <c r="ES138" t="str">
        <f>""</f>
        <v/>
      </c>
      <c r="ET138" t="str">
        <f>""</f>
        <v/>
      </c>
      <c r="EU138" t="str">
        <f>""</f>
        <v/>
      </c>
      <c r="EV138" t="str">
        <f>""</f>
        <v/>
      </c>
      <c r="EW138" t="str">
        <f>""</f>
        <v/>
      </c>
      <c r="EX138" t="str">
        <f>""</f>
        <v/>
      </c>
      <c r="EY138" t="str">
        <f>""</f>
        <v/>
      </c>
      <c r="EZ138" t="str">
        <f>""</f>
        <v/>
      </c>
      <c r="FA138" t="str">
        <f>""</f>
        <v/>
      </c>
      <c r="FB138" t="str">
        <f>""</f>
        <v/>
      </c>
      <c r="FC138" t="str">
        <f>""</f>
        <v/>
      </c>
      <c r="FD138" t="str">
        <f>""</f>
        <v/>
      </c>
      <c r="FE138" t="str">
        <f>""</f>
        <v/>
      </c>
      <c r="FF138" t="str">
        <f>""</f>
        <v/>
      </c>
      <c r="FG138" t="str">
        <f>""</f>
        <v/>
      </c>
      <c r="FH138" t="str">
        <f>""</f>
        <v/>
      </c>
      <c r="FI138" t="str">
        <f>""</f>
        <v/>
      </c>
      <c r="FJ138" t="str">
        <f>""</f>
        <v/>
      </c>
      <c r="FK138" t="str">
        <f>""</f>
        <v/>
      </c>
      <c r="FL138" t="str">
        <f>""</f>
        <v/>
      </c>
      <c r="FM138" t="str">
        <f>""</f>
        <v/>
      </c>
      <c r="FN138" t="str">
        <f>""</f>
        <v/>
      </c>
      <c r="FO138" t="str">
        <f>""</f>
        <v/>
      </c>
      <c r="FP138" t="str">
        <f>""</f>
        <v/>
      </c>
      <c r="FQ138" t="str">
        <f>""</f>
        <v/>
      </c>
      <c r="FR138" t="str">
        <f>""</f>
        <v/>
      </c>
      <c r="FS138" t="str">
        <f>""</f>
        <v/>
      </c>
      <c r="FT138" t="str">
        <f>""</f>
        <v/>
      </c>
      <c r="FU138" t="str">
        <f>""</f>
        <v/>
      </c>
      <c r="FV138" t="str">
        <f>""</f>
        <v/>
      </c>
      <c r="FW138" t="str">
        <f>""</f>
        <v/>
      </c>
      <c r="FX138" t="str">
        <f>""</f>
        <v/>
      </c>
      <c r="FY138" t="str">
        <f>""</f>
        <v/>
      </c>
      <c r="FZ138" t="str">
        <f>""</f>
        <v/>
      </c>
      <c r="GA138" t="str">
        <f>""</f>
        <v/>
      </c>
      <c r="GB138" t="str">
        <f>""</f>
        <v/>
      </c>
      <c r="GC138" t="str">
        <f>""</f>
        <v/>
      </c>
      <c r="GD138" t="str">
        <f>""</f>
        <v/>
      </c>
      <c r="GE138" t="str">
        <f>""</f>
        <v/>
      </c>
      <c r="GF138" t="str">
        <f>""</f>
        <v/>
      </c>
      <c r="GG138" t="str">
        <f>""</f>
        <v/>
      </c>
      <c r="GH138" t="str">
        <f>""</f>
        <v/>
      </c>
      <c r="GI138" t="str">
        <f>""</f>
        <v/>
      </c>
      <c r="GJ138" t="str">
        <f>""</f>
        <v/>
      </c>
      <c r="GK138" t="str">
        <f>""</f>
        <v/>
      </c>
      <c r="GL138" t="str">
        <f>""</f>
        <v/>
      </c>
      <c r="GM138" t="str">
        <f>""</f>
        <v/>
      </c>
      <c r="GN138" t="str">
        <f>""</f>
        <v/>
      </c>
      <c r="GO138" t="str">
        <f>""</f>
        <v/>
      </c>
      <c r="GP138" t="str">
        <f>""</f>
        <v/>
      </c>
      <c r="GQ138" t="str">
        <f>""</f>
        <v/>
      </c>
      <c r="GR138" t="str">
        <f>""</f>
        <v/>
      </c>
      <c r="GS138" t="str">
        <f>""</f>
        <v/>
      </c>
      <c r="GT138" t="str">
        <f>""</f>
        <v/>
      </c>
      <c r="GU138" t="str">
        <f>""</f>
        <v/>
      </c>
      <c r="GV138" t="str">
        <f>""</f>
        <v/>
      </c>
      <c r="GW138" t="str">
        <f>""</f>
        <v/>
      </c>
      <c r="GX138" t="str">
        <f>""</f>
        <v/>
      </c>
      <c r="GY138" t="str">
        <f>""</f>
        <v/>
      </c>
      <c r="GZ138" t="str">
        <f>""</f>
        <v/>
      </c>
      <c r="HA138" t="str">
        <f>""</f>
        <v/>
      </c>
      <c r="HB138" t="str">
        <f>""</f>
        <v/>
      </c>
      <c r="HC138" t="str">
        <f>""</f>
        <v/>
      </c>
      <c r="HD138" t="str">
        <f>""</f>
        <v/>
      </c>
      <c r="HE138" t="str">
        <f>""</f>
        <v/>
      </c>
      <c r="HF138" t="str">
        <f>""</f>
        <v/>
      </c>
      <c r="HG138" t="str">
        <f>""</f>
        <v/>
      </c>
      <c r="HH138" t="str">
        <f>""</f>
        <v/>
      </c>
      <c r="HI138" t="str">
        <f>""</f>
        <v/>
      </c>
      <c r="HJ138" t="str">
        <f>""</f>
        <v/>
      </c>
      <c r="HK138" t="str">
        <f>""</f>
        <v/>
      </c>
      <c r="HL138" t="str">
        <f>""</f>
        <v/>
      </c>
      <c r="HM138" t="str">
        <f>""</f>
        <v/>
      </c>
      <c r="HN138" t="str">
        <f>""</f>
        <v/>
      </c>
      <c r="HO138" t="str">
        <f>""</f>
        <v/>
      </c>
      <c r="HP138" t="str">
        <f>""</f>
        <v/>
      </c>
      <c r="HQ138" t="str">
        <f>""</f>
        <v/>
      </c>
      <c r="HR138" t="str">
        <f>""</f>
        <v/>
      </c>
      <c r="HS138" t="str">
        <f>""</f>
        <v/>
      </c>
      <c r="HT138" t="str">
        <f>""</f>
        <v/>
      </c>
      <c r="HU138" t="str">
        <f>""</f>
        <v/>
      </c>
      <c r="HV138" t="str">
        <f>""</f>
        <v/>
      </c>
      <c r="HW138" t="str">
        <f>""</f>
        <v/>
      </c>
      <c r="HX138" t="str">
        <f>""</f>
        <v/>
      </c>
      <c r="HY138" t="str">
        <f>""</f>
        <v/>
      </c>
      <c r="HZ138" t="str">
        <f>""</f>
        <v/>
      </c>
      <c r="IA138" t="str">
        <f>""</f>
        <v/>
      </c>
      <c r="IB138" t="str">
        <f>""</f>
        <v/>
      </c>
      <c r="IC138" t="str">
        <f>""</f>
        <v/>
      </c>
      <c r="ID138" t="str">
        <f>""</f>
        <v/>
      </c>
      <c r="IE138" t="str">
        <f>""</f>
        <v/>
      </c>
      <c r="IF138" t="str">
        <f>""</f>
        <v/>
      </c>
      <c r="IG138" t="str">
        <f>""</f>
        <v/>
      </c>
      <c r="IH138" t="str">
        <f>""</f>
        <v/>
      </c>
      <c r="II138" t="str">
        <f>""</f>
        <v/>
      </c>
      <c r="IJ138" t="str">
        <f>""</f>
        <v/>
      </c>
      <c r="IK138" t="str">
        <f>""</f>
        <v/>
      </c>
      <c r="IL138" t="str">
        <f>""</f>
        <v/>
      </c>
      <c r="IM138" t="str">
        <f>""</f>
        <v/>
      </c>
      <c r="IN138" t="str">
        <f>""</f>
        <v/>
      </c>
      <c r="IO138" t="str">
        <f>""</f>
        <v/>
      </c>
      <c r="IP138" t="str">
        <f>""</f>
        <v/>
      </c>
      <c r="IQ138" t="str">
        <f>""</f>
        <v/>
      </c>
      <c r="IR138" t="str">
        <f>""</f>
        <v/>
      </c>
      <c r="IS138" t="str">
        <f>""</f>
        <v/>
      </c>
      <c r="IT138" t="str">
        <f>""</f>
        <v/>
      </c>
      <c r="IU138" t="str">
        <f>""</f>
        <v/>
      </c>
      <c r="IV138" t="str">
        <f>""</f>
        <v/>
      </c>
      <c r="IW138" t="str">
        <f>""</f>
        <v/>
      </c>
      <c r="IX138" t="str">
        <f>""</f>
        <v/>
      </c>
      <c r="IY138" t="str">
        <f>""</f>
        <v/>
      </c>
      <c r="IZ138" t="str">
        <f>""</f>
        <v/>
      </c>
      <c r="JA138" t="str">
        <f>""</f>
        <v/>
      </c>
      <c r="JB138" t="str">
        <f>""</f>
        <v/>
      </c>
      <c r="JC138" t="str">
        <f>""</f>
        <v/>
      </c>
      <c r="JD138" t="str">
        <f>""</f>
        <v/>
      </c>
      <c r="JE138" t="str">
        <f>""</f>
        <v/>
      </c>
      <c r="JF138" t="str">
        <f>""</f>
        <v/>
      </c>
      <c r="JG138" t="str">
        <f>""</f>
        <v/>
      </c>
      <c r="JH138" t="str">
        <f>""</f>
        <v/>
      </c>
      <c r="JI138" t="str">
        <f>""</f>
        <v/>
      </c>
      <c r="JJ138" t="str">
        <f>""</f>
        <v/>
      </c>
      <c r="JK138" t="str">
        <f>""</f>
        <v/>
      </c>
    </row>
    <row r="139" spans="1:271" x14ac:dyDescent="0.3">
      <c r="A139" t="str">
        <f>""</f>
        <v/>
      </c>
      <c r="B139" t="str">
        <f>""</f>
        <v/>
      </c>
      <c r="C139" t="str">
        <f>""</f>
        <v/>
      </c>
      <c r="D139" t="str">
        <f>""</f>
        <v/>
      </c>
      <c r="E139" t="str">
        <f>""</f>
        <v/>
      </c>
      <c r="F139" t="str">
        <f>""</f>
        <v/>
      </c>
      <c r="G139" t="str">
        <f>""</f>
        <v/>
      </c>
      <c r="H139" t="str">
        <f>""</f>
        <v/>
      </c>
      <c r="I139" t="str">
        <f>""</f>
        <v/>
      </c>
      <c r="J139" t="str">
        <f>""</f>
        <v/>
      </c>
      <c r="K139" t="str">
        <f>""</f>
        <v/>
      </c>
      <c r="L139" t="str">
        <f>""</f>
        <v/>
      </c>
      <c r="M139" t="str">
        <f>""</f>
        <v/>
      </c>
      <c r="N139" t="str">
        <f>""</f>
        <v/>
      </c>
      <c r="O139" t="str">
        <f>""</f>
        <v/>
      </c>
      <c r="P139" t="str">
        <f>""</f>
        <v/>
      </c>
      <c r="Q139" t="str">
        <f>""</f>
        <v/>
      </c>
      <c r="R139" t="str">
        <f>""</f>
        <v/>
      </c>
      <c r="S139" t="str">
        <f>""</f>
        <v/>
      </c>
      <c r="T139" t="str">
        <f>""</f>
        <v/>
      </c>
      <c r="U139" t="str">
        <f>""</f>
        <v/>
      </c>
      <c r="V139" t="str">
        <f>""</f>
        <v/>
      </c>
      <c r="W139" t="str">
        <f>""</f>
        <v/>
      </c>
      <c r="X139" t="str">
        <f>""</f>
        <v/>
      </c>
      <c r="Y139" t="str">
        <f>""</f>
        <v/>
      </c>
      <c r="Z139" t="str">
        <f>""</f>
        <v/>
      </c>
      <c r="AA139" t="str">
        <f>""</f>
        <v/>
      </c>
      <c r="AB139" t="str">
        <f>""</f>
        <v/>
      </c>
      <c r="AC139" t="str">
        <f>""</f>
        <v/>
      </c>
      <c r="AD139" t="str">
        <f>""</f>
        <v/>
      </c>
      <c r="AE139" t="str">
        <f>""</f>
        <v/>
      </c>
      <c r="AF139" t="str">
        <f>""</f>
        <v/>
      </c>
      <c r="AG139" t="str">
        <f>""</f>
        <v/>
      </c>
      <c r="AH139" t="str">
        <f>""</f>
        <v/>
      </c>
      <c r="AI139" t="str">
        <f>""</f>
        <v/>
      </c>
      <c r="AJ139" t="str">
        <f>""</f>
        <v/>
      </c>
      <c r="AK139" t="str">
        <f>""</f>
        <v/>
      </c>
      <c r="AL139" t="str">
        <f>""</f>
        <v/>
      </c>
      <c r="AM139" t="str">
        <f>""</f>
        <v/>
      </c>
      <c r="AN139" t="str">
        <f>""</f>
        <v/>
      </c>
      <c r="AO139" t="str">
        <f>""</f>
        <v/>
      </c>
      <c r="AP139" t="str">
        <f>""</f>
        <v/>
      </c>
      <c r="AQ139" t="str">
        <f>""</f>
        <v/>
      </c>
      <c r="AR139" t="str">
        <f>""</f>
        <v/>
      </c>
      <c r="AS139" t="str">
        <f>""</f>
        <v/>
      </c>
      <c r="AT139" t="str">
        <f>""</f>
        <v/>
      </c>
      <c r="AU139" t="str">
        <f>""</f>
        <v/>
      </c>
      <c r="AV139" t="str">
        <f>""</f>
        <v/>
      </c>
      <c r="AW139" t="str">
        <f>""</f>
        <v/>
      </c>
      <c r="AX139" t="str">
        <f>""</f>
        <v/>
      </c>
      <c r="AY139" t="str">
        <f>""</f>
        <v/>
      </c>
      <c r="AZ139" t="str">
        <f>""</f>
        <v/>
      </c>
      <c r="BA139" t="str">
        <f>""</f>
        <v/>
      </c>
      <c r="BB139" t="str">
        <f>""</f>
        <v/>
      </c>
      <c r="BC139" t="str">
        <f>""</f>
        <v/>
      </c>
      <c r="BD139" t="str">
        <f>"(0.103)"</f>
        <v>(0.103)</v>
      </c>
      <c r="BE139" t="str">
        <f>"(0.0809)"</f>
        <v>(0.0809)</v>
      </c>
      <c r="BF139" t="str">
        <f>"(0.0436)"</f>
        <v>(0.0436)</v>
      </c>
      <c r="BG139" t="str">
        <f>""</f>
        <v/>
      </c>
      <c r="BH139" t="str">
        <f>""</f>
        <v/>
      </c>
      <c r="BI139" t="str">
        <f>""</f>
        <v/>
      </c>
      <c r="BJ139" t="str">
        <f>""</f>
        <v/>
      </c>
      <c r="BK139" t="str">
        <f>""</f>
        <v/>
      </c>
      <c r="BL139" t="str">
        <f>""</f>
        <v/>
      </c>
      <c r="BM139" t="str">
        <f>""</f>
        <v/>
      </c>
      <c r="BN139" t="str">
        <f>""</f>
        <v/>
      </c>
      <c r="BO139" t="str">
        <f>""</f>
        <v/>
      </c>
      <c r="BP139" t="str">
        <f>""</f>
        <v/>
      </c>
      <c r="BQ139" t="str">
        <f>""</f>
        <v/>
      </c>
      <c r="BR139" t="str">
        <f>""</f>
        <v/>
      </c>
      <c r="BS139" t="str">
        <f>""</f>
        <v/>
      </c>
      <c r="BT139" t="str">
        <f>""</f>
        <v/>
      </c>
      <c r="BU139" t="str">
        <f>""</f>
        <v/>
      </c>
      <c r="BV139" t="str">
        <f>""</f>
        <v/>
      </c>
      <c r="BW139" t="str">
        <f>""</f>
        <v/>
      </c>
      <c r="BX139" t="str">
        <f>""</f>
        <v/>
      </c>
      <c r="BY139" t="str">
        <f>""</f>
        <v/>
      </c>
      <c r="BZ139" t="str">
        <f>""</f>
        <v/>
      </c>
      <c r="CA139" t="str">
        <f>""</f>
        <v/>
      </c>
      <c r="CB139" t="str">
        <f>""</f>
        <v/>
      </c>
      <c r="CC139" t="str">
        <f>""</f>
        <v/>
      </c>
      <c r="CD139" t="str">
        <f>""</f>
        <v/>
      </c>
      <c r="CE139" t="str">
        <f>""</f>
        <v/>
      </c>
      <c r="CF139" t="str">
        <f>""</f>
        <v/>
      </c>
      <c r="CG139" t="str">
        <f>""</f>
        <v/>
      </c>
      <c r="CH139" t="str">
        <f>""</f>
        <v/>
      </c>
      <c r="CI139" t="str">
        <f>""</f>
        <v/>
      </c>
      <c r="CJ139" t="str">
        <f>""</f>
        <v/>
      </c>
      <c r="CK139" t="str">
        <f>""</f>
        <v/>
      </c>
      <c r="CL139" t="str">
        <f>""</f>
        <v/>
      </c>
      <c r="CM139" t="str">
        <f>""</f>
        <v/>
      </c>
      <c r="CN139" t="str">
        <f>""</f>
        <v/>
      </c>
      <c r="CO139" t="str">
        <f>""</f>
        <v/>
      </c>
      <c r="CP139" t="str">
        <f>""</f>
        <v/>
      </c>
      <c r="CQ139" t="str">
        <f>""</f>
        <v/>
      </c>
      <c r="CR139" t="str">
        <f>""</f>
        <v/>
      </c>
      <c r="CS139" t="str">
        <f>""</f>
        <v/>
      </c>
      <c r="CT139" t="str">
        <f>""</f>
        <v/>
      </c>
      <c r="CU139" t="str">
        <f>""</f>
        <v/>
      </c>
      <c r="CV139" t="str">
        <f>""</f>
        <v/>
      </c>
      <c r="CW139" t="str">
        <f>""</f>
        <v/>
      </c>
      <c r="CX139" t="str">
        <f>""</f>
        <v/>
      </c>
      <c r="CY139" t="str">
        <f>""</f>
        <v/>
      </c>
      <c r="CZ139" t="str">
        <f>""</f>
        <v/>
      </c>
      <c r="DA139" t="str">
        <f>""</f>
        <v/>
      </c>
      <c r="DB139" t="str">
        <f>""</f>
        <v/>
      </c>
      <c r="DC139" t="str">
        <f>""</f>
        <v/>
      </c>
      <c r="DD139" t="str">
        <f>""</f>
        <v/>
      </c>
      <c r="DE139" t="str">
        <f>""</f>
        <v/>
      </c>
      <c r="DF139" t="str">
        <f>""</f>
        <v/>
      </c>
      <c r="DG139" t="str">
        <f>""</f>
        <v/>
      </c>
      <c r="DH139" t="str">
        <f>""</f>
        <v/>
      </c>
      <c r="DI139" t="str">
        <f>""</f>
        <v/>
      </c>
      <c r="DJ139" t="str">
        <f>""</f>
        <v/>
      </c>
      <c r="DK139" t="str">
        <f>""</f>
        <v/>
      </c>
      <c r="DL139" t="str">
        <f>""</f>
        <v/>
      </c>
      <c r="DM139" t="str">
        <f>""</f>
        <v/>
      </c>
      <c r="DN139" t="str">
        <f>""</f>
        <v/>
      </c>
      <c r="DO139" t="str">
        <f>""</f>
        <v/>
      </c>
      <c r="DP139" t="str">
        <f>""</f>
        <v/>
      </c>
      <c r="DQ139" t="str">
        <f>""</f>
        <v/>
      </c>
      <c r="DR139" t="str">
        <f>""</f>
        <v/>
      </c>
      <c r="DS139" t="str">
        <f>""</f>
        <v/>
      </c>
      <c r="DT139" t="str">
        <f>""</f>
        <v/>
      </c>
      <c r="DU139" t="str">
        <f>""</f>
        <v/>
      </c>
      <c r="DV139" t="str">
        <f>""</f>
        <v/>
      </c>
      <c r="DW139" t="str">
        <f>""</f>
        <v/>
      </c>
      <c r="DX139" t="str">
        <f>""</f>
        <v/>
      </c>
      <c r="DY139" t="str">
        <f>""</f>
        <v/>
      </c>
      <c r="DZ139" t="str">
        <f>""</f>
        <v/>
      </c>
      <c r="EA139" t="str">
        <f>""</f>
        <v/>
      </c>
      <c r="EB139" t="str">
        <f>""</f>
        <v/>
      </c>
      <c r="EC139" t="str">
        <f>""</f>
        <v/>
      </c>
      <c r="ED139" t="str">
        <f>""</f>
        <v/>
      </c>
      <c r="EE139" t="str">
        <f>""</f>
        <v/>
      </c>
      <c r="EF139" t="str">
        <f>""</f>
        <v/>
      </c>
      <c r="EG139" t="str">
        <f>""</f>
        <v/>
      </c>
      <c r="EH139" t="str">
        <f>""</f>
        <v/>
      </c>
      <c r="EI139" t="str">
        <f>""</f>
        <v/>
      </c>
      <c r="EJ139" t="str">
        <f>""</f>
        <v/>
      </c>
      <c r="EK139" t="str">
        <f>""</f>
        <v/>
      </c>
      <c r="EL139" t="str">
        <f>""</f>
        <v/>
      </c>
      <c r="EM139" t="str">
        <f>""</f>
        <v/>
      </c>
      <c r="EN139" t="str">
        <f>""</f>
        <v/>
      </c>
      <c r="EO139" t="str">
        <f>""</f>
        <v/>
      </c>
      <c r="EP139" t="str">
        <f>""</f>
        <v/>
      </c>
      <c r="EQ139" t="str">
        <f>""</f>
        <v/>
      </c>
      <c r="ER139" t="str">
        <f>""</f>
        <v/>
      </c>
      <c r="ES139" t="str">
        <f>""</f>
        <v/>
      </c>
      <c r="ET139" t="str">
        <f>""</f>
        <v/>
      </c>
      <c r="EU139" t="str">
        <f>""</f>
        <v/>
      </c>
      <c r="EV139" t="str">
        <f>""</f>
        <v/>
      </c>
      <c r="EW139" t="str">
        <f>""</f>
        <v/>
      </c>
      <c r="EX139" t="str">
        <f>""</f>
        <v/>
      </c>
      <c r="EY139" t="str">
        <f>""</f>
        <v/>
      </c>
      <c r="EZ139" t="str">
        <f>""</f>
        <v/>
      </c>
      <c r="FA139" t="str">
        <f>""</f>
        <v/>
      </c>
      <c r="FB139" t="str">
        <f>""</f>
        <v/>
      </c>
      <c r="FC139" t="str">
        <f>""</f>
        <v/>
      </c>
      <c r="FD139" t="str">
        <f>""</f>
        <v/>
      </c>
      <c r="FE139" t="str">
        <f>""</f>
        <v/>
      </c>
      <c r="FF139" t="str">
        <f>""</f>
        <v/>
      </c>
      <c r="FG139" t="str">
        <f>""</f>
        <v/>
      </c>
      <c r="FH139" t="str">
        <f>""</f>
        <v/>
      </c>
      <c r="FI139" t="str">
        <f>""</f>
        <v/>
      </c>
      <c r="FJ139" t="str">
        <f>""</f>
        <v/>
      </c>
      <c r="FK139" t="str">
        <f>""</f>
        <v/>
      </c>
      <c r="FL139" t="str">
        <f>""</f>
        <v/>
      </c>
      <c r="FM139" t="str">
        <f>""</f>
        <v/>
      </c>
      <c r="FN139" t="str">
        <f>""</f>
        <v/>
      </c>
      <c r="FO139" t="str">
        <f>""</f>
        <v/>
      </c>
      <c r="FP139" t="str">
        <f>""</f>
        <v/>
      </c>
      <c r="FQ139" t="str">
        <f>""</f>
        <v/>
      </c>
      <c r="FR139" t="str">
        <f>""</f>
        <v/>
      </c>
      <c r="FS139" t="str">
        <f>""</f>
        <v/>
      </c>
      <c r="FT139" t="str">
        <f>""</f>
        <v/>
      </c>
      <c r="FU139" t="str">
        <f>""</f>
        <v/>
      </c>
      <c r="FV139" t="str">
        <f>""</f>
        <v/>
      </c>
      <c r="FW139" t="str">
        <f>""</f>
        <v/>
      </c>
      <c r="FX139" t="str">
        <f>""</f>
        <v/>
      </c>
      <c r="FY139" t="str">
        <f>""</f>
        <v/>
      </c>
      <c r="FZ139" t="str">
        <f>""</f>
        <v/>
      </c>
      <c r="GA139" t="str">
        <f>""</f>
        <v/>
      </c>
      <c r="GB139" t="str">
        <f>""</f>
        <v/>
      </c>
      <c r="GC139" t="str">
        <f>""</f>
        <v/>
      </c>
      <c r="GD139" t="str">
        <f>""</f>
        <v/>
      </c>
      <c r="GE139" t="str">
        <f>""</f>
        <v/>
      </c>
      <c r="GF139" t="str">
        <f>""</f>
        <v/>
      </c>
      <c r="GG139" t="str">
        <f>""</f>
        <v/>
      </c>
      <c r="GH139" t="str">
        <f>""</f>
        <v/>
      </c>
      <c r="GI139" t="str">
        <f>""</f>
        <v/>
      </c>
      <c r="GJ139" t="str">
        <f>""</f>
        <v/>
      </c>
      <c r="GK139" t="str">
        <f>""</f>
        <v/>
      </c>
      <c r="GL139" t="str">
        <f>""</f>
        <v/>
      </c>
      <c r="GM139" t="str">
        <f>""</f>
        <v/>
      </c>
      <c r="GN139" t="str">
        <f>""</f>
        <v/>
      </c>
      <c r="GO139" t="str">
        <f>""</f>
        <v/>
      </c>
      <c r="GP139" t="str">
        <f>""</f>
        <v/>
      </c>
      <c r="GQ139" t="str">
        <f>""</f>
        <v/>
      </c>
      <c r="GR139" t="str">
        <f>""</f>
        <v/>
      </c>
      <c r="GS139" t="str">
        <f>""</f>
        <v/>
      </c>
      <c r="GT139" t="str">
        <f>""</f>
        <v/>
      </c>
      <c r="GU139" t="str">
        <f>""</f>
        <v/>
      </c>
      <c r="GV139" t="str">
        <f>""</f>
        <v/>
      </c>
      <c r="GW139" t="str">
        <f>""</f>
        <v/>
      </c>
      <c r="GX139" t="str">
        <f>""</f>
        <v/>
      </c>
      <c r="GY139" t="str">
        <f>""</f>
        <v/>
      </c>
      <c r="GZ139" t="str">
        <f>""</f>
        <v/>
      </c>
      <c r="HA139" t="str">
        <f>""</f>
        <v/>
      </c>
      <c r="HB139" t="str">
        <f>""</f>
        <v/>
      </c>
      <c r="HC139" t="str">
        <f>""</f>
        <v/>
      </c>
      <c r="HD139" t="str">
        <f>""</f>
        <v/>
      </c>
      <c r="HE139" t="str">
        <f>""</f>
        <v/>
      </c>
      <c r="HF139" t="str">
        <f>""</f>
        <v/>
      </c>
      <c r="HG139" t="str">
        <f>""</f>
        <v/>
      </c>
      <c r="HH139" t="str">
        <f>""</f>
        <v/>
      </c>
      <c r="HI139" t="str">
        <f>""</f>
        <v/>
      </c>
      <c r="HJ139" t="str">
        <f>""</f>
        <v/>
      </c>
      <c r="HK139" t="str">
        <f>""</f>
        <v/>
      </c>
      <c r="HL139" t="str">
        <f>""</f>
        <v/>
      </c>
      <c r="HM139" t="str">
        <f>""</f>
        <v/>
      </c>
      <c r="HN139" t="str">
        <f>""</f>
        <v/>
      </c>
      <c r="HO139" t="str">
        <f>""</f>
        <v/>
      </c>
      <c r="HP139" t="str">
        <f>""</f>
        <v/>
      </c>
      <c r="HQ139" t="str">
        <f>""</f>
        <v/>
      </c>
      <c r="HR139" t="str">
        <f>""</f>
        <v/>
      </c>
      <c r="HS139" t="str">
        <f>""</f>
        <v/>
      </c>
      <c r="HT139" t="str">
        <f>""</f>
        <v/>
      </c>
      <c r="HU139" t="str">
        <f>""</f>
        <v/>
      </c>
      <c r="HV139" t="str">
        <f>""</f>
        <v/>
      </c>
      <c r="HW139" t="str">
        <f>""</f>
        <v/>
      </c>
      <c r="HX139" t="str">
        <f>""</f>
        <v/>
      </c>
      <c r="HY139" t="str">
        <f>""</f>
        <v/>
      </c>
      <c r="HZ139" t="str">
        <f>""</f>
        <v/>
      </c>
      <c r="IA139" t="str">
        <f>""</f>
        <v/>
      </c>
      <c r="IB139" t="str">
        <f>""</f>
        <v/>
      </c>
      <c r="IC139" t="str">
        <f>""</f>
        <v/>
      </c>
      <c r="ID139" t="str">
        <f>""</f>
        <v/>
      </c>
      <c r="IE139" t="str">
        <f>""</f>
        <v/>
      </c>
      <c r="IF139" t="str">
        <f>""</f>
        <v/>
      </c>
      <c r="IG139" t="str">
        <f>""</f>
        <v/>
      </c>
      <c r="IH139" t="str">
        <f>""</f>
        <v/>
      </c>
      <c r="II139" t="str">
        <f>""</f>
        <v/>
      </c>
      <c r="IJ139" t="str">
        <f>""</f>
        <v/>
      </c>
      <c r="IK139" t="str">
        <f>""</f>
        <v/>
      </c>
      <c r="IL139" t="str">
        <f>""</f>
        <v/>
      </c>
      <c r="IM139" t="str">
        <f>""</f>
        <v/>
      </c>
      <c r="IN139" t="str">
        <f>""</f>
        <v/>
      </c>
      <c r="IO139" t="str">
        <f>""</f>
        <v/>
      </c>
      <c r="IP139" t="str">
        <f>""</f>
        <v/>
      </c>
      <c r="IQ139" t="str">
        <f>""</f>
        <v/>
      </c>
      <c r="IR139" t="str">
        <f>""</f>
        <v/>
      </c>
      <c r="IS139" t="str">
        <f>""</f>
        <v/>
      </c>
      <c r="IT139" t="str">
        <f>""</f>
        <v/>
      </c>
      <c r="IU139" t="str">
        <f>""</f>
        <v/>
      </c>
      <c r="IV139" t="str">
        <f>""</f>
        <v/>
      </c>
      <c r="IW139" t="str">
        <f>""</f>
        <v/>
      </c>
      <c r="IX139" t="str">
        <f>""</f>
        <v/>
      </c>
      <c r="IY139" t="str">
        <f>""</f>
        <v/>
      </c>
      <c r="IZ139" t="str">
        <f>""</f>
        <v/>
      </c>
      <c r="JA139" t="str">
        <f>""</f>
        <v/>
      </c>
      <c r="JB139" t="str">
        <f>""</f>
        <v/>
      </c>
      <c r="JC139" t="str">
        <f>""</f>
        <v/>
      </c>
      <c r="JD139" t="str">
        <f>""</f>
        <v/>
      </c>
      <c r="JE139" t="str">
        <f>""</f>
        <v/>
      </c>
      <c r="JF139" t="str">
        <f>""</f>
        <v/>
      </c>
      <c r="JG139" t="str">
        <f>""</f>
        <v/>
      </c>
      <c r="JH139" t="str">
        <f>""</f>
        <v/>
      </c>
      <c r="JI139" t="str">
        <f>""</f>
        <v/>
      </c>
      <c r="JJ139" t="str">
        <f>""</f>
        <v/>
      </c>
      <c r="JK139" t="str">
        <f>""</f>
        <v/>
      </c>
    </row>
    <row r="141" spans="1:271" x14ac:dyDescent="0.3">
      <c r="A141" t="str">
        <f>"c.zMETAB5#c.PM2"</f>
        <v>c.zMETAB5#c.PM2</v>
      </c>
      <c r="B141" t="str">
        <f>""</f>
        <v/>
      </c>
      <c r="C141" t="str">
        <f>""</f>
        <v/>
      </c>
      <c r="D141" t="str">
        <f>""</f>
        <v/>
      </c>
      <c r="E141" t="str">
        <f>""</f>
        <v/>
      </c>
      <c r="F141" t="str">
        <f>""</f>
        <v/>
      </c>
      <c r="G141" t="str">
        <f>""</f>
        <v/>
      </c>
      <c r="H141" t="str">
        <f>""</f>
        <v/>
      </c>
      <c r="I141" t="str">
        <f>""</f>
        <v/>
      </c>
      <c r="J141" t="str">
        <f>""</f>
        <v/>
      </c>
      <c r="K141" t="str">
        <f>""</f>
        <v/>
      </c>
      <c r="L141" t="str">
        <f>""</f>
        <v/>
      </c>
      <c r="M141" t="str">
        <f>""</f>
        <v/>
      </c>
      <c r="N141" t="str">
        <f>""</f>
        <v/>
      </c>
      <c r="O141" t="str">
        <f>""</f>
        <v/>
      </c>
      <c r="P141" t="str">
        <f>""</f>
        <v/>
      </c>
      <c r="Q141" t="str">
        <f>""</f>
        <v/>
      </c>
      <c r="R141" t="str">
        <f>""</f>
        <v/>
      </c>
      <c r="S141" t="str">
        <f>""</f>
        <v/>
      </c>
      <c r="T141" t="str">
        <f>""</f>
        <v/>
      </c>
      <c r="U141" t="str">
        <f>""</f>
        <v/>
      </c>
      <c r="V141" t="str">
        <f>""</f>
        <v/>
      </c>
      <c r="W141" t="str">
        <f>""</f>
        <v/>
      </c>
      <c r="X141" t="str">
        <f>""</f>
        <v/>
      </c>
      <c r="Y141" t="str">
        <f>""</f>
        <v/>
      </c>
      <c r="Z141" t="str">
        <f>""</f>
        <v/>
      </c>
      <c r="AA141" t="str">
        <f>""</f>
        <v/>
      </c>
      <c r="AB141" t="str">
        <f>""</f>
        <v/>
      </c>
      <c r="AC141" t="str">
        <f>""</f>
        <v/>
      </c>
      <c r="AD141" t="str">
        <f>""</f>
        <v/>
      </c>
      <c r="AE141" t="str">
        <f>""</f>
        <v/>
      </c>
      <c r="AF141" t="str">
        <f>""</f>
        <v/>
      </c>
      <c r="AG141" t="str">
        <f>""</f>
        <v/>
      </c>
      <c r="AH141" t="str">
        <f>""</f>
        <v/>
      </c>
      <c r="AI141" t="str">
        <f>""</f>
        <v/>
      </c>
      <c r="AJ141" t="str">
        <f>""</f>
        <v/>
      </c>
      <c r="AK141" t="str">
        <f>""</f>
        <v/>
      </c>
      <c r="AL141" t="str">
        <f>""</f>
        <v/>
      </c>
      <c r="AM141" t="str">
        <f>""</f>
        <v/>
      </c>
      <c r="AN141" t="str">
        <f>""</f>
        <v/>
      </c>
      <c r="AO141" t="str">
        <f>""</f>
        <v/>
      </c>
      <c r="AP141" t="str">
        <f>""</f>
        <v/>
      </c>
      <c r="AQ141" t="str">
        <f>""</f>
        <v/>
      </c>
      <c r="AR141" t="str">
        <f>""</f>
        <v/>
      </c>
      <c r="AS141" t="str">
        <f>""</f>
        <v/>
      </c>
      <c r="AT141" t="str">
        <f>""</f>
        <v/>
      </c>
      <c r="AU141" t="str">
        <f>""</f>
        <v/>
      </c>
      <c r="AV141" t="str">
        <f>""</f>
        <v/>
      </c>
      <c r="AW141" t="str">
        <f>""</f>
        <v/>
      </c>
      <c r="AX141" t="str">
        <f>""</f>
        <v/>
      </c>
      <c r="AY141" t="str">
        <f>""</f>
        <v/>
      </c>
      <c r="AZ141" t="str">
        <f>""</f>
        <v/>
      </c>
      <c r="BA141" t="str">
        <f>""</f>
        <v/>
      </c>
      <c r="BB141" t="str">
        <f>""</f>
        <v/>
      </c>
      <c r="BC141" t="str">
        <f>""</f>
        <v/>
      </c>
      <c r="BD141" t="str">
        <f>""</f>
        <v/>
      </c>
      <c r="BE141" t="str">
        <f>""</f>
        <v/>
      </c>
      <c r="BF141" t="str">
        <f>""</f>
        <v/>
      </c>
      <c r="BG141" t="str">
        <f>"-0.0777"</f>
        <v>-0.0777</v>
      </c>
      <c r="BH141" t="str">
        <f>"-0.0395"</f>
        <v>-0.0395</v>
      </c>
      <c r="BI141" t="str">
        <f>"-0.0450"</f>
        <v>-0.0450</v>
      </c>
      <c r="BJ141" t="str">
        <f>""</f>
        <v/>
      </c>
      <c r="BK141" t="str">
        <f>""</f>
        <v/>
      </c>
      <c r="BL141" t="str">
        <f>""</f>
        <v/>
      </c>
      <c r="BM141" t="str">
        <f>""</f>
        <v/>
      </c>
      <c r="BN141" t="str">
        <f>""</f>
        <v/>
      </c>
      <c r="BO141" t="str">
        <f>""</f>
        <v/>
      </c>
      <c r="BP141" t="str">
        <f>""</f>
        <v/>
      </c>
      <c r="BQ141" t="str">
        <f>""</f>
        <v/>
      </c>
      <c r="BR141" t="str">
        <f>""</f>
        <v/>
      </c>
      <c r="BS141" t="str">
        <f>""</f>
        <v/>
      </c>
      <c r="BT141" t="str">
        <f>""</f>
        <v/>
      </c>
      <c r="BU141" t="str">
        <f>""</f>
        <v/>
      </c>
      <c r="BV141" t="str">
        <f>""</f>
        <v/>
      </c>
      <c r="BW141" t="str">
        <f>""</f>
        <v/>
      </c>
      <c r="BX141" t="str">
        <f>""</f>
        <v/>
      </c>
      <c r="BY141" t="str">
        <f>""</f>
        <v/>
      </c>
      <c r="BZ141" t="str">
        <f>""</f>
        <v/>
      </c>
      <c r="CA141" t="str">
        <f>""</f>
        <v/>
      </c>
      <c r="CB141" t="str">
        <f>""</f>
        <v/>
      </c>
      <c r="CC141" t="str">
        <f>""</f>
        <v/>
      </c>
      <c r="CD141" t="str">
        <f>""</f>
        <v/>
      </c>
      <c r="CE141" t="str">
        <f>""</f>
        <v/>
      </c>
      <c r="CF141" t="str">
        <f>""</f>
        <v/>
      </c>
      <c r="CG141" t="str">
        <f>""</f>
        <v/>
      </c>
      <c r="CH141" t="str">
        <f>""</f>
        <v/>
      </c>
      <c r="CI141" t="str">
        <f>""</f>
        <v/>
      </c>
      <c r="CJ141" t="str">
        <f>""</f>
        <v/>
      </c>
      <c r="CK141" t="str">
        <f>""</f>
        <v/>
      </c>
      <c r="CL141" t="str">
        <f>""</f>
        <v/>
      </c>
      <c r="CM141" t="str">
        <f>""</f>
        <v/>
      </c>
      <c r="CN141" t="str">
        <f>""</f>
        <v/>
      </c>
      <c r="CO141" t="str">
        <f>""</f>
        <v/>
      </c>
      <c r="CP141" t="str">
        <f>""</f>
        <v/>
      </c>
      <c r="CQ141" t="str">
        <f>""</f>
        <v/>
      </c>
      <c r="CR141" t="str">
        <f>""</f>
        <v/>
      </c>
      <c r="CS141" t="str">
        <f>""</f>
        <v/>
      </c>
      <c r="CT141" t="str">
        <f>""</f>
        <v/>
      </c>
      <c r="CU141" t="str">
        <f>""</f>
        <v/>
      </c>
      <c r="CV141" t="str">
        <f>""</f>
        <v/>
      </c>
      <c r="CW141" t="str">
        <f>""</f>
        <v/>
      </c>
      <c r="CX141" t="str">
        <f>""</f>
        <v/>
      </c>
      <c r="CY141" t="str">
        <f>""</f>
        <v/>
      </c>
      <c r="CZ141" t="str">
        <f>""</f>
        <v/>
      </c>
      <c r="DA141" t="str">
        <f>""</f>
        <v/>
      </c>
      <c r="DB141" t="str">
        <f>""</f>
        <v/>
      </c>
      <c r="DC141" t="str">
        <f>""</f>
        <v/>
      </c>
      <c r="DD141" t="str">
        <f>""</f>
        <v/>
      </c>
      <c r="DE141" t="str">
        <f>""</f>
        <v/>
      </c>
      <c r="DF141" t="str">
        <f>""</f>
        <v/>
      </c>
      <c r="DG141" t="str">
        <f>""</f>
        <v/>
      </c>
      <c r="DH141" t="str">
        <f>""</f>
        <v/>
      </c>
      <c r="DI141" t="str">
        <f>""</f>
        <v/>
      </c>
      <c r="DJ141" t="str">
        <f>""</f>
        <v/>
      </c>
      <c r="DK141" t="str">
        <f>""</f>
        <v/>
      </c>
      <c r="DL141" t="str">
        <f>""</f>
        <v/>
      </c>
      <c r="DM141" t="str">
        <f>""</f>
        <v/>
      </c>
      <c r="DN141" t="str">
        <f>""</f>
        <v/>
      </c>
      <c r="DO141" t="str">
        <f>""</f>
        <v/>
      </c>
      <c r="DP141" t="str">
        <f>""</f>
        <v/>
      </c>
      <c r="DQ141" t="str">
        <f>""</f>
        <v/>
      </c>
      <c r="DR141" t="str">
        <f>""</f>
        <v/>
      </c>
      <c r="DS141" t="str">
        <f>""</f>
        <v/>
      </c>
      <c r="DT141" t="str">
        <f>""</f>
        <v/>
      </c>
      <c r="DU141" t="str">
        <f>""</f>
        <v/>
      </c>
      <c r="DV141" t="str">
        <f>""</f>
        <v/>
      </c>
      <c r="DW141" t="str">
        <f>""</f>
        <v/>
      </c>
      <c r="DX141" t="str">
        <f>""</f>
        <v/>
      </c>
      <c r="DY141" t="str">
        <f>""</f>
        <v/>
      </c>
      <c r="DZ141" t="str">
        <f>""</f>
        <v/>
      </c>
      <c r="EA141" t="str">
        <f>""</f>
        <v/>
      </c>
      <c r="EB141" t="str">
        <f>""</f>
        <v/>
      </c>
      <c r="EC141" t="str">
        <f>""</f>
        <v/>
      </c>
      <c r="ED141" t="str">
        <f>""</f>
        <v/>
      </c>
      <c r="EE141" t="str">
        <f>""</f>
        <v/>
      </c>
      <c r="EF141" t="str">
        <f>""</f>
        <v/>
      </c>
      <c r="EG141" t="str">
        <f>""</f>
        <v/>
      </c>
      <c r="EH141" t="str">
        <f>""</f>
        <v/>
      </c>
      <c r="EI141" t="str">
        <f>""</f>
        <v/>
      </c>
      <c r="EJ141" t="str">
        <f>""</f>
        <v/>
      </c>
      <c r="EK141" t="str">
        <f>""</f>
        <v/>
      </c>
      <c r="EL141" t="str">
        <f>""</f>
        <v/>
      </c>
      <c r="EM141" t="str">
        <f>""</f>
        <v/>
      </c>
      <c r="EN141" t="str">
        <f>""</f>
        <v/>
      </c>
      <c r="EO141" t="str">
        <f>""</f>
        <v/>
      </c>
      <c r="EP141" t="str">
        <f>""</f>
        <v/>
      </c>
      <c r="EQ141" t="str">
        <f>""</f>
        <v/>
      </c>
      <c r="ER141" t="str">
        <f>""</f>
        <v/>
      </c>
      <c r="ES141" t="str">
        <f>""</f>
        <v/>
      </c>
      <c r="ET141" t="str">
        <f>""</f>
        <v/>
      </c>
      <c r="EU141" t="str">
        <f>""</f>
        <v/>
      </c>
      <c r="EV141" t="str">
        <f>""</f>
        <v/>
      </c>
      <c r="EW141" t="str">
        <f>""</f>
        <v/>
      </c>
      <c r="EX141" t="str">
        <f>""</f>
        <v/>
      </c>
      <c r="EY141" t="str">
        <f>""</f>
        <v/>
      </c>
      <c r="EZ141" t="str">
        <f>""</f>
        <v/>
      </c>
      <c r="FA141" t="str">
        <f>""</f>
        <v/>
      </c>
      <c r="FB141" t="str">
        <f>""</f>
        <v/>
      </c>
      <c r="FC141" t="str">
        <f>""</f>
        <v/>
      </c>
      <c r="FD141" t="str">
        <f>""</f>
        <v/>
      </c>
      <c r="FE141" t="str">
        <f>""</f>
        <v/>
      </c>
      <c r="FF141" t="str">
        <f>""</f>
        <v/>
      </c>
      <c r="FG141" t="str">
        <f>""</f>
        <v/>
      </c>
      <c r="FH141" t="str">
        <f>""</f>
        <v/>
      </c>
      <c r="FI141" t="str">
        <f>""</f>
        <v/>
      </c>
      <c r="FJ141" t="str">
        <f>""</f>
        <v/>
      </c>
      <c r="FK141" t="str">
        <f>""</f>
        <v/>
      </c>
      <c r="FL141" t="str">
        <f>""</f>
        <v/>
      </c>
      <c r="FM141" t="str">
        <f>""</f>
        <v/>
      </c>
      <c r="FN141" t="str">
        <f>""</f>
        <v/>
      </c>
      <c r="FO141" t="str">
        <f>""</f>
        <v/>
      </c>
      <c r="FP141" t="str">
        <f>""</f>
        <v/>
      </c>
      <c r="FQ141" t="str">
        <f>""</f>
        <v/>
      </c>
      <c r="FR141" t="str">
        <f>""</f>
        <v/>
      </c>
      <c r="FS141" t="str">
        <f>""</f>
        <v/>
      </c>
      <c r="FT141" t="str">
        <f>""</f>
        <v/>
      </c>
      <c r="FU141" t="str">
        <f>""</f>
        <v/>
      </c>
      <c r="FV141" t="str">
        <f>""</f>
        <v/>
      </c>
      <c r="FW141" t="str">
        <f>""</f>
        <v/>
      </c>
      <c r="FX141" t="str">
        <f>""</f>
        <v/>
      </c>
      <c r="FY141" t="str">
        <f>""</f>
        <v/>
      </c>
      <c r="FZ141" t="str">
        <f>""</f>
        <v/>
      </c>
      <c r="GA141" t="str">
        <f>""</f>
        <v/>
      </c>
      <c r="GB141" t="str">
        <f>""</f>
        <v/>
      </c>
      <c r="GC141" t="str">
        <f>""</f>
        <v/>
      </c>
      <c r="GD141" t="str">
        <f>""</f>
        <v/>
      </c>
      <c r="GE141" t="str">
        <f>""</f>
        <v/>
      </c>
      <c r="GF141" t="str">
        <f>""</f>
        <v/>
      </c>
      <c r="GG141" t="str">
        <f>""</f>
        <v/>
      </c>
      <c r="GH141" t="str">
        <f>""</f>
        <v/>
      </c>
      <c r="GI141" t="str">
        <f>""</f>
        <v/>
      </c>
      <c r="GJ141" t="str">
        <f>""</f>
        <v/>
      </c>
      <c r="GK141" t="str">
        <f>""</f>
        <v/>
      </c>
      <c r="GL141" t="str">
        <f>""</f>
        <v/>
      </c>
      <c r="GM141" t="str">
        <f>""</f>
        <v/>
      </c>
      <c r="GN141" t="str">
        <f>""</f>
        <v/>
      </c>
      <c r="GO141" t="str">
        <f>""</f>
        <v/>
      </c>
      <c r="GP141" t="str">
        <f>""</f>
        <v/>
      </c>
      <c r="GQ141" t="str">
        <f>""</f>
        <v/>
      </c>
      <c r="GR141" t="str">
        <f>""</f>
        <v/>
      </c>
      <c r="GS141" t="str">
        <f>""</f>
        <v/>
      </c>
      <c r="GT141" t="str">
        <f>""</f>
        <v/>
      </c>
      <c r="GU141" t="str">
        <f>""</f>
        <v/>
      </c>
      <c r="GV141" t="str">
        <f>""</f>
        <v/>
      </c>
      <c r="GW141" t="str">
        <f>""</f>
        <v/>
      </c>
      <c r="GX141" t="str">
        <f>""</f>
        <v/>
      </c>
      <c r="GY141" t="str">
        <f>""</f>
        <v/>
      </c>
      <c r="GZ141" t="str">
        <f>""</f>
        <v/>
      </c>
      <c r="HA141" t="str">
        <f>""</f>
        <v/>
      </c>
      <c r="HB141" t="str">
        <f>""</f>
        <v/>
      </c>
      <c r="HC141" t="str">
        <f>""</f>
        <v/>
      </c>
      <c r="HD141" t="str">
        <f>""</f>
        <v/>
      </c>
      <c r="HE141" t="str">
        <f>""</f>
        <v/>
      </c>
      <c r="HF141" t="str">
        <f>""</f>
        <v/>
      </c>
      <c r="HG141" t="str">
        <f>""</f>
        <v/>
      </c>
      <c r="HH141" t="str">
        <f>""</f>
        <v/>
      </c>
      <c r="HI141" t="str">
        <f>""</f>
        <v/>
      </c>
      <c r="HJ141" t="str">
        <f>""</f>
        <v/>
      </c>
      <c r="HK141" t="str">
        <f>""</f>
        <v/>
      </c>
      <c r="HL141" t="str">
        <f>""</f>
        <v/>
      </c>
      <c r="HM141" t="str">
        <f>""</f>
        <v/>
      </c>
      <c r="HN141" t="str">
        <f>""</f>
        <v/>
      </c>
      <c r="HO141" t="str">
        <f>""</f>
        <v/>
      </c>
      <c r="HP141" t="str">
        <f>""</f>
        <v/>
      </c>
      <c r="HQ141" t="str">
        <f>""</f>
        <v/>
      </c>
      <c r="HR141" t="str">
        <f>""</f>
        <v/>
      </c>
      <c r="HS141" t="str">
        <f>""</f>
        <v/>
      </c>
      <c r="HT141" t="str">
        <f>""</f>
        <v/>
      </c>
      <c r="HU141" t="str">
        <f>""</f>
        <v/>
      </c>
      <c r="HV141" t="str">
        <f>""</f>
        <v/>
      </c>
      <c r="HW141" t="str">
        <f>""</f>
        <v/>
      </c>
      <c r="HX141" t="str">
        <f>""</f>
        <v/>
      </c>
      <c r="HY141" t="str">
        <f>""</f>
        <v/>
      </c>
      <c r="HZ141" t="str">
        <f>""</f>
        <v/>
      </c>
      <c r="IA141" t="str">
        <f>""</f>
        <v/>
      </c>
      <c r="IB141" t="str">
        <f>""</f>
        <v/>
      </c>
      <c r="IC141" t="str">
        <f>""</f>
        <v/>
      </c>
      <c r="ID141" t="str">
        <f>""</f>
        <v/>
      </c>
      <c r="IE141" t="str">
        <f>""</f>
        <v/>
      </c>
      <c r="IF141" t="str">
        <f>""</f>
        <v/>
      </c>
      <c r="IG141" t="str">
        <f>""</f>
        <v/>
      </c>
      <c r="IH141" t="str">
        <f>""</f>
        <v/>
      </c>
      <c r="II141" t="str">
        <f>""</f>
        <v/>
      </c>
      <c r="IJ141" t="str">
        <f>""</f>
        <v/>
      </c>
      <c r="IK141" t="str">
        <f>""</f>
        <v/>
      </c>
      <c r="IL141" t="str">
        <f>""</f>
        <v/>
      </c>
      <c r="IM141" t="str">
        <f>""</f>
        <v/>
      </c>
      <c r="IN141" t="str">
        <f>""</f>
        <v/>
      </c>
      <c r="IO141" t="str">
        <f>""</f>
        <v/>
      </c>
      <c r="IP141" t="str">
        <f>""</f>
        <v/>
      </c>
      <c r="IQ141" t="str">
        <f>""</f>
        <v/>
      </c>
      <c r="IR141" t="str">
        <f>""</f>
        <v/>
      </c>
      <c r="IS141" t="str">
        <f>""</f>
        <v/>
      </c>
      <c r="IT141" t="str">
        <f>""</f>
        <v/>
      </c>
      <c r="IU141" t="str">
        <f>""</f>
        <v/>
      </c>
      <c r="IV141" t="str">
        <f>""</f>
        <v/>
      </c>
      <c r="IW141" t="str">
        <f>""</f>
        <v/>
      </c>
      <c r="IX141" t="str">
        <f>""</f>
        <v/>
      </c>
      <c r="IY141" t="str">
        <f>""</f>
        <v/>
      </c>
      <c r="IZ141" t="str">
        <f>""</f>
        <v/>
      </c>
      <c r="JA141" t="str">
        <f>""</f>
        <v/>
      </c>
      <c r="JB141" t="str">
        <f>""</f>
        <v/>
      </c>
      <c r="JC141" t="str">
        <f>""</f>
        <v/>
      </c>
      <c r="JD141" t="str">
        <f>""</f>
        <v/>
      </c>
      <c r="JE141" t="str">
        <f>""</f>
        <v/>
      </c>
      <c r="JF141" t="str">
        <f>""</f>
        <v/>
      </c>
      <c r="JG141" t="str">
        <f>""</f>
        <v/>
      </c>
      <c r="JH141" t="str">
        <f>""</f>
        <v/>
      </c>
      <c r="JI141" t="str">
        <f>""</f>
        <v/>
      </c>
      <c r="JJ141" t="str">
        <f>""</f>
        <v/>
      </c>
      <c r="JK141" t="str">
        <f>""</f>
        <v/>
      </c>
    </row>
    <row r="142" spans="1:271" x14ac:dyDescent="0.3">
      <c r="A142" t="str">
        <f>""</f>
        <v/>
      </c>
      <c r="B142" t="str">
        <f>""</f>
        <v/>
      </c>
      <c r="C142" t="str">
        <f>""</f>
        <v/>
      </c>
      <c r="D142" t="str">
        <f>""</f>
        <v/>
      </c>
      <c r="E142" t="str">
        <f>""</f>
        <v/>
      </c>
      <c r="F142" t="str">
        <f>""</f>
        <v/>
      </c>
      <c r="G142" t="str">
        <f>""</f>
        <v/>
      </c>
      <c r="H142" t="str">
        <f>""</f>
        <v/>
      </c>
      <c r="I142" t="str">
        <f>""</f>
        <v/>
      </c>
      <c r="J142" t="str">
        <f>""</f>
        <v/>
      </c>
      <c r="K142" t="str">
        <f>""</f>
        <v/>
      </c>
      <c r="L142" t="str">
        <f>""</f>
        <v/>
      </c>
      <c r="M142" t="str">
        <f>""</f>
        <v/>
      </c>
      <c r="N142" t="str">
        <f>""</f>
        <v/>
      </c>
      <c r="O142" t="str">
        <f>""</f>
        <v/>
      </c>
      <c r="P142" t="str">
        <f>""</f>
        <v/>
      </c>
      <c r="Q142" t="str">
        <f>""</f>
        <v/>
      </c>
      <c r="R142" t="str">
        <f>""</f>
        <v/>
      </c>
      <c r="S142" t="str">
        <f>""</f>
        <v/>
      </c>
      <c r="T142" t="str">
        <f>""</f>
        <v/>
      </c>
      <c r="U142" t="str">
        <f>""</f>
        <v/>
      </c>
      <c r="V142" t="str">
        <f>""</f>
        <v/>
      </c>
      <c r="W142" t="str">
        <f>""</f>
        <v/>
      </c>
      <c r="X142" t="str">
        <f>""</f>
        <v/>
      </c>
      <c r="Y142" t="str">
        <f>""</f>
        <v/>
      </c>
      <c r="Z142" t="str">
        <f>""</f>
        <v/>
      </c>
      <c r="AA142" t="str">
        <f>""</f>
        <v/>
      </c>
      <c r="AB142" t="str">
        <f>""</f>
        <v/>
      </c>
      <c r="AC142" t="str">
        <f>""</f>
        <v/>
      </c>
      <c r="AD142" t="str">
        <f>""</f>
        <v/>
      </c>
      <c r="AE142" t="str">
        <f>""</f>
        <v/>
      </c>
      <c r="AF142" t="str">
        <f>""</f>
        <v/>
      </c>
      <c r="AG142" t="str">
        <f>""</f>
        <v/>
      </c>
      <c r="AH142" t="str">
        <f>""</f>
        <v/>
      </c>
      <c r="AI142" t="str">
        <f>""</f>
        <v/>
      </c>
      <c r="AJ142" t="str">
        <f>""</f>
        <v/>
      </c>
      <c r="AK142" t="str">
        <f>""</f>
        <v/>
      </c>
      <c r="AL142" t="str">
        <f>""</f>
        <v/>
      </c>
      <c r="AM142" t="str">
        <f>""</f>
        <v/>
      </c>
      <c r="AN142" t="str">
        <f>""</f>
        <v/>
      </c>
      <c r="AO142" t="str">
        <f>""</f>
        <v/>
      </c>
      <c r="AP142" t="str">
        <f>""</f>
        <v/>
      </c>
      <c r="AQ142" t="str">
        <f>""</f>
        <v/>
      </c>
      <c r="AR142" t="str">
        <f>""</f>
        <v/>
      </c>
      <c r="AS142" t="str">
        <f>""</f>
        <v/>
      </c>
      <c r="AT142" t="str">
        <f>""</f>
        <v/>
      </c>
      <c r="AU142" t="str">
        <f>""</f>
        <v/>
      </c>
      <c r="AV142" t="str">
        <f>""</f>
        <v/>
      </c>
      <c r="AW142" t="str">
        <f>""</f>
        <v/>
      </c>
      <c r="AX142" t="str">
        <f>""</f>
        <v/>
      </c>
      <c r="AY142" t="str">
        <f>""</f>
        <v/>
      </c>
      <c r="AZ142" t="str">
        <f>""</f>
        <v/>
      </c>
      <c r="BA142" t="str">
        <f>""</f>
        <v/>
      </c>
      <c r="BB142" t="str">
        <f>""</f>
        <v/>
      </c>
      <c r="BC142" t="str">
        <f>""</f>
        <v/>
      </c>
      <c r="BD142" t="str">
        <f>""</f>
        <v/>
      </c>
      <c r="BE142" t="str">
        <f>""</f>
        <v/>
      </c>
      <c r="BF142" t="str">
        <f>""</f>
        <v/>
      </c>
      <c r="BG142" t="str">
        <f>"(0.103)"</f>
        <v>(0.103)</v>
      </c>
      <c r="BH142" t="str">
        <f>"(0.0811)"</f>
        <v>(0.0811)</v>
      </c>
      <c r="BI142" t="str">
        <f>"(0.0412)"</f>
        <v>(0.0412)</v>
      </c>
      <c r="BJ142" t="str">
        <f>""</f>
        <v/>
      </c>
      <c r="BK142" t="str">
        <f>""</f>
        <v/>
      </c>
      <c r="BL142" t="str">
        <f>""</f>
        <v/>
      </c>
      <c r="BM142" t="str">
        <f>""</f>
        <v/>
      </c>
      <c r="BN142" t="str">
        <f>""</f>
        <v/>
      </c>
      <c r="BO142" t="str">
        <f>""</f>
        <v/>
      </c>
      <c r="BP142" t="str">
        <f>""</f>
        <v/>
      </c>
      <c r="BQ142" t="str">
        <f>""</f>
        <v/>
      </c>
      <c r="BR142" t="str">
        <f>""</f>
        <v/>
      </c>
      <c r="BS142" t="str">
        <f>""</f>
        <v/>
      </c>
      <c r="BT142" t="str">
        <f>""</f>
        <v/>
      </c>
      <c r="BU142" t="str">
        <f>""</f>
        <v/>
      </c>
      <c r="BV142" t="str">
        <f>""</f>
        <v/>
      </c>
      <c r="BW142" t="str">
        <f>""</f>
        <v/>
      </c>
      <c r="BX142" t="str">
        <f>""</f>
        <v/>
      </c>
      <c r="BY142" t="str">
        <f>""</f>
        <v/>
      </c>
      <c r="BZ142" t="str">
        <f>""</f>
        <v/>
      </c>
      <c r="CA142" t="str">
        <f>""</f>
        <v/>
      </c>
      <c r="CB142" t="str">
        <f>""</f>
        <v/>
      </c>
      <c r="CC142" t="str">
        <f>""</f>
        <v/>
      </c>
      <c r="CD142" t="str">
        <f>""</f>
        <v/>
      </c>
      <c r="CE142" t="str">
        <f>""</f>
        <v/>
      </c>
      <c r="CF142" t="str">
        <f>""</f>
        <v/>
      </c>
      <c r="CG142" t="str">
        <f>""</f>
        <v/>
      </c>
      <c r="CH142" t="str">
        <f>""</f>
        <v/>
      </c>
      <c r="CI142" t="str">
        <f>""</f>
        <v/>
      </c>
      <c r="CJ142" t="str">
        <f>""</f>
        <v/>
      </c>
      <c r="CK142" t="str">
        <f>""</f>
        <v/>
      </c>
      <c r="CL142" t="str">
        <f>""</f>
        <v/>
      </c>
      <c r="CM142" t="str">
        <f>""</f>
        <v/>
      </c>
      <c r="CN142" t="str">
        <f>""</f>
        <v/>
      </c>
      <c r="CO142" t="str">
        <f>""</f>
        <v/>
      </c>
      <c r="CP142" t="str">
        <f>""</f>
        <v/>
      </c>
      <c r="CQ142" t="str">
        <f>""</f>
        <v/>
      </c>
      <c r="CR142" t="str">
        <f>""</f>
        <v/>
      </c>
      <c r="CS142" t="str">
        <f>""</f>
        <v/>
      </c>
      <c r="CT142" t="str">
        <f>""</f>
        <v/>
      </c>
      <c r="CU142" t="str">
        <f>""</f>
        <v/>
      </c>
      <c r="CV142" t="str">
        <f>""</f>
        <v/>
      </c>
      <c r="CW142" t="str">
        <f>""</f>
        <v/>
      </c>
      <c r="CX142" t="str">
        <f>""</f>
        <v/>
      </c>
      <c r="CY142" t="str">
        <f>""</f>
        <v/>
      </c>
      <c r="CZ142" t="str">
        <f>""</f>
        <v/>
      </c>
      <c r="DA142" t="str">
        <f>""</f>
        <v/>
      </c>
      <c r="DB142" t="str">
        <f>""</f>
        <v/>
      </c>
      <c r="DC142" t="str">
        <f>""</f>
        <v/>
      </c>
      <c r="DD142" t="str">
        <f>""</f>
        <v/>
      </c>
      <c r="DE142" t="str">
        <f>""</f>
        <v/>
      </c>
      <c r="DF142" t="str">
        <f>""</f>
        <v/>
      </c>
      <c r="DG142" t="str">
        <f>""</f>
        <v/>
      </c>
      <c r="DH142" t="str">
        <f>""</f>
        <v/>
      </c>
      <c r="DI142" t="str">
        <f>""</f>
        <v/>
      </c>
      <c r="DJ142" t="str">
        <f>""</f>
        <v/>
      </c>
      <c r="DK142" t="str">
        <f>""</f>
        <v/>
      </c>
      <c r="DL142" t="str">
        <f>""</f>
        <v/>
      </c>
      <c r="DM142" t="str">
        <f>""</f>
        <v/>
      </c>
      <c r="DN142" t="str">
        <f>""</f>
        <v/>
      </c>
      <c r="DO142" t="str">
        <f>""</f>
        <v/>
      </c>
      <c r="DP142" t="str">
        <f>""</f>
        <v/>
      </c>
      <c r="DQ142" t="str">
        <f>""</f>
        <v/>
      </c>
      <c r="DR142" t="str">
        <f>""</f>
        <v/>
      </c>
      <c r="DS142" t="str">
        <f>""</f>
        <v/>
      </c>
      <c r="DT142" t="str">
        <f>""</f>
        <v/>
      </c>
      <c r="DU142" t="str">
        <f>""</f>
        <v/>
      </c>
      <c r="DV142" t="str">
        <f>""</f>
        <v/>
      </c>
      <c r="DW142" t="str">
        <f>""</f>
        <v/>
      </c>
      <c r="DX142" t="str">
        <f>""</f>
        <v/>
      </c>
      <c r="DY142" t="str">
        <f>""</f>
        <v/>
      </c>
      <c r="DZ142" t="str">
        <f>""</f>
        <v/>
      </c>
      <c r="EA142" t="str">
        <f>""</f>
        <v/>
      </c>
      <c r="EB142" t="str">
        <f>""</f>
        <v/>
      </c>
      <c r="EC142" t="str">
        <f>""</f>
        <v/>
      </c>
      <c r="ED142" t="str">
        <f>""</f>
        <v/>
      </c>
      <c r="EE142" t="str">
        <f>""</f>
        <v/>
      </c>
      <c r="EF142" t="str">
        <f>""</f>
        <v/>
      </c>
      <c r="EG142" t="str">
        <f>""</f>
        <v/>
      </c>
      <c r="EH142" t="str">
        <f>""</f>
        <v/>
      </c>
      <c r="EI142" t="str">
        <f>""</f>
        <v/>
      </c>
      <c r="EJ142" t="str">
        <f>""</f>
        <v/>
      </c>
      <c r="EK142" t="str">
        <f>""</f>
        <v/>
      </c>
      <c r="EL142" t="str">
        <f>""</f>
        <v/>
      </c>
      <c r="EM142" t="str">
        <f>""</f>
        <v/>
      </c>
      <c r="EN142" t="str">
        <f>""</f>
        <v/>
      </c>
      <c r="EO142" t="str">
        <f>""</f>
        <v/>
      </c>
      <c r="EP142" t="str">
        <f>""</f>
        <v/>
      </c>
      <c r="EQ142" t="str">
        <f>""</f>
        <v/>
      </c>
      <c r="ER142" t="str">
        <f>""</f>
        <v/>
      </c>
      <c r="ES142" t="str">
        <f>""</f>
        <v/>
      </c>
      <c r="ET142" t="str">
        <f>""</f>
        <v/>
      </c>
      <c r="EU142" t="str">
        <f>""</f>
        <v/>
      </c>
      <c r="EV142" t="str">
        <f>""</f>
        <v/>
      </c>
      <c r="EW142" t="str">
        <f>""</f>
        <v/>
      </c>
      <c r="EX142" t="str">
        <f>""</f>
        <v/>
      </c>
      <c r="EY142" t="str">
        <f>""</f>
        <v/>
      </c>
      <c r="EZ142" t="str">
        <f>""</f>
        <v/>
      </c>
      <c r="FA142" t="str">
        <f>""</f>
        <v/>
      </c>
      <c r="FB142" t="str">
        <f>""</f>
        <v/>
      </c>
      <c r="FC142" t="str">
        <f>""</f>
        <v/>
      </c>
      <c r="FD142" t="str">
        <f>""</f>
        <v/>
      </c>
      <c r="FE142" t="str">
        <f>""</f>
        <v/>
      </c>
      <c r="FF142" t="str">
        <f>""</f>
        <v/>
      </c>
      <c r="FG142" t="str">
        <f>""</f>
        <v/>
      </c>
      <c r="FH142" t="str">
        <f>""</f>
        <v/>
      </c>
      <c r="FI142" t="str">
        <f>""</f>
        <v/>
      </c>
      <c r="FJ142" t="str">
        <f>""</f>
        <v/>
      </c>
      <c r="FK142" t="str">
        <f>""</f>
        <v/>
      </c>
      <c r="FL142" t="str">
        <f>""</f>
        <v/>
      </c>
      <c r="FM142" t="str">
        <f>""</f>
        <v/>
      </c>
      <c r="FN142" t="str">
        <f>""</f>
        <v/>
      </c>
      <c r="FO142" t="str">
        <f>""</f>
        <v/>
      </c>
      <c r="FP142" t="str">
        <f>""</f>
        <v/>
      </c>
      <c r="FQ142" t="str">
        <f>""</f>
        <v/>
      </c>
      <c r="FR142" t="str">
        <f>""</f>
        <v/>
      </c>
      <c r="FS142" t="str">
        <f>""</f>
        <v/>
      </c>
      <c r="FT142" t="str">
        <f>""</f>
        <v/>
      </c>
      <c r="FU142" t="str">
        <f>""</f>
        <v/>
      </c>
      <c r="FV142" t="str">
        <f>""</f>
        <v/>
      </c>
      <c r="FW142" t="str">
        <f>""</f>
        <v/>
      </c>
      <c r="FX142" t="str">
        <f>""</f>
        <v/>
      </c>
      <c r="FY142" t="str">
        <f>""</f>
        <v/>
      </c>
      <c r="FZ142" t="str">
        <f>""</f>
        <v/>
      </c>
      <c r="GA142" t="str">
        <f>""</f>
        <v/>
      </c>
      <c r="GB142" t="str">
        <f>""</f>
        <v/>
      </c>
      <c r="GC142" t="str">
        <f>""</f>
        <v/>
      </c>
      <c r="GD142" t="str">
        <f>""</f>
        <v/>
      </c>
      <c r="GE142" t="str">
        <f>""</f>
        <v/>
      </c>
      <c r="GF142" t="str">
        <f>""</f>
        <v/>
      </c>
      <c r="GG142" t="str">
        <f>""</f>
        <v/>
      </c>
      <c r="GH142" t="str">
        <f>""</f>
        <v/>
      </c>
      <c r="GI142" t="str">
        <f>""</f>
        <v/>
      </c>
      <c r="GJ142" t="str">
        <f>""</f>
        <v/>
      </c>
      <c r="GK142" t="str">
        <f>""</f>
        <v/>
      </c>
      <c r="GL142" t="str">
        <f>""</f>
        <v/>
      </c>
      <c r="GM142" t="str">
        <f>""</f>
        <v/>
      </c>
      <c r="GN142" t="str">
        <f>""</f>
        <v/>
      </c>
      <c r="GO142" t="str">
        <f>""</f>
        <v/>
      </c>
      <c r="GP142" t="str">
        <f>""</f>
        <v/>
      </c>
      <c r="GQ142" t="str">
        <f>""</f>
        <v/>
      </c>
      <c r="GR142" t="str">
        <f>""</f>
        <v/>
      </c>
      <c r="GS142" t="str">
        <f>""</f>
        <v/>
      </c>
      <c r="GT142" t="str">
        <f>""</f>
        <v/>
      </c>
      <c r="GU142" t="str">
        <f>""</f>
        <v/>
      </c>
      <c r="GV142" t="str">
        <f>""</f>
        <v/>
      </c>
      <c r="GW142" t="str">
        <f>""</f>
        <v/>
      </c>
      <c r="GX142" t="str">
        <f>""</f>
        <v/>
      </c>
      <c r="GY142" t="str">
        <f>""</f>
        <v/>
      </c>
      <c r="GZ142" t="str">
        <f>""</f>
        <v/>
      </c>
      <c r="HA142" t="str">
        <f>""</f>
        <v/>
      </c>
      <c r="HB142" t="str">
        <f>""</f>
        <v/>
      </c>
      <c r="HC142" t="str">
        <f>""</f>
        <v/>
      </c>
      <c r="HD142" t="str">
        <f>""</f>
        <v/>
      </c>
      <c r="HE142" t="str">
        <f>""</f>
        <v/>
      </c>
      <c r="HF142" t="str">
        <f>""</f>
        <v/>
      </c>
      <c r="HG142" t="str">
        <f>""</f>
        <v/>
      </c>
      <c r="HH142" t="str">
        <f>""</f>
        <v/>
      </c>
      <c r="HI142" t="str">
        <f>""</f>
        <v/>
      </c>
      <c r="HJ142" t="str">
        <f>""</f>
        <v/>
      </c>
      <c r="HK142" t="str">
        <f>""</f>
        <v/>
      </c>
      <c r="HL142" t="str">
        <f>""</f>
        <v/>
      </c>
      <c r="HM142" t="str">
        <f>""</f>
        <v/>
      </c>
      <c r="HN142" t="str">
        <f>""</f>
        <v/>
      </c>
      <c r="HO142" t="str">
        <f>""</f>
        <v/>
      </c>
      <c r="HP142" t="str">
        <f>""</f>
        <v/>
      </c>
      <c r="HQ142" t="str">
        <f>""</f>
        <v/>
      </c>
      <c r="HR142" t="str">
        <f>""</f>
        <v/>
      </c>
      <c r="HS142" t="str">
        <f>""</f>
        <v/>
      </c>
      <c r="HT142" t="str">
        <f>""</f>
        <v/>
      </c>
      <c r="HU142" t="str">
        <f>""</f>
        <v/>
      </c>
      <c r="HV142" t="str">
        <f>""</f>
        <v/>
      </c>
      <c r="HW142" t="str">
        <f>""</f>
        <v/>
      </c>
      <c r="HX142" t="str">
        <f>""</f>
        <v/>
      </c>
      <c r="HY142" t="str">
        <f>""</f>
        <v/>
      </c>
      <c r="HZ142" t="str">
        <f>""</f>
        <v/>
      </c>
      <c r="IA142" t="str">
        <f>""</f>
        <v/>
      </c>
      <c r="IB142" t="str">
        <f>""</f>
        <v/>
      </c>
      <c r="IC142" t="str">
        <f>""</f>
        <v/>
      </c>
      <c r="ID142" t="str">
        <f>""</f>
        <v/>
      </c>
      <c r="IE142" t="str">
        <f>""</f>
        <v/>
      </c>
      <c r="IF142" t="str">
        <f>""</f>
        <v/>
      </c>
      <c r="IG142" t="str">
        <f>""</f>
        <v/>
      </c>
      <c r="IH142" t="str">
        <f>""</f>
        <v/>
      </c>
      <c r="II142" t="str">
        <f>""</f>
        <v/>
      </c>
      <c r="IJ142" t="str">
        <f>""</f>
        <v/>
      </c>
      <c r="IK142" t="str">
        <f>""</f>
        <v/>
      </c>
      <c r="IL142" t="str">
        <f>""</f>
        <v/>
      </c>
      <c r="IM142" t="str">
        <f>""</f>
        <v/>
      </c>
      <c r="IN142" t="str">
        <f>""</f>
        <v/>
      </c>
      <c r="IO142" t="str">
        <f>""</f>
        <v/>
      </c>
      <c r="IP142" t="str">
        <f>""</f>
        <v/>
      </c>
      <c r="IQ142" t="str">
        <f>""</f>
        <v/>
      </c>
      <c r="IR142" t="str">
        <f>""</f>
        <v/>
      </c>
      <c r="IS142" t="str">
        <f>""</f>
        <v/>
      </c>
      <c r="IT142" t="str">
        <f>""</f>
        <v/>
      </c>
      <c r="IU142" t="str">
        <f>""</f>
        <v/>
      </c>
      <c r="IV142" t="str">
        <f>""</f>
        <v/>
      </c>
      <c r="IW142" t="str">
        <f>""</f>
        <v/>
      </c>
      <c r="IX142" t="str">
        <f>""</f>
        <v/>
      </c>
      <c r="IY142" t="str">
        <f>""</f>
        <v/>
      </c>
      <c r="IZ142" t="str">
        <f>""</f>
        <v/>
      </c>
      <c r="JA142" t="str">
        <f>""</f>
        <v/>
      </c>
      <c r="JB142" t="str">
        <f>""</f>
        <v/>
      </c>
      <c r="JC142" t="str">
        <f>""</f>
        <v/>
      </c>
      <c r="JD142" t="str">
        <f>""</f>
        <v/>
      </c>
      <c r="JE142" t="str">
        <f>""</f>
        <v/>
      </c>
      <c r="JF142" t="str">
        <f>""</f>
        <v/>
      </c>
      <c r="JG142" t="str">
        <f>""</f>
        <v/>
      </c>
      <c r="JH142" t="str">
        <f>""</f>
        <v/>
      </c>
      <c r="JI142" t="str">
        <f>""</f>
        <v/>
      </c>
      <c r="JJ142" t="str">
        <f>""</f>
        <v/>
      </c>
      <c r="JK142" t="str">
        <f>""</f>
        <v/>
      </c>
    </row>
    <row r="144" spans="1:271" x14ac:dyDescent="0.3">
      <c r="A144" t="str">
        <f>"c.zMETAB6#c.PM2"</f>
        <v>c.zMETAB6#c.PM2</v>
      </c>
      <c r="B144" t="str">
        <f>""</f>
        <v/>
      </c>
      <c r="C144" t="str">
        <f>""</f>
        <v/>
      </c>
      <c r="D144" t="str">
        <f>""</f>
        <v/>
      </c>
      <c r="E144" t="str">
        <f>""</f>
        <v/>
      </c>
      <c r="F144" t="str">
        <f>""</f>
        <v/>
      </c>
      <c r="G144" t="str">
        <f>""</f>
        <v/>
      </c>
      <c r="H144" t="str">
        <f>""</f>
        <v/>
      </c>
      <c r="I144" t="str">
        <f>""</f>
        <v/>
      </c>
      <c r="J144" t="str">
        <f>""</f>
        <v/>
      </c>
      <c r="K144" t="str">
        <f>""</f>
        <v/>
      </c>
      <c r="L144" t="str">
        <f>""</f>
        <v/>
      </c>
      <c r="M144" t="str">
        <f>""</f>
        <v/>
      </c>
      <c r="N144" t="str">
        <f>""</f>
        <v/>
      </c>
      <c r="O144" t="str">
        <f>""</f>
        <v/>
      </c>
      <c r="P144" t="str">
        <f>""</f>
        <v/>
      </c>
      <c r="Q144" t="str">
        <f>""</f>
        <v/>
      </c>
      <c r="R144" t="str">
        <f>""</f>
        <v/>
      </c>
      <c r="S144" t="str">
        <f>""</f>
        <v/>
      </c>
      <c r="T144" t="str">
        <f>""</f>
        <v/>
      </c>
      <c r="U144" t="str">
        <f>""</f>
        <v/>
      </c>
      <c r="V144" t="str">
        <f>""</f>
        <v/>
      </c>
      <c r="W144" t="str">
        <f>""</f>
        <v/>
      </c>
      <c r="X144" t="str">
        <f>""</f>
        <v/>
      </c>
      <c r="Y144" t="str">
        <f>""</f>
        <v/>
      </c>
      <c r="Z144" t="str">
        <f>""</f>
        <v/>
      </c>
      <c r="AA144" t="str">
        <f>""</f>
        <v/>
      </c>
      <c r="AB144" t="str">
        <f>""</f>
        <v/>
      </c>
      <c r="AC144" t="str">
        <f>""</f>
        <v/>
      </c>
      <c r="AD144" t="str">
        <f>""</f>
        <v/>
      </c>
      <c r="AE144" t="str">
        <f>""</f>
        <v/>
      </c>
      <c r="AF144" t="str">
        <f>""</f>
        <v/>
      </c>
      <c r="AG144" t="str">
        <f>""</f>
        <v/>
      </c>
      <c r="AH144" t="str">
        <f>""</f>
        <v/>
      </c>
      <c r="AI144" t="str">
        <f>""</f>
        <v/>
      </c>
      <c r="AJ144" t="str">
        <f>""</f>
        <v/>
      </c>
      <c r="AK144" t="str">
        <f>""</f>
        <v/>
      </c>
      <c r="AL144" t="str">
        <f>""</f>
        <v/>
      </c>
      <c r="AM144" t="str">
        <f>""</f>
        <v/>
      </c>
      <c r="AN144" t="str">
        <f>""</f>
        <v/>
      </c>
      <c r="AO144" t="str">
        <f>""</f>
        <v/>
      </c>
      <c r="AP144" t="str">
        <f>""</f>
        <v/>
      </c>
      <c r="AQ144" t="str">
        <f>""</f>
        <v/>
      </c>
      <c r="AR144" t="str">
        <f>""</f>
        <v/>
      </c>
      <c r="AS144" t="str">
        <f>""</f>
        <v/>
      </c>
      <c r="AT144" t="str">
        <f>""</f>
        <v/>
      </c>
      <c r="AU144" t="str">
        <f>""</f>
        <v/>
      </c>
      <c r="AV144" t="str">
        <f>""</f>
        <v/>
      </c>
      <c r="AW144" t="str">
        <f>""</f>
        <v/>
      </c>
      <c r="AX144" t="str">
        <f>""</f>
        <v/>
      </c>
      <c r="AY144" t="str">
        <f>""</f>
        <v/>
      </c>
      <c r="AZ144" t="str">
        <f>""</f>
        <v/>
      </c>
      <c r="BA144" t="str">
        <f>""</f>
        <v/>
      </c>
      <c r="BB144" t="str">
        <f>""</f>
        <v/>
      </c>
      <c r="BC144" t="str">
        <f>""</f>
        <v/>
      </c>
      <c r="BD144" t="str">
        <f>""</f>
        <v/>
      </c>
      <c r="BE144" t="str">
        <f>""</f>
        <v/>
      </c>
      <c r="BF144" t="str">
        <f>""</f>
        <v/>
      </c>
      <c r="BG144" t="str">
        <f>""</f>
        <v/>
      </c>
      <c r="BH144" t="str">
        <f>""</f>
        <v/>
      </c>
      <c r="BI144" t="str">
        <f>""</f>
        <v/>
      </c>
      <c r="BJ144" t="str">
        <f>"-0.0244"</f>
        <v>-0.0244</v>
      </c>
      <c r="BK144" t="str">
        <f>"-0.102"</f>
        <v>-0.102</v>
      </c>
      <c r="BL144" t="str">
        <f>"-0.0565"</f>
        <v>-0.0565</v>
      </c>
      <c r="BM144" t="str">
        <f>""</f>
        <v/>
      </c>
      <c r="BN144" t="str">
        <f>""</f>
        <v/>
      </c>
      <c r="BO144" t="str">
        <f>""</f>
        <v/>
      </c>
      <c r="BP144" t="str">
        <f>""</f>
        <v/>
      </c>
      <c r="BQ144" t="str">
        <f>""</f>
        <v/>
      </c>
      <c r="BR144" t="str">
        <f>""</f>
        <v/>
      </c>
      <c r="BS144" t="str">
        <f>""</f>
        <v/>
      </c>
      <c r="BT144" t="str">
        <f>""</f>
        <v/>
      </c>
      <c r="BU144" t="str">
        <f>""</f>
        <v/>
      </c>
      <c r="BV144" t="str">
        <f>""</f>
        <v/>
      </c>
      <c r="BW144" t="str">
        <f>""</f>
        <v/>
      </c>
      <c r="BX144" t="str">
        <f>""</f>
        <v/>
      </c>
      <c r="BY144" t="str">
        <f>""</f>
        <v/>
      </c>
      <c r="BZ144" t="str">
        <f>""</f>
        <v/>
      </c>
      <c r="CA144" t="str">
        <f>""</f>
        <v/>
      </c>
      <c r="CB144" t="str">
        <f>""</f>
        <v/>
      </c>
      <c r="CC144" t="str">
        <f>""</f>
        <v/>
      </c>
      <c r="CD144" t="str">
        <f>""</f>
        <v/>
      </c>
      <c r="CE144" t="str">
        <f>""</f>
        <v/>
      </c>
      <c r="CF144" t="str">
        <f>""</f>
        <v/>
      </c>
      <c r="CG144" t="str">
        <f>""</f>
        <v/>
      </c>
      <c r="CH144" t="str">
        <f>""</f>
        <v/>
      </c>
      <c r="CI144" t="str">
        <f>""</f>
        <v/>
      </c>
      <c r="CJ144" t="str">
        <f>""</f>
        <v/>
      </c>
      <c r="CK144" t="str">
        <f>""</f>
        <v/>
      </c>
      <c r="CL144" t="str">
        <f>""</f>
        <v/>
      </c>
      <c r="CM144" t="str">
        <f>""</f>
        <v/>
      </c>
      <c r="CN144" t="str">
        <f>""</f>
        <v/>
      </c>
      <c r="CO144" t="str">
        <f>""</f>
        <v/>
      </c>
      <c r="CP144" t="str">
        <f>""</f>
        <v/>
      </c>
      <c r="CQ144" t="str">
        <f>""</f>
        <v/>
      </c>
      <c r="CR144" t="str">
        <f>""</f>
        <v/>
      </c>
      <c r="CS144" t="str">
        <f>""</f>
        <v/>
      </c>
      <c r="CT144" t="str">
        <f>""</f>
        <v/>
      </c>
      <c r="CU144" t="str">
        <f>""</f>
        <v/>
      </c>
      <c r="CV144" t="str">
        <f>""</f>
        <v/>
      </c>
      <c r="CW144" t="str">
        <f>""</f>
        <v/>
      </c>
      <c r="CX144" t="str">
        <f>""</f>
        <v/>
      </c>
      <c r="CY144" t="str">
        <f>""</f>
        <v/>
      </c>
      <c r="CZ144" t="str">
        <f>""</f>
        <v/>
      </c>
      <c r="DA144" t="str">
        <f>""</f>
        <v/>
      </c>
      <c r="DB144" t="str">
        <f>""</f>
        <v/>
      </c>
      <c r="DC144" t="str">
        <f>""</f>
        <v/>
      </c>
      <c r="DD144" t="str">
        <f>""</f>
        <v/>
      </c>
      <c r="DE144" t="str">
        <f>""</f>
        <v/>
      </c>
      <c r="DF144" t="str">
        <f>""</f>
        <v/>
      </c>
      <c r="DG144" t="str">
        <f>""</f>
        <v/>
      </c>
      <c r="DH144" t="str">
        <f>""</f>
        <v/>
      </c>
      <c r="DI144" t="str">
        <f>""</f>
        <v/>
      </c>
      <c r="DJ144" t="str">
        <f>""</f>
        <v/>
      </c>
      <c r="DK144" t="str">
        <f>""</f>
        <v/>
      </c>
      <c r="DL144" t="str">
        <f>""</f>
        <v/>
      </c>
      <c r="DM144" t="str">
        <f>""</f>
        <v/>
      </c>
      <c r="DN144" t="str">
        <f>""</f>
        <v/>
      </c>
      <c r="DO144" t="str">
        <f>""</f>
        <v/>
      </c>
      <c r="DP144" t="str">
        <f>""</f>
        <v/>
      </c>
      <c r="DQ144" t="str">
        <f>""</f>
        <v/>
      </c>
      <c r="DR144" t="str">
        <f>""</f>
        <v/>
      </c>
      <c r="DS144" t="str">
        <f>""</f>
        <v/>
      </c>
      <c r="DT144" t="str">
        <f>""</f>
        <v/>
      </c>
      <c r="DU144" t="str">
        <f>""</f>
        <v/>
      </c>
      <c r="DV144" t="str">
        <f>""</f>
        <v/>
      </c>
      <c r="DW144" t="str">
        <f>""</f>
        <v/>
      </c>
      <c r="DX144" t="str">
        <f>""</f>
        <v/>
      </c>
      <c r="DY144" t="str">
        <f>""</f>
        <v/>
      </c>
      <c r="DZ144" t="str">
        <f>""</f>
        <v/>
      </c>
      <c r="EA144" t="str">
        <f>""</f>
        <v/>
      </c>
      <c r="EB144" t="str">
        <f>""</f>
        <v/>
      </c>
      <c r="EC144" t="str">
        <f>""</f>
        <v/>
      </c>
      <c r="ED144" t="str">
        <f>""</f>
        <v/>
      </c>
      <c r="EE144" t="str">
        <f>""</f>
        <v/>
      </c>
      <c r="EF144" t="str">
        <f>""</f>
        <v/>
      </c>
      <c r="EG144" t="str">
        <f>""</f>
        <v/>
      </c>
      <c r="EH144" t="str">
        <f>""</f>
        <v/>
      </c>
      <c r="EI144" t="str">
        <f>""</f>
        <v/>
      </c>
      <c r="EJ144" t="str">
        <f>""</f>
        <v/>
      </c>
      <c r="EK144" t="str">
        <f>""</f>
        <v/>
      </c>
      <c r="EL144" t="str">
        <f>""</f>
        <v/>
      </c>
      <c r="EM144" t="str">
        <f>""</f>
        <v/>
      </c>
      <c r="EN144" t="str">
        <f>""</f>
        <v/>
      </c>
      <c r="EO144" t="str">
        <f>""</f>
        <v/>
      </c>
      <c r="EP144" t="str">
        <f>""</f>
        <v/>
      </c>
      <c r="EQ144" t="str">
        <f>""</f>
        <v/>
      </c>
      <c r="ER144" t="str">
        <f>""</f>
        <v/>
      </c>
      <c r="ES144" t="str">
        <f>""</f>
        <v/>
      </c>
      <c r="ET144" t="str">
        <f>""</f>
        <v/>
      </c>
      <c r="EU144" t="str">
        <f>""</f>
        <v/>
      </c>
      <c r="EV144" t="str">
        <f>""</f>
        <v/>
      </c>
      <c r="EW144" t="str">
        <f>""</f>
        <v/>
      </c>
      <c r="EX144" t="str">
        <f>""</f>
        <v/>
      </c>
      <c r="EY144" t="str">
        <f>""</f>
        <v/>
      </c>
      <c r="EZ144" t="str">
        <f>""</f>
        <v/>
      </c>
      <c r="FA144" t="str">
        <f>""</f>
        <v/>
      </c>
      <c r="FB144" t="str">
        <f>""</f>
        <v/>
      </c>
      <c r="FC144" t="str">
        <f>""</f>
        <v/>
      </c>
      <c r="FD144" t="str">
        <f>""</f>
        <v/>
      </c>
      <c r="FE144" t="str">
        <f>""</f>
        <v/>
      </c>
      <c r="FF144" t="str">
        <f>""</f>
        <v/>
      </c>
      <c r="FG144" t="str">
        <f>""</f>
        <v/>
      </c>
      <c r="FH144" t="str">
        <f>""</f>
        <v/>
      </c>
      <c r="FI144" t="str">
        <f>""</f>
        <v/>
      </c>
      <c r="FJ144" t="str">
        <f>""</f>
        <v/>
      </c>
      <c r="FK144" t="str">
        <f>""</f>
        <v/>
      </c>
      <c r="FL144" t="str">
        <f>""</f>
        <v/>
      </c>
      <c r="FM144" t="str">
        <f>""</f>
        <v/>
      </c>
      <c r="FN144" t="str">
        <f>""</f>
        <v/>
      </c>
      <c r="FO144" t="str">
        <f>""</f>
        <v/>
      </c>
      <c r="FP144" t="str">
        <f>""</f>
        <v/>
      </c>
      <c r="FQ144" t="str">
        <f>""</f>
        <v/>
      </c>
      <c r="FR144" t="str">
        <f>""</f>
        <v/>
      </c>
      <c r="FS144" t="str">
        <f>""</f>
        <v/>
      </c>
      <c r="FT144" t="str">
        <f>""</f>
        <v/>
      </c>
      <c r="FU144" t="str">
        <f>""</f>
        <v/>
      </c>
      <c r="FV144" t="str">
        <f>""</f>
        <v/>
      </c>
      <c r="FW144" t="str">
        <f>""</f>
        <v/>
      </c>
      <c r="FX144" t="str">
        <f>""</f>
        <v/>
      </c>
      <c r="FY144" t="str">
        <f>""</f>
        <v/>
      </c>
      <c r="FZ144" t="str">
        <f>""</f>
        <v/>
      </c>
      <c r="GA144" t="str">
        <f>""</f>
        <v/>
      </c>
      <c r="GB144" t="str">
        <f>""</f>
        <v/>
      </c>
      <c r="GC144" t="str">
        <f>""</f>
        <v/>
      </c>
      <c r="GD144" t="str">
        <f>""</f>
        <v/>
      </c>
      <c r="GE144" t="str">
        <f>""</f>
        <v/>
      </c>
      <c r="GF144" t="str">
        <f>""</f>
        <v/>
      </c>
      <c r="GG144" t="str">
        <f>""</f>
        <v/>
      </c>
      <c r="GH144" t="str">
        <f>""</f>
        <v/>
      </c>
      <c r="GI144" t="str">
        <f>""</f>
        <v/>
      </c>
      <c r="GJ144" t="str">
        <f>""</f>
        <v/>
      </c>
      <c r="GK144" t="str">
        <f>""</f>
        <v/>
      </c>
      <c r="GL144" t="str">
        <f>""</f>
        <v/>
      </c>
      <c r="GM144" t="str">
        <f>""</f>
        <v/>
      </c>
      <c r="GN144" t="str">
        <f>""</f>
        <v/>
      </c>
      <c r="GO144" t="str">
        <f>""</f>
        <v/>
      </c>
      <c r="GP144" t="str">
        <f>""</f>
        <v/>
      </c>
      <c r="GQ144" t="str">
        <f>""</f>
        <v/>
      </c>
      <c r="GR144" t="str">
        <f>""</f>
        <v/>
      </c>
      <c r="GS144" t="str">
        <f>""</f>
        <v/>
      </c>
      <c r="GT144" t="str">
        <f>""</f>
        <v/>
      </c>
      <c r="GU144" t="str">
        <f>""</f>
        <v/>
      </c>
      <c r="GV144" t="str">
        <f>""</f>
        <v/>
      </c>
      <c r="GW144" t="str">
        <f>""</f>
        <v/>
      </c>
      <c r="GX144" t="str">
        <f>""</f>
        <v/>
      </c>
      <c r="GY144" t="str">
        <f>""</f>
        <v/>
      </c>
      <c r="GZ144" t="str">
        <f>""</f>
        <v/>
      </c>
      <c r="HA144" t="str">
        <f>""</f>
        <v/>
      </c>
      <c r="HB144" t="str">
        <f>""</f>
        <v/>
      </c>
      <c r="HC144" t="str">
        <f>""</f>
        <v/>
      </c>
      <c r="HD144" t="str">
        <f>""</f>
        <v/>
      </c>
      <c r="HE144" t="str">
        <f>""</f>
        <v/>
      </c>
      <c r="HF144" t="str">
        <f>""</f>
        <v/>
      </c>
      <c r="HG144" t="str">
        <f>""</f>
        <v/>
      </c>
      <c r="HH144" t="str">
        <f>""</f>
        <v/>
      </c>
      <c r="HI144" t="str">
        <f>""</f>
        <v/>
      </c>
      <c r="HJ144" t="str">
        <f>""</f>
        <v/>
      </c>
      <c r="HK144" t="str">
        <f>""</f>
        <v/>
      </c>
      <c r="HL144" t="str">
        <f>""</f>
        <v/>
      </c>
      <c r="HM144" t="str">
        <f>""</f>
        <v/>
      </c>
      <c r="HN144" t="str">
        <f>""</f>
        <v/>
      </c>
      <c r="HO144" t="str">
        <f>""</f>
        <v/>
      </c>
      <c r="HP144" t="str">
        <f>""</f>
        <v/>
      </c>
      <c r="HQ144" t="str">
        <f>""</f>
        <v/>
      </c>
      <c r="HR144" t="str">
        <f>""</f>
        <v/>
      </c>
      <c r="HS144" t="str">
        <f>""</f>
        <v/>
      </c>
      <c r="HT144" t="str">
        <f>""</f>
        <v/>
      </c>
      <c r="HU144" t="str">
        <f>""</f>
        <v/>
      </c>
      <c r="HV144" t="str">
        <f>""</f>
        <v/>
      </c>
      <c r="HW144" t="str">
        <f>""</f>
        <v/>
      </c>
      <c r="HX144" t="str">
        <f>""</f>
        <v/>
      </c>
      <c r="HY144" t="str">
        <f>""</f>
        <v/>
      </c>
      <c r="HZ144" t="str">
        <f>""</f>
        <v/>
      </c>
      <c r="IA144" t="str">
        <f>""</f>
        <v/>
      </c>
      <c r="IB144" t="str">
        <f>""</f>
        <v/>
      </c>
      <c r="IC144" t="str">
        <f>""</f>
        <v/>
      </c>
      <c r="ID144" t="str">
        <f>""</f>
        <v/>
      </c>
      <c r="IE144" t="str">
        <f>""</f>
        <v/>
      </c>
      <c r="IF144" t="str">
        <f>""</f>
        <v/>
      </c>
      <c r="IG144" t="str">
        <f>""</f>
        <v/>
      </c>
      <c r="IH144" t="str">
        <f>""</f>
        <v/>
      </c>
      <c r="II144" t="str">
        <f>""</f>
        <v/>
      </c>
      <c r="IJ144" t="str">
        <f>""</f>
        <v/>
      </c>
      <c r="IK144" t="str">
        <f>""</f>
        <v/>
      </c>
      <c r="IL144" t="str">
        <f>""</f>
        <v/>
      </c>
      <c r="IM144" t="str">
        <f>""</f>
        <v/>
      </c>
      <c r="IN144" t="str">
        <f>""</f>
        <v/>
      </c>
      <c r="IO144" t="str">
        <f>""</f>
        <v/>
      </c>
      <c r="IP144" t="str">
        <f>""</f>
        <v/>
      </c>
      <c r="IQ144" t="str">
        <f>""</f>
        <v/>
      </c>
      <c r="IR144" t="str">
        <f>""</f>
        <v/>
      </c>
      <c r="IS144" t="str">
        <f>""</f>
        <v/>
      </c>
      <c r="IT144" t="str">
        <f>""</f>
        <v/>
      </c>
      <c r="IU144" t="str">
        <f>""</f>
        <v/>
      </c>
      <c r="IV144" t="str">
        <f>""</f>
        <v/>
      </c>
      <c r="IW144" t="str">
        <f>""</f>
        <v/>
      </c>
      <c r="IX144" t="str">
        <f>""</f>
        <v/>
      </c>
      <c r="IY144" t="str">
        <f>""</f>
        <v/>
      </c>
      <c r="IZ144" t="str">
        <f>""</f>
        <v/>
      </c>
      <c r="JA144" t="str">
        <f>""</f>
        <v/>
      </c>
      <c r="JB144" t="str">
        <f>""</f>
        <v/>
      </c>
      <c r="JC144" t="str">
        <f>""</f>
        <v/>
      </c>
      <c r="JD144" t="str">
        <f>""</f>
        <v/>
      </c>
      <c r="JE144" t="str">
        <f>""</f>
        <v/>
      </c>
      <c r="JF144" t="str">
        <f>""</f>
        <v/>
      </c>
      <c r="JG144" t="str">
        <f>""</f>
        <v/>
      </c>
      <c r="JH144" t="str">
        <f>""</f>
        <v/>
      </c>
      <c r="JI144" t="str">
        <f>""</f>
        <v/>
      </c>
      <c r="JJ144" t="str">
        <f>""</f>
        <v/>
      </c>
      <c r="JK144" t="str">
        <f>""</f>
        <v/>
      </c>
    </row>
    <row r="145" spans="1:271" x14ac:dyDescent="0.3">
      <c r="A145" t="str">
        <f>""</f>
        <v/>
      </c>
      <c r="B145" t="str">
        <f>""</f>
        <v/>
      </c>
      <c r="C145" t="str">
        <f>""</f>
        <v/>
      </c>
      <c r="D145" t="str">
        <f>""</f>
        <v/>
      </c>
      <c r="E145" t="str">
        <f>""</f>
        <v/>
      </c>
      <c r="F145" t="str">
        <f>""</f>
        <v/>
      </c>
      <c r="G145" t="str">
        <f>""</f>
        <v/>
      </c>
      <c r="H145" t="str">
        <f>""</f>
        <v/>
      </c>
      <c r="I145" t="str">
        <f>""</f>
        <v/>
      </c>
      <c r="J145" t="str">
        <f>""</f>
        <v/>
      </c>
      <c r="K145" t="str">
        <f>""</f>
        <v/>
      </c>
      <c r="L145" t="str">
        <f>""</f>
        <v/>
      </c>
      <c r="M145" t="str">
        <f>""</f>
        <v/>
      </c>
      <c r="N145" t="str">
        <f>""</f>
        <v/>
      </c>
      <c r="O145" t="str">
        <f>""</f>
        <v/>
      </c>
      <c r="P145" t="str">
        <f>""</f>
        <v/>
      </c>
      <c r="Q145" t="str">
        <f>""</f>
        <v/>
      </c>
      <c r="R145" t="str">
        <f>""</f>
        <v/>
      </c>
      <c r="S145" t="str">
        <f>""</f>
        <v/>
      </c>
      <c r="T145" t="str">
        <f>""</f>
        <v/>
      </c>
      <c r="U145" t="str">
        <f>""</f>
        <v/>
      </c>
      <c r="V145" t="str">
        <f>""</f>
        <v/>
      </c>
      <c r="W145" t="str">
        <f>""</f>
        <v/>
      </c>
      <c r="X145" t="str">
        <f>""</f>
        <v/>
      </c>
      <c r="Y145" t="str">
        <f>""</f>
        <v/>
      </c>
      <c r="Z145" t="str">
        <f>""</f>
        <v/>
      </c>
      <c r="AA145" t="str">
        <f>""</f>
        <v/>
      </c>
      <c r="AB145" t="str">
        <f>""</f>
        <v/>
      </c>
      <c r="AC145" t="str">
        <f>""</f>
        <v/>
      </c>
      <c r="AD145" t="str">
        <f>""</f>
        <v/>
      </c>
      <c r="AE145" t="str">
        <f>""</f>
        <v/>
      </c>
      <c r="AF145" t="str">
        <f>""</f>
        <v/>
      </c>
      <c r="AG145" t="str">
        <f>""</f>
        <v/>
      </c>
      <c r="AH145" t="str">
        <f>""</f>
        <v/>
      </c>
      <c r="AI145" t="str">
        <f>""</f>
        <v/>
      </c>
      <c r="AJ145" t="str">
        <f>""</f>
        <v/>
      </c>
      <c r="AK145" t="str">
        <f>""</f>
        <v/>
      </c>
      <c r="AL145" t="str">
        <f>""</f>
        <v/>
      </c>
      <c r="AM145" t="str">
        <f>""</f>
        <v/>
      </c>
      <c r="AN145" t="str">
        <f>""</f>
        <v/>
      </c>
      <c r="AO145" t="str">
        <f>""</f>
        <v/>
      </c>
      <c r="AP145" t="str">
        <f>""</f>
        <v/>
      </c>
      <c r="AQ145" t="str">
        <f>""</f>
        <v/>
      </c>
      <c r="AR145" t="str">
        <f>""</f>
        <v/>
      </c>
      <c r="AS145" t="str">
        <f>""</f>
        <v/>
      </c>
      <c r="AT145" t="str">
        <f>""</f>
        <v/>
      </c>
      <c r="AU145" t="str">
        <f>""</f>
        <v/>
      </c>
      <c r="AV145" t="str">
        <f>""</f>
        <v/>
      </c>
      <c r="AW145" t="str">
        <f>""</f>
        <v/>
      </c>
      <c r="AX145" t="str">
        <f>""</f>
        <v/>
      </c>
      <c r="AY145" t="str">
        <f>""</f>
        <v/>
      </c>
      <c r="AZ145" t="str">
        <f>""</f>
        <v/>
      </c>
      <c r="BA145" t="str">
        <f>""</f>
        <v/>
      </c>
      <c r="BB145" t="str">
        <f>""</f>
        <v/>
      </c>
      <c r="BC145" t="str">
        <f>""</f>
        <v/>
      </c>
      <c r="BD145" t="str">
        <f>""</f>
        <v/>
      </c>
      <c r="BE145" t="str">
        <f>""</f>
        <v/>
      </c>
      <c r="BF145" t="str">
        <f>""</f>
        <v/>
      </c>
      <c r="BG145" t="str">
        <f>""</f>
        <v/>
      </c>
      <c r="BH145" t="str">
        <f>""</f>
        <v/>
      </c>
      <c r="BI145" t="str">
        <f>""</f>
        <v/>
      </c>
      <c r="BJ145" t="str">
        <f>"(0.103)"</f>
        <v>(0.103)</v>
      </c>
      <c r="BK145" t="str">
        <f>"(0.0810)"</f>
        <v>(0.0810)</v>
      </c>
      <c r="BL145" t="str">
        <f>"(0.0436)"</f>
        <v>(0.0436)</v>
      </c>
      <c r="BM145" t="str">
        <f>""</f>
        <v/>
      </c>
      <c r="BN145" t="str">
        <f>""</f>
        <v/>
      </c>
      <c r="BO145" t="str">
        <f>""</f>
        <v/>
      </c>
      <c r="BP145" t="str">
        <f>""</f>
        <v/>
      </c>
      <c r="BQ145" t="str">
        <f>""</f>
        <v/>
      </c>
      <c r="BR145" t="str">
        <f>""</f>
        <v/>
      </c>
      <c r="BS145" t="str">
        <f>""</f>
        <v/>
      </c>
      <c r="BT145" t="str">
        <f>""</f>
        <v/>
      </c>
      <c r="BU145" t="str">
        <f>""</f>
        <v/>
      </c>
      <c r="BV145" t="str">
        <f>""</f>
        <v/>
      </c>
      <c r="BW145" t="str">
        <f>""</f>
        <v/>
      </c>
      <c r="BX145" t="str">
        <f>""</f>
        <v/>
      </c>
      <c r="BY145" t="str">
        <f>""</f>
        <v/>
      </c>
      <c r="BZ145" t="str">
        <f>""</f>
        <v/>
      </c>
      <c r="CA145" t="str">
        <f>""</f>
        <v/>
      </c>
      <c r="CB145" t="str">
        <f>""</f>
        <v/>
      </c>
      <c r="CC145" t="str">
        <f>""</f>
        <v/>
      </c>
      <c r="CD145" t="str">
        <f>""</f>
        <v/>
      </c>
      <c r="CE145" t="str">
        <f>""</f>
        <v/>
      </c>
      <c r="CF145" t="str">
        <f>""</f>
        <v/>
      </c>
      <c r="CG145" t="str">
        <f>""</f>
        <v/>
      </c>
      <c r="CH145" t="str">
        <f>""</f>
        <v/>
      </c>
      <c r="CI145" t="str">
        <f>""</f>
        <v/>
      </c>
      <c r="CJ145" t="str">
        <f>""</f>
        <v/>
      </c>
      <c r="CK145" t="str">
        <f>""</f>
        <v/>
      </c>
      <c r="CL145" t="str">
        <f>""</f>
        <v/>
      </c>
      <c r="CM145" t="str">
        <f>""</f>
        <v/>
      </c>
      <c r="CN145" t="str">
        <f>""</f>
        <v/>
      </c>
      <c r="CO145" t="str">
        <f>""</f>
        <v/>
      </c>
      <c r="CP145" t="str">
        <f>""</f>
        <v/>
      </c>
      <c r="CQ145" t="str">
        <f>""</f>
        <v/>
      </c>
      <c r="CR145" t="str">
        <f>""</f>
        <v/>
      </c>
      <c r="CS145" t="str">
        <f>""</f>
        <v/>
      </c>
      <c r="CT145" t="str">
        <f>""</f>
        <v/>
      </c>
      <c r="CU145" t="str">
        <f>""</f>
        <v/>
      </c>
      <c r="CV145" t="str">
        <f>""</f>
        <v/>
      </c>
      <c r="CW145" t="str">
        <f>""</f>
        <v/>
      </c>
      <c r="CX145" t="str">
        <f>""</f>
        <v/>
      </c>
      <c r="CY145" t="str">
        <f>""</f>
        <v/>
      </c>
      <c r="CZ145" t="str">
        <f>""</f>
        <v/>
      </c>
      <c r="DA145" t="str">
        <f>""</f>
        <v/>
      </c>
      <c r="DB145" t="str">
        <f>""</f>
        <v/>
      </c>
      <c r="DC145" t="str">
        <f>""</f>
        <v/>
      </c>
      <c r="DD145" t="str">
        <f>""</f>
        <v/>
      </c>
      <c r="DE145" t="str">
        <f>""</f>
        <v/>
      </c>
      <c r="DF145" t="str">
        <f>""</f>
        <v/>
      </c>
      <c r="DG145" t="str">
        <f>""</f>
        <v/>
      </c>
      <c r="DH145" t="str">
        <f>""</f>
        <v/>
      </c>
      <c r="DI145" t="str">
        <f>""</f>
        <v/>
      </c>
      <c r="DJ145" t="str">
        <f>""</f>
        <v/>
      </c>
      <c r="DK145" t="str">
        <f>""</f>
        <v/>
      </c>
      <c r="DL145" t="str">
        <f>""</f>
        <v/>
      </c>
      <c r="DM145" t="str">
        <f>""</f>
        <v/>
      </c>
      <c r="DN145" t="str">
        <f>""</f>
        <v/>
      </c>
      <c r="DO145" t="str">
        <f>""</f>
        <v/>
      </c>
      <c r="DP145" t="str">
        <f>""</f>
        <v/>
      </c>
      <c r="DQ145" t="str">
        <f>""</f>
        <v/>
      </c>
      <c r="DR145" t="str">
        <f>""</f>
        <v/>
      </c>
      <c r="DS145" t="str">
        <f>""</f>
        <v/>
      </c>
      <c r="DT145" t="str">
        <f>""</f>
        <v/>
      </c>
      <c r="DU145" t="str">
        <f>""</f>
        <v/>
      </c>
      <c r="DV145" t="str">
        <f>""</f>
        <v/>
      </c>
      <c r="DW145" t="str">
        <f>""</f>
        <v/>
      </c>
      <c r="DX145" t="str">
        <f>""</f>
        <v/>
      </c>
      <c r="DY145" t="str">
        <f>""</f>
        <v/>
      </c>
      <c r="DZ145" t="str">
        <f>""</f>
        <v/>
      </c>
      <c r="EA145" t="str">
        <f>""</f>
        <v/>
      </c>
      <c r="EB145" t="str">
        <f>""</f>
        <v/>
      </c>
      <c r="EC145" t="str">
        <f>""</f>
        <v/>
      </c>
      <c r="ED145" t="str">
        <f>""</f>
        <v/>
      </c>
      <c r="EE145" t="str">
        <f>""</f>
        <v/>
      </c>
      <c r="EF145" t="str">
        <f>""</f>
        <v/>
      </c>
      <c r="EG145" t="str">
        <f>""</f>
        <v/>
      </c>
      <c r="EH145" t="str">
        <f>""</f>
        <v/>
      </c>
      <c r="EI145" t="str">
        <f>""</f>
        <v/>
      </c>
      <c r="EJ145" t="str">
        <f>""</f>
        <v/>
      </c>
      <c r="EK145" t="str">
        <f>""</f>
        <v/>
      </c>
      <c r="EL145" t="str">
        <f>""</f>
        <v/>
      </c>
      <c r="EM145" t="str">
        <f>""</f>
        <v/>
      </c>
      <c r="EN145" t="str">
        <f>""</f>
        <v/>
      </c>
      <c r="EO145" t="str">
        <f>""</f>
        <v/>
      </c>
      <c r="EP145" t="str">
        <f>""</f>
        <v/>
      </c>
      <c r="EQ145" t="str">
        <f>""</f>
        <v/>
      </c>
      <c r="ER145" t="str">
        <f>""</f>
        <v/>
      </c>
      <c r="ES145" t="str">
        <f>""</f>
        <v/>
      </c>
      <c r="ET145" t="str">
        <f>""</f>
        <v/>
      </c>
      <c r="EU145" t="str">
        <f>""</f>
        <v/>
      </c>
      <c r="EV145" t="str">
        <f>""</f>
        <v/>
      </c>
      <c r="EW145" t="str">
        <f>""</f>
        <v/>
      </c>
      <c r="EX145" t="str">
        <f>""</f>
        <v/>
      </c>
      <c r="EY145" t="str">
        <f>""</f>
        <v/>
      </c>
      <c r="EZ145" t="str">
        <f>""</f>
        <v/>
      </c>
      <c r="FA145" t="str">
        <f>""</f>
        <v/>
      </c>
      <c r="FB145" t="str">
        <f>""</f>
        <v/>
      </c>
      <c r="FC145" t="str">
        <f>""</f>
        <v/>
      </c>
      <c r="FD145" t="str">
        <f>""</f>
        <v/>
      </c>
      <c r="FE145" t="str">
        <f>""</f>
        <v/>
      </c>
      <c r="FF145" t="str">
        <f>""</f>
        <v/>
      </c>
      <c r="FG145" t="str">
        <f>""</f>
        <v/>
      </c>
      <c r="FH145" t="str">
        <f>""</f>
        <v/>
      </c>
      <c r="FI145" t="str">
        <f>""</f>
        <v/>
      </c>
      <c r="FJ145" t="str">
        <f>""</f>
        <v/>
      </c>
      <c r="FK145" t="str">
        <f>""</f>
        <v/>
      </c>
      <c r="FL145" t="str">
        <f>""</f>
        <v/>
      </c>
      <c r="FM145" t="str">
        <f>""</f>
        <v/>
      </c>
      <c r="FN145" t="str">
        <f>""</f>
        <v/>
      </c>
      <c r="FO145" t="str">
        <f>""</f>
        <v/>
      </c>
      <c r="FP145" t="str">
        <f>""</f>
        <v/>
      </c>
      <c r="FQ145" t="str">
        <f>""</f>
        <v/>
      </c>
      <c r="FR145" t="str">
        <f>""</f>
        <v/>
      </c>
      <c r="FS145" t="str">
        <f>""</f>
        <v/>
      </c>
      <c r="FT145" t="str">
        <f>""</f>
        <v/>
      </c>
      <c r="FU145" t="str">
        <f>""</f>
        <v/>
      </c>
      <c r="FV145" t="str">
        <f>""</f>
        <v/>
      </c>
      <c r="FW145" t="str">
        <f>""</f>
        <v/>
      </c>
      <c r="FX145" t="str">
        <f>""</f>
        <v/>
      </c>
      <c r="FY145" t="str">
        <f>""</f>
        <v/>
      </c>
      <c r="FZ145" t="str">
        <f>""</f>
        <v/>
      </c>
      <c r="GA145" t="str">
        <f>""</f>
        <v/>
      </c>
      <c r="GB145" t="str">
        <f>""</f>
        <v/>
      </c>
      <c r="GC145" t="str">
        <f>""</f>
        <v/>
      </c>
      <c r="GD145" t="str">
        <f>""</f>
        <v/>
      </c>
      <c r="GE145" t="str">
        <f>""</f>
        <v/>
      </c>
      <c r="GF145" t="str">
        <f>""</f>
        <v/>
      </c>
      <c r="GG145" t="str">
        <f>""</f>
        <v/>
      </c>
      <c r="GH145" t="str">
        <f>""</f>
        <v/>
      </c>
      <c r="GI145" t="str">
        <f>""</f>
        <v/>
      </c>
      <c r="GJ145" t="str">
        <f>""</f>
        <v/>
      </c>
      <c r="GK145" t="str">
        <f>""</f>
        <v/>
      </c>
      <c r="GL145" t="str">
        <f>""</f>
        <v/>
      </c>
      <c r="GM145" t="str">
        <f>""</f>
        <v/>
      </c>
      <c r="GN145" t="str">
        <f>""</f>
        <v/>
      </c>
      <c r="GO145" t="str">
        <f>""</f>
        <v/>
      </c>
      <c r="GP145" t="str">
        <f>""</f>
        <v/>
      </c>
      <c r="GQ145" t="str">
        <f>""</f>
        <v/>
      </c>
      <c r="GR145" t="str">
        <f>""</f>
        <v/>
      </c>
      <c r="GS145" t="str">
        <f>""</f>
        <v/>
      </c>
      <c r="GT145" t="str">
        <f>""</f>
        <v/>
      </c>
      <c r="GU145" t="str">
        <f>""</f>
        <v/>
      </c>
      <c r="GV145" t="str">
        <f>""</f>
        <v/>
      </c>
      <c r="GW145" t="str">
        <f>""</f>
        <v/>
      </c>
      <c r="GX145" t="str">
        <f>""</f>
        <v/>
      </c>
      <c r="GY145" t="str">
        <f>""</f>
        <v/>
      </c>
      <c r="GZ145" t="str">
        <f>""</f>
        <v/>
      </c>
      <c r="HA145" t="str">
        <f>""</f>
        <v/>
      </c>
      <c r="HB145" t="str">
        <f>""</f>
        <v/>
      </c>
      <c r="HC145" t="str">
        <f>""</f>
        <v/>
      </c>
      <c r="HD145" t="str">
        <f>""</f>
        <v/>
      </c>
      <c r="HE145" t="str">
        <f>""</f>
        <v/>
      </c>
      <c r="HF145" t="str">
        <f>""</f>
        <v/>
      </c>
      <c r="HG145" t="str">
        <f>""</f>
        <v/>
      </c>
      <c r="HH145" t="str">
        <f>""</f>
        <v/>
      </c>
      <c r="HI145" t="str">
        <f>""</f>
        <v/>
      </c>
      <c r="HJ145" t="str">
        <f>""</f>
        <v/>
      </c>
      <c r="HK145" t="str">
        <f>""</f>
        <v/>
      </c>
      <c r="HL145" t="str">
        <f>""</f>
        <v/>
      </c>
      <c r="HM145" t="str">
        <f>""</f>
        <v/>
      </c>
      <c r="HN145" t="str">
        <f>""</f>
        <v/>
      </c>
      <c r="HO145" t="str">
        <f>""</f>
        <v/>
      </c>
      <c r="HP145" t="str">
        <f>""</f>
        <v/>
      </c>
      <c r="HQ145" t="str">
        <f>""</f>
        <v/>
      </c>
      <c r="HR145" t="str">
        <f>""</f>
        <v/>
      </c>
      <c r="HS145" t="str">
        <f>""</f>
        <v/>
      </c>
      <c r="HT145" t="str">
        <f>""</f>
        <v/>
      </c>
      <c r="HU145" t="str">
        <f>""</f>
        <v/>
      </c>
      <c r="HV145" t="str">
        <f>""</f>
        <v/>
      </c>
      <c r="HW145" t="str">
        <f>""</f>
        <v/>
      </c>
      <c r="HX145" t="str">
        <f>""</f>
        <v/>
      </c>
      <c r="HY145" t="str">
        <f>""</f>
        <v/>
      </c>
      <c r="HZ145" t="str">
        <f>""</f>
        <v/>
      </c>
      <c r="IA145" t="str">
        <f>""</f>
        <v/>
      </c>
      <c r="IB145" t="str">
        <f>""</f>
        <v/>
      </c>
      <c r="IC145" t="str">
        <f>""</f>
        <v/>
      </c>
      <c r="ID145" t="str">
        <f>""</f>
        <v/>
      </c>
      <c r="IE145" t="str">
        <f>""</f>
        <v/>
      </c>
      <c r="IF145" t="str">
        <f>""</f>
        <v/>
      </c>
      <c r="IG145" t="str">
        <f>""</f>
        <v/>
      </c>
      <c r="IH145" t="str">
        <f>""</f>
        <v/>
      </c>
      <c r="II145" t="str">
        <f>""</f>
        <v/>
      </c>
      <c r="IJ145" t="str">
        <f>""</f>
        <v/>
      </c>
      <c r="IK145" t="str">
        <f>""</f>
        <v/>
      </c>
      <c r="IL145" t="str">
        <f>""</f>
        <v/>
      </c>
      <c r="IM145" t="str">
        <f>""</f>
        <v/>
      </c>
      <c r="IN145" t="str">
        <f>""</f>
        <v/>
      </c>
      <c r="IO145" t="str">
        <f>""</f>
        <v/>
      </c>
      <c r="IP145" t="str">
        <f>""</f>
        <v/>
      </c>
      <c r="IQ145" t="str">
        <f>""</f>
        <v/>
      </c>
      <c r="IR145" t="str">
        <f>""</f>
        <v/>
      </c>
      <c r="IS145" t="str">
        <f>""</f>
        <v/>
      </c>
      <c r="IT145" t="str">
        <f>""</f>
        <v/>
      </c>
      <c r="IU145" t="str">
        <f>""</f>
        <v/>
      </c>
      <c r="IV145" t="str">
        <f>""</f>
        <v/>
      </c>
      <c r="IW145" t="str">
        <f>""</f>
        <v/>
      </c>
      <c r="IX145" t="str">
        <f>""</f>
        <v/>
      </c>
      <c r="IY145" t="str">
        <f>""</f>
        <v/>
      </c>
      <c r="IZ145" t="str">
        <f>""</f>
        <v/>
      </c>
      <c r="JA145" t="str">
        <f>""</f>
        <v/>
      </c>
      <c r="JB145" t="str">
        <f>""</f>
        <v/>
      </c>
      <c r="JC145" t="str">
        <f>""</f>
        <v/>
      </c>
      <c r="JD145" t="str">
        <f>""</f>
        <v/>
      </c>
      <c r="JE145" t="str">
        <f>""</f>
        <v/>
      </c>
      <c r="JF145" t="str">
        <f>""</f>
        <v/>
      </c>
      <c r="JG145" t="str">
        <f>""</f>
        <v/>
      </c>
      <c r="JH145" t="str">
        <f>""</f>
        <v/>
      </c>
      <c r="JI145" t="str">
        <f>""</f>
        <v/>
      </c>
      <c r="JJ145" t="str">
        <f>""</f>
        <v/>
      </c>
      <c r="JK145" t="str">
        <f>""</f>
        <v/>
      </c>
    </row>
    <row r="147" spans="1:271" x14ac:dyDescent="0.3">
      <c r="A147" t="str">
        <f>"c.zMETAB7#c.PM2"</f>
        <v>c.zMETAB7#c.PM2</v>
      </c>
      <c r="B147" t="str">
        <f>""</f>
        <v/>
      </c>
      <c r="C147" t="str">
        <f>""</f>
        <v/>
      </c>
      <c r="D147" t="str">
        <f>""</f>
        <v/>
      </c>
      <c r="E147" t="str">
        <f>""</f>
        <v/>
      </c>
      <c r="F147" t="str">
        <f>""</f>
        <v/>
      </c>
      <c r="G147" t="str">
        <f>""</f>
        <v/>
      </c>
      <c r="H147" t="str">
        <f>""</f>
        <v/>
      </c>
      <c r="I147" t="str">
        <f>""</f>
        <v/>
      </c>
      <c r="J147" t="str">
        <f>""</f>
        <v/>
      </c>
      <c r="K147" t="str">
        <f>""</f>
        <v/>
      </c>
      <c r="L147" t="str">
        <f>""</f>
        <v/>
      </c>
      <c r="M147" t="str">
        <f>""</f>
        <v/>
      </c>
      <c r="N147" t="str">
        <f>""</f>
        <v/>
      </c>
      <c r="O147" t="str">
        <f>""</f>
        <v/>
      </c>
      <c r="P147" t="str">
        <f>""</f>
        <v/>
      </c>
      <c r="Q147" t="str">
        <f>""</f>
        <v/>
      </c>
      <c r="R147" t="str">
        <f>""</f>
        <v/>
      </c>
      <c r="S147" t="str">
        <f>""</f>
        <v/>
      </c>
      <c r="T147" t="str">
        <f>""</f>
        <v/>
      </c>
      <c r="U147" t="str">
        <f>""</f>
        <v/>
      </c>
      <c r="V147" t="str">
        <f>""</f>
        <v/>
      </c>
      <c r="W147" t="str">
        <f>""</f>
        <v/>
      </c>
      <c r="X147" t="str">
        <f>""</f>
        <v/>
      </c>
      <c r="Y147" t="str">
        <f>""</f>
        <v/>
      </c>
      <c r="Z147" t="str">
        <f>""</f>
        <v/>
      </c>
      <c r="AA147" t="str">
        <f>""</f>
        <v/>
      </c>
      <c r="AB147" t="str">
        <f>""</f>
        <v/>
      </c>
      <c r="AC147" t="str">
        <f>""</f>
        <v/>
      </c>
      <c r="AD147" t="str">
        <f>""</f>
        <v/>
      </c>
      <c r="AE147" t="str">
        <f>""</f>
        <v/>
      </c>
      <c r="AF147" t="str">
        <f>""</f>
        <v/>
      </c>
      <c r="AG147" t="str">
        <f>""</f>
        <v/>
      </c>
      <c r="AH147" t="str">
        <f>""</f>
        <v/>
      </c>
      <c r="AI147" t="str">
        <f>""</f>
        <v/>
      </c>
      <c r="AJ147" t="str">
        <f>""</f>
        <v/>
      </c>
      <c r="AK147" t="str">
        <f>""</f>
        <v/>
      </c>
      <c r="AL147" t="str">
        <f>""</f>
        <v/>
      </c>
      <c r="AM147" t="str">
        <f>""</f>
        <v/>
      </c>
      <c r="AN147" t="str">
        <f>""</f>
        <v/>
      </c>
      <c r="AO147" t="str">
        <f>""</f>
        <v/>
      </c>
      <c r="AP147" t="str">
        <f>""</f>
        <v/>
      </c>
      <c r="AQ147" t="str">
        <f>""</f>
        <v/>
      </c>
      <c r="AR147" t="str">
        <f>""</f>
        <v/>
      </c>
      <c r="AS147" t="str">
        <f>""</f>
        <v/>
      </c>
      <c r="AT147" t="str">
        <f>""</f>
        <v/>
      </c>
      <c r="AU147" t="str">
        <f>""</f>
        <v/>
      </c>
      <c r="AV147" t="str">
        <f>""</f>
        <v/>
      </c>
      <c r="AW147" t="str">
        <f>""</f>
        <v/>
      </c>
      <c r="AX147" t="str">
        <f>""</f>
        <v/>
      </c>
      <c r="AY147" t="str">
        <f>""</f>
        <v/>
      </c>
      <c r="AZ147" t="str">
        <f>""</f>
        <v/>
      </c>
      <c r="BA147" t="str">
        <f>""</f>
        <v/>
      </c>
      <c r="BB147" t="str">
        <f>""</f>
        <v/>
      </c>
      <c r="BC147" t="str">
        <f>""</f>
        <v/>
      </c>
      <c r="BD147" t="str">
        <f>""</f>
        <v/>
      </c>
      <c r="BE147" t="str">
        <f>""</f>
        <v/>
      </c>
      <c r="BF147" t="str">
        <f>""</f>
        <v/>
      </c>
      <c r="BG147" t="str">
        <f>""</f>
        <v/>
      </c>
      <c r="BH147" t="str">
        <f>""</f>
        <v/>
      </c>
      <c r="BI147" t="str">
        <f>""</f>
        <v/>
      </c>
      <c r="BJ147" t="str">
        <f>""</f>
        <v/>
      </c>
      <c r="BK147" t="str">
        <f>""</f>
        <v/>
      </c>
      <c r="BL147" t="str">
        <f>""</f>
        <v/>
      </c>
      <c r="BM147" t="str">
        <f>"-0.0517"</f>
        <v>-0.0517</v>
      </c>
      <c r="BN147" t="str">
        <f>"0.00794"</f>
        <v>0.00794</v>
      </c>
      <c r="BO147" t="str">
        <f>"0.0322"</f>
        <v>0.0322</v>
      </c>
      <c r="BP147" t="str">
        <f>""</f>
        <v/>
      </c>
      <c r="BQ147" t="str">
        <f>""</f>
        <v/>
      </c>
      <c r="BR147" t="str">
        <f>""</f>
        <v/>
      </c>
      <c r="BS147" t="str">
        <f>""</f>
        <v/>
      </c>
      <c r="BT147" t="str">
        <f>""</f>
        <v/>
      </c>
      <c r="BU147" t="str">
        <f>""</f>
        <v/>
      </c>
      <c r="BV147" t="str">
        <f>""</f>
        <v/>
      </c>
      <c r="BW147" t="str">
        <f>""</f>
        <v/>
      </c>
      <c r="BX147" t="str">
        <f>""</f>
        <v/>
      </c>
      <c r="BY147" t="str">
        <f>""</f>
        <v/>
      </c>
      <c r="BZ147" t="str">
        <f>""</f>
        <v/>
      </c>
      <c r="CA147" t="str">
        <f>""</f>
        <v/>
      </c>
      <c r="CB147" t="str">
        <f>""</f>
        <v/>
      </c>
      <c r="CC147" t="str">
        <f>""</f>
        <v/>
      </c>
      <c r="CD147" t="str">
        <f>""</f>
        <v/>
      </c>
      <c r="CE147" t="str">
        <f>""</f>
        <v/>
      </c>
      <c r="CF147" t="str">
        <f>""</f>
        <v/>
      </c>
      <c r="CG147" t="str">
        <f>""</f>
        <v/>
      </c>
      <c r="CH147" t="str">
        <f>""</f>
        <v/>
      </c>
      <c r="CI147" t="str">
        <f>""</f>
        <v/>
      </c>
      <c r="CJ147" t="str">
        <f>""</f>
        <v/>
      </c>
      <c r="CK147" t="str">
        <f>""</f>
        <v/>
      </c>
      <c r="CL147" t="str">
        <f>""</f>
        <v/>
      </c>
      <c r="CM147" t="str">
        <f>""</f>
        <v/>
      </c>
      <c r="CN147" t="str">
        <f>""</f>
        <v/>
      </c>
      <c r="CO147" t="str">
        <f>""</f>
        <v/>
      </c>
      <c r="CP147" t="str">
        <f>""</f>
        <v/>
      </c>
      <c r="CQ147" t="str">
        <f>""</f>
        <v/>
      </c>
      <c r="CR147" t="str">
        <f>""</f>
        <v/>
      </c>
      <c r="CS147" t="str">
        <f>""</f>
        <v/>
      </c>
      <c r="CT147" t="str">
        <f>""</f>
        <v/>
      </c>
      <c r="CU147" t="str">
        <f>""</f>
        <v/>
      </c>
      <c r="CV147" t="str">
        <f>""</f>
        <v/>
      </c>
      <c r="CW147" t="str">
        <f>""</f>
        <v/>
      </c>
      <c r="CX147" t="str">
        <f>""</f>
        <v/>
      </c>
      <c r="CY147" t="str">
        <f>""</f>
        <v/>
      </c>
      <c r="CZ147" t="str">
        <f>""</f>
        <v/>
      </c>
      <c r="DA147" t="str">
        <f>""</f>
        <v/>
      </c>
      <c r="DB147" t="str">
        <f>""</f>
        <v/>
      </c>
      <c r="DC147" t="str">
        <f>""</f>
        <v/>
      </c>
      <c r="DD147" t="str">
        <f>""</f>
        <v/>
      </c>
      <c r="DE147" t="str">
        <f>""</f>
        <v/>
      </c>
      <c r="DF147" t="str">
        <f>""</f>
        <v/>
      </c>
      <c r="DG147" t="str">
        <f>""</f>
        <v/>
      </c>
      <c r="DH147" t="str">
        <f>""</f>
        <v/>
      </c>
      <c r="DI147" t="str">
        <f>""</f>
        <v/>
      </c>
      <c r="DJ147" t="str">
        <f>""</f>
        <v/>
      </c>
      <c r="DK147" t="str">
        <f>""</f>
        <v/>
      </c>
      <c r="DL147" t="str">
        <f>""</f>
        <v/>
      </c>
      <c r="DM147" t="str">
        <f>""</f>
        <v/>
      </c>
      <c r="DN147" t="str">
        <f>""</f>
        <v/>
      </c>
      <c r="DO147" t="str">
        <f>""</f>
        <v/>
      </c>
      <c r="DP147" t="str">
        <f>""</f>
        <v/>
      </c>
      <c r="DQ147" t="str">
        <f>""</f>
        <v/>
      </c>
      <c r="DR147" t="str">
        <f>""</f>
        <v/>
      </c>
      <c r="DS147" t="str">
        <f>""</f>
        <v/>
      </c>
      <c r="DT147" t="str">
        <f>""</f>
        <v/>
      </c>
      <c r="DU147" t="str">
        <f>""</f>
        <v/>
      </c>
      <c r="DV147" t="str">
        <f>""</f>
        <v/>
      </c>
      <c r="DW147" t="str">
        <f>""</f>
        <v/>
      </c>
      <c r="DX147" t="str">
        <f>""</f>
        <v/>
      </c>
      <c r="DY147" t="str">
        <f>""</f>
        <v/>
      </c>
      <c r="DZ147" t="str">
        <f>""</f>
        <v/>
      </c>
      <c r="EA147" t="str">
        <f>""</f>
        <v/>
      </c>
      <c r="EB147" t="str">
        <f>""</f>
        <v/>
      </c>
      <c r="EC147" t="str">
        <f>""</f>
        <v/>
      </c>
      <c r="ED147" t="str">
        <f>""</f>
        <v/>
      </c>
      <c r="EE147" t="str">
        <f>""</f>
        <v/>
      </c>
      <c r="EF147" t="str">
        <f>""</f>
        <v/>
      </c>
      <c r="EG147" t="str">
        <f>""</f>
        <v/>
      </c>
      <c r="EH147" t="str">
        <f>""</f>
        <v/>
      </c>
      <c r="EI147" t="str">
        <f>""</f>
        <v/>
      </c>
      <c r="EJ147" t="str">
        <f>""</f>
        <v/>
      </c>
      <c r="EK147" t="str">
        <f>""</f>
        <v/>
      </c>
      <c r="EL147" t="str">
        <f>""</f>
        <v/>
      </c>
      <c r="EM147" t="str">
        <f>""</f>
        <v/>
      </c>
      <c r="EN147" t="str">
        <f>""</f>
        <v/>
      </c>
      <c r="EO147" t="str">
        <f>""</f>
        <v/>
      </c>
      <c r="EP147" t="str">
        <f>""</f>
        <v/>
      </c>
      <c r="EQ147" t="str">
        <f>""</f>
        <v/>
      </c>
      <c r="ER147" t="str">
        <f>""</f>
        <v/>
      </c>
      <c r="ES147" t="str">
        <f>""</f>
        <v/>
      </c>
      <c r="ET147" t="str">
        <f>""</f>
        <v/>
      </c>
      <c r="EU147" t="str">
        <f>""</f>
        <v/>
      </c>
      <c r="EV147" t="str">
        <f>""</f>
        <v/>
      </c>
      <c r="EW147" t="str">
        <f>""</f>
        <v/>
      </c>
      <c r="EX147" t="str">
        <f>""</f>
        <v/>
      </c>
      <c r="EY147" t="str">
        <f>""</f>
        <v/>
      </c>
      <c r="EZ147" t="str">
        <f>""</f>
        <v/>
      </c>
      <c r="FA147" t="str">
        <f>""</f>
        <v/>
      </c>
      <c r="FB147" t="str">
        <f>""</f>
        <v/>
      </c>
      <c r="FC147" t="str">
        <f>""</f>
        <v/>
      </c>
      <c r="FD147" t="str">
        <f>""</f>
        <v/>
      </c>
      <c r="FE147" t="str">
        <f>""</f>
        <v/>
      </c>
      <c r="FF147" t="str">
        <f>""</f>
        <v/>
      </c>
      <c r="FG147" t="str">
        <f>""</f>
        <v/>
      </c>
      <c r="FH147" t="str">
        <f>""</f>
        <v/>
      </c>
      <c r="FI147" t="str">
        <f>""</f>
        <v/>
      </c>
      <c r="FJ147" t="str">
        <f>""</f>
        <v/>
      </c>
      <c r="FK147" t="str">
        <f>""</f>
        <v/>
      </c>
      <c r="FL147" t="str">
        <f>""</f>
        <v/>
      </c>
      <c r="FM147" t="str">
        <f>""</f>
        <v/>
      </c>
      <c r="FN147" t="str">
        <f>""</f>
        <v/>
      </c>
      <c r="FO147" t="str">
        <f>""</f>
        <v/>
      </c>
      <c r="FP147" t="str">
        <f>""</f>
        <v/>
      </c>
      <c r="FQ147" t="str">
        <f>""</f>
        <v/>
      </c>
      <c r="FR147" t="str">
        <f>""</f>
        <v/>
      </c>
      <c r="FS147" t="str">
        <f>""</f>
        <v/>
      </c>
      <c r="FT147" t="str">
        <f>""</f>
        <v/>
      </c>
      <c r="FU147" t="str">
        <f>""</f>
        <v/>
      </c>
      <c r="FV147" t="str">
        <f>""</f>
        <v/>
      </c>
      <c r="FW147" t="str">
        <f>""</f>
        <v/>
      </c>
      <c r="FX147" t="str">
        <f>""</f>
        <v/>
      </c>
      <c r="FY147" t="str">
        <f>""</f>
        <v/>
      </c>
      <c r="FZ147" t="str">
        <f>""</f>
        <v/>
      </c>
      <c r="GA147" t="str">
        <f>""</f>
        <v/>
      </c>
      <c r="GB147" t="str">
        <f>""</f>
        <v/>
      </c>
      <c r="GC147" t="str">
        <f>""</f>
        <v/>
      </c>
      <c r="GD147" t="str">
        <f>""</f>
        <v/>
      </c>
      <c r="GE147" t="str">
        <f>""</f>
        <v/>
      </c>
      <c r="GF147" t="str">
        <f>""</f>
        <v/>
      </c>
      <c r="GG147" t="str">
        <f>""</f>
        <v/>
      </c>
      <c r="GH147" t="str">
        <f>""</f>
        <v/>
      </c>
      <c r="GI147" t="str">
        <f>""</f>
        <v/>
      </c>
      <c r="GJ147" t="str">
        <f>""</f>
        <v/>
      </c>
      <c r="GK147" t="str">
        <f>""</f>
        <v/>
      </c>
      <c r="GL147" t="str">
        <f>""</f>
        <v/>
      </c>
      <c r="GM147" t="str">
        <f>""</f>
        <v/>
      </c>
      <c r="GN147" t="str">
        <f>""</f>
        <v/>
      </c>
      <c r="GO147" t="str">
        <f>""</f>
        <v/>
      </c>
      <c r="GP147" t="str">
        <f>""</f>
        <v/>
      </c>
      <c r="GQ147" t="str">
        <f>""</f>
        <v/>
      </c>
      <c r="GR147" t="str">
        <f>""</f>
        <v/>
      </c>
      <c r="GS147" t="str">
        <f>""</f>
        <v/>
      </c>
      <c r="GT147" t="str">
        <f>""</f>
        <v/>
      </c>
      <c r="GU147" t="str">
        <f>""</f>
        <v/>
      </c>
      <c r="GV147" t="str">
        <f>""</f>
        <v/>
      </c>
      <c r="GW147" t="str">
        <f>""</f>
        <v/>
      </c>
      <c r="GX147" t="str">
        <f>""</f>
        <v/>
      </c>
      <c r="GY147" t="str">
        <f>""</f>
        <v/>
      </c>
      <c r="GZ147" t="str">
        <f>""</f>
        <v/>
      </c>
      <c r="HA147" t="str">
        <f>""</f>
        <v/>
      </c>
      <c r="HB147" t="str">
        <f>""</f>
        <v/>
      </c>
      <c r="HC147" t="str">
        <f>""</f>
        <v/>
      </c>
      <c r="HD147" t="str">
        <f>""</f>
        <v/>
      </c>
      <c r="HE147" t="str">
        <f>""</f>
        <v/>
      </c>
      <c r="HF147" t="str">
        <f>""</f>
        <v/>
      </c>
      <c r="HG147" t="str">
        <f>""</f>
        <v/>
      </c>
      <c r="HH147" t="str">
        <f>""</f>
        <v/>
      </c>
      <c r="HI147" t="str">
        <f>""</f>
        <v/>
      </c>
      <c r="HJ147" t="str">
        <f>""</f>
        <v/>
      </c>
      <c r="HK147" t="str">
        <f>""</f>
        <v/>
      </c>
      <c r="HL147" t="str">
        <f>""</f>
        <v/>
      </c>
      <c r="HM147" t="str">
        <f>""</f>
        <v/>
      </c>
      <c r="HN147" t="str">
        <f>""</f>
        <v/>
      </c>
      <c r="HO147" t="str">
        <f>""</f>
        <v/>
      </c>
      <c r="HP147" t="str">
        <f>""</f>
        <v/>
      </c>
      <c r="HQ147" t="str">
        <f>""</f>
        <v/>
      </c>
      <c r="HR147" t="str">
        <f>""</f>
        <v/>
      </c>
      <c r="HS147" t="str">
        <f>""</f>
        <v/>
      </c>
      <c r="HT147" t="str">
        <f>""</f>
        <v/>
      </c>
      <c r="HU147" t="str">
        <f>""</f>
        <v/>
      </c>
      <c r="HV147" t="str">
        <f>""</f>
        <v/>
      </c>
      <c r="HW147" t="str">
        <f>""</f>
        <v/>
      </c>
      <c r="HX147" t="str">
        <f>""</f>
        <v/>
      </c>
      <c r="HY147" t="str">
        <f>""</f>
        <v/>
      </c>
      <c r="HZ147" t="str">
        <f>""</f>
        <v/>
      </c>
      <c r="IA147" t="str">
        <f>""</f>
        <v/>
      </c>
      <c r="IB147" t="str">
        <f>""</f>
        <v/>
      </c>
      <c r="IC147" t="str">
        <f>""</f>
        <v/>
      </c>
      <c r="ID147" t="str">
        <f>""</f>
        <v/>
      </c>
      <c r="IE147" t="str">
        <f>""</f>
        <v/>
      </c>
      <c r="IF147" t="str">
        <f>""</f>
        <v/>
      </c>
      <c r="IG147" t="str">
        <f>""</f>
        <v/>
      </c>
      <c r="IH147" t="str">
        <f>""</f>
        <v/>
      </c>
      <c r="II147" t="str">
        <f>""</f>
        <v/>
      </c>
      <c r="IJ147" t="str">
        <f>""</f>
        <v/>
      </c>
      <c r="IK147" t="str">
        <f>""</f>
        <v/>
      </c>
      <c r="IL147" t="str">
        <f>""</f>
        <v/>
      </c>
      <c r="IM147" t="str">
        <f>""</f>
        <v/>
      </c>
      <c r="IN147" t="str">
        <f>""</f>
        <v/>
      </c>
      <c r="IO147" t="str">
        <f>""</f>
        <v/>
      </c>
      <c r="IP147" t="str">
        <f>""</f>
        <v/>
      </c>
      <c r="IQ147" t="str">
        <f>""</f>
        <v/>
      </c>
      <c r="IR147" t="str">
        <f>""</f>
        <v/>
      </c>
      <c r="IS147" t="str">
        <f>""</f>
        <v/>
      </c>
      <c r="IT147" t="str">
        <f>""</f>
        <v/>
      </c>
      <c r="IU147" t="str">
        <f>""</f>
        <v/>
      </c>
      <c r="IV147" t="str">
        <f>""</f>
        <v/>
      </c>
      <c r="IW147" t="str">
        <f>""</f>
        <v/>
      </c>
      <c r="IX147" t="str">
        <f>""</f>
        <v/>
      </c>
      <c r="IY147" t="str">
        <f>""</f>
        <v/>
      </c>
      <c r="IZ147" t="str">
        <f>""</f>
        <v/>
      </c>
      <c r="JA147" t="str">
        <f>""</f>
        <v/>
      </c>
      <c r="JB147" t="str">
        <f>""</f>
        <v/>
      </c>
      <c r="JC147" t="str">
        <f>""</f>
        <v/>
      </c>
      <c r="JD147" t="str">
        <f>""</f>
        <v/>
      </c>
      <c r="JE147" t="str">
        <f>""</f>
        <v/>
      </c>
      <c r="JF147" t="str">
        <f>""</f>
        <v/>
      </c>
      <c r="JG147" t="str">
        <f>""</f>
        <v/>
      </c>
      <c r="JH147" t="str">
        <f>""</f>
        <v/>
      </c>
      <c r="JI147" t="str">
        <f>""</f>
        <v/>
      </c>
      <c r="JJ147" t="str">
        <f>""</f>
        <v/>
      </c>
      <c r="JK147" t="str">
        <f>""</f>
        <v/>
      </c>
    </row>
    <row r="148" spans="1:271" x14ac:dyDescent="0.3">
      <c r="A148" t="str">
        <f>""</f>
        <v/>
      </c>
      <c r="B148" t="str">
        <f>""</f>
        <v/>
      </c>
      <c r="C148" t="str">
        <f>""</f>
        <v/>
      </c>
      <c r="D148" t="str">
        <f>""</f>
        <v/>
      </c>
      <c r="E148" t="str">
        <f>""</f>
        <v/>
      </c>
      <c r="F148" t="str">
        <f>""</f>
        <v/>
      </c>
      <c r="G148" t="str">
        <f>""</f>
        <v/>
      </c>
      <c r="H148" t="str">
        <f>""</f>
        <v/>
      </c>
      <c r="I148" t="str">
        <f>""</f>
        <v/>
      </c>
      <c r="J148" t="str">
        <f>""</f>
        <v/>
      </c>
      <c r="K148" t="str">
        <f>""</f>
        <v/>
      </c>
      <c r="L148" t="str">
        <f>""</f>
        <v/>
      </c>
      <c r="M148" t="str">
        <f>""</f>
        <v/>
      </c>
      <c r="N148" t="str">
        <f>""</f>
        <v/>
      </c>
      <c r="O148" t="str">
        <f>""</f>
        <v/>
      </c>
      <c r="P148" t="str">
        <f>""</f>
        <v/>
      </c>
      <c r="Q148" t="str">
        <f>""</f>
        <v/>
      </c>
      <c r="R148" t="str">
        <f>""</f>
        <v/>
      </c>
      <c r="S148" t="str">
        <f>""</f>
        <v/>
      </c>
      <c r="T148" t="str">
        <f>""</f>
        <v/>
      </c>
      <c r="U148" t="str">
        <f>""</f>
        <v/>
      </c>
      <c r="V148" t="str">
        <f>""</f>
        <v/>
      </c>
      <c r="W148" t="str">
        <f>""</f>
        <v/>
      </c>
      <c r="X148" t="str">
        <f>""</f>
        <v/>
      </c>
      <c r="Y148" t="str">
        <f>""</f>
        <v/>
      </c>
      <c r="Z148" t="str">
        <f>""</f>
        <v/>
      </c>
      <c r="AA148" t="str">
        <f>""</f>
        <v/>
      </c>
      <c r="AB148" t="str">
        <f>""</f>
        <v/>
      </c>
      <c r="AC148" t="str">
        <f>""</f>
        <v/>
      </c>
      <c r="AD148" t="str">
        <f>""</f>
        <v/>
      </c>
      <c r="AE148" t="str">
        <f>""</f>
        <v/>
      </c>
      <c r="AF148" t="str">
        <f>""</f>
        <v/>
      </c>
      <c r="AG148" t="str">
        <f>""</f>
        <v/>
      </c>
      <c r="AH148" t="str">
        <f>""</f>
        <v/>
      </c>
      <c r="AI148" t="str">
        <f>""</f>
        <v/>
      </c>
      <c r="AJ148" t="str">
        <f>""</f>
        <v/>
      </c>
      <c r="AK148" t="str">
        <f>""</f>
        <v/>
      </c>
      <c r="AL148" t="str">
        <f>""</f>
        <v/>
      </c>
      <c r="AM148" t="str">
        <f>""</f>
        <v/>
      </c>
      <c r="AN148" t="str">
        <f>""</f>
        <v/>
      </c>
      <c r="AO148" t="str">
        <f>""</f>
        <v/>
      </c>
      <c r="AP148" t="str">
        <f>""</f>
        <v/>
      </c>
      <c r="AQ148" t="str">
        <f>""</f>
        <v/>
      </c>
      <c r="AR148" t="str">
        <f>""</f>
        <v/>
      </c>
      <c r="AS148" t="str">
        <f>""</f>
        <v/>
      </c>
      <c r="AT148" t="str">
        <f>""</f>
        <v/>
      </c>
      <c r="AU148" t="str">
        <f>""</f>
        <v/>
      </c>
      <c r="AV148" t="str">
        <f>""</f>
        <v/>
      </c>
      <c r="AW148" t="str">
        <f>""</f>
        <v/>
      </c>
      <c r="AX148" t="str">
        <f>""</f>
        <v/>
      </c>
      <c r="AY148" t="str">
        <f>""</f>
        <v/>
      </c>
      <c r="AZ148" t="str">
        <f>""</f>
        <v/>
      </c>
      <c r="BA148" t="str">
        <f>""</f>
        <v/>
      </c>
      <c r="BB148" t="str">
        <f>""</f>
        <v/>
      </c>
      <c r="BC148" t="str">
        <f>""</f>
        <v/>
      </c>
      <c r="BD148" t="str">
        <f>""</f>
        <v/>
      </c>
      <c r="BE148" t="str">
        <f>""</f>
        <v/>
      </c>
      <c r="BF148" t="str">
        <f>""</f>
        <v/>
      </c>
      <c r="BG148" t="str">
        <f>""</f>
        <v/>
      </c>
      <c r="BH148" t="str">
        <f>""</f>
        <v/>
      </c>
      <c r="BI148" t="str">
        <f>""</f>
        <v/>
      </c>
      <c r="BJ148" t="str">
        <f>""</f>
        <v/>
      </c>
      <c r="BK148" t="str">
        <f>""</f>
        <v/>
      </c>
      <c r="BL148" t="str">
        <f>""</f>
        <v/>
      </c>
      <c r="BM148" t="str">
        <f>"(0.104)"</f>
        <v>(0.104)</v>
      </c>
      <c r="BN148" t="str">
        <f>"(0.0824)"</f>
        <v>(0.0824)</v>
      </c>
      <c r="BO148" t="str">
        <f>"(0.0454)"</f>
        <v>(0.0454)</v>
      </c>
      <c r="BP148" t="str">
        <f>""</f>
        <v/>
      </c>
      <c r="BQ148" t="str">
        <f>""</f>
        <v/>
      </c>
      <c r="BR148" t="str">
        <f>""</f>
        <v/>
      </c>
      <c r="BS148" t="str">
        <f>""</f>
        <v/>
      </c>
      <c r="BT148" t="str">
        <f>""</f>
        <v/>
      </c>
      <c r="BU148" t="str">
        <f>""</f>
        <v/>
      </c>
      <c r="BV148" t="str">
        <f>""</f>
        <v/>
      </c>
      <c r="BW148" t="str">
        <f>""</f>
        <v/>
      </c>
      <c r="BX148" t="str">
        <f>""</f>
        <v/>
      </c>
      <c r="BY148" t="str">
        <f>""</f>
        <v/>
      </c>
      <c r="BZ148" t="str">
        <f>""</f>
        <v/>
      </c>
      <c r="CA148" t="str">
        <f>""</f>
        <v/>
      </c>
      <c r="CB148" t="str">
        <f>""</f>
        <v/>
      </c>
      <c r="CC148" t="str">
        <f>""</f>
        <v/>
      </c>
      <c r="CD148" t="str">
        <f>""</f>
        <v/>
      </c>
      <c r="CE148" t="str">
        <f>""</f>
        <v/>
      </c>
      <c r="CF148" t="str">
        <f>""</f>
        <v/>
      </c>
      <c r="CG148" t="str">
        <f>""</f>
        <v/>
      </c>
      <c r="CH148" t="str">
        <f>""</f>
        <v/>
      </c>
      <c r="CI148" t="str">
        <f>""</f>
        <v/>
      </c>
      <c r="CJ148" t="str">
        <f>""</f>
        <v/>
      </c>
      <c r="CK148" t="str">
        <f>""</f>
        <v/>
      </c>
      <c r="CL148" t="str">
        <f>""</f>
        <v/>
      </c>
      <c r="CM148" t="str">
        <f>""</f>
        <v/>
      </c>
      <c r="CN148" t="str">
        <f>""</f>
        <v/>
      </c>
      <c r="CO148" t="str">
        <f>""</f>
        <v/>
      </c>
      <c r="CP148" t="str">
        <f>""</f>
        <v/>
      </c>
      <c r="CQ148" t="str">
        <f>""</f>
        <v/>
      </c>
      <c r="CR148" t="str">
        <f>""</f>
        <v/>
      </c>
      <c r="CS148" t="str">
        <f>""</f>
        <v/>
      </c>
      <c r="CT148" t="str">
        <f>""</f>
        <v/>
      </c>
      <c r="CU148" t="str">
        <f>""</f>
        <v/>
      </c>
      <c r="CV148" t="str">
        <f>""</f>
        <v/>
      </c>
      <c r="CW148" t="str">
        <f>""</f>
        <v/>
      </c>
      <c r="CX148" t="str">
        <f>""</f>
        <v/>
      </c>
      <c r="CY148" t="str">
        <f>""</f>
        <v/>
      </c>
      <c r="CZ148" t="str">
        <f>""</f>
        <v/>
      </c>
      <c r="DA148" t="str">
        <f>""</f>
        <v/>
      </c>
      <c r="DB148" t="str">
        <f>""</f>
        <v/>
      </c>
      <c r="DC148" t="str">
        <f>""</f>
        <v/>
      </c>
      <c r="DD148" t="str">
        <f>""</f>
        <v/>
      </c>
      <c r="DE148" t="str">
        <f>""</f>
        <v/>
      </c>
      <c r="DF148" t="str">
        <f>""</f>
        <v/>
      </c>
      <c r="DG148" t="str">
        <f>""</f>
        <v/>
      </c>
      <c r="DH148" t="str">
        <f>""</f>
        <v/>
      </c>
      <c r="DI148" t="str">
        <f>""</f>
        <v/>
      </c>
      <c r="DJ148" t="str">
        <f>""</f>
        <v/>
      </c>
      <c r="DK148" t="str">
        <f>""</f>
        <v/>
      </c>
      <c r="DL148" t="str">
        <f>""</f>
        <v/>
      </c>
      <c r="DM148" t="str">
        <f>""</f>
        <v/>
      </c>
      <c r="DN148" t="str">
        <f>""</f>
        <v/>
      </c>
      <c r="DO148" t="str">
        <f>""</f>
        <v/>
      </c>
      <c r="DP148" t="str">
        <f>""</f>
        <v/>
      </c>
      <c r="DQ148" t="str">
        <f>""</f>
        <v/>
      </c>
      <c r="DR148" t="str">
        <f>""</f>
        <v/>
      </c>
      <c r="DS148" t="str">
        <f>""</f>
        <v/>
      </c>
      <c r="DT148" t="str">
        <f>""</f>
        <v/>
      </c>
      <c r="DU148" t="str">
        <f>""</f>
        <v/>
      </c>
      <c r="DV148" t="str">
        <f>""</f>
        <v/>
      </c>
      <c r="DW148" t="str">
        <f>""</f>
        <v/>
      </c>
      <c r="DX148" t="str">
        <f>""</f>
        <v/>
      </c>
      <c r="DY148" t="str">
        <f>""</f>
        <v/>
      </c>
      <c r="DZ148" t="str">
        <f>""</f>
        <v/>
      </c>
      <c r="EA148" t="str">
        <f>""</f>
        <v/>
      </c>
      <c r="EB148" t="str">
        <f>""</f>
        <v/>
      </c>
      <c r="EC148" t="str">
        <f>""</f>
        <v/>
      </c>
      <c r="ED148" t="str">
        <f>""</f>
        <v/>
      </c>
      <c r="EE148" t="str">
        <f>""</f>
        <v/>
      </c>
      <c r="EF148" t="str">
        <f>""</f>
        <v/>
      </c>
      <c r="EG148" t="str">
        <f>""</f>
        <v/>
      </c>
      <c r="EH148" t="str">
        <f>""</f>
        <v/>
      </c>
      <c r="EI148" t="str">
        <f>""</f>
        <v/>
      </c>
      <c r="EJ148" t="str">
        <f>""</f>
        <v/>
      </c>
      <c r="EK148" t="str">
        <f>""</f>
        <v/>
      </c>
      <c r="EL148" t="str">
        <f>""</f>
        <v/>
      </c>
      <c r="EM148" t="str">
        <f>""</f>
        <v/>
      </c>
      <c r="EN148" t="str">
        <f>""</f>
        <v/>
      </c>
      <c r="EO148" t="str">
        <f>""</f>
        <v/>
      </c>
      <c r="EP148" t="str">
        <f>""</f>
        <v/>
      </c>
      <c r="EQ148" t="str">
        <f>""</f>
        <v/>
      </c>
      <c r="ER148" t="str">
        <f>""</f>
        <v/>
      </c>
      <c r="ES148" t="str">
        <f>""</f>
        <v/>
      </c>
      <c r="ET148" t="str">
        <f>""</f>
        <v/>
      </c>
      <c r="EU148" t="str">
        <f>""</f>
        <v/>
      </c>
      <c r="EV148" t="str">
        <f>""</f>
        <v/>
      </c>
      <c r="EW148" t="str">
        <f>""</f>
        <v/>
      </c>
      <c r="EX148" t="str">
        <f>""</f>
        <v/>
      </c>
      <c r="EY148" t="str">
        <f>""</f>
        <v/>
      </c>
      <c r="EZ148" t="str">
        <f>""</f>
        <v/>
      </c>
      <c r="FA148" t="str">
        <f>""</f>
        <v/>
      </c>
      <c r="FB148" t="str">
        <f>""</f>
        <v/>
      </c>
      <c r="FC148" t="str">
        <f>""</f>
        <v/>
      </c>
      <c r="FD148" t="str">
        <f>""</f>
        <v/>
      </c>
      <c r="FE148" t="str">
        <f>""</f>
        <v/>
      </c>
      <c r="FF148" t="str">
        <f>""</f>
        <v/>
      </c>
      <c r="FG148" t="str">
        <f>""</f>
        <v/>
      </c>
      <c r="FH148" t="str">
        <f>""</f>
        <v/>
      </c>
      <c r="FI148" t="str">
        <f>""</f>
        <v/>
      </c>
      <c r="FJ148" t="str">
        <f>""</f>
        <v/>
      </c>
      <c r="FK148" t="str">
        <f>""</f>
        <v/>
      </c>
      <c r="FL148" t="str">
        <f>""</f>
        <v/>
      </c>
      <c r="FM148" t="str">
        <f>""</f>
        <v/>
      </c>
      <c r="FN148" t="str">
        <f>""</f>
        <v/>
      </c>
      <c r="FO148" t="str">
        <f>""</f>
        <v/>
      </c>
      <c r="FP148" t="str">
        <f>""</f>
        <v/>
      </c>
      <c r="FQ148" t="str">
        <f>""</f>
        <v/>
      </c>
      <c r="FR148" t="str">
        <f>""</f>
        <v/>
      </c>
      <c r="FS148" t="str">
        <f>""</f>
        <v/>
      </c>
      <c r="FT148" t="str">
        <f>""</f>
        <v/>
      </c>
      <c r="FU148" t="str">
        <f>""</f>
        <v/>
      </c>
      <c r="FV148" t="str">
        <f>""</f>
        <v/>
      </c>
      <c r="FW148" t="str">
        <f>""</f>
        <v/>
      </c>
      <c r="FX148" t="str">
        <f>""</f>
        <v/>
      </c>
      <c r="FY148" t="str">
        <f>""</f>
        <v/>
      </c>
      <c r="FZ148" t="str">
        <f>""</f>
        <v/>
      </c>
      <c r="GA148" t="str">
        <f>""</f>
        <v/>
      </c>
      <c r="GB148" t="str">
        <f>""</f>
        <v/>
      </c>
      <c r="GC148" t="str">
        <f>""</f>
        <v/>
      </c>
      <c r="GD148" t="str">
        <f>""</f>
        <v/>
      </c>
      <c r="GE148" t="str">
        <f>""</f>
        <v/>
      </c>
      <c r="GF148" t="str">
        <f>""</f>
        <v/>
      </c>
      <c r="GG148" t="str">
        <f>""</f>
        <v/>
      </c>
      <c r="GH148" t="str">
        <f>""</f>
        <v/>
      </c>
      <c r="GI148" t="str">
        <f>""</f>
        <v/>
      </c>
      <c r="GJ148" t="str">
        <f>""</f>
        <v/>
      </c>
      <c r="GK148" t="str">
        <f>""</f>
        <v/>
      </c>
      <c r="GL148" t="str">
        <f>""</f>
        <v/>
      </c>
      <c r="GM148" t="str">
        <f>""</f>
        <v/>
      </c>
      <c r="GN148" t="str">
        <f>""</f>
        <v/>
      </c>
      <c r="GO148" t="str">
        <f>""</f>
        <v/>
      </c>
      <c r="GP148" t="str">
        <f>""</f>
        <v/>
      </c>
      <c r="GQ148" t="str">
        <f>""</f>
        <v/>
      </c>
      <c r="GR148" t="str">
        <f>""</f>
        <v/>
      </c>
      <c r="GS148" t="str">
        <f>""</f>
        <v/>
      </c>
      <c r="GT148" t="str">
        <f>""</f>
        <v/>
      </c>
      <c r="GU148" t="str">
        <f>""</f>
        <v/>
      </c>
      <c r="GV148" t="str">
        <f>""</f>
        <v/>
      </c>
      <c r="GW148" t="str">
        <f>""</f>
        <v/>
      </c>
      <c r="GX148" t="str">
        <f>""</f>
        <v/>
      </c>
      <c r="GY148" t="str">
        <f>""</f>
        <v/>
      </c>
      <c r="GZ148" t="str">
        <f>""</f>
        <v/>
      </c>
      <c r="HA148" t="str">
        <f>""</f>
        <v/>
      </c>
      <c r="HB148" t="str">
        <f>""</f>
        <v/>
      </c>
      <c r="HC148" t="str">
        <f>""</f>
        <v/>
      </c>
      <c r="HD148" t="str">
        <f>""</f>
        <v/>
      </c>
      <c r="HE148" t="str">
        <f>""</f>
        <v/>
      </c>
      <c r="HF148" t="str">
        <f>""</f>
        <v/>
      </c>
      <c r="HG148" t="str">
        <f>""</f>
        <v/>
      </c>
      <c r="HH148" t="str">
        <f>""</f>
        <v/>
      </c>
      <c r="HI148" t="str">
        <f>""</f>
        <v/>
      </c>
      <c r="HJ148" t="str">
        <f>""</f>
        <v/>
      </c>
      <c r="HK148" t="str">
        <f>""</f>
        <v/>
      </c>
      <c r="HL148" t="str">
        <f>""</f>
        <v/>
      </c>
      <c r="HM148" t="str">
        <f>""</f>
        <v/>
      </c>
      <c r="HN148" t="str">
        <f>""</f>
        <v/>
      </c>
      <c r="HO148" t="str">
        <f>""</f>
        <v/>
      </c>
      <c r="HP148" t="str">
        <f>""</f>
        <v/>
      </c>
      <c r="HQ148" t="str">
        <f>""</f>
        <v/>
      </c>
      <c r="HR148" t="str">
        <f>""</f>
        <v/>
      </c>
      <c r="HS148" t="str">
        <f>""</f>
        <v/>
      </c>
      <c r="HT148" t="str">
        <f>""</f>
        <v/>
      </c>
      <c r="HU148" t="str">
        <f>""</f>
        <v/>
      </c>
      <c r="HV148" t="str">
        <f>""</f>
        <v/>
      </c>
      <c r="HW148" t="str">
        <f>""</f>
        <v/>
      </c>
      <c r="HX148" t="str">
        <f>""</f>
        <v/>
      </c>
      <c r="HY148" t="str">
        <f>""</f>
        <v/>
      </c>
      <c r="HZ148" t="str">
        <f>""</f>
        <v/>
      </c>
      <c r="IA148" t="str">
        <f>""</f>
        <v/>
      </c>
      <c r="IB148" t="str">
        <f>""</f>
        <v/>
      </c>
      <c r="IC148" t="str">
        <f>""</f>
        <v/>
      </c>
      <c r="ID148" t="str">
        <f>""</f>
        <v/>
      </c>
      <c r="IE148" t="str">
        <f>""</f>
        <v/>
      </c>
      <c r="IF148" t="str">
        <f>""</f>
        <v/>
      </c>
      <c r="IG148" t="str">
        <f>""</f>
        <v/>
      </c>
      <c r="IH148" t="str">
        <f>""</f>
        <v/>
      </c>
      <c r="II148" t="str">
        <f>""</f>
        <v/>
      </c>
      <c r="IJ148" t="str">
        <f>""</f>
        <v/>
      </c>
      <c r="IK148" t="str">
        <f>""</f>
        <v/>
      </c>
      <c r="IL148" t="str">
        <f>""</f>
        <v/>
      </c>
      <c r="IM148" t="str">
        <f>""</f>
        <v/>
      </c>
      <c r="IN148" t="str">
        <f>""</f>
        <v/>
      </c>
      <c r="IO148" t="str">
        <f>""</f>
        <v/>
      </c>
      <c r="IP148" t="str">
        <f>""</f>
        <v/>
      </c>
      <c r="IQ148" t="str">
        <f>""</f>
        <v/>
      </c>
      <c r="IR148" t="str">
        <f>""</f>
        <v/>
      </c>
      <c r="IS148" t="str">
        <f>""</f>
        <v/>
      </c>
      <c r="IT148" t="str">
        <f>""</f>
        <v/>
      </c>
      <c r="IU148" t="str">
        <f>""</f>
        <v/>
      </c>
      <c r="IV148" t="str">
        <f>""</f>
        <v/>
      </c>
      <c r="IW148" t="str">
        <f>""</f>
        <v/>
      </c>
      <c r="IX148" t="str">
        <f>""</f>
        <v/>
      </c>
      <c r="IY148" t="str">
        <f>""</f>
        <v/>
      </c>
      <c r="IZ148" t="str">
        <f>""</f>
        <v/>
      </c>
      <c r="JA148" t="str">
        <f>""</f>
        <v/>
      </c>
      <c r="JB148" t="str">
        <f>""</f>
        <v/>
      </c>
      <c r="JC148" t="str">
        <f>""</f>
        <v/>
      </c>
      <c r="JD148" t="str">
        <f>""</f>
        <v/>
      </c>
      <c r="JE148" t="str">
        <f>""</f>
        <v/>
      </c>
      <c r="JF148" t="str">
        <f>""</f>
        <v/>
      </c>
      <c r="JG148" t="str">
        <f>""</f>
        <v/>
      </c>
      <c r="JH148" t="str">
        <f>""</f>
        <v/>
      </c>
      <c r="JI148" t="str">
        <f>""</f>
        <v/>
      </c>
      <c r="JJ148" t="str">
        <f>""</f>
        <v/>
      </c>
      <c r="JK148" t="str">
        <f>""</f>
        <v/>
      </c>
    </row>
    <row r="150" spans="1:271" x14ac:dyDescent="0.3">
      <c r="A150" t="str">
        <f>"c.zMETAB8#c.PM2"</f>
        <v>c.zMETAB8#c.PM2</v>
      </c>
      <c r="B150" t="str">
        <f>""</f>
        <v/>
      </c>
      <c r="C150" t="str">
        <f>""</f>
        <v/>
      </c>
      <c r="D150" t="str">
        <f>""</f>
        <v/>
      </c>
      <c r="E150" t="str">
        <f>""</f>
        <v/>
      </c>
      <c r="F150" t="str">
        <f>""</f>
        <v/>
      </c>
      <c r="G150" t="str">
        <f>""</f>
        <v/>
      </c>
      <c r="H150" t="str">
        <f>""</f>
        <v/>
      </c>
      <c r="I150" t="str">
        <f>""</f>
        <v/>
      </c>
      <c r="J150" t="str">
        <f>""</f>
        <v/>
      </c>
      <c r="K150" t="str">
        <f>""</f>
        <v/>
      </c>
      <c r="L150" t="str">
        <f>""</f>
        <v/>
      </c>
      <c r="M150" t="str">
        <f>""</f>
        <v/>
      </c>
      <c r="N150" t="str">
        <f>""</f>
        <v/>
      </c>
      <c r="O150" t="str">
        <f>""</f>
        <v/>
      </c>
      <c r="P150" t="str">
        <f>""</f>
        <v/>
      </c>
      <c r="Q150" t="str">
        <f>""</f>
        <v/>
      </c>
      <c r="R150" t="str">
        <f>""</f>
        <v/>
      </c>
      <c r="S150" t="str">
        <f>""</f>
        <v/>
      </c>
      <c r="T150" t="str">
        <f>""</f>
        <v/>
      </c>
      <c r="U150" t="str">
        <f>""</f>
        <v/>
      </c>
      <c r="V150" t="str">
        <f>""</f>
        <v/>
      </c>
      <c r="W150" t="str">
        <f>""</f>
        <v/>
      </c>
      <c r="X150" t="str">
        <f>""</f>
        <v/>
      </c>
      <c r="Y150" t="str">
        <f>""</f>
        <v/>
      </c>
      <c r="Z150" t="str">
        <f>""</f>
        <v/>
      </c>
      <c r="AA150" t="str">
        <f>""</f>
        <v/>
      </c>
      <c r="AB150" t="str">
        <f>""</f>
        <v/>
      </c>
      <c r="AC150" t="str">
        <f>""</f>
        <v/>
      </c>
      <c r="AD150" t="str">
        <f>""</f>
        <v/>
      </c>
      <c r="AE150" t="str">
        <f>""</f>
        <v/>
      </c>
      <c r="AF150" t="str">
        <f>""</f>
        <v/>
      </c>
      <c r="AG150" t="str">
        <f>""</f>
        <v/>
      </c>
      <c r="AH150" t="str">
        <f>""</f>
        <v/>
      </c>
      <c r="AI150" t="str">
        <f>""</f>
        <v/>
      </c>
      <c r="AJ150" t="str">
        <f>""</f>
        <v/>
      </c>
      <c r="AK150" t="str">
        <f>""</f>
        <v/>
      </c>
      <c r="AL150" t="str">
        <f>""</f>
        <v/>
      </c>
      <c r="AM150" t="str">
        <f>""</f>
        <v/>
      </c>
      <c r="AN150" t="str">
        <f>""</f>
        <v/>
      </c>
      <c r="AO150" t="str">
        <f>""</f>
        <v/>
      </c>
      <c r="AP150" t="str">
        <f>""</f>
        <v/>
      </c>
      <c r="AQ150" t="str">
        <f>""</f>
        <v/>
      </c>
      <c r="AR150" t="str">
        <f>""</f>
        <v/>
      </c>
      <c r="AS150" t="str">
        <f>""</f>
        <v/>
      </c>
      <c r="AT150" t="str">
        <f>""</f>
        <v/>
      </c>
      <c r="AU150" t="str">
        <f>""</f>
        <v/>
      </c>
      <c r="AV150" t="str">
        <f>""</f>
        <v/>
      </c>
      <c r="AW150" t="str">
        <f>""</f>
        <v/>
      </c>
      <c r="AX150" t="str">
        <f>""</f>
        <v/>
      </c>
      <c r="AY150" t="str">
        <f>""</f>
        <v/>
      </c>
      <c r="AZ150" t="str">
        <f>""</f>
        <v/>
      </c>
      <c r="BA150" t="str">
        <f>""</f>
        <v/>
      </c>
      <c r="BB150" t="str">
        <f>""</f>
        <v/>
      </c>
      <c r="BC150" t="str">
        <f>""</f>
        <v/>
      </c>
      <c r="BD150" t="str">
        <f>""</f>
        <v/>
      </c>
      <c r="BE150" t="str">
        <f>""</f>
        <v/>
      </c>
      <c r="BF150" t="str">
        <f>""</f>
        <v/>
      </c>
      <c r="BG150" t="str">
        <f>""</f>
        <v/>
      </c>
      <c r="BH150" t="str">
        <f>""</f>
        <v/>
      </c>
      <c r="BI150" t="str">
        <f>""</f>
        <v/>
      </c>
      <c r="BJ150" t="str">
        <f>""</f>
        <v/>
      </c>
      <c r="BK150" t="str">
        <f>""</f>
        <v/>
      </c>
      <c r="BL150" t="str">
        <f>""</f>
        <v/>
      </c>
      <c r="BM150" t="str">
        <f>""</f>
        <v/>
      </c>
      <c r="BN150" t="str">
        <f>""</f>
        <v/>
      </c>
      <c r="BO150" t="str">
        <f>""</f>
        <v/>
      </c>
      <c r="BP150" t="str">
        <f>"0.0276"</f>
        <v>0.0276</v>
      </c>
      <c r="BQ150" t="str">
        <f>"0.111"</f>
        <v>0.111</v>
      </c>
      <c r="BR150" t="str">
        <f>"-0.0166"</f>
        <v>-0.0166</v>
      </c>
      <c r="BS150" t="str">
        <f>""</f>
        <v/>
      </c>
      <c r="BT150" t="str">
        <f>""</f>
        <v/>
      </c>
      <c r="BU150" t="str">
        <f>""</f>
        <v/>
      </c>
      <c r="BV150" t="str">
        <f>""</f>
        <v/>
      </c>
      <c r="BW150" t="str">
        <f>""</f>
        <v/>
      </c>
      <c r="BX150" t="str">
        <f>""</f>
        <v/>
      </c>
      <c r="BY150" t="str">
        <f>""</f>
        <v/>
      </c>
      <c r="BZ150" t="str">
        <f>""</f>
        <v/>
      </c>
      <c r="CA150" t="str">
        <f>""</f>
        <v/>
      </c>
      <c r="CB150" t="str">
        <f>""</f>
        <v/>
      </c>
      <c r="CC150" t="str">
        <f>""</f>
        <v/>
      </c>
      <c r="CD150" t="str">
        <f>""</f>
        <v/>
      </c>
      <c r="CE150" t="str">
        <f>""</f>
        <v/>
      </c>
      <c r="CF150" t="str">
        <f>""</f>
        <v/>
      </c>
      <c r="CG150" t="str">
        <f>""</f>
        <v/>
      </c>
      <c r="CH150" t="str">
        <f>""</f>
        <v/>
      </c>
      <c r="CI150" t="str">
        <f>""</f>
        <v/>
      </c>
      <c r="CJ150" t="str">
        <f>""</f>
        <v/>
      </c>
      <c r="CK150" t="str">
        <f>""</f>
        <v/>
      </c>
      <c r="CL150" t="str">
        <f>""</f>
        <v/>
      </c>
      <c r="CM150" t="str">
        <f>""</f>
        <v/>
      </c>
      <c r="CN150" t="str">
        <f>""</f>
        <v/>
      </c>
      <c r="CO150" t="str">
        <f>""</f>
        <v/>
      </c>
      <c r="CP150" t="str">
        <f>""</f>
        <v/>
      </c>
      <c r="CQ150" t="str">
        <f>""</f>
        <v/>
      </c>
      <c r="CR150" t="str">
        <f>""</f>
        <v/>
      </c>
      <c r="CS150" t="str">
        <f>""</f>
        <v/>
      </c>
      <c r="CT150" t="str">
        <f>""</f>
        <v/>
      </c>
      <c r="CU150" t="str">
        <f>""</f>
        <v/>
      </c>
      <c r="CV150" t="str">
        <f>""</f>
        <v/>
      </c>
      <c r="CW150" t="str">
        <f>""</f>
        <v/>
      </c>
      <c r="CX150" t="str">
        <f>""</f>
        <v/>
      </c>
      <c r="CY150" t="str">
        <f>""</f>
        <v/>
      </c>
      <c r="CZ150" t="str">
        <f>""</f>
        <v/>
      </c>
      <c r="DA150" t="str">
        <f>""</f>
        <v/>
      </c>
      <c r="DB150" t="str">
        <f>""</f>
        <v/>
      </c>
      <c r="DC150" t="str">
        <f>""</f>
        <v/>
      </c>
      <c r="DD150" t="str">
        <f>""</f>
        <v/>
      </c>
      <c r="DE150" t="str">
        <f>""</f>
        <v/>
      </c>
      <c r="DF150" t="str">
        <f>""</f>
        <v/>
      </c>
      <c r="DG150" t="str">
        <f>""</f>
        <v/>
      </c>
      <c r="DH150" t="str">
        <f>""</f>
        <v/>
      </c>
      <c r="DI150" t="str">
        <f>""</f>
        <v/>
      </c>
      <c r="DJ150" t="str">
        <f>""</f>
        <v/>
      </c>
      <c r="DK150" t="str">
        <f>""</f>
        <v/>
      </c>
      <c r="DL150" t="str">
        <f>""</f>
        <v/>
      </c>
      <c r="DM150" t="str">
        <f>""</f>
        <v/>
      </c>
      <c r="DN150" t="str">
        <f>""</f>
        <v/>
      </c>
      <c r="DO150" t="str">
        <f>""</f>
        <v/>
      </c>
      <c r="DP150" t="str">
        <f>""</f>
        <v/>
      </c>
      <c r="DQ150" t="str">
        <f>""</f>
        <v/>
      </c>
      <c r="DR150" t="str">
        <f>""</f>
        <v/>
      </c>
      <c r="DS150" t="str">
        <f>""</f>
        <v/>
      </c>
      <c r="DT150" t="str">
        <f>""</f>
        <v/>
      </c>
      <c r="DU150" t="str">
        <f>""</f>
        <v/>
      </c>
      <c r="DV150" t="str">
        <f>""</f>
        <v/>
      </c>
      <c r="DW150" t="str">
        <f>""</f>
        <v/>
      </c>
      <c r="DX150" t="str">
        <f>""</f>
        <v/>
      </c>
      <c r="DY150" t="str">
        <f>""</f>
        <v/>
      </c>
      <c r="DZ150" t="str">
        <f>""</f>
        <v/>
      </c>
      <c r="EA150" t="str">
        <f>""</f>
        <v/>
      </c>
      <c r="EB150" t="str">
        <f>""</f>
        <v/>
      </c>
      <c r="EC150" t="str">
        <f>""</f>
        <v/>
      </c>
      <c r="ED150" t="str">
        <f>""</f>
        <v/>
      </c>
      <c r="EE150" t="str">
        <f>""</f>
        <v/>
      </c>
      <c r="EF150" t="str">
        <f>""</f>
        <v/>
      </c>
      <c r="EG150" t="str">
        <f>""</f>
        <v/>
      </c>
      <c r="EH150" t="str">
        <f>""</f>
        <v/>
      </c>
      <c r="EI150" t="str">
        <f>""</f>
        <v/>
      </c>
      <c r="EJ150" t="str">
        <f>""</f>
        <v/>
      </c>
      <c r="EK150" t="str">
        <f>""</f>
        <v/>
      </c>
      <c r="EL150" t="str">
        <f>""</f>
        <v/>
      </c>
      <c r="EM150" t="str">
        <f>""</f>
        <v/>
      </c>
      <c r="EN150" t="str">
        <f>""</f>
        <v/>
      </c>
      <c r="EO150" t="str">
        <f>""</f>
        <v/>
      </c>
      <c r="EP150" t="str">
        <f>""</f>
        <v/>
      </c>
      <c r="EQ150" t="str">
        <f>""</f>
        <v/>
      </c>
      <c r="ER150" t="str">
        <f>""</f>
        <v/>
      </c>
      <c r="ES150" t="str">
        <f>""</f>
        <v/>
      </c>
      <c r="ET150" t="str">
        <f>""</f>
        <v/>
      </c>
      <c r="EU150" t="str">
        <f>""</f>
        <v/>
      </c>
      <c r="EV150" t="str">
        <f>""</f>
        <v/>
      </c>
      <c r="EW150" t="str">
        <f>""</f>
        <v/>
      </c>
      <c r="EX150" t="str">
        <f>""</f>
        <v/>
      </c>
      <c r="EY150" t="str">
        <f>""</f>
        <v/>
      </c>
      <c r="EZ150" t="str">
        <f>""</f>
        <v/>
      </c>
      <c r="FA150" t="str">
        <f>""</f>
        <v/>
      </c>
      <c r="FB150" t="str">
        <f>""</f>
        <v/>
      </c>
      <c r="FC150" t="str">
        <f>""</f>
        <v/>
      </c>
      <c r="FD150" t="str">
        <f>""</f>
        <v/>
      </c>
      <c r="FE150" t="str">
        <f>""</f>
        <v/>
      </c>
      <c r="FF150" t="str">
        <f>""</f>
        <v/>
      </c>
      <c r="FG150" t="str">
        <f>""</f>
        <v/>
      </c>
      <c r="FH150" t="str">
        <f>""</f>
        <v/>
      </c>
      <c r="FI150" t="str">
        <f>""</f>
        <v/>
      </c>
      <c r="FJ150" t="str">
        <f>""</f>
        <v/>
      </c>
      <c r="FK150" t="str">
        <f>""</f>
        <v/>
      </c>
      <c r="FL150" t="str">
        <f>""</f>
        <v/>
      </c>
      <c r="FM150" t="str">
        <f>""</f>
        <v/>
      </c>
      <c r="FN150" t="str">
        <f>""</f>
        <v/>
      </c>
      <c r="FO150" t="str">
        <f>""</f>
        <v/>
      </c>
      <c r="FP150" t="str">
        <f>""</f>
        <v/>
      </c>
      <c r="FQ150" t="str">
        <f>""</f>
        <v/>
      </c>
      <c r="FR150" t="str">
        <f>""</f>
        <v/>
      </c>
      <c r="FS150" t="str">
        <f>""</f>
        <v/>
      </c>
      <c r="FT150" t="str">
        <f>""</f>
        <v/>
      </c>
      <c r="FU150" t="str">
        <f>""</f>
        <v/>
      </c>
      <c r="FV150" t="str">
        <f>""</f>
        <v/>
      </c>
      <c r="FW150" t="str">
        <f>""</f>
        <v/>
      </c>
      <c r="FX150" t="str">
        <f>""</f>
        <v/>
      </c>
      <c r="FY150" t="str">
        <f>""</f>
        <v/>
      </c>
      <c r="FZ150" t="str">
        <f>""</f>
        <v/>
      </c>
      <c r="GA150" t="str">
        <f>""</f>
        <v/>
      </c>
      <c r="GB150" t="str">
        <f>""</f>
        <v/>
      </c>
      <c r="GC150" t="str">
        <f>""</f>
        <v/>
      </c>
      <c r="GD150" t="str">
        <f>""</f>
        <v/>
      </c>
      <c r="GE150" t="str">
        <f>""</f>
        <v/>
      </c>
      <c r="GF150" t="str">
        <f>""</f>
        <v/>
      </c>
      <c r="GG150" t="str">
        <f>""</f>
        <v/>
      </c>
      <c r="GH150" t="str">
        <f>""</f>
        <v/>
      </c>
      <c r="GI150" t="str">
        <f>""</f>
        <v/>
      </c>
      <c r="GJ150" t="str">
        <f>""</f>
        <v/>
      </c>
      <c r="GK150" t="str">
        <f>""</f>
        <v/>
      </c>
      <c r="GL150" t="str">
        <f>""</f>
        <v/>
      </c>
      <c r="GM150" t="str">
        <f>""</f>
        <v/>
      </c>
      <c r="GN150" t="str">
        <f>""</f>
        <v/>
      </c>
      <c r="GO150" t="str">
        <f>""</f>
        <v/>
      </c>
      <c r="GP150" t="str">
        <f>""</f>
        <v/>
      </c>
      <c r="GQ150" t="str">
        <f>""</f>
        <v/>
      </c>
      <c r="GR150" t="str">
        <f>""</f>
        <v/>
      </c>
      <c r="GS150" t="str">
        <f>""</f>
        <v/>
      </c>
      <c r="GT150" t="str">
        <f>""</f>
        <v/>
      </c>
      <c r="GU150" t="str">
        <f>""</f>
        <v/>
      </c>
      <c r="GV150" t="str">
        <f>""</f>
        <v/>
      </c>
      <c r="GW150" t="str">
        <f>""</f>
        <v/>
      </c>
      <c r="GX150" t="str">
        <f>""</f>
        <v/>
      </c>
      <c r="GY150" t="str">
        <f>""</f>
        <v/>
      </c>
      <c r="GZ150" t="str">
        <f>""</f>
        <v/>
      </c>
      <c r="HA150" t="str">
        <f>""</f>
        <v/>
      </c>
      <c r="HB150" t="str">
        <f>""</f>
        <v/>
      </c>
      <c r="HC150" t="str">
        <f>""</f>
        <v/>
      </c>
      <c r="HD150" t="str">
        <f>""</f>
        <v/>
      </c>
      <c r="HE150" t="str">
        <f>""</f>
        <v/>
      </c>
      <c r="HF150" t="str">
        <f>""</f>
        <v/>
      </c>
      <c r="HG150" t="str">
        <f>""</f>
        <v/>
      </c>
      <c r="HH150" t="str">
        <f>""</f>
        <v/>
      </c>
      <c r="HI150" t="str">
        <f>""</f>
        <v/>
      </c>
      <c r="HJ150" t="str">
        <f>""</f>
        <v/>
      </c>
      <c r="HK150" t="str">
        <f>""</f>
        <v/>
      </c>
      <c r="HL150" t="str">
        <f>""</f>
        <v/>
      </c>
      <c r="HM150" t="str">
        <f>""</f>
        <v/>
      </c>
      <c r="HN150" t="str">
        <f>""</f>
        <v/>
      </c>
      <c r="HO150" t="str">
        <f>""</f>
        <v/>
      </c>
      <c r="HP150" t="str">
        <f>""</f>
        <v/>
      </c>
      <c r="HQ150" t="str">
        <f>""</f>
        <v/>
      </c>
      <c r="HR150" t="str">
        <f>""</f>
        <v/>
      </c>
      <c r="HS150" t="str">
        <f>""</f>
        <v/>
      </c>
      <c r="HT150" t="str">
        <f>""</f>
        <v/>
      </c>
      <c r="HU150" t="str">
        <f>""</f>
        <v/>
      </c>
      <c r="HV150" t="str">
        <f>""</f>
        <v/>
      </c>
      <c r="HW150" t="str">
        <f>""</f>
        <v/>
      </c>
      <c r="HX150" t="str">
        <f>""</f>
        <v/>
      </c>
      <c r="HY150" t="str">
        <f>""</f>
        <v/>
      </c>
      <c r="HZ150" t="str">
        <f>""</f>
        <v/>
      </c>
      <c r="IA150" t="str">
        <f>""</f>
        <v/>
      </c>
      <c r="IB150" t="str">
        <f>""</f>
        <v/>
      </c>
      <c r="IC150" t="str">
        <f>""</f>
        <v/>
      </c>
      <c r="ID150" t="str">
        <f>""</f>
        <v/>
      </c>
      <c r="IE150" t="str">
        <f>""</f>
        <v/>
      </c>
      <c r="IF150" t="str">
        <f>""</f>
        <v/>
      </c>
      <c r="IG150" t="str">
        <f>""</f>
        <v/>
      </c>
      <c r="IH150" t="str">
        <f>""</f>
        <v/>
      </c>
      <c r="II150" t="str">
        <f>""</f>
        <v/>
      </c>
      <c r="IJ150" t="str">
        <f>""</f>
        <v/>
      </c>
      <c r="IK150" t="str">
        <f>""</f>
        <v/>
      </c>
      <c r="IL150" t="str">
        <f>""</f>
        <v/>
      </c>
      <c r="IM150" t="str">
        <f>""</f>
        <v/>
      </c>
      <c r="IN150" t="str">
        <f>""</f>
        <v/>
      </c>
      <c r="IO150" t="str">
        <f>""</f>
        <v/>
      </c>
      <c r="IP150" t="str">
        <f>""</f>
        <v/>
      </c>
      <c r="IQ150" t="str">
        <f>""</f>
        <v/>
      </c>
      <c r="IR150" t="str">
        <f>""</f>
        <v/>
      </c>
      <c r="IS150" t="str">
        <f>""</f>
        <v/>
      </c>
      <c r="IT150" t="str">
        <f>""</f>
        <v/>
      </c>
      <c r="IU150" t="str">
        <f>""</f>
        <v/>
      </c>
      <c r="IV150" t="str">
        <f>""</f>
        <v/>
      </c>
      <c r="IW150" t="str">
        <f>""</f>
        <v/>
      </c>
      <c r="IX150" t="str">
        <f>""</f>
        <v/>
      </c>
      <c r="IY150" t="str">
        <f>""</f>
        <v/>
      </c>
      <c r="IZ150" t="str">
        <f>""</f>
        <v/>
      </c>
      <c r="JA150" t="str">
        <f>""</f>
        <v/>
      </c>
      <c r="JB150" t="str">
        <f>""</f>
        <v/>
      </c>
      <c r="JC150" t="str">
        <f>""</f>
        <v/>
      </c>
      <c r="JD150" t="str">
        <f>""</f>
        <v/>
      </c>
      <c r="JE150" t="str">
        <f>""</f>
        <v/>
      </c>
      <c r="JF150" t="str">
        <f>""</f>
        <v/>
      </c>
      <c r="JG150" t="str">
        <f>""</f>
        <v/>
      </c>
      <c r="JH150" t="str">
        <f>""</f>
        <v/>
      </c>
      <c r="JI150" t="str">
        <f>""</f>
        <v/>
      </c>
      <c r="JJ150" t="str">
        <f>""</f>
        <v/>
      </c>
      <c r="JK150" t="str">
        <f>""</f>
        <v/>
      </c>
    </row>
    <row r="151" spans="1:271" x14ac:dyDescent="0.3">
      <c r="A151" t="str">
        <f>""</f>
        <v/>
      </c>
      <c r="B151" t="str">
        <f>""</f>
        <v/>
      </c>
      <c r="C151" t="str">
        <f>""</f>
        <v/>
      </c>
      <c r="D151" t="str">
        <f>""</f>
        <v/>
      </c>
      <c r="E151" t="str">
        <f>""</f>
        <v/>
      </c>
      <c r="F151" t="str">
        <f>""</f>
        <v/>
      </c>
      <c r="G151" t="str">
        <f>""</f>
        <v/>
      </c>
      <c r="H151" t="str">
        <f>""</f>
        <v/>
      </c>
      <c r="I151" t="str">
        <f>""</f>
        <v/>
      </c>
      <c r="J151" t="str">
        <f>""</f>
        <v/>
      </c>
      <c r="K151" t="str">
        <f>""</f>
        <v/>
      </c>
      <c r="L151" t="str">
        <f>""</f>
        <v/>
      </c>
      <c r="M151" t="str">
        <f>""</f>
        <v/>
      </c>
      <c r="N151" t="str">
        <f>""</f>
        <v/>
      </c>
      <c r="O151" t="str">
        <f>""</f>
        <v/>
      </c>
      <c r="P151" t="str">
        <f>""</f>
        <v/>
      </c>
      <c r="Q151" t="str">
        <f>""</f>
        <v/>
      </c>
      <c r="R151" t="str">
        <f>""</f>
        <v/>
      </c>
      <c r="S151" t="str">
        <f>""</f>
        <v/>
      </c>
      <c r="T151" t="str">
        <f>""</f>
        <v/>
      </c>
      <c r="U151" t="str">
        <f>""</f>
        <v/>
      </c>
      <c r="V151" t="str">
        <f>""</f>
        <v/>
      </c>
      <c r="W151" t="str">
        <f>""</f>
        <v/>
      </c>
      <c r="X151" t="str">
        <f>""</f>
        <v/>
      </c>
      <c r="Y151" t="str">
        <f>""</f>
        <v/>
      </c>
      <c r="Z151" t="str">
        <f>""</f>
        <v/>
      </c>
      <c r="AA151" t="str">
        <f>""</f>
        <v/>
      </c>
      <c r="AB151" t="str">
        <f>""</f>
        <v/>
      </c>
      <c r="AC151" t="str">
        <f>""</f>
        <v/>
      </c>
      <c r="AD151" t="str">
        <f>""</f>
        <v/>
      </c>
      <c r="AE151" t="str">
        <f>""</f>
        <v/>
      </c>
      <c r="AF151" t="str">
        <f>""</f>
        <v/>
      </c>
      <c r="AG151" t="str">
        <f>""</f>
        <v/>
      </c>
      <c r="AH151" t="str">
        <f>""</f>
        <v/>
      </c>
      <c r="AI151" t="str">
        <f>""</f>
        <v/>
      </c>
      <c r="AJ151" t="str">
        <f>""</f>
        <v/>
      </c>
      <c r="AK151" t="str">
        <f>""</f>
        <v/>
      </c>
      <c r="AL151" t="str">
        <f>""</f>
        <v/>
      </c>
      <c r="AM151" t="str">
        <f>""</f>
        <v/>
      </c>
      <c r="AN151" t="str">
        <f>""</f>
        <v/>
      </c>
      <c r="AO151" t="str">
        <f>""</f>
        <v/>
      </c>
      <c r="AP151" t="str">
        <f>""</f>
        <v/>
      </c>
      <c r="AQ151" t="str">
        <f>""</f>
        <v/>
      </c>
      <c r="AR151" t="str">
        <f>""</f>
        <v/>
      </c>
      <c r="AS151" t="str">
        <f>""</f>
        <v/>
      </c>
      <c r="AT151" t="str">
        <f>""</f>
        <v/>
      </c>
      <c r="AU151" t="str">
        <f>""</f>
        <v/>
      </c>
      <c r="AV151" t="str">
        <f>""</f>
        <v/>
      </c>
      <c r="AW151" t="str">
        <f>""</f>
        <v/>
      </c>
      <c r="AX151" t="str">
        <f>""</f>
        <v/>
      </c>
      <c r="AY151" t="str">
        <f>""</f>
        <v/>
      </c>
      <c r="AZ151" t="str">
        <f>""</f>
        <v/>
      </c>
      <c r="BA151" t="str">
        <f>""</f>
        <v/>
      </c>
      <c r="BB151" t="str">
        <f>""</f>
        <v/>
      </c>
      <c r="BC151" t="str">
        <f>""</f>
        <v/>
      </c>
      <c r="BD151" t="str">
        <f>""</f>
        <v/>
      </c>
      <c r="BE151" t="str">
        <f>""</f>
        <v/>
      </c>
      <c r="BF151" t="str">
        <f>""</f>
        <v/>
      </c>
      <c r="BG151" t="str">
        <f>""</f>
        <v/>
      </c>
      <c r="BH151" t="str">
        <f>""</f>
        <v/>
      </c>
      <c r="BI151" t="str">
        <f>""</f>
        <v/>
      </c>
      <c r="BJ151" t="str">
        <f>""</f>
        <v/>
      </c>
      <c r="BK151" t="str">
        <f>""</f>
        <v/>
      </c>
      <c r="BL151" t="str">
        <f>""</f>
        <v/>
      </c>
      <c r="BM151" t="str">
        <f>""</f>
        <v/>
      </c>
      <c r="BN151" t="str">
        <f>""</f>
        <v/>
      </c>
      <c r="BO151" t="str">
        <f>""</f>
        <v/>
      </c>
      <c r="BP151" t="str">
        <f>"(0.108)"</f>
        <v>(0.108)</v>
      </c>
      <c r="BQ151" t="str">
        <f>"(0.0858)"</f>
        <v>(0.0858)</v>
      </c>
      <c r="BR151" t="str">
        <f>"(0.0452)"</f>
        <v>(0.0452)</v>
      </c>
      <c r="BS151" t="str">
        <f>""</f>
        <v/>
      </c>
      <c r="BT151" t="str">
        <f>""</f>
        <v/>
      </c>
      <c r="BU151" t="str">
        <f>""</f>
        <v/>
      </c>
      <c r="BV151" t="str">
        <f>""</f>
        <v/>
      </c>
      <c r="BW151" t="str">
        <f>""</f>
        <v/>
      </c>
      <c r="BX151" t="str">
        <f>""</f>
        <v/>
      </c>
      <c r="BY151" t="str">
        <f>""</f>
        <v/>
      </c>
      <c r="BZ151" t="str">
        <f>""</f>
        <v/>
      </c>
      <c r="CA151" t="str">
        <f>""</f>
        <v/>
      </c>
      <c r="CB151" t="str">
        <f>""</f>
        <v/>
      </c>
      <c r="CC151" t="str">
        <f>""</f>
        <v/>
      </c>
      <c r="CD151" t="str">
        <f>""</f>
        <v/>
      </c>
      <c r="CE151" t="str">
        <f>""</f>
        <v/>
      </c>
      <c r="CF151" t="str">
        <f>""</f>
        <v/>
      </c>
      <c r="CG151" t="str">
        <f>""</f>
        <v/>
      </c>
      <c r="CH151" t="str">
        <f>""</f>
        <v/>
      </c>
      <c r="CI151" t="str">
        <f>""</f>
        <v/>
      </c>
      <c r="CJ151" t="str">
        <f>""</f>
        <v/>
      </c>
      <c r="CK151" t="str">
        <f>""</f>
        <v/>
      </c>
      <c r="CL151" t="str">
        <f>""</f>
        <v/>
      </c>
      <c r="CM151" t="str">
        <f>""</f>
        <v/>
      </c>
      <c r="CN151" t="str">
        <f>""</f>
        <v/>
      </c>
      <c r="CO151" t="str">
        <f>""</f>
        <v/>
      </c>
      <c r="CP151" t="str">
        <f>""</f>
        <v/>
      </c>
      <c r="CQ151" t="str">
        <f>""</f>
        <v/>
      </c>
      <c r="CR151" t="str">
        <f>""</f>
        <v/>
      </c>
      <c r="CS151" t="str">
        <f>""</f>
        <v/>
      </c>
      <c r="CT151" t="str">
        <f>""</f>
        <v/>
      </c>
      <c r="CU151" t="str">
        <f>""</f>
        <v/>
      </c>
      <c r="CV151" t="str">
        <f>""</f>
        <v/>
      </c>
      <c r="CW151" t="str">
        <f>""</f>
        <v/>
      </c>
      <c r="CX151" t="str">
        <f>""</f>
        <v/>
      </c>
      <c r="CY151" t="str">
        <f>""</f>
        <v/>
      </c>
      <c r="CZ151" t="str">
        <f>""</f>
        <v/>
      </c>
      <c r="DA151" t="str">
        <f>""</f>
        <v/>
      </c>
      <c r="DB151" t="str">
        <f>""</f>
        <v/>
      </c>
      <c r="DC151" t="str">
        <f>""</f>
        <v/>
      </c>
      <c r="DD151" t="str">
        <f>""</f>
        <v/>
      </c>
      <c r="DE151" t="str">
        <f>""</f>
        <v/>
      </c>
      <c r="DF151" t="str">
        <f>""</f>
        <v/>
      </c>
      <c r="DG151" t="str">
        <f>""</f>
        <v/>
      </c>
      <c r="DH151" t="str">
        <f>""</f>
        <v/>
      </c>
      <c r="DI151" t="str">
        <f>""</f>
        <v/>
      </c>
      <c r="DJ151" t="str">
        <f>""</f>
        <v/>
      </c>
      <c r="DK151" t="str">
        <f>""</f>
        <v/>
      </c>
      <c r="DL151" t="str">
        <f>""</f>
        <v/>
      </c>
      <c r="DM151" t="str">
        <f>""</f>
        <v/>
      </c>
      <c r="DN151" t="str">
        <f>""</f>
        <v/>
      </c>
      <c r="DO151" t="str">
        <f>""</f>
        <v/>
      </c>
      <c r="DP151" t="str">
        <f>""</f>
        <v/>
      </c>
      <c r="DQ151" t="str">
        <f>""</f>
        <v/>
      </c>
      <c r="DR151" t="str">
        <f>""</f>
        <v/>
      </c>
      <c r="DS151" t="str">
        <f>""</f>
        <v/>
      </c>
      <c r="DT151" t="str">
        <f>""</f>
        <v/>
      </c>
      <c r="DU151" t="str">
        <f>""</f>
        <v/>
      </c>
      <c r="DV151" t="str">
        <f>""</f>
        <v/>
      </c>
      <c r="DW151" t="str">
        <f>""</f>
        <v/>
      </c>
      <c r="DX151" t="str">
        <f>""</f>
        <v/>
      </c>
      <c r="DY151" t="str">
        <f>""</f>
        <v/>
      </c>
      <c r="DZ151" t="str">
        <f>""</f>
        <v/>
      </c>
      <c r="EA151" t="str">
        <f>""</f>
        <v/>
      </c>
      <c r="EB151" t="str">
        <f>""</f>
        <v/>
      </c>
      <c r="EC151" t="str">
        <f>""</f>
        <v/>
      </c>
      <c r="ED151" t="str">
        <f>""</f>
        <v/>
      </c>
      <c r="EE151" t="str">
        <f>""</f>
        <v/>
      </c>
      <c r="EF151" t="str">
        <f>""</f>
        <v/>
      </c>
      <c r="EG151" t="str">
        <f>""</f>
        <v/>
      </c>
      <c r="EH151" t="str">
        <f>""</f>
        <v/>
      </c>
      <c r="EI151" t="str">
        <f>""</f>
        <v/>
      </c>
      <c r="EJ151" t="str">
        <f>""</f>
        <v/>
      </c>
      <c r="EK151" t="str">
        <f>""</f>
        <v/>
      </c>
      <c r="EL151" t="str">
        <f>""</f>
        <v/>
      </c>
      <c r="EM151" t="str">
        <f>""</f>
        <v/>
      </c>
      <c r="EN151" t="str">
        <f>""</f>
        <v/>
      </c>
      <c r="EO151" t="str">
        <f>""</f>
        <v/>
      </c>
      <c r="EP151" t="str">
        <f>""</f>
        <v/>
      </c>
      <c r="EQ151" t="str">
        <f>""</f>
        <v/>
      </c>
      <c r="ER151" t="str">
        <f>""</f>
        <v/>
      </c>
      <c r="ES151" t="str">
        <f>""</f>
        <v/>
      </c>
      <c r="ET151" t="str">
        <f>""</f>
        <v/>
      </c>
      <c r="EU151" t="str">
        <f>""</f>
        <v/>
      </c>
      <c r="EV151" t="str">
        <f>""</f>
        <v/>
      </c>
      <c r="EW151" t="str">
        <f>""</f>
        <v/>
      </c>
      <c r="EX151" t="str">
        <f>""</f>
        <v/>
      </c>
      <c r="EY151" t="str">
        <f>""</f>
        <v/>
      </c>
      <c r="EZ151" t="str">
        <f>""</f>
        <v/>
      </c>
      <c r="FA151" t="str">
        <f>""</f>
        <v/>
      </c>
      <c r="FB151" t="str">
        <f>""</f>
        <v/>
      </c>
      <c r="FC151" t="str">
        <f>""</f>
        <v/>
      </c>
      <c r="FD151" t="str">
        <f>""</f>
        <v/>
      </c>
      <c r="FE151" t="str">
        <f>""</f>
        <v/>
      </c>
      <c r="FF151" t="str">
        <f>""</f>
        <v/>
      </c>
      <c r="FG151" t="str">
        <f>""</f>
        <v/>
      </c>
      <c r="FH151" t="str">
        <f>""</f>
        <v/>
      </c>
      <c r="FI151" t="str">
        <f>""</f>
        <v/>
      </c>
      <c r="FJ151" t="str">
        <f>""</f>
        <v/>
      </c>
      <c r="FK151" t="str">
        <f>""</f>
        <v/>
      </c>
      <c r="FL151" t="str">
        <f>""</f>
        <v/>
      </c>
      <c r="FM151" t="str">
        <f>""</f>
        <v/>
      </c>
      <c r="FN151" t="str">
        <f>""</f>
        <v/>
      </c>
      <c r="FO151" t="str">
        <f>""</f>
        <v/>
      </c>
      <c r="FP151" t="str">
        <f>""</f>
        <v/>
      </c>
      <c r="FQ151" t="str">
        <f>""</f>
        <v/>
      </c>
      <c r="FR151" t="str">
        <f>""</f>
        <v/>
      </c>
      <c r="FS151" t="str">
        <f>""</f>
        <v/>
      </c>
      <c r="FT151" t="str">
        <f>""</f>
        <v/>
      </c>
      <c r="FU151" t="str">
        <f>""</f>
        <v/>
      </c>
      <c r="FV151" t="str">
        <f>""</f>
        <v/>
      </c>
      <c r="FW151" t="str">
        <f>""</f>
        <v/>
      </c>
      <c r="FX151" t="str">
        <f>""</f>
        <v/>
      </c>
      <c r="FY151" t="str">
        <f>""</f>
        <v/>
      </c>
      <c r="FZ151" t="str">
        <f>""</f>
        <v/>
      </c>
      <c r="GA151" t="str">
        <f>""</f>
        <v/>
      </c>
      <c r="GB151" t="str">
        <f>""</f>
        <v/>
      </c>
      <c r="GC151" t="str">
        <f>""</f>
        <v/>
      </c>
      <c r="GD151" t="str">
        <f>""</f>
        <v/>
      </c>
      <c r="GE151" t="str">
        <f>""</f>
        <v/>
      </c>
      <c r="GF151" t="str">
        <f>""</f>
        <v/>
      </c>
      <c r="GG151" t="str">
        <f>""</f>
        <v/>
      </c>
      <c r="GH151" t="str">
        <f>""</f>
        <v/>
      </c>
      <c r="GI151" t="str">
        <f>""</f>
        <v/>
      </c>
      <c r="GJ151" t="str">
        <f>""</f>
        <v/>
      </c>
      <c r="GK151" t="str">
        <f>""</f>
        <v/>
      </c>
      <c r="GL151" t="str">
        <f>""</f>
        <v/>
      </c>
      <c r="GM151" t="str">
        <f>""</f>
        <v/>
      </c>
      <c r="GN151" t="str">
        <f>""</f>
        <v/>
      </c>
      <c r="GO151" t="str">
        <f>""</f>
        <v/>
      </c>
      <c r="GP151" t="str">
        <f>""</f>
        <v/>
      </c>
      <c r="GQ151" t="str">
        <f>""</f>
        <v/>
      </c>
      <c r="GR151" t="str">
        <f>""</f>
        <v/>
      </c>
      <c r="GS151" t="str">
        <f>""</f>
        <v/>
      </c>
      <c r="GT151" t="str">
        <f>""</f>
        <v/>
      </c>
      <c r="GU151" t="str">
        <f>""</f>
        <v/>
      </c>
      <c r="GV151" t="str">
        <f>""</f>
        <v/>
      </c>
      <c r="GW151" t="str">
        <f>""</f>
        <v/>
      </c>
      <c r="GX151" t="str">
        <f>""</f>
        <v/>
      </c>
      <c r="GY151" t="str">
        <f>""</f>
        <v/>
      </c>
      <c r="GZ151" t="str">
        <f>""</f>
        <v/>
      </c>
      <c r="HA151" t="str">
        <f>""</f>
        <v/>
      </c>
      <c r="HB151" t="str">
        <f>""</f>
        <v/>
      </c>
      <c r="HC151" t="str">
        <f>""</f>
        <v/>
      </c>
      <c r="HD151" t="str">
        <f>""</f>
        <v/>
      </c>
      <c r="HE151" t="str">
        <f>""</f>
        <v/>
      </c>
      <c r="HF151" t="str">
        <f>""</f>
        <v/>
      </c>
      <c r="HG151" t="str">
        <f>""</f>
        <v/>
      </c>
      <c r="HH151" t="str">
        <f>""</f>
        <v/>
      </c>
      <c r="HI151" t="str">
        <f>""</f>
        <v/>
      </c>
      <c r="HJ151" t="str">
        <f>""</f>
        <v/>
      </c>
      <c r="HK151" t="str">
        <f>""</f>
        <v/>
      </c>
      <c r="HL151" t="str">
        <f>""</f>
        <v/>
      </c>
      <c r="HM151" t="str">
        <f>""</f>
        <v/>
      </c>
      <c r="HN151" t="str">
        <f>""</f>
        <v/>
      </c>
      <c r="HO151" t="str">
        <f>""</f>
        <v/>
      </c>
      <c r="HP151" t="str">
        <f>""</f>
        <v/>
      </c>
      <c r="HQ151" t="str">
        <f>""</f>
        <v/>
      </c>
      <c r="HR151" t="str">
        <f>""</f>
        <v/>
      </c>
      <c r="HS151" t="str">
        <f>""</f>
        <v/>
      </c>
      <c r="HT151" t="str">
        <f>""</f>
        <v/>
      </c>
      <c r="HU151" t="str">
        <f>""</f>
        <v/>
      </c>
      <c r="HV151" t="str">
        <f>""</f>
        <v/>
      </c>
      <c r="HW151" t="str">
        <f>""</f>
        <v/>
      </c>
      <c r="HX151" t="str">
        <f>""</f>
        <v/>
      </c>
      <c r="HY151" t="str">
        <f>""</f>
        <v/>
      </c>
      <c r="HZ151" t="str">
        <f>""</f>
        <v/>
      </c>
      <c r="IA151" t="str">
        <f>""</f>
        <v/>
      </c>
      <c r="IB151" t="str">
        <f>""</f>
        <v/>
      </c>
      <c r="IC151" t="str">
        <f>""</f>
        <v/>
      </c>
      <c r="ID151" t="str">
        <f>""</f>
        <v/>
      </c>
      <c r="IE151" t="str">
        <f>""</f>
        <v/>
      </c>
      <c r="IF151" t="str">
        <f>""</f>
        <v/>
      </c>
      <c r="IG151" t="str">
        <f>""</f>
        <v/>
      </c>
      <c r="IH151" t="str">
        <f>""</f>
        <v/>
      </c>
      <c r="II151" t="str">
        <f>""</f>
        <v/>
      </c>
      <c r="IJ151" t="str">
        <f>""</f>
        <v/>
      </c>
      <c r="IK151" t="str">
        <f>""</f>
        <v/>
      </c>
      <c r="IL151" t="str">
        <f>""</f>
        <v/>
      </c>
      <c r="IM151" t="str">
        <f>""</f>
        <v/>
      </c>
      <c r="IN151" t="str">
        <f>""</f>
        <v/>
      </c>
      <c r="IO151" t="str">
        <f>""</f>
        <v/>
      </c>
      <c r="IP151" t="str">
        <f>""</f>
        <v/>
      </c>
      <c r="IQ151" t="str">
        <f>""</f>
        <v/>
      </c>
      <c r="IR151" t="str">
        <f>""</f>
        <v/>
      </c>
      <c r="IS151" t="str">
        <f>""</f>
        <v/>
      </c>
      <c r="IT151" t="str">
        <f>""</f>
        <v/>
      </c>
      <c r="IU151" t="str">
        <f>""</f>
        <v/>
      </c>
      <c r="IV151" t="str">
        <f>""</f>
        <v/>
      </c>
      <c r="IW151" t="str">
        <f>""</f>
        <v/>
      </c>
      <c r="IX151" t="str">
        <f>""</f>
        <v/>
      </c>
      <c r="IY151" t="str">
        <f>""</f>
        <v/>
      </c>
      <c r="IZ151" t="str">
        <f>""</f>
        <v/>
      </c>
      <c r="JA151" t="str">
        <f>""</f>
        <v/>
      </c>
      <c r="JB151" t="str">
        <f>""</f>
        <v/>
      </c>
      <c r="JC151" t="str">
        <f>""</f>
        <v/>
      </c>
      <c r="JD151" t="str">
        <f>""</f>
        <v/>
      </c>
      <c r="JE151" t="str">
        <f>""</f>
        <v/>
      </c>
      <c r="JF151" t="str">
        <f>""</f>
        <v/>
      </c>
      <c r="JG151" t="str">
        <f>""</f>
        <v/>
      </c>
      <c r="JH151" t="str">
        <f>""</f>
        <v/>
      </c>
      <c r="JI151" t="str">
        <f>""</f>
        <v/>
      </c>
      <c r="JJ151" t="str">
        <f>""</f>
        <v/>
      </c>
      <c r="JK151" t="str">
        <f>""</f>
        <v/>
      </c>
    </row>
    <row r="153" spans="1:271" x14ac:dyDescent="0.3">
      <c r="A153" t="str">
        <f>"c.zMETAB9#c.PM2"</f>
        <v>c.zMETAB9#c.PM2</v>
      </c>
      <c r="B153" t="str">
        <f>""</f>
        <v/>
      </c>
      <c r="C153" t="str">
        <f>""</f>
        <v/>
      </c>
      <c r="D153" t="str">
        <f>""</f>
        <v/>
      </c>
      <c r="E153" t="str">
        <f>""</f>
        <v/>
      </c>
      <c r="F153" t="str">
        <f>""</f>
        <v/>
      </c>
      <c r="G153" t="str">
        <f>""</f>
        <v/>
      </c>
      <c r="H153" t="str">
        <f>""</f>
        <v/>
      </c>
      <c r="I153" t="str">
        <f>""</f>
        <v/>
      </c>
      <c r="J153" t="str">
        <f>""</f>
        <v/>
      </c>
      <c r="K153" t="str">
        <f>""</f>
        <v/>
      </c>
      <c r="L153" t="str">
        <f>""</f>
        <v/>
      </c>
      <c r="M153" t="str">
        <f>""</f>
        <v/>
      </c>
      <c r="N153" t="str">
        <f>""</f>
        <v/>
      </c>
      <c r="O153" t="str">
        <f>""</f>
        <v/>
      </c>
      <c r="P153" t="str">
        <f>""</f>
        <v/>
      </c>
      <c r="Q153" t="str">
        <f>""</f>
        <v/>
      </c>
      <c r="R153" t="str">
        <f>""</f>
        <v/>
      </c>
      <c r="S153" t="str">
        <f>""</f>
        <v/>
      </c>
      <c r="T153" t="str">
        <f>""</f>
        <v/>
      </c>
      <c r="U153" t="str">
        <f>""</f>
        <v/>
      </c>
      <c r="V153" t="str">
        <f>""</f>
        <v/>
      </c>
      <c r="W153" t="str">
        <f>""</f>
        <v/>
      </c>
      <c r="X153" t="str">
        <f>""</f>
        <v/>
      </c>
      <c r="Y153" t="str">
        <f>""</f>
        <v/>
      </c>
      <c r="Z153" t="str">
        <f>""</f>
        <v/>
      </c>
      <c r="AA153" t="str">
        <f>""</f>
        <v/>
      </c>
      <c r="AB153" t="str">
        <f>""</f>
        <v/>
      </c>
      <c r="AC153" t="str">
        <f>""</f>
        <v/>
      </c>
      <c r="AD153" t="str">
        <f>""</f>
        <v/>
      </c>
      <c r="AE153" t="str">
        <f>""</f>
        <v/>
      </c>
      <c r="AF153" t="str">
        <f>""</f>
        <v/>
      </c>
      <c r="AG153" t="str">
        <f>""</f>
        <v/>
      </c>
      <c r="AH153" t="str">
        <f>""</f>
        <v/>
      </c>
      <c r="AI153" t="str">
        <f>""</f>
        <v/>
      </c>
      <c r="AJ153" t="str">
        <f>""</f>
        <v/>
      </c>
      <c r="AK153" t="str">
        <f>""</f>
        <v/>
      </c>
      <c r="AL153" t="str">
        <f>""</f>
        <v/>
      </c>
      <c r="AM153" t="str">
        <f>""</f>
        <v/>
      </c>
      <c r="AN153" t="str">
        <f>""</f>
        <v/>
      </c>
      <c r="AO153" t="str">
        <f>""</f>
        <v/>
      </c>
      <c r="AP153" t="str">
        <f>""</f>
        <v/>
      </c>
      <c r="AQ153" t="str">
        <f>""</f>
        <v/>
      </c>
      <c r="AR153" t="str">
        <f>""</f>
        <v/>
      </c>
      <c r="AS153" t="str">
        <f>""</f>
        <v/>
      </c>
      <c r="AT153" t="str">
        <f>""</f>
        <v/>
      </c>
      <c r="AU153" t="str">
        <f>""</f>
        <v/>
      </c>
      <c r="AV153" t="str">
        <f>""</f>
        <v/>
      </c>
      <c r="AW153" t="str">
        <f>""</f>
        <v/>
      </c>
      <c r="AX153" t="str">
        <f>""</f>
        <v/>
      </c>
      <c r="AY153" t="str">
        <f>""</f>
        <v/>
      </c>
      <c r="AZ153" t="str">
        <f>""</f>
        <v/>
      </c>
      <c r="BA153" t="str">
        <f>""</f>
        <v/>
      </c>
      <c r="BB153" t="str">
        <f>""</f>
        <v/>
      </c>
      <c r="BC153" t="str">
        <f>""</f>
        <v/>
      </c>
      <c r="BD153" t="str">
        <f>""</f>
        <v/>
      </c>
      <c r="BE153" t="str">
        <f>""</f>
        <v/>
      </c>
      <c r="BF153" t="str">
        <f>""</f>
        <v/>
      </c>
      <c r="BG153" t="str">
        <f>""</f>
        <v/>
      </c>
      <c r="BH153" t="str">
        <f>""</f>
        <v/>
      </c>
      <c r="BI153" t="str">
        <f>""</f>
        <v/>
      </c>
      <c r="BJ153" t="str">
        <f>""</f>
        <v/>
      </c>
      <c r="BK153" t="str">
        <f>""</f>
        <v/>
      </c>
      <c r="BL153" t="str">
        <f>""</f>
        <v/>
      </c>
      <c r="BM153" t="str">
        <f>""</f>
        <v/>
      </c>
      <c r="BN153" t="str">
        <f>""</f>
        <v/>
      </c>
      <c r="BO153" t="str">
        <f>""</f>
        <v/>
      </c>
      <c r="BP153" t="str">
        <f>""</f>
        <v/>
      </c>
      <c r="BQ153" t="str">
        <f>""</f>
        <v/>
      </c>
      <c r="BR153" t="str">
        <f>""</f>
        <v/>
      </c>
      <c r="BS153" t="str">
        <f>"0.0488"</f>
        <v>0.0488</v>
      </c>
      <c r="BT153" t="str">
        <f>"0.113"</f>
        <v>0.113</v>
      </c>
      <c r="BU153" t="str">
        <f>"-0.0111"</f>
        <v>-0.0111</v>
      </c>
      <c r="BV153" t="str">
        <f>""</f>
        <v/>
      </c>
      <c r="BW153" t="str">
        <f>""</f>
        <v/>
      </c>
      <c r="BX153" t="str">
        <f>""</f>
        <v/>
      </c>
      <c r="BY153" t="str">
        <f>""</f>
        <v/>
      </c>
      <c r="BZ153" t="str">
        <f>""</f>
        <v/>
      </c>
      <c r="CA153" t="str">
        <f>""</f>
        <v/>
      </c>
      <c r="CB153" t="str">
        <f>""</f>
        <v/>
      </c>
      <c r="CC153" t="str">
        <f>""</f>
        <v/>
      </c>
      <c r="CD153" t="str">
        <f>""</f>
        <v/>
      </c>
      <c r="CE153" t="str">
        <f>""</f>
        <v/>
      </c>
      <c r="CF153" t="str">
        <f>""</f>
        <v/>
      </c>
      <c r="CG153" t="str">
        <f>""</f>
        <v/>
      </c>
      <c r="CH153" t="str">
        <f>""</f>
        <v/>
      </c>
      <c r="CI153" t="str">
        <f>""</f>
        <v/>
      </c>
      <c r="CJ153" t="str">
        <f>""</f>
        <v/>
      </c>
      <c r="CK153" t="str">
        <f>""</f>
        <v/>
      </c>
      <c r="CL153" t="str">
        <f>""</f>
        <v/>
      </c>
      <c r="CM153" t="str">
        <f>""</f>
        <v/>
      </c>
      <c r="CN153" t="str">
        <f>""</f>
        <v/>
      </c>
      <c r="CO153" t="str">
        <f>""</f>
        <v/>
      </c>
      <c r="CP153" t="str">
        <f>""</f>
        <v/>
      </c>
      <c r="CQ153" t="str">
        <f>""</f>
        <v/>
      </c>
      <c r="CR153" t="str">
        <f>""</f>
        <v/>
      </c>
      <c r="CS153" t="str">
        <f>""</f>
        <v/>
      </c>
      <c r="CT153" t="str">
        <f>""</f>
        <v/>
      </c>
      <c r="CU153" t="str">
        <f>""</f>
        <v/>
      </c>
      <c r="CV153" t="str">
        <f>""</f>
        <v/>
      </c>
      <c r="CW153" t="str">
        <f>""</f>
        <v/>
      </c>
      <c r="CX153" t="str">
        <f>""</f>
        <v/>
      </c>
      <c r="CY153" t="str">
        <f>""</f>
        <v/>
      </c>
      <c r="CZ153" t="str">
        <f>""</f>
        <v/>
      </c>
      <c r="DA153" t="str">
        <f>""</f>
        <v/>
      </c>
      <c r="DB153" t="str">
        <f>""</f>
        <v/>
      </c>
      <c r="DC153" t="str">
        <f>""</f>
        <v/>
      </c>
      <c r="DD153" t="str">
        <f>""</f>
        <v/>
      </c>
      <c r="DE153" t="str">
        <f>""</f>
        <v/>
      </c>
      <c r="DF153" t="str">
        <f>""</f>
        <v/>
      </c>
      <c r="DG153" t="str">
        <f>""</f>
        <v/>
      </c>
      <c r="DH153" t="str">
        <f>""</f>
        <v/>
      </c>
      <c r="DI153" t="str">
        <f>""</f>
        <v/>
      </c>
      <c r="DJ153" t="str">
        <f>""</f>
        <v/>
      </c>
      <c r="DK153" t="str">
        <f>""</f>
        <v/>
      </c>
      <c r="DL153" t="str">
        <f>""</f>
        <v/>
      </c>
      <c r="DM153" t="str">
        <f>""</f>
        <v/>
      </c>
      <c r="DN153" t="str">
        <f>""</f>
        <v/>
      </c>
      <c r="DO153" t="str">
        <f>""</f>
        <v/>
      </c>
      <c r="DP153" t="str">
        <f>""</f>
        <v/>
      </c>
      <c r="DQ153" t="str">
        <f>""</f>
        <v/>
      </c>
      <c r="DR153" t="str">
        <f>""</f>
        <v/>
      </c>
      <c r="DS153" t="str">
        <f>""</f>
        <v/>
      </c>
      <c r="DT153" t="str">
        <f>""</f>
        <v/>
      </c>
      <c r="DU153" t="str">
        <f>""</f>
        <v/>
      </c>
      <c r="DV153" t="str">
        <f>""</f>
        <v/>
      </c>
      <c r="DW153" t="str">
        <f>""</f>
        <v/>
      </c>
      <c r="DX153" t="str">
        <f>""</f>
        <v/>
      </c>
      <c r="DY153" t="str">
        <f>""</f>
        <v/>
      </c>
      <c r="DZ153" t="str">
        <f>""</f>
        <v/>
      </c>
      <c r="EA153" t="str">
        <f>""</f>
        <v/>
      </c>
      <c r="EB153" t="str">
        <f>""</f>
        <v/>
      </c>
      <c r="EC153" t="str">
        <f>""</f>
        <v/>
      </c>
      <c r="ED153" t="str">
        <f>""</f>
        <v/>
      </c>
      <c r="EE153" t="str">
        <f>""</f>
        <v/>
      </c>
      <c r="EF153" t="str">
        <f>""</f>
        <v/>
      </c>
      <c r="EG153" t="str">
        <f>""</f>
        <v/>
      </c>
      <c r="EH153" t="str">
        <f>""</f>
        <v/>
      </c>
      <c r="EI153" t="str">
        <f>""</f>
        <v/>
      </c>
      <c r="EJ153" t="str">
        <f>""</f>
        <v/>
      </c>
      <c r="EK153" t="str">
        <f>""</f>
        <v/>
      </c>
      <c r="EL153" t="str">
        <f>""</f>
        <v/>
      </c>
      <c r="EM153" t="str">
        <f>""</f>
        <v/>
      </c>
      <c r="EN153" t="str">
        <f>""</f>
        <v/>
      </c>
      <c r="EO153" t="str">
        <f>""</f>
        <v/>
      </c>
      <c r="EP153" t="str">
        <f>""</f>
        <v/>
      </c>
      <c r="EQ153" t="str">
        <f>""</f>
        <v/>
      </c>
      <c r="ER153" t="str">
        <f>""</f>
        <v/>
      </c>
      <c r="ES153" t="str">
        <f>""</f>
        <v/>
      </c>
      <c r="ET153" t="str">
        <f>""</f>
        <v/>
      </c>
      <c r="EU153" t="str">
        <f>""</f>
        <v/>
      </c>
      <c r="EV153" t="str">
        <f>""</f>
        <v/>
      </c>
      <c r="EW153" t="str">
        <f>""</f>
        <v/>
      </c>
      <c r="EX153" t="str">
        <f>""</f>
        <v/>
      </c>
      <c r="EY153" t="str">
        <f>""</f>
        <v/>
      </c>
      <c r="EZ153" t="str">
        <f>""</f>
        <v/>
      </c>
      <c r="FA153" t="str">
        <f>""</f>
        <v/>
      </c>
      <c r="FB153" t="str">
        <f>""</f>
        <v/>
      </c>
      <c r="FC153" t="str">
        <f>""</f>
        <v/>
      </c>
      <c r="FD153" t="str">
        <f>""</f>
        <v/>
      </c>
      <c r="FE153" t="str">
        <f>""</f>
        <v/>
      </c>
      <c r="FF153" t="str">
        <f>""</f>
        <v/>
      </c>
      <c r="FG153" t="str">
        <f>""</f>
        <v/>
      </c>
      <c r="FH153" t="str">
        <f>""</f>
        <v/>
      </c>
      <c r="FI153" t="str">
        <f>""</f>
        <v/>
      </c>
      <c r="FJ153" t="str">
        <f>""</f>
        <v/>
      </c>
      <c r="FK153" t="str">
        <f>""</f>
        <v/>
      </c>
      <c r="FL153" t="str">
        <f>""</f>
        <v/>
      </c>
      <c r="FM153" t="str">
        <f>""</f>
        <v/>
      </c>
      <c r="FN153" t="str">
        <f>""</f>
        <v/>
      </c>
      <c r="FO153" t="str">
        <f>""</f>
        <v/>
      </c>
      <c r="FP153" t="str">
        <f>""</f>
        <v/>
      </c>
      <c r="FQ153" t="str">
        <f>""</f>
        <v/>
      </c>
      <c r="FR153" t="str">
        <f>""</f>
        <v/>
      </c>
      <c r="FS153" t="str">
        <f>""</f>
        <v/>
      </c>
      <c r="FT153" t="str">
        <f>""</f>
        <v/>
      </c>
      <c r="FU153" t="str">
        <f>""</f>
        <v/>
      </c>
      <c r="FV153" t="str">
        <f>""</f>
        <v/>
      </c>
      <c r="FW153" t="str">
        <f>""</f>
        <v/>
      </c>
      <c r="FX153" t="str">
        <f>""</f>
        <v/>
      </c>
      <c r="FY153" t="str">
        <f>""</f>
        <v/>
      </c>
      <c r="FZ153" t="str">
        <f>""</f>
        <v/>
      </c>
      <c r="GA153" t="str">
        <f>""</f>
        <v/>
      </c>
      <c r="GB153" t="str">
        <f>""</f>
        <v/>
      </c>
      <c r="GC153" t="str">
        <f>""</f>
        <v/>
      </c>
      <c r="GD153" t="str">
        <f>""</f>
        <v/>
      </c>
      <c r="GE153" t="str">
        <f>""</f>
        <v/>
      </c>
      <c r="GF153" t="str">
        <f>""</f>
        <v/>
      </c>
      <c r="GG153" t="str">
        <f>""</f>
        <v/>
      </c>
      <c r="GH153" t="str">
        <f>""</f>
        <v/>
      </c>
      <c r="GI153" t="str">
        <f>""</f>
        <v/>
      </c>
      <c r="GJ153" t="str">
        <f>""</f>
        <v/>
      </c>
      <c r="GK153" t="str">
        <f>""</f>
        <v/>
      </c>
      <c r="GL153" t="str">
        <f>""</f>
        <v/>
      </c>
      <c r="GM153" t="str">
        <f>""</f>
        <v/>
      </c>
      <c r="GN153" t="str">
        <f>""</f>
        <v/>
      </c>
      <c r="GO153" t="str">
        <f>""</f>
        <v/>
      </c>
      <c r="GP153" t="str">
        <f>""</f>
        <v/>
      </c>
      <c r="GQ153" t="str">
        <f>""</f>
        <v/>
      </c>
      <c r="GR153" t="str">
        <f>""</f>
        <v/>
      </c>
      <c r="GS153" t="str">
        <f>""</f>
        <v/>
      </c>
      <c r="GT153" t="str">
        <f>""</f>
        <v/>
      </c>
      <c r="GU153" t="str">
        <f>""</f>
        <v/>
      </c>
      <c r="GV153" t="str">
        <f>""</f>
        <v/>
      </c>
      <c r="GW153" t="str">
        <f>""</f>
        <v/>
      </c>
      <c r="GX153" t="str">
        <f>""</f>
        <v/>
      </c>
      <c r="GY153" t="str">
        <f>""</f>
        <v/>
      </c>
      <c r="GZ153" t="str">
        <f>""</f>
        <v/>
      </c>
      <c r="HA153" t="str">
        <f>""</f>
        <v/>
      </c>
      <c r="HB153" t="str">
        <f>""</f>
        <v/>
      </c>
      <c r="HC153" t="str">
        <f>""</f>
        <v/>
      </c>
      <c r="HD153" t="str">
        <f>""</f>
        <v/>
      </c>
      <c r="HE153" t="str">
        <f>""</f>
        <v/>
      </c>
      <c r="HF153" t="str">
        <f>""</f>
        <v/>
      </c>
      <c r="HG153" t="str">
        <f>""</f>
        <v/>
      </c>
      <c r="HH153" t="str">
        <f>""</f>
        <v/>
      </c>
      <c r="HI153" t="str">
        <f>""</f>
        <v/>
      </c>
      <c r="HJ153" t="str">
        <f>""</f>
        <v/>
      </c>
      <c r="HK153" t="str">
        <f>""</f>
        <v/>
      </c>
      <c r="HL153" t="str">
        <f>""</f>
        <v/>
      </c>
      <c r="HM153" t="str">
        <f>""</f>
        <v/>
      </c>
      <c r="HN153" t="str">
        <f>""</f>
        <v/>
      </c>
      <c r="HO153" t="str">
        <f>""</f>
        <v/>
      </c>
      <c r="HP153" t="str">
        <f>""</f>
        <v/>
      </c>
      <c r="HQ153" t="str">
        <f>""</f>
        <v/>
      </c>
      <c r="HR153" t="str">
        <f>""</f>
        <v/>
      </c>
      <c r="HS153" t="str">
        <f>""</f>
        <v/>
      </c>
      <c r="HT153" t="str">
        <f>""</f>
        <v/>
      </c>
      <c r="HU153" t="str">
        <f>""</f>
        <v/>
      </c>
      <c r="HV153" t="str">
        <f>""</f>
        <v/>
      </c>
      <c r="HW153" t="str">
        <f>""</f>
        <v/>
      </c>
      <c r="HX153" t="str">
        <f>""</f>
        <v/>
      </c>
      <c r="HY153" t="str">
        <f>""</f>
        <v/>
      </c>
      <c r="HZ153" t="str">
        <f>""</f>
        <v/>
      </c>
      <c r="IA153" t="str">
        <f>""</f>
        <v/>
      </c>
      <c r="IB153" t="str">
        <f>""</f>
        <v/>
      </c>
      <c r="IC153" t="str">
        <f>""</f>
        <v/>
      </c>
      <c r="ID153" t="str">
        <f>""</f>
        <v/>
      </c>
      <c r="IE153" t="str">
        <f>""</f>
        <v/>
      </c>
      <c r="IF153" t="str">
        <f>""</f>
        <v/>
      </c>
      <c r="IG153" t="str">
        <f>""</f>
        <v/>
      </c>
      <c r="IH153" t="str">
        <f>""</f>
        <v/>
      </c>
      <c r="II153" t="str">
        <f>""</f>
        <v/>
      </c>
      <c r="IJ153" t="str">
        <f>""</f>
        <v/>
      </c>
      <c r="IK153" t="str">
        <f>""</f>
        <v/>
      </c>
      <c r="IL153" t="str">
        <f>""</f>
        <v/>
      </c>
      <c r="IM153" t="str">
        <f>""</f>
        <v/>
      </c>
      <c r="IN153" t="str">
        <f>""</f>
        <v/>
      </c>
      <c r="IO153" t="str">
        <f>""</f>
        <v/>
      </c>
      <c r="IP153" t="str">
        <f>""</f>
        <v/>
      </c>
      <c r="IQ153" t="str">
        <f>""</f>
        <v/>
      </c>
      <c r="IR153" t="str">
        <f>""</f>
        <v/>
      </c>
      <c r="IS153" t="str">
        <f>""</f>
        <v/>
      </c>
      <c r="IT153" t="str">
        <f>""</f>
        <v/>
      </c>
      <c r="IU153" t="str">
        <f>""</f>
        <v/>
      </c>
      <c r="IV153" t="str">
        <f>""</f>
        <v/>
      </c>
      <c r="IW153" t="str">
        <f>""</f>
        <v/>
      </c>
      <c r="IX153" t="str">
        <f>""</f>
        <v/>
      </c>
      <c r="IY153" t="str">
        <f>""</f>
        <v/>
      </c>
      <c r="IZ153" t="str">
        <f>""</f>
        <v/>
      </c>
      <c r="JA153" t="str">
        <f>""</f>
        <v/>
      </c>
      <c r="JB153" t="str">
        <f>""</f>
        <v/>
      </c>
      <c r="JC153" t="str">
        <f>""</f>
        <v/>
      </c>
      <c r="JD153" t="str">
        <f>""</f>
        <v/>
      </c>
      <c r="JE153" t="str">
        <f>""</f>
        <v/>
      </c>
      <c r="JF153" t="str">
        <f>""</f>
        <v/>
      </c>
      <c r="JG153" t="str">
        <f>""</f>
        <v/>
      </c>
      <c r="JH153" t="str">
        <f>""</f>
        <v/>
      </c>
      <c r="JI153" t="str">
        <f>""</f>
        <v/>
      </c>
      <c r="JJ153" t="str">
        <f>""</f>
        <v/>
      </c>
      <c r="JK153" t="str">
        <f>""</f>
        <v/>
      </c>
    </row>
    <row r="154" spans="1:271" x14ac:dyDescent="0.3">
      <c r="A154" t="str">
        <f>""</f>
        <v/>
      </c>
      <c r="B154" t="str">
        <f>""</f>
        <v/>
      </c>
      <c r="C154" t="str">
        <f>""</f>
        <v/>
      </c>
      <c r="D154" t="str">
        <f>""</f>
        <v/>
      </c>
      <c r="E154" t="str">
        <f>""</f>
        <v/>
      </c>
      <c r="F154" t="str">
        <f>""</f>
        <v/>
      </c>
      <c r="G154" t="str">
        <f>""</f>
        <v/>
      </c>
      <c r="H154" t="str">
        <f>""</f>
        <v/>
      </c>
      <c r="I154" t="str">
        <f>""</f>
        <v/>
      </c>
      <c r="J154" t="str">
        <f>""</f>
        <v/>
      </c>
      <c r="K154" t="str">
        <f>""</f>
        <v/>
      </c>
      <c r="L154" t="str">
        <f>""</f>
        <v/>
      </c>
      <c r="M154" t="str">
        <f>""</f>
        <v/>
      </c>
      <c r="N154" t="str">
        <f>""</f>
        <v/>
      </c>
      <c r="O154" t="str">
        <f>""</f>
        <v/>
      </c>
      <c r="P154" t="str">
        <f>""</f>
        <v/>
      </c>
      <c r="Q154" t="str">
        <f>""</f>
        <v/>
      </c>
      <c r="R154" t="str">
        <f>""</f>
        <v/>
      </c>
      <c r="S154" t="str">
        <f>""</f>
        <v/>
      </c>
      <c r="T154" t="str">
        <f>""</f>
        <v/>
      </c>
      <c r="U154" t="str">
        <f>""</f>
        <v/>
      </c>
      <c r="V154" t="str">
        <f>""</f>
        <v/>
      </c>
      <c r="W154" t="str">
        <f>""</f>
        <v/>
      </c>
      <c r="X154" t="str">
        <f>""</f>
        <v/>
      </c>
      <c r="Y154" t="str">
        <f>""</f>
        <v/>
      </c>
      <c r="Z154" t="str">
        <f>""</f>
        <v/>
      </c>
      <c r="AA154" t="str">
        <f>""</f>
        <v/>
      </c>
      <c r="AB154" t="str">
        <f>""</f>
        <v/>
      </c>
      <c r="AC154" t="str">
        <f>""</f>
        <v/>
      </c>
      <c r="AD154" t="str">
        <f>""</f>
        <v/>
      </c>
      <c r="AE154" t="str">
        <f>""</f>
        <v/>
      </c>
      <c r="AF154" t="str">
        <f>""</f>
        <v/>
      </c>
      <c r="AG154" t="str">
        <f>""</f>
        <v/>
      </c>
      <c r="AH154" t="str">
        <f>""</f>
        <v/>
      </c>
      <c r="AI154" t="str">
        <f>""</f>
        <v/>
      </c>
      <c r="AJ154" t="str">
        <f>""</f>
        <v/>
      </c>
      <c r="AK154" t="str">
        <f>""</f>
        <v/>
      </c>
      <c r="AL154" t="str">
        <f>""</f>
        <v/>
      </c>
      <c r="AM154" t="str">
        <f>""</f>
        <v/>
      </c>
      <c r="AN154" t="str">
        <f>""</f>
        <v/>
      </c>
      <c r="AO154" t="str">
        <f>""</f>
        <v/>
      </c>
      <c r="AP154" t="str">
        <f>""</f>
        <v/>
      </c>
      <c r="AQ154" t="str">
        <f>""</f>
        <v/>
      </c>
      <c r="AR154" t="str">
        <f>""</f>
        <v/>
      </c>
      <c r="AS154" t="str">
        <f>""</f>
        <v/>
      </c>
      <c r="AT154" t="str">
        <f>""</f>
        <v/>
      </c>
      <c r="AU154" t="str">
        <f>""</f>
        <v/>
      </c>
      <c r="AV154" t="str">
        <f>""</f>
        <v/>
      </c>
      <c r="AW154" t="str">
        <f>""</f>
        <v/>
      </c>
      <c r="AX154" t="str">
        <f>""</f>
        <v/>
      </c>
      <c r="AY154" t="str">
        <f>""</f>
        <v/>
      </c>
      <c r="AZ154" t="str">
        <f>""</f>
        <v/>
      </c>
      <c r="BA154" t="str">
        <f>""</f>
        <v/>
      </c>
      <c r="BB154" t="str">
        <f>""</f>
        <v/>
      </c>
      <c r="BC154" t="str">
        <f>""</f>
        <v/>
      </c>
      <c r="BD154" t="str">
        <f>""</f>
        <v/>
      </c>
      <c r="BE154" t="str">
        <f>""</f>
        <v/>
      </c>
      <c r="BF154" t="str">
        <f>""</f>
        <v/>
      </c>
      <c r="BG154" t="str">
        <f>""</f>
        <v/>
      </c>
      <c r="BH154" t="str">
        <f>""</f>
        <v/>
      </c>
      <c r="BI154" t="str">
        <f>""</f>
        <v/>
      </c>
      <c r="BJ154" t="str">
        <f>""</f>
        <v/>
      </c>
      <c r="BK154" t="str">
        <f>""</f>
        <v/>
      </c>
      <c r="BL154" t="str">
        <f>""</f>
        <v/>
      </c>
      <c r="BM154" t="str">
        <f>""</f>
        <v/>
      </c>
      <c r="BN154" t="str">
        <f>""</f>
        <v/>
      </c>
      <c r="BO154" t="str">
        <f>""</f>
        <v/>
      </c>
      <c r="BP154" t="str">
        <f>""</f>
        <v/>
      </c>
      <c r="BQ154" t="str">
        <f>""</f>
        <v/>
      </c>
      <c r="BR154" t="str">
        <f>""</f>
        <v/>
      </c>
      <c r="BS154" t="str">
        <f>"(0.106)"</f>
        <v>(0.106)</v>
      </c>
      <c r="BT154" t="str">
        <f>"(0.0824)"</f>
        <v>(0.0824)</v>
      </c>
      <c r="BU154" t="str">
        <f>"(0.0454)"</f>
        <v>(0.0454)</v>
      </c>
      <c r="BV154" t="str">
        <f>""</f>
        <v/>
      </c>
      <c r="BW154" t="str">
        <f>""</f>
        <v/>
      </c>
      <c r="BX154" t="str">
        <f>""</f>
        <v/>
      </c>
      <c r="BY154" t="str">
        <f>""</f>
        <v/>
      </c>
      <c r="BZ154" t="str">
        <f>""</f>
        <v/>
      </c>
      <c r="CA154" t="str">
        <f>""</f>
        <v/>
      </c>
      <c r="CB154" t="str">
        <f>""</f>
        <v/>
      </c>
      <c r="CC154" t="str">
        <f>""</f>
        <v/>
      </c>
      <c r="CD154" t="str">
        <f>""</f>
        <v/>
      </c>
      <c r="CE154" t="str">
        <f>""</f>
        <v/>
      </c>
      <c r="CF154" t="str">
        <f>""</f>
        <v/>
      </c>
      <c r="CG154" t="str">
        <f>""</f>
        <v/>
      </c>
      <c r="CH154" t="str">
        <f>""</f>
        <v/>
      </c>
      <c r="CI154" t="str">
        <f>""</f>
        <v/>
      </c>
      <c r="CJ154" t="str">
        <f>""</f>
        <v/>
      </c>
      <c r="CK154" t="str">
        <f>""</f>
        <v/>
      </c>
      <c r="CL154" t="str">
        <f>""</f>
        <v/>
      </c>
      <c r="CM154" t="str">
        <f>""</f>
        <v/>
      </c>
      <c r="CN154" t="str">
        <f>""</f>
        <v/>
      </c>
      <c r="CO154" t="str">
        <f>""</f>
        <v/>
      </c>
      <c r="CP154" t="str">
        <f>""</f>
        <v/>
      </c>
      <c r="CQ154" t="str">
        <f>""</f>
        <v/>
      </c>
      <c r="CR154" t="str">
        <f>""</f>
        <v/>
      </c>
      <c r="CS154" t="str">
        <f>""</f>
        <v/>
      </c>
      <c r="CT154" t="str">
        <f>""</f>
        <v/>
      </c>
      <c r="CU154" t="str">
        <f>""</f>
        <v/>
      </c>
      <c r="CV154" t="str">
        <f>""</f>
        <v/>
      </c>
      <c r="CW154" t="str">
        <f>""</f>
        <v/>
      </c>
      <c r="CX154" t="str">
        <f>""</f>
        <v/>
      </c>
      <c r="CY154" t="str">
        <f>""</f>
        <v/>
      </c>
      <c r="CZ154" t="str">
        <f>""</f>
        <v/>
      </c>
      <c r="DA154" t="str">
        <f>""</f>
        <v/>
      </c>
      <c r="DB154" t="str">
        <f>""</f>
        <v/>
      </c>
      <c r="DC154" t="str">
        <f>""</f>
        <v/>
      </c>
      <c r="DD154" t="str">
        <f>""</f>
        <v/>
      </c>
      <c r="DE154" t="str">
        <f>""</f>
        <v/>
      </c>
      <c r="DF154" t="str">
        <f>""</f>
        <v/>
      </c>
      <c r="DG154" t="str">
        <f>""</f>
        <v/>
      </c>
      <c r="DH154" t="str">
        <f>""</f>
        <v/>
      </c>
      <c r="DI154" t="str">
        <f>""</f>
        <v/>
      </c>
      <c r="DJ154" t="str">
        <f>""</f>
        <v/>
      </c>
      <c r="DK154" t="str">
        <f>""</f>
        <v/>
      </c>
      <c r="DL154" t="str">
        <f>""</f>
        <v/>
      </c>
      <c r="DM154" t="str">
        <f>""</f>
        <v/>
      </c>
      <c r="DN154" t="str">
        <f>""</f>
        <v/>
      </c>
      <c r="DO154" t="str">
        <f>""</f>
        <v/>
      </c>
      <c r="DP154" t="str">
        <f>""</f>
        <v/>
      </c>
      <c r="DQ154" t="str">
        <f>""</f>
        <v/>
      </c>
      <c r="DR154" t="str">
        <f>""</f>
        <v/>
      </c>
      <c r="DS154" t="str">
        <f>""</f>
        <v/>
      </c>
      <c r="DT154" t="str">
        <f>""</f>
        <v/>
      </c>
      <c r="DU154" t="str">
        <f>""</f>
        <v/>
      </c>
      <c r="DV154" t="str">
        <f>""</f>
        <v/>
      </c>
      <c r="DW154" t="str">
        <f>""</f>
        <v/>
      </c>
      <c r="DX154" t="str">
        <f>""</f>
        <v/>
      </c>
      <c r="DY154" t="str">
        <f>""</f>
        <v/>
      </c>
      <c r="DZ154" t="str">
        <f>""</f>
        <v/>
      </c>
      <c r="EA154" t="str">
        <f>""</f>
        <v/>
      </c>
      <c r="EB154" t="str">
        <f>""</f>
        <v/>
      </c>
      <c r="EC154" t="str">
        <f>""</f>
        <v/>
      </c>
      <c r="ED154" t="str">
        <f>""</f>
        <v/>
      </c>
      <c r="EE154" t="str">
        <f>""</f>
        <v/>
      </c>
      <c r="EF154" t="str">
        <f>""</f>
        <v/>
      </c>
      <c r="EG154" t="str">
        <f>""</f>
        <v/>
      </c>
      <c r="EH154" t="str">
        <f>""</f>
        <v/>
      </c>
      <c r="EI154" t="str">
        <f>""</f>
        <v/>
      </c>
      <c r="EJ154" t="str">
        <f>""</f>
        <v/>
      </c>
      <c r="EK154" t="str">
        <f>""</f>
        <v/>
      </c>
      <c r="EL154" t="str">
        <f>""</f>
        <v/>
      </c>
      <c r="EM154" t="str">
        <f>""</f>
        <v/>
      </c>
      <c r="EN154" t="str">
        <f>""</f>
        <v/>
      </c>
      <c r="EO154" t="str">
        <f>""</f>
        <v/>
      </c>
      <c r="EP154" t="str">
        <f>""</f>
        <v/>
      </c>
      <c r="EQ154" t="str">
        <f>""</f>
        <v/>
      </c>
      <c r="ER154" t="str">
        <f>""</f>
        <v/>
      </c>
      <c r="ES154" t="str">
        <f>""</f>
        <v/>
      </c>
      <c r="ET154" t="str">
        <f>""</f>
        <v/>
      </c>
      <c r="EU154" t="str">
        <f>""</f>
        <v/>
      </c>
      <c r="EV154" t="str">
        <f>""</f>
        <v/>
      </c>
      <c r="EW154" t="str">
        <f>""</f>
        <v/>
      </c>
      <c r="EX154" t="str">
        <f>""</f>
        <v/>
      </c>
      <c r="EY154" t="str">
        <f>""</f>
        <v/>
      </c>
      <c r="EZ154" t="str">
        <f>""</f>
        <v/>
      </c>
      <c r="FA154" t="str">
        <f>""</f>
        <v/>
      </c>
      <c r="FB154" t="str">
        <f>""</f>
        <v/>
      </c>
      <c r="FC154" t="str">
        <f>""</f>
        <v/>
      </c>
      <c r="FD154" t="str">
        <f>""</f>
        <v/>
      </c>
      <c r="FE154" t="str">
        <f>""</f>
        <v/>
      </c>
      <c r="FF154" t="str">
        <f>""</f>
        <v/>
      </c>
      <c r="FG154" t="str">
        <f>""</f>
        <v/>
      </c>
      <c r="FH154" t="str">
        <f>""</f>
        <v/>
      </c>
      <c r="FI154" t="str">
        <f>""</f>
        <v/>
      </c>
      <c r="FJ154" t="str">
        <f>""</f>
        <v/>
      </c>
      <c r="FK154" t="str">
        <f>""</f>
        <v/>
      </c>
      <c r="FL154" t="str">
        <f>""</f>
        <v/>
      </c>
      <c r="FM154" t="str">
        <f>""</f>
        <v/>
      </c>
      <c r="FN154" t="str">
        <f>""</f>
        <v/>
      </c>
      <c r="FO154" t="str">
        <f>""</f>
        <v/>
      </c>
      <c r="FP154" t="str">
        <f>""</f>
        <v/>
      </c>
      <c r="FQ154" t="str">
        <f>""</f>
        <v/>
      </c>
      <c r="FR154" t="str">
        <f>""</f>
        <v/>
      </c>
      <c r="FS154" t="str">
        <f>""</f>
        <v/>
      </c>
      <c r="FT154" t="str">
        <f>""</f>
        <v/>
      </c>
      <c r="FU154" t="str">
        <f>""</f>
        <v/>
      </c>
      <c r="FV154" t="str">
        <f>""</f>
        <v/>
      </c>
      <c r="FW154" t="str">
        <f>""</f>
        <v/>
      </c>
      <c r="FX154" t="str">
        <f>""</f>
        <v/>
      </c>
      <c r="FY154" t="str">
        <f>""</f>
        <v/>
      </c>
      <c r="FZ154" t="str">
        <f>""</f>
        <v/>
      </c>
      <c r="GA154" t="str">
        <f>""</f>
        <v/>
      </c>
      <c r="GB154" t="str">
        <f>""</f>
        <v/>
      </c>
      <c r="GC154" t="str">
        <f>""</f>
        <v/>
      </c>
      <c r="GD154" t="str">
        <f>""</f>
        <v/>
      </c>
      <c r="GE154" t="str">
        <f>""</f>
        <v/>
      </c>
      <c r="GF154" t="str">
        <f>""</f>
        <v/>
      </c>
      <c r="GG154" t="str">
        <f>""</f>
        <v/>
      </c>
      <c r="GH154" t="str">
        <f>""</f>
        <v/>
      </c>
      <c r="GI154" t="str">
        <f>""</f>
        <v/>
      </c>
      <c r="GJ154" t="str">
        <f>""</f>
        <v/>
      </c>
      <c r="GK154" t="str">
        <f>""</f>
        <v/>
      </c>
      <c r="GL154" t="str">
        <f>""</f>
        <v/>
      </c>
      <c r="GM154" t="str">
        <f>""</f>
        <v/>
      </c>
      <c r="GN154" t="str">
        <f>""</f>
        <v/>
      </c>
      <c r="GO154" t="str">
        <f>""</f>
        <v/>
      </c>
      <c r="GP154" t="str">
        <f>""</f>
        <v/>
      </c>
      <c r="GQ154" t="str">
        <f>""</f>
        <v/>
      </c>
      <c r="GR154" t="str">
        <f>""</f>
        <v/>
      </c>
      <c r="GS154" t="str">
        <f>""</f>
        <v/>
      </c>
      <c r="GT154" t="str">
        <f>""</f>
        <v/>
      </c>
      <c r="GU154" t="str">
        <f>""</f>
        <v/>
      </c>
      <c r="GV154" t="str">
        <f>""</f>
        <v/>
      </c>
      <c r="GW154" t="str">
        <f>""</f>
        <v/>
      </c>
      <c r="GX154" t="str">
        <f>""</f>
        <v/>
      </c>
      <c r="GY154" t="str">
        <f>""</f>
        <v/>
      </c>
      <c r="GZ154" t="str">
        <f>""</f>
        <v/>
      </c>
      <c r="HA154" t="str">
        <f>""</f>
        <v/>
      </c>
      <c r="HB154" t="str">
        <f>""</f>
        <v/>
      </c>
      <c r="HC154" t="str">
        <f>""</f>
        <v/>
      </c>
      <c r="HD154" t="str">
        <f>""</f>
        <v/>
      </c>
      <c r="HE154" t="str">
        <f>""</f>
        <v/>
      </c>
      <c r="HF154" t="str">
        <f>""</f>
        <v/>
      </c>
      <c r="HG154" t="str">
        <f>""</f>
        <v/>
      </c>
      <c r="HH154" t="str">
        <f>""</f>
        <v/>
      </c>
      <c r="HI154" t="str">
        <f>""</f>
        <v/>
      </c>
      <c r="HJ154" t="str">
        <f>""</f>
        <v/>
      </c>
      <c r="HK154" t="str">
        <f>""</f>
        <v/>
      </c>
      <c r="HL154" t="str">
        <f>""</f>
        <v/>
      </c>
      <c r="HM154" t="str">
        <f>""</f>
        <v/>
      </c>
      <c r="HN154" t="str">
        <f>""</f>
        <v/>
      </c>
      <c r="HO154" t="str">
        <f>""</f>
        <v/>
      </c>
      <c r="HP154" t="str">
        <f>""</f>
        <v/>
      </c>
      <c r="HQ154" t="str">
        <f>""</f>
        <v/>
      </c>
      <c r="HR154" t="str">
        <f>""</f>
        <v/>
      </c>
      <c r="HS154" t="str">
        <f>""</f>
        <v/>
      </c>
      <c r="HT154" t="str">
        <f>""</f>
        <v/>
      </c>
      <c r="HU154" t="str">
        <f>""</f>
        <v/>
      </c>
      <c r="HV154" t="str">
        <f>""</f>
        <v/>
      </c>
      <c r="HW154" t="str">
        <f>""</f>
        <v/>
      </c>
      <c r="HX154" t="str">
        <f>""</f>
        <v/>
      </c>
      <c r="HY154" t="str">
        <f>""</f>
        <v/>
      </c>
      <c r="HZ154" t="str">
        <f>""</f>
        <v/>
      </c>
      <c r="IA154" t="str">
        <f>""</f>
        <v/>
      </c>
      <c r="IB154" t="str">
        <f>""</f>
        <v/>
      </c>
      <c r="IC154" t="str">
        <f>""</f>
        <v/>
      </c>
      <c r="ID154" t="str">
        <f>""</f>
        <v/>
      </c>
      <c r="IE154" t="str">
        <f>""</f>
        <v/>
      </c>
      <c r="IF154" t="str">
        <f>""</f>
        <v/>
      </c>
      <c r="IG154" t="str">
        <f>""</f>
        <v/>
      </c>
      <c r="IH154" t="str">
        <f>""</f>
        <v/>
      </c>
      <c r="II154" t="str">
        <f>""</f>
        <v/>
      </c>
      <c r="IJ154" t="str">
        <f>""</f>
        <v/>
      </c>
      <c r="IK154" t="str">
        <f>""</f>
        <v/>
      </c>
      <c r="IL154" t="str">
        <f>""</f>
        <v/>
      </c>
      <c r="IM154" t="str">
        <f>""</f>
        <v/>
      </c>
      <c r="IN154" t="str">
        <f>""</f>
        <v/>
      </c>
      <c r="IO154" t="str">
        <f>""</f>
        <v/>
      </c>
      <c r="IP154" t="str">
        <f>""</f>
        <v/>
      </c>
      <c r="IQ154" t="str">
        <f>""</f>
        <v/>
      </c>
      <c r="IR154" t="str">
        <f>""</f>
        <v/>
      </c>
      <c r="IS154" t="str">
        <f>""</f>
        <v/>
      </c>
      <c r="IT154" t="str">
        <f>""</f>
        <v/>
      </c>
      <c r="IU154" t="str">
        <f>""</f>
        <v/>
      </c>
      <c r="IV154" t="str">
        <f>""</f>
        <v/>
      </c>
      <c r="IW154" t="str">
        <f>""</f>
        <v/>
      </c>
      <c r="IX154" t="str">
        <f>""</f>
        <v/>
      </c>
      <c r="IY154" t="str">
        <f>""</f>
        <v/>
      </c>
      <c r="IZ154" t="str">
        <f>""</f>
        <v/>
      </c>
      <c r="JA154" t="str">
        <f>""</f>
        <v/>
      </c>
      <c r="JB154" t="str">
        <f>""</f>
        <v/>
      </c>
      <c r="JC154" t="str">
        <f>""</f>
        <v/>
      </c>
      <c r="JD154" t="str">
        <f>""</f>
        <v/>
      </c>
      <c r="JE154" t="str">
        <f>""</f>
        <v/>
      </c>
      <c r="JF154" t="str">
        <f>""</f>
        <v/>
      </c>
      <c r="JG154" t="str">
        <f>""</f>
        <v/>
      </c>
      <c r="JH154" t="str">
        <f>""</f>
        <v/>
      </c>
      <c r="JI154" t="str">
        <f>""</f>
        <v/>
      </c>
      <c r="JJ154" t="str">
        <f>""</f>
        <v/>
      </c>
      <c r="JK154" t="str">
        <f>""</f>
        <v/>
      </c>
    </row>
    <row r="156" spans="1:271" x14ac:dyDescent="0.3">
      <c r="A156" t="str">
        <f>"c.zMETAB10#c.PM2"</f>
        <v>c.zMETAB10#c.PM2</v>
      </c>
      <c r="B156" t="str">
        <f>""</f>
        <v/>
      </c>
      <c r="C156" t="str">
        <f>""</f>
        <v/>
      </c>
      <c r="D156" t="str">
        <f>""</f>
        <v/>
      </c>
      <c r="E156" t="str">
        <f>""</f>
        <v/>
      </c>
      <c r="F156" t="str">
        <f>""</f>
        <v/>
      </c>
      <c r="G156" t="str">
        <f>""</f>
        <v/>
      </c>
      <c r="H156" t="str">
        <f>""</f>
        <v/>
      </c>
      <c r="I156" t="str">
        <f>""</f>
        <v/>
      </c>
      <c r="J156" t="str">
        <f>""</f>
        <v/>
      </c>
      <c r="K156" t="str">
        <f>""</f>
        <v/>
      </c>
      <c r="L156" t="str">
        <f>""</f>
        <v/>
      </c>
      <c r="M156" t="str">
        <f>""</f>
        <v/>
      </c>
      <c r="N156" t="str">
        <f>""</f>
        <v/>
      </c>
      <c r="O156" t="str">
        <f>""</f>
        <v/>
      </c>
      <c r="P156" t="str">
        <f>""</f>
        <v/>
      </c>
      <c r="Q156" t="str">
        <f>""</f>
        <v/>
      </c>
      <c r="R156" t="str">
        <f>""</f>
        <v/>
      </c>
      <c r="S156" t="str">
        <f>""</f>
        <v/>
      </c>
      <c r="T156" t="str">
        <f>""</f>
        <v/>
      </c>
      <c r="U156" t="str">
        <f>""</f>
        <v/>
      </c>
      <c r="V156" t="str">
        <f>""</f>
        <v/>
      </c>
      <c r="W156" t="str">
        <f>""</f>
        <v/>
      </c>
      <c r="X156" t="str">
        <f>""</f>
        <v/>
      </c>
      <c r="Y156" t="str">
        <f>""</f>
        <v/>
      </c>
      <c r="Z156" t="str">
        <f>""</f>
        <v/>
      </c>
      <c r="AA156" t="str">
        <f>""</f>
        <v/>
      </c>
      <c r="AB156" t="str">
        <f>""</f>
        <v/>
      </c>
      <c r="AC156" t="str">
        <f>""</f>
        <v/>
      </c>
      <c r="AD156" t="str">
        <f>""</f>
        <v/>
      </c>
      <c r="AE156" t="str">
        <f>""</f>
        <v/>
      </c>
      <c r="AF156" t="str">
        <f>""</f>
        <v/>
      </c>
      <c r="AG156" t="str">
        <f>""</f>
        <v/>
      </c>
      <c r="AH156" t="str">
        <f>""</f>
        <v/>
      </c>
      <c r="AI156" t="str">
        <f>""</f>
        <v/>
      </c>
      <c r="AJ156" t="str">
        <f>""</f>
        <v/>
      </c>
      <c r="AK156" t="str">
        <f>""</f>
        <v/>
      </c>
      <c r="AL156" t="str">
        <f>""</f>
        <v/>
      </c>
      <c r="AM156" t="str">
        <f>""</f>
        <v/>
      </c>
      <c r="AN156" t="str">
        <f>""</f>
        <v/>
      </c>
      <c r="AO156" t="str">
        <f>""</f>
        <v/>
      </c>
      <c r="AP156" t="str">
        <f>""</f>
        <v/>
      </c>
      <c r="AQ156" t="str">
        <f>""</f>
        <v/>
      </c>
      <c r="AR156" t="str">
        <f>""</f>
        <v/>
      </c>
      <c r="AS156" t="str">
        <f>""</f>
        <v/>
      </c>
      <c r="AT156" t="str">
        <f>""</f>
        <v/>
      </c>
      <c r="AU156" t="str">
        <f>""</f>
        <v/>
      </c>
      <c r="AV156" t="str">
        <f>""</f>
        <v/>
      </c>
      <c r="AW156" t="str">
        <f>""</f>
        <v/>
      </c>
      <c r="AX156" t="str">
        <f>""</f>
        <v/>
      </c>
      <c r="AY156" t="str">
        <f>""</f>
        <v/>
      </c>
      <c r="AZ156" t="str">
        <f>""</f>
        <v/>
      </c>
      <c r="BA156" t="str">
        <f>""</f>
        <v/>
      </c>
      <c r="BB156" t="str">
        <f>""</f>
        <v/>
      </c>
      <c r="BC156" t="str">
        <f>""</f>
        <v/>
      </c>
      <c r="BD156" t="str">
        <f>""</f>
        <v/>
      </c>
      <c r="BE156" t="str">
        <f>""</f>
        <v/>
      </c>
      <c r="BF156" t="str">
        <f>""</f>
        <v/>
      </c>
      <c r="BG156" t="str">
        <f>""</f>
        <v/>
      </c>
      <c r="BH156" t="str">
        <f>""</f>
        <v/>
      </c>
      <c r="BI156" t="str">
        <f>""</f>
        <v/>
      </c>
      <c r="BJ156" t="str">
        <f>""</f>
        <v/>
      </c>
      <c r="BK156" t="str">
        <f>""</f>
        <v/>
      </c>
      <c r="BL156" t="str">
        <f>""</f>
        <v/>
      </c>
      <c r="BM156" t="str">
        <f>""</f>
        <v/>
      </c>
      <c r="BN156" t="str">
        <f>""</f>
        <v/>
      </c>
      <c r="BO156" t="str">
        <f>""</f>
        <v/>
      </c>
      <c r="BP156" t="str">
        <f>""</f>
        <v/>
      </c>
      <c r="BQ156" t="str">
        <f>""</f>
        <v/>
      </c>
      <c r="BR156" t="str">
        <f>""</f>
        <v/>
      </c>
      <c r="BS156" t="str">
        <f>""</f>
        <v/>
      </c>
      <c r="BT156" t="str">
        <f>""</f>
        <v/>
      </c>
      <c r="BU156" t="str">
        <f>""</f>
        <v/>
      </c>
      <c r="BV156" t="str">
        <f>"0.00415"</f>
        <v>0.00415</v>
      </c>
      <c r="BW156" t="str">
        <f>"-0.0650"</f>
        <v>-0.0650</v>
      </c>
      <c r="BX156" t="str">
        <f>"0.00374"</f>
        <v>0.00374</v>
      </c>
      <c r="BY156" t="str">
        <f>""</f>
        <v/>
      </c>
      <c r="BZ156" t="str">
        <f>""</f>
        <v/>
      </c>
      <c r="CA156" t="str">
        <f>""</f>
        <v/>
      </c>
      <c r="CB156" t="str">
        <f>""</f>
        <v/>
      </c>
      <c r="CC156" t="str">
        <f>""</f>
        <v/>
      </c>
      <c r="CD156" t="str">
        <f>""</f>
        <v/>
      </c>
      <c r="CE156" t="str">
        <f>""</f>
        <v/>
      </c>
      <c r="CF156" t="str">
        <f>""</f>
        <v/>
      </c>
      <c r="CG156" t="str">
        <f>""</f>
        <v/>
      </c>
      <c r="CH156" t="str">
        <f>""</f>
        <v/>
      </c>
      <c r="CI156" t="str">
        <f>""</f>
        <v/>
      </c>
      <c r="CJ156" t="str">
        <f>""</f>
        <v/>
      </c>
      <c r="CK156" t="str">
        <f>""</f>
        <v/>
      </c>
      <c r="CL156" t="str">
        <f>""</f>
        <v/>
      </c>
      <c r="CM156" t="str">
        <f>""</f>
        <v/>
      </c>
      <c r="CN156" t="str">
        <f>""</f>
        <v/>
      </c>
      <c r="CO156" t="str">
        <f>""</f>
        <v/>
      </c>
      <c r="CP156" t="str">
        <f>""</f>
        <v/>
      </c>
      <c r="CQ156" t="str">
        <f>""</f>
        <v/>
      </c>
      <c r="CR156" t="str">
        <f>""</f>
        <v/>
      </c>
      <c r="CS156" t="str">
        <f>""</f>
        <v/>
      </c>
      <c r="CT156" t="str">
        <f>""</f>
        <v/>
      </c>
      <c r="CU156" t="str">
        <f>""</f>
        <v/>
      </c>
      <c r="CV156" t="str">
        <f>""</f>
        <v/>
      </c>
      <c r="CW156" t="str">
        <f>""</f>
        <v/>
      </c>
      <c r="CX156" t="str">
        <f>""</f>
        <v/>
      </c>
      <c r="CY156" t="str">
        <f>""</f>
        <v/>
      </c>
      <c r="CZ156" t="str">
        <f>""</f>
        <v/>
      </c>
      <c r="DA156" t="str">
        <f>""</f>
        <v/>
      </c>
      <c r="DB156" t="str">
        <f>""</f>
        <v/>
      </c>
      <c r="DC156" t="str">
        <f>""</f>
        <v/>
      </c>
      <c r="DD156" t="str">
        <f>""</f>
        <v/>
      </c>
      <c r="DE156" t="str">
        <f>""</f>
        <v/>
      </c>
      <c r="DF156" t="str">
        <f>""</f>
        <v/>
      </c>
      <c r="DG156" t="str">
        <f>""</f>
        <v/>
      </c>
      <c r="DH156" t="str">
        <f>""</f>
        <v/>
      </c>
      <c r="DI156" t="str">
        <f>""</f>
        <v/>
      </c>
      <c r="DJ156" t="str">
        <f>""</f>
        <v/>
      </c>
      <c r="DK156" t="str">
        <f>""</f>
        <v/>
      </c>
      <c r="DL156" t="str">
        <f>""</f>
        <v/>
      </c>
      <c r="DM156" t="str">
        <f>""</f>
        <v/>
      </c>
      <c r="DN156" t="str">
        <f>""</f>
        <v/>
      </c>
      <c r="DO156" t="str">
        <f>""</f>
        <v/>
      </c>
      <c r="DP156" t="str">
        <f>""</f>
        <v/>
      </c>
      <c r="DQ156" t="str">
        <f>""</f>
        <v/>
      </c>
      <c r="DR156" t="str">
        <f>""</f>
        <v/>
      </c>
      <c r="DS156" t="str">
        <f>""</f>
        <v/>
      </c>
      <c r="DT156" t="str">
        <f>""</f>
        <v/>
      </c>
      <c r="DU156" t="str">
        <f>""</f>
        <v/>
      </c>
      <c r="DV156" t="str">
        <f>""</f>
        <v/>
      </c>
      <c r="DW156" t="str">
        <f>""</f>
        <v/>
      </c>
      <c r="DX156" t="str">
        <f>""</f>
        <v/>
      </c>
      <c r="DY156" t="str">
        <f>""</f>
        <v/>
      </c>
      <c r="DZ156" t="str">
        <f>""</f>
        <v/>
      </c>
      <c r="EA156" t="str">
        <f>""</f>
        <v/>
      </c>
      <c r="EB156" t="str">
        <f>""</f>
        <v/>
      </c>
      <c r="EC156" t="str">
        <f>""</f>
        <v/>
      </c>
      <c r="ED156" t="str">
        <f>""</f>
        <v/>
      </c>
      <c r="EE156" t="str">
        <f>""</f>
        <v/>
      </c>
      <c r="EF156" t="str">
        <f>""</f>
        <v/>
      </c>
      <c r="EG156" t="str">
        <f>""</f>
        <v/>
      </c>
      <c r="EH156" t="str">
        <f>""</f>
        <v/>
      </c>
      <c r="EI156" t="str">
        <f>""</f>
        <v/>
      </c>
      <c r="EJ156" t="str">
        <f>""</f>
        <v/>
      </c>
      <c r="EK156" t="str">
        <f>""</f>
        <v/>
      </c>
      <c r="EL156" t="str">
        <f>""</f>
        <v/>
      </c>
      <c r="EM156" t="str">
        <f>""</f>
        <v/>
      </c>
      <c r="EN156" t="str">
        <f>""</f>
        <v/>
      </c>
      <c r="EO156" t="str">
        <f>""</f>
        <v/>
      </c>
      <c r="EP156" t="str">
        <f>""</f>
        <v/>
      </c>
      <c r="EQ156" t="str">
        <f>""</f>
        <v/>
      </c>
      <c r="ER156" t="str">
        <f>""</f>
        <v/>
      </c>
      <c r="ES156" t="str">
        <f>""</f>
        <v/>
      </c>
      <c r="ET156" t="str">
        <f>""</f>
        <v/>
      </c>
      <c r="EU156" t="str">
        <f>""</f>
        <v/>
      </c>
      <c r="EV156" t="str">
        <f>""</f>
        <v/>
      </c>
      <c r="EW156" t="str">
        <f>""</f>
        <v/>
      </c>
      <c r="EX156" t="str">
        <f>""</f>
        <v/>
      </c>
      <c r="EY156" t="str">
        <f>""</f>
        <v/>
      </c>
      <c r="EZ156" t="str">
        <f>""</f>
        <v/>
      </c>
      <c r="FA156" t="str">
        <f>""</f>
        <v/>
      </c>
      <c r="FB156" t="str">
        <f>""</f>
        <v/>
      </c>
      <c r="FC156" t="str">
        <f>""</f>
        <v/>
      </c>
      <c r="FD156" t="str">
        <f>""</f>
        <v/>
      </c>
      <c r="FE156" t="str">
        <f>""</f>
        <v/>
      </c>
      <c r="FF156" t="str">
        <f>""</f>
        <v/>
      </c>
      <c r="FG156" t="str">
        <f>""</f>
        <v/>
      </c>
      <c r="FH156" t="str">
        <f>""</f>
        <v/>
      </c>
      <c r="FI156" t="str">
        <f>""</f>
        <v/>
      </c>
      <c r="FJ156" t="str">
        <f>""</f>
        <v/>
      </c>
      <c r="FK156" t="str">
        <f>""</f>
        <v/>
      </c>
      <c r="FL156" t="str">
        <f>""</f>
        <v/>
      </c>
      <c r="FM156" t="str">
        <f>""</f>
        <v/>
      </c>
      <c r="FN156" t="str">
        <f>""</f>
        <v/>
      </c>
      <c r="FO156" t="str">
        <f>""</f>
        <v/>
      </c>
      <c r="FP156" t="str">
        <f>""</f>
        <v/>
      </c>
      <c r="FQ156" t="str">
        <f>""</f>
        <v/>
      </c>
      <c r="FR156" t="str">
        <f>""</f>
        <v/>
      </c>
      <c r="FS156" t="str">
        <f>""</f>
        <v/>
      </c>
      <c r="FT156" t="str">
        <f>""</f>
        <v/>
      </c>
      <c r="FU156" t="str">
        <f>""</f>
        <v/>
      </c>
      <c r="FV156" t="str">
        <f>""</f>
        <v/>
      </c>
      <c r="FW156" t="str">
        <f>""</f>
        <v/>
      </c>
      <c r="FX156" t="str">
        <f>""</f>
        <v/>
      </c>
      <c r="FY156" t="str">
        <f>""</f>
        <v/>
      </c>
      <c r="FZ156" t="str">
        <f>""</f>
        <v/>
      </c>
      <c r="GA156" t="str">
        <f>""</f>
        <v/>
      </c>
      <c r="GB156" t="str">
        <f>""</f>
        <v/>
      </c>
      <c r="GC156" t="str">
        <f>""</f>
        <v/>
      </c>
      <c r="GD156" t="str">
        <f>""</f>
        <v/>
      </c>
      <c r="GE156" t="str">
        <f>""</f>
        <v/>
      </c>
      <c r="GF156" t="str">
        <f>""</f>
        <v/>
      </c>
      <c r="GG156" t="str">
        <f>""</f>
        <v/>
      </c>
      <c r="GH156" t="str">
        <f>""</f>
        <v/>
      </c>
      <c r="GI156" t="str">
        <f>""</f>
        <v/>
      </c>
      <c r="GJ156" t="str">
        <f>""</f>
        <v/>
      </c>
      <c r="GK156" t="str">
        <f>""</f>
        <v/>
      </c>
      <c r="GL156" t="str">
        <f>""</f>
        <v/>
      </c>
      <c r="GM156" t="str">
        <f>""</f>
        <v/>
      </c>
      <c r="GN156" t="str">
        <f>""</f>
        <v/>
      </c>
      <c r="GO156" t="str">
        <f>""</f>
        <v/>
      </c>
      <c r="GP156" t="str">
        <f>""</f>
        <v/>
      </c>
      <c r="GQ156" t="str">
        <f>""</f>
        <v/>
      </c>
      <c r="GR156" t="str">
        <f>""</f>
        <v/>
      </c>
      <c r="GS156" t="str">
        <f>""</f>
        <v/>
      </c>
      <c r="GT156" t="str">
        <f>""</f>
        <v/>
      </c>
      <c r="GU156" t="str">
        <f>""</f>
        <v/>
      </c>
      <c r="GV156" t="str">
        <f>""</f>
        <v/>
      </c>
      <c r="GW156" t="str">
        <f>""</f>
        <v/>
      </c>
      <c r="GX156" t="str">
        <f>""</f>
        <v/>
      </c>
      <c r="GY156" t="str">
        <f>""</f>
        <v/>
      </c>
      <c r="GZ156" t="str">
        <f>""</f>
        <v/>
      </c>
      <c r="HA156" t="str">
        <f>""</f>
        <v/>
      </c>
      <c r="HB156" t="str">
        <f>""</f>
        <v/>
      </c>
      <c r="HC156" t="str">
        <f>""</f>
        <v/>
      </c>
      <c r="HD156" t="str">
        <f>""</f>
        <v/>
      </c>
      <c r="HE156" t="str">
        <f>""</f>
        <v/>
      </c>
      <c r="HF156" t="str">
        <f>""</f>
        <v/>
      </c>
      <c r="HG156" t="str">
        <f>""</f>
        <v/>
      </c>
      <c r="HH156" t="str">
        <f>""</f>
        <v/>
      </c>
      <c r="HI156" t="str">
        <f>""</f>
        <v/>
      </c>
      <c r="HJ156" t="str">
        <f>""</f>
        <v/>
      </c>
      <c r="HK156" t="str">
        <f>""</f>
        <v/>
      </c>
      <c r="HL156" t="str">
        <f>""</f>
        <v/>
      </c>
      <c r="HM156" t="str">
        <f>""</f>
        <v/>
      </c>
      <c r="HN156" t="str">
        <f>""</f>
        <v/>
      </c>
      <c r="HO156" t="str">
        <f>""</f>
        <v/>
      </c>
      <c r="HP156" t="str">
        <f>""</f>
        <v/>
      </c>
      <c r="HQ156" t="str">
        <f>""</f>
        <v/>
      </c>
      <c r="HR156" t="str">
        <f>""</f>
        <v/>
      </c>
      <c r="HS156" t="str">
        <f>""</f>
        <v/>
      </c>
      <c r="HT156" t="str">
        <f>""</f>
        <v/>
      </c>
      <c r="HU156" t="str">
        <f>""</f>
        <v/>
      </c>
      <c r="HV156" t="str">
        <f>""</f>
        <v/>
      </c>
      <c r="HW156" t="str">
        <f>""</f>
        <v/>
      </c>
      <c r="HX156" t="str">
        <f>""</f>
        <v/>
      </c>
      <c r="HY156" t="str">
        <f>""</f>
        <v/>
      </c>
      <c r="HZ156" t="str">
        <f>""</f>
        <v/>
      </c>
      <c r="IA156" t="str">
        <f>""</f>
        <v/>
      </c>
      <c r="IB156" t="str">
        <f>""</f>
        <v/>
      </c>
      <c r="IC156" t="str">
        <f>""</f>
        <v/>
      </c>
      <c r="ID156" t="str">
        <f>""</f>
        <v/>
      </c>
      <c r="IE156" t="str">
        <f>""</f>
        <v/>
      </c>
      <c r="IF156" t="str">
        <f>""</f>
        <v/>
      </c>
      <c r="IG156" t="str">
        <f>""</f>
        <v/>
      </c>
      <c r="IH156" t="str">
        <f>""</f>
        <v/>
      </c>
      <c r="II156" t="str">
        <f>""</f>
        <v/>
      </c>
      <c r="IJ156" t="str">
        <f>""</f>
        <v/>
      </c>
      <c r="IK156" t="str">
        <f>""</f>
        <v/>
      </c>
      <c r="IL156" t="str">
        <f>""</f>
        <v/>
      </c>
      <c r="IM156" t="str">
        <f>""</f>
        <v/>
      </c>
      <c r="IN156" t="str">
        <f>""</f>
        <v/>
      </c>
      <c r="IO156" t="str">
        <f>""</f>
        <v/>
      </c>
      <c r="IP156" t="str">
        <f>""</f>
        <v/>
      </c>
      <c r="IQ156" t="str">
        <f>""</f>
        <v/>
      </c>
      <c r="IR156" t="str">
        <f>""</f>
        <v/>
      </c>
      <c r="IS156" t="str">
        <f>""</f>
        <v/>
      </c>
      <c r="IT156" t="str">
        <f>""</f>
        <v/>
      </c>
      <c r="IU156" t="str">
        <f>""</f>
        <v/>
      </c>
      <c r="IV156" t="str">
        <f>""</f>
        <v/>
      </c>
      <c r="IW156" t="str">
        <f>""</f>
        <v/>
      </c>
      <c r="IX156" t="str">
        <f>""</f>
        <v/>
      </c>
      <c r="IY156" t="str">
        <f>""</f>
        <v/>
      </c>
      <c r="IZ156" t="str">
        <f>""</f>
        <v/>
      </c>
      <c r="JA156" t="str">
        <f>""</f>
        <v/>
      </c>
      <c r="JB156" t="str">
        <f>""</f>
        <v/>
      </c>
      <c r="JC156" t="str">
        <f>""</f>
        <v/>
      </c>
      <c r="JD156" t="str">
        <f>""</f>
        <v/>
      </c>
      <c r="JE156" t="str">
        <f>""</f>
        <v/>
      </c>
      <c r="JF156" t="str">
        <f>""</f>
        <v/>
      </c>
      <c r="JG156" t="str">
        <f>""</f>
        <v/>
      </c>
      <c r="JH156" t="str">
        <f>""</f>
        <v/>
      </c>
      <c r="JI156" t="str">
        <f>""</f>
        <v/>
      </c>
      <c r="JJ156" t="str">
        <f>""</f>
        <v/>
      </c>
      <c r="JK156" t="str">
        <f>""</f>
        <v/>
      </c>
    </row>
    <row r="157" spans="1:271" x14ac:dyDescent="0.3">
      <c r="A157" t="str">
        <f>""</f>
        <v/>
      </c>
      <c r="B157" t="str">
        <f>""</f>
        <v/>
      </c>
      <c r="C157" t="str">
        <f>""</f>
        <v/>
      </c>
      <c r="D157" t="str">
        <f>""</f>
        <v/>
      </c>
      <c r="E157" t="str">
        <f>""</f>
        <v/>
      </c>
      <c r="F157" t="str">
        <f>""</f>
        <v/>
      </c>
      <c r="G157" t="str">
        <f>""</f>
        <v/>
      </c>
      <c r="H157" t="str">
        <f>""</f>
        <v/>
      </c>
      <c r="I157" t="str">
        <f>""</f>
        <v/>
      </c>
      <c r="J157" t="str">
        <f>""</f>
        <v/>
      </c>
      <c r="K157" t="str">
        <f>""</f>
        <v/>
      </c>
      <c r="L157" t="str">
        <f>""</f>
        <v/>
      </c>
      <c r="M157" t="str">
        <f>""</f>
        <v/>
      </c>
      <c r="N157" t="str">
        <f>""</f>
        <v/>
      </c>
      <c r="O157" t="str">
        <f>""</f>
        <v/>
      </c>
      <c r="P157" t="str">
        <f>""</f>
        <v/>
      </c>
      <c r="Q157" t="str">
        <f>""</f>
        <v/>
      </c>
      <c r="R157" t="str">
        <f>""</f>
        <v/>
      </c>
      <c r="S157" t="str">
        <f>""</f>
        <v/>
      </c>
      <c r="T157" t="str">
        <f>""</f>
        <v/>
      </c>
      <c r="U157" t="str">
        <f>""</f>
        <v/>
      </c>
      <c r="V157" t="str">
        <f>""</f>
        <v/>
      </c>
      <c r="W157" t="str">
        <f>""</f>
        <v/>
      </c>
      <c r="X157" t="str">
        <f>""</f>
        <v/>
      </c>
      <c r="Y157" t="str">
        <f>""</f>
        <v/>
      </c>
      <c r="Z157" t="str">
        <f>""</f>
        <v/>
      </c>
      <c r="AA157" t="str">
        <f>""</f>
        <v/>
      </c>
      <c r="AB157" t="str">
        <f>""</f>
        <v/>
      </c>
      <c r="AC157" t="str">
        <f>""</f>
        <v/>
      </c>
      <c r="AD157" t="str">
        <f>""</f>
        <v/>
      </c>
      <c r="AE157" t="str">
        <f>""</f>
        <v/>
      </c>
      <c r="AF157" t="str">
        <f>""</f>
        <v/>
      </c>
      <c r="AG157" t="str">
        <f>""</f>
        <v/>
      </c>
      <c r="AH157" t="str">
        <f>""</f>
        <v/>
      </c>
      <c r="AI157" t="str">
        <f>""</f>
        <v/>
      </c>
      <c r="AJ157" t="str">
        <f>""</f>
        <v/>
      </c>
      <c r="AK157" t="str">
        <f>""</f>
        <v/>
      </c>
      <c r="AL157" t="str">
        <f>""</f>
        <v/>
      </c>
      <c r="AM157" t="str">
        <f>""</f>
        <v/>
      </c>
      <c r="AN157" t="str">
        <f>""</f>
        <v/>
      </c>
      <c r="AO157" t="str">
        <f>""</f>
        <v/>
      </c>
      <c r="AP157" t="str">
        <f>""</f>
        <v/>
      </c>
      <c r="AQ157" t="str">
        <f>""</f>
        <v/>
      </c>
      <c r="AR157" t="str">
        <f>""</f>
        <v/>
      </c>
      <c r="AS157" t="str">
        <f>""</f>
        <v/>
      </c>
      <c r="AT157" t="str">
        <f>""</f>
        <v/>
      </c>
      <c r="AU157" t="str">
        <f>""</f>
        <v/>
      </c>
      <c r="AV157" t="str">
        <f>""</f>
        <v/>
      </c>
      <c r="AW157" t="str">
        <f>""</f>
        <v/>
      </c>
      <c r="AX157" t="str">
        <f>""</f>
        <v/>
      </c>
      <c r="AY157" t="str">
        <f>""</f>
        <v/>
      </c>
      <c r="AZ157" t="str">
        <f>""</f>
        <v/>
      </c>
      <c r="BA157" t="str">
        <f>""</f>
        <v/>
      </c>
      <c r="BB157" t="str">
        <f>""</f>
        <v/>
      </c>
      <c r="BC157" t="str">
        <f>""</f>
        <v/>
      </c>
      <c r="BD157" t="str">
        <f>""</f>
        <v/>
      </c>
      <c r="BE157" t="str">
        <f>""</f>
        <v/>
      </c>
      <c r="BF157" t="str">
        <f>""</f>
        <v/>
      </c>
      <c r="BG157" t="str">
        <f>""</f>
        <v/>
      </c>
      <c r="BH157" t="str">
        <f>""</f>
        <v/>
      </c>
      <c r="BI157" t="str">
        <f>""</f>
        <v/>
      </c>
      <c r="BJ157" t="str">
        <f>""</f>
        <v/>
      </c>
      <c r="BK157" t="str">
        <f>""</f>
        <v/>
      </c>
      <c r="BL157" t="str">
        <f>""</f>
        <v/>
      </c>
      <c r="BM157" t="str">
        <f>""</f>
        <v/>
      </c>
      <c r="BN157" t="str">
        <f>""</f>
        <v/>
      </c>
      <c r="BO157" t="str">
        <f>""</f>
        <v/>
      </c>
      <c r="BP157" t="str">
        <f>""</f>
        <v/>
      </c>
      <c r="BQ157" t="str">
        <f>""</f>
        <v/>
      </c>
      <c r="BR157" t="str">
        <f>""</f>
        <v/>
      </c>
      <c r="BS157" t="str">
        <f>""</f>
        <v/>
      </c>
      <c r="BT157" t="str">
        <f>""</f>
        <v/>
      </c>
      <c r="BU157" t="str">
        <f>""</f>
        <v/>
      </c>
      <c r="BV157" t="str">
        <f>"(0.102)"</f>
        <v>(0.102)</v>
      </c>
      <c r="BW157" t="str">
        <f>"(0.0821)"</f>
        <v>(0.0821)</v>
      </c>
      <c r="BX157" t="str">
        <f>"(0.0435)"</f>
        <v>(0.0435)</v>
      </c>
      <c r="BY157" t="str">
        <f>""</f>
        <v/>
      </c>
      <c r="BZ157" t="str">
        <f>""</f>
        <v/>
      </c>
      <c r="CA157" t="str">
        <f>""</f>
        <v/>
      </c>
      <c r="CB157" t="str">
        <f>""</f>
        <v/>
      </c>
      <c r="CC157" t="str">
        <f>""</f>
        <v/>
      </c>
      <c r="CD157" t="str">
        <f>""</f>
        <v/>
      </c>
      <c r="CE157" t="str">
        <f>""</f>
        <v/>
      </c>
      <c r="CF157" t="str">
        <f>""</f>
        <v/>
      </c>
      <c r="CG157" t="str">
        <f>""</f>
        <v/>
      </c>
      <c r="CH157" t="str">
        <f>""</f>
        <v/>
      </c>
      <c r="CI157" t="str">
        <f>""</f>
        <v/>
      </c>
      <c r="CJ157" t="str">
        <f>""</f>
        <v/>
      </c>
      <c r="CK157" t="str">
        <f>""</f>
        <v/>
      </c>
      <c r="CL157" t="str">
        <f>""</f>
        <v/>
      </c>
      <c r="CM157" t="str">
        <f>""</f>
        <v/>
      </c>
      <c r="CN157" t="str">
        <f>""</f>
        <v/>
      </c>
      <c r="CO157" t="str">
        <f>""</f>
        <v/>
      </c>
      <c r="CP157" t="str">
        <f>""</f>
        <v/>
      </c>
      <c r="CQ157" t="str">
        <f>""</f>
        <v/>
      </c>
      <c r="CR157" t="str">
        <f>""</f>
        <v/>
      </c>
      <c r="CS157" t="str">
        <f>""</f>
        <v/>
      </c>
      <c r="CT157" t="str">
        <f>""</f>
        <v/>
      </c>
      <c r="CU157" t="str">
        <f>""</f>
        <v/>
      </c>
      <c r="CV157" t="str">
        <f>""</f>
        <v/>
      </c>
      <c r="CW157" t="str">
        <f>""</f>
        <v/>
      </c>
      <c r="CX157" t="str">
        <f>""</f>
        <v/>
      </c>
      <c r="CY157" t="str">
        <f>""</f>
        <v/>
      </c>
      <c r="CZ157" t="str">
        <f>""</f>
        <v/>
      </c>
      <c r="DA157" t="str">
        <f>""</f>
        <v/>
      </c>
      <c r="DB157" t="str">
        <f>""</f>
        <v/>
      </c>
      <c r="DC157" t="str">
        <f>""</f>
        <v/>
      </c>
      <c r="DD157" t="str">
        <f>""</f>
        <v/>
      </c>
      <c r="DE157" t="str">
        <f>""</f>
        <v/>
      </c>
      <c r="DF157" t="str">
        <f>""</f>
        <v/>
      </c>
      <c r="DG157" t="str">
        <f>""</f>
        <v/>
      </c>
      <c r="DH157" t="str">
        <f>""</f>
        <v/>
      </c>
      <c r="DI157" t="str">
        <f>""</f>
        <v/>
      </c>
      <c r="DJ157" t="str">
        <f>""</f>
        <v/>
      </c>
      <c r="DK157" t="str">
        <f>""</f>
        <v/>
      </c>
      <c r="DL157" t="str">
        <f>""</f>
        <v/>
      </c>
      <c r="DM157" t="str">
        <f>""</f>
        <v/>
      </c>
      <c r="DN157" t="str">
        <f>""</f>
        <v/>
      </c>
      <c r="DO157" t="str">
        <f>""</f>
        <v/>
      </c>
      <c r="DP157" t="str">
        <f>""</f>
        <v/>
      </c>
      <c r="DQ157" t="str">
        <f>""</f>
        <v/>
      </c>
      <c r="DR157" t="str">
        <f>""</f>
        <v/>
      </c>
      <c r="DS157" t="str">
        <f>""</f>
        <v/>
      </c>
      <c r="DT157" t="str">
        <f>""</f>
        <v/>
      </c>
      <c r="DU157" t="str">
        <f>""</f>
        <v/>
      </c>
      <c r="DV157" t="str">
        <f>""</f>
        <v/>
      </c>
      <c r="DW157" t="str">
        <f>""</f>
        <v/>
      </c>
      <c r="DX157" t="str">
        <f>""</f>
        <v/>
      </c>
      <c r="DY157" t="str">
        <f>""</f>
        <v/>
      </c>
      <c r="DZ157" t="str">
        <f>""</f>
        <v/>
      </c>
      <c r="EA157" t="str">
        <f>""</f>
        <v/>
      </c>
      <c r="EB157" t="str">
        <f>""</f>
        <v/>
      </c>
      <c r="EC157" t="str">
        <f>""</f>
        <v/>
      </c>
      <c r="ED157" t="str">
        <f>""</f>
        <v/>
      </c>
      <c r="EE157" t="str">
        <f>""</f>
        <v/>
      </c>
      <c r="EF157" t="str">
        <f>""</f>
        <v/>
      </c>
      <c r="EG157" t="str">
        <f>""</f>
        <v/>
      </c>
      <c r="EH157" t="str">
        <f>""</f>
        <v/>
      </c>
      <c r="EI157" t="str">
        <f>""</f>
        <v/>
      </c>
      <c r="EJ157" t="str">
        <f>""</f>
        <v/>
      </c>
      <c r="EK157" t="str">
        <f>""</f>
        <v/>
      </c>
      <c r="EL157" t="str">
        <f>""</f>
        <v/>
      </c>
      <c r="EM157" t="str">
        <f>""</f>
        <v/>
      </c>
      <c r="EN157" t="str">
        <f>""</f>
        <v/>
      </c>
      <c r="EO157" t="str">
        <f>""</f>
        <v/>
      </c>
      <c r="EP157" t="str">
        <f>""</f>
        <v/>
      </c>
      <c r="EQ157" t="str">
        <f>""</f>
        <v/>
      </c>
      <c r="ER157" t="str">
        <f>""</f>
        <v/>
      </c>
      <c r="ES157" t="str">
        <f>""</f>
        <v/>
      </c>
      <c r="ET157" t="str">
        <f>""</f>
        <v/>
      </c>
      <c r="EU157" t="str">
        <f>""</f>
        <v/>
      </c>
      <c r="EV157" t="str">
        <f>""</f>
        <v/>
      </c>
      <c r="EW157" t="str">
        <f>""</f>
        <v/>
      </c>
      <c r="EX157" t="str">
        <f>""</f>
        <v/>
      </c>
      <c r="EY157" t="str">
        <f>""</f>
        <v/>
      </c>
      <c r="EZ157" t="str">
        <f>""</f>
        <v/>
      </c>
      <c r="FA157" t="str">
        <f>""</f>
        <v/>
      </c>
      <c r="FB157" t="str">
        <f>""</f>
        <v/>
      </c>
      <c r="FC157" t="str">
        <f>""</f>
        <v/>
      </c>
      <c r="FD157" t="str">
        <f>""</f>
        <v/>
      </c>
      <c r="FE157" t="str">
        <f>""</f>
        <v/>
      </c>
      <c r="FF157" t="str">
        <f>""</f>
        <v/>
      </c>
      <c r="FG157" t="str">
        <f>""</f>
        <v/>
      </c>
      <c r="FH157" t="str">
        <f>""</f>
        <v/>
      </c>
      <c r="FI157" t="str">
        <f>""</f>
        <v/>
      </c>
      <c r="FJ157" t="str">
        <f>""</f>
        <v/>
      </c>
      <c r="FK157" t="str">
        <f>""</f>
        <v/>
      </c>
      <c r="FL157" t="str">
        <f>""</f>
        <v/>
      </c>
      <c r="FM157" t="str">
        <f>""</f>
        <v/>
      </c>
      <c r="FN157" t="str">
        <f>""</f>
        <v/>
      </c>
      <c r="FO157" t="str">
        <f>""</f>
        <v/>
      </c>
      <c r="FP157" t="str">
        <f>""</f>
        <v/>
      </c>
      <c r="FQ157" t="str">
        <f>""</f>
        <v/>
      </c>
      <c r="FR157" t="str">
        <f>""</f>
        <v/>
      </c>
      <c r="FS157" t="str">
        <f>""</f>
        <v/>
      </c>
      <c r="FT157" t="str">
        <f>""</f>
        <v/>
      </c>
      <c r="FU157" t="str">
        <f>""</f>
        <v/>
      </c>
      <c r="FV157" t="str">
        <f>""</f>
        <v/>
      </c>
      <c r="FW157" t="str">
        <f>""</f>
        <v/>
      </c>
      <c r="FX157" t="str">
        <f>""</f>
        <v/>
      </c>
      <c r="FY157" t="str">
        <f>""</f>
        <v/>
      </c>
      <c r="FZ157" t="str">
        <f>""</f>
        <v/>
      </c>
      <c r="GA157" t="str">
        <f>""</f>
        <v/>
      </c>
      <c r="GB157" t="str">
        <f>""</f>
        <v/>
      </c>
      <c r="GC157" t="str">
        <f>""</f>
        <v/>
      </c>
      <c r="GD157" t="str">
        <f>""</f>
        <v/>
      </c>
      <c r="GE157" t="str">
        <f>""</f>
        <v/>
      </c>
      <c r="GF157" t="str">
        <f>""</f>
        <v/>
      </c>
      <c r="GG157" t="str">
        <f>""</f>
        <v/>
      </c>
      <c r="GH157" t="str">
        <f>""</f>
        <v/>
      </c>
      <c r="GI157" t="str">
        <f>""</f>
        <v/>
      </c>
      <c r="GJ157" t="str">
        <f>""</f>
        <v/>
      </c>
      <c r="GK157" t="str">
        <f>""</f>
        <v/>
      </c>
      <c r="GL157" t="str">
        <f>""</f>
        <v/>
      </c>
      <c r="GM157" t="str">
        <f>""</f>
        <v/>
      </c>
      <c r="GN157" t="str">
        <f>""</f>
        <v/>
      </c>
      <c r="GO157" t="str">
        <f>""</f>
        <v/>
      </c>
      <c r="GP157" t="str">
        <f>""</f>
        <v/>
      </c>
      <c r="GQ157" t="str">
        <f>""</f>
        <v/>
      </c>
      <c r="GR157" t="str">
        <f>""</f>
        <v/>
      </c>
      <c r="GS157" t="str">
        <f>""</f>
        <v/>
      </c>
      <c r="GT157" t="str">
        <f>""</f>
        <v/>
      </c>
      <c r="GU157" t="str">
        <f>""</f>
        <v/>
      </c>
      <c r="GV157" t="str">
        <f>""</f>
        <v/>
      </c>
      <c r="GW157" t="str">
        <f>""</f>
        <v/>
      </c>
      <c r="GX157" t="str">
        <f>""</f>
        <v/>
      </c>
      <c r="GY157" t="str">
        <f>""</f>
        <v/>
      </c>
      <c r="GZ157" t="str">
        <f>""</f>
        <v/>
      </c>
      <c r="HA157" t="str">
        <f>""</f>
        <v/>
      </c>
      <c r="HB157" t="str">
        <f>""</f>
        <v/>
      </c>
      <c r="HC157" t="str">
        <f>""</f>
        <v/>
      </c>
      <c r="HD157" t="str">
        <f>""</f>
        <v/>
      </c>
      <c r="HE157" t="str">
        <f>""</f>
        <v/>
      </c>
      <c r="HF157" t="str">
        <f>""</f>
        <v/>
      </c>
      <c r="HG157" t="str">
        <f>""</f>
        <v/>
      </c>
      <c r="HH157" t="str">
        <f>""</f>
        <v/>
      </c>
      <c r="HI157" t="str">
        <f>""</f>
        <v/>
      </c>
      <c r="HJ157" t="str">
        <f>""</f>
        <v/>
      </c>
      <c r="HK157" t="str">
        <f>""</f>
        <v/>
      </c>
      <c r="HL157" t="str">
        <f>""</f>
        <v/>
      </c>
      <c r="HM157" t="str">
        <f>""</f>
        <v/>
      </c>
      <c r="HN157" t="str">
        <f>""</f>
        <v/>
      </c>
      <c r="HO157" t="str">
        <f>""</f>
        <v/>
      </c>
      <c r="HP157" t="str">
        <f>""</f>
        <v/>
      </c>
      <c r="HQ157" t="str">
        <f>""</f>
        <v/>
      </c>
      <c r="HR157" t="str">
        <f>""</f>
        <v/>
      </c>
      <c r="HS157" t="str">
        <f>""</f>
        <v/>
      </c>
      <c r="HT157" t="str">
        <f>""</f>
        <v/>
      </c>
      <c r="HU157" t="str">
        <f>""</f>
        <v/>
      </c>
      <c r="HV157" t="str">
        <f>""</f>
        <v/>
      </c>
      <c r="HW157" t="str">
        <f>""</f>
        <v/>
      </c>
      <c r="HX157" t="str">
        <f>""</f>
        <v/>
      </c>
      <c r="HY157" t="str">
        <f>""</f>
        <v/>
      </c>
      <c r="HZ157" t="str">
        <f>""</f>
        <v/>
      </c>
      <c r="IA157" t="str">
        <f>""</f>
        <v/>
      </c>
      <c r="IB157" t="str">
        <f>""</f>
        <v/>
      </c>
      <c r="IC157" t="str">
        <f>""</f>
        <v/>
      </c>
      <c r="ID157" t="str">
        <f>""</f>
        <v/>
      </c>
      <c r="IE157" t="str">
        <f>""</f>
        <v/>
      </c>
      <c r="IF157" t="str">
        <f>""</f>
        <v/>
      </c>
      <c r="IG157" t="str">
        <f>""</f>
        <v/>
      </c>
      <c r="IH157" t="str">
        <f>""</f>
        <v/>
      </c>
      <c r="II157" t="str">
        <f>""</f>
        <v/>
      </c>
      <c r="IJ157" t="str">
        <f>""</f>
        <v/>
      </c>
      <c r="IK157" t="str">
        <f>""</f>
        <v/>
      </c>
      <c r="IL157" t="str">
        <f>""</f>
        <v/>
      </c>
      <c r="IM157" t="str">
        <f>""</f>
        <v/>
      </c>
      <c r="IN157" t="str">
        <f>""</f>
        <v/>
      </c>
      <c r="IO157" t="str">
        <f>""</f>
        <v/>
      </c>
      <c r="IP157" t="str">
        <f>""</f>
        <v/>
      </c>
      <c r="IQ157" t="str">
        <f>""</f>
        <v/>
      </c>
      <c r="IR157" t="str">
        <f>""</f>
        <v/>
      </c>
      <c r="IS157" t="str">
        <f>""</f>
        <v/>
      </c>
      <c r="IT157" t="str">
        <f>""</f>
        <v/>
      </c>
      <c r="IU157" t="str">
        <f>""</f>
        <v/>
      </c>
      <c r="IV157" t="str">
        <f>""</f>
        <v/>
      </c>
      <c r="IW157" t="str">
        <f>""</f>
        <v/>
      </c>
      <c r="IX157" t="str">
        <f>""</f>
        <v/>
      </c>
      <c r="IY157" t="str">
        <f>""</f>
        <v/>
      </c>
      <c r="IZ157" t="str">
        <f>""</f>
        <v/>
      </c>
      <c r="JA157" t="str">
        <f>""</f>
        <v/>
      </c>
      <c r="JB157" t="str">
        <f>""</f>
        <v/>
      </c>
      <c r="JC157" t="str">
        <f>""</f>
        <v/>
      </c>
      <c r="JD157" t="str">
        <f>""</f>
        <v/>
      </c>
      <c r="JE157" t="str">
        <f>""</f>
        <v/>
      </c>
      <c r="JF157" t="str">
        <f>""</f>
        <v/>
      </c>
      <c r="JG157" t="str">
        <f>""</f>
        <v/>
      </c>
      <c r="JH157" t="str">
        <f>""</f>
        <v/>
      </c>
      <c r="JI157" t="str">
        <f>""</f>
        <v/>
      </c>
      <c r="JJ157" t="str">
        <f>""</f>
        <v/>
      </c>
      <c r="JK157" t="str">
        <f>""</f>
        <v/>
      </c>
    </row>
    <row r="159" spans="1:271" x14ac:dyDescent="0.3">
      <c r="A159" t="str">
        <f>"c.zMETAB11#c.PM2"</f>
        <v>c.zMETAB11#c.PM2</v>
      </c>
      <c r="B159" t="str">
        <f>""</f>
        <v/>
      </c>
      <c r="C159" t="str">
        <f>""</f>
        <v/>
      </c>
      <c r="D159" t="str">
        <f>""</f>
        <v/>
      </c>
      <c r="E159" t="str">
        <f>""</f>
        <v/>
      </c>
      <c r="F159" t="str">
        <f>""</f>
        <v/>
      </c>
      <c r="G159" t="str">
        <f>""</f>
        <v/>
      </c>
      <c r="H159" t="str">
        <f>""</f>
        <v/>
      </c>
      <c r="I159" t="str">
        <f>""</f>
        <v/>
      </c>
      <c r="J159" t="str">
        <f>""</f>
        <v/>
      </c>
      <c r="K159" t="str">
        <f>""</f>
        <v/>
      </c>
      <c r="L159" t="str">
        <f>""</f>
        <v/>
      </c>
      <c r="M159" t="str">
        <f>""</f>
        <v/>
      </c>
      <c r="N159" t="str">
        <f>""</f>
        <v/>
      </c>
      <c r="O159" t="str">
        <f>""</f>
        <v/>
      </c>
      <c r="P159" t="str">
        <f>""</f>
        <v/>
      </c>
      <c r="Q159" t="str">
        <f>""</f>
        <v/>
      </c>
      <c r="R159" t="str">
        <f>""</f>
        <v/>
      </c>
      <c r="S159" t="str">
        <f>""</f>
        <v/>
      </c>
      <c r="T159" t="str">
        <f>""</f>
        <v/>
      </c>
      <c r="U159" t="str">
        <f>""</f>
        <v/>
      </c>
      <c r="V159" t="str">
        <f>""</f>
        <v/>
      </c>
      <c r="W159" t="str">
        <f>""</f>
        <v/>
      </c>
      <c r="X159" t="str">
        <f>""</f>
        <v/>
      </c>
      <c r="Y159" t="str">
        <f>""</f>
        <v/>
      </c>
      <c r="Z159" t="str">
        <f>""</f>
        <v/>
      </c>
      <c r="AA159" t="str">
        <f>""</f>
        <v/>
      </c>
      <c r="AB159" t="str">
        <f>""</f>
        <v/>
      </c>
      <c r="AC159" t="str">
        <f>""</f>
        <v/>
      </c>
      <c r="AD159" t="str">
        <f>""</f>
        <v/>
      </c>
      <c r="AE159" t="str">
        <f>""</f>
        <v/>
      </c>
      <c r="AF159" t="str">
        <f>""</f>
        <v/>
      </c>
      <c r="AG159" t="str">
        <f>""</f>
        <v/>
      </c>
      <c r="AH159" t="str">
        <f>""</f>
        <v/>
      </c>
      <c r="AI159" t="str">
        <f>""</f>
        <v/>
      </c>
      <c r="AJ159" t="str">
        <f>""</f>
        <v/>
      </c>
      <c r="AK159" t="str">
        <f>""</f>
        <v/>
      </c>
      <c r="AL159" t="str">
        <f>""</f>
        <v/>
      </c>
      <c r="AM159" t="str">
        <f>""</f>
        <v/>
      </c>
      <c r="AN159" t="str">
        <f>""</f>
        <v/>
      </c>
      <c r="AO159" t="str">
        <f>""</f>
        <v/>
      </c>
      <c r="AP159" t="str">
        <f>""</f>
        <v/>
      </c>
      <c r="AQ159" t="str">
        <f>""</f>
        <v/>
      </c>
      <c r="AR159" t="str">
        <f>""</f>
        <v/>
      </c>
      <c r="AS159" t="str">
        <f>""</f>
        <v/>
      </c>
      <c r="AT159" t="str">
        <f>""</f>
        <v/>
      </c>
      <c r="AU159" t="str">
        <f>""</f>
        <v/>
      </c>
      <c r="AV159" t="str">
        <f>""</f>
        <v/>
      </c>
      <c r="AW159" t="str">
        <f>""</f>
        <v/>
      </c>
      <c r="AX159" t="str">
        <f>""</f>
        <v/>
      </c>
      <c r="AY159" t="str">
        <f>""</f>
        <v/>
      </c>
      <c r="AZ159" t="str">
        <f>""</f>
        <v/>
      </c>
      <c r="BA159" t="str">
        <f>""</f>
        <v/>
      </c>
      <c r="BB159" t="str">
        <f>""</f>
        <v/>
      </c>
      <c r="BC159" t="str">
        <f>""</f>
        <v/>
      </c>
      <c r="BD159" t="str">
        <f>""</f>
        <v/>
      </c>
      <c r="BE159" t="str">
        <f>""</f>
        <v/>
      </c>
      <c r="BF159" t="str">
        <f>""</f>
        <v/>
      </c>
      <c r="BG159" t="str">
        <f>""</f>
        <v/>
      </c>
      <c r="BH159" t="str">
        <f>""</f>
        <v/>
      </c>
      <c r="BI159" t="str">
        <f>""</f>
        <v/>
      </c>
      <c r="BJ159" t="str">
        <f>""</f>
        <v/>
      </c>
      <c r="BK159" t="str">
        <f>""</f>
        <v/>
      </c>
      <c r="BL159" t="str">
        <f>""</f>
        <v/>
      </c>
      <c r="BM159" t="str">
        <f>""</f>
        <v/>
      </c>
      <c r="BN159" t="str">
        <f>""</f>
        <v/>
      </c>
      <c r="BO159" t="str">
        <f>""</f>
        <v/>
      </c>
      <c r="BP159" t="str">
        <f>""</f>
        <v/>
      </c>
      <c r="BQ159" t="str">
        <f>""</f>
        <v/>
      </c>
      <c r="BR159" t="str">
        <f>""</f>
        <v/>
      </c>
      <c r="BS159" t="str">
        <f>""</f>
        <v/>
      </c>
      <c r="BT159" t="str">
        <f>""</f>
        <v/>
      </c>
      <c r="BU159" t="str">
        <f>""</f>
        <v/>
      </c>
      <c r="BV159" t="str">
        <f>""</f>
        <v/>
      </c>
      <c r="BW159" t="str">
        <f>""</f>
        <v/>
      </c>
      <c r="BX159" t="str">
        <f>""</f>
        <v/>
      </c>
      <c r="BY159" t="str">
        <f>"-0.0702"</f>
        <v>-0.0702</v>
      </c>
      <c r="BZ159" t="str">
        <f>"-0.0426"</f>
        <v>-0.0426</v>
      </c>
      <c r="CA159" t="str">
        <f>"0.0404"</f>
        <v>0.0404</v>
      </c>
      <c r="CB159" t="str">
        <f>""</f>
        <v/>
      </c>
      <c r="CC159" t="str">
        <f>""</f>
        <v/>
      </c>
      <c r="CD159" t="str">
        <f>""</f>
        <v/>
      </c>
      <c r="CE159" t="str">
        <f>""</f>
        <v/>
      </c>
      <c r="CF159" t="str">
        <f>""</f>
        <v/>
      </c>
      <c r="CG159" t="str">
        <f>""</f>
        <v/>
      </c>
      <c r="CH159" t="str">
        <f>""</f>
        <v/>
      </c>
      <c r="CI159" t="str">
        <f>""</f>
        <v/>
      </c>
      <c r="CJ159" t="str">
        <f>""</f>
        <v/>
      </c>
      <c r="CK159" t="str">
        <f>""</f>
        <v/>
      </c>
      <c r="CL159" t="str">
        <f>""</f>
        <v/>
      </c>
      <c r="CM159" t="str">
        <f>""</f>
        <v/>
      </c>
      <c r="CN159" t="str">
        <f>""</f>
        <v/>
      </c>
      <c r="CO159" t="str">
        <f>""</f>
        <v/>
      </c>
      <c r="CP159" t="str">
        <f>""</f>
        <v/>
      </c>
      <c r="CQ159" t="str">
        <f>""</f>
        <v/>
      </c>
      <c r="CR159" t="str">
        <f>""</f>
        <v/>
      </c>
      <c r="CS159" t="str">
        <f>""</f>
        <v/>
      </c>
      <c r="CT159" t="str">
        <f>""</f>
        <v/>
      </c>
      <c r="CU159" t="str">
        <f>""</f>
        <v/>
      </c>
      <c r="CV159" t="str">
        <f>""</f>
        <v/>
      </c>
      <c r="CW159" t="str">
        <f>""</f>
        <v/>
      </c>
      <c r="CX159" t="str">
        <f>""</f>
        <v/>
      </c>
      <c r="CY159" t="str">
        <f>""</f>
        <v/>
      </c>
      <c r="CZ159" t="str">
        <f>""</f>
        <v/>
      </c>
      <c r="DA159" t="str">
        <f>""</f>
        <v/>
      </c>
      <c r="DB159" t="str">
        <f>""</f>
        <v/>
      </c>
      <c r="DC159" t="str">
        <f>""</f>
        <v/>
      </c>
      <c r="DD159" t="str">
        <f>""</f>
        <v/>
      </c>
      <c r="DE159" t="str">
        <f>""</f>
        <v/>
      </c>
      <c r="DF159" t="str">
        <f>""</f>
        <v/>
      </c>
      <c r="DG159" t="str">
        <f>""</f>
        <v/>
      </c>
      <c r="DH159" t="str">
        <f>""</f>
        <v/>
      </c>
      <c r="DI159" t="str">
        <f>""</f>
        <v/>
      </c>
      <c r="DJ159" t="str">
        <f>""</f>
        <v/>
      </c>
      <c r="DK159" t="str">
        <f>""</f>
        <v/>
      </c>
      <c r="DL159" t="str">
        <f>""</f>
        <v/>
      </c>
      <c r="DM159" t="str">
        <f>""</f>
        <v/>
      </c>
      <c r="DN159" t="str">
        <f>""</f>
        <v/>
      </c>
      <c r="DO159" t="str">
        <f>""</f>
        <v/>
      </c>
      <c r="DP159" t="str">
        <f>""</f>
        <v/>
      </c>
      <c r="DQ159" t="str">
        <f>""</f>
        <v/>
      </c>
      <c r="DR159" t="str">
        <f>""</f>
        <v/>
      </c>
      <c r="DS159" t="str">
        <f>""</f>
        <v/>
      </c>
      <c r="DT159" t="str">
        <f>""</f>
        <v/>
      </c>
      <c r="DU159" t="str">
        <f>""</f>
        <v/>
      </c>
      <c r="DV159" t="str">
        <f>""</f>
        <v/>
      </c>
      <c r="DW159" t="str">
        <f>""</f>
        <v/>
      </c>
      <c r="DX159" t="str">
        <f>""</f>
        <v/>
      </c>
      <c r="DY159" t="str">
        <f>""</f>
        <v/>
      </c>
      <c r="DZ159" t="str">
        <f>""</f>
        <v/>
      </c>
      <c r="EA159" t="str">
        <f>""</f>
        <v/>
      </c>
      <c r="EB159" t="str">
        <f>""</f>
        <v/>
      </c>
      <c r="EC159" t="str">
        <f>""</f>
        <v/>
      </c>
      <c r="ED159" t="str">
        <f>""</f>
        <v/>
      </c>
      <c r="EE159" t="str">
        <f>""</f>
        <v/>
      </c>
      <c r="EF159" t="str">
        <f>""</f>
        <v/>
      </c>
      <c r="EG159" t="str">
        <f>""</f>
        <v/>
      </c>
      <c r="EH159" t="str">
        <f>""</f>
        <v/>
      </c>
      <c r="EI159" t="str">
        <f>""</f>
        <v/>
      </c>
      <c r="EJ159" t="str">
        <f>""</f>
        <v/>
      </c>
      <c r="EK159" t="str">
        <f>""</f>
        <v/>
      </c>
      <c r="EL159" t="str">
        <f>""</f>
        <v/>
      </c>
      <c r="EM159" t="str">
        <f>""</f>
        <v/>
      </c>
      <c r="EN159" t="str">
        <f>""</f>
        <v/>
      </c>
      <c r="EO159" t="str">
        <f>""</f>
        <v/>
      </c>
      <c r="EP159" t="str">
        <f>""</f>
        <v/>
      </c>
      <c r="EQ159" t="str">
        <f>""</f>
        <v/>
      </c>
      <c r="ER159" t="str">
        <f>""</f>
        <v/>
      </c>
      <c r="ES159" t="str">
        <f>""</f>
        <v/>
      </c>
      <c r="ET159" t="str">
        <f>""</f>
        <v/>
      </c>
      <c r="EU159" t="str">
        <f>""</f>
        <v/>
      </c>
      <c r="EV159" t="str">
        <f>""</f>
        <v/>
      </c>
      <c r="EW159" t="str">
        <f>""</f>
        <v/>
      </c>
      <c r="EX159" t="str">
        <f>""</f>
        <v/>
      </c>
      <c r="EY159" t="str">
        <f>""</f>
        <v/>
      </c>
      <c r="EZ159" t="str">
        <f>""</f>
        <v/>
      </c>
      <c r="FA159" t="str">
        <f>""</f>
        <v/>
      </c>
      <c r="FB159" t="str">
        <f>""</f>
        <v/>
      </c>
      <c r="FC159" t="str">
        <f>""</f>
        <v/>
      </c>
      <c r="FD159" t="str">
        <f>""</f>
        <v/>
      </c>
      <c r="FE159" t="str">
        <f>""</f>
        <v/>
      </c>
      <c r="FF159" t="str">
        <f>""</f>
        <v/>
      </c>
      <c r="FG159" t="str">
        <f>""</f>
        <v/>
      </c>
      <c r="FH159" t="str">
        <f>""</f>
        <v/>
      </c>
      <c r="FI159" t="str">
        <f>""</f>
        <v/>
      </c>
      <c r="FJ159" t="str">
        <f>""</f>
        <v/>
      </c>
      <c r="FK159" t="str">
        <f>""</f>
        <v/>
      </c>
      <c r="FL159" t="str">
        <f>""</f>
        <v/>
      </c>
      <c r="FM159" t="str">
        <f>""</f>
        <v/>
      </c>
      <c r="FN159" t="str">
        <f>""</f>
        <v/>
      </c>
      <c r="FO159" t="str">
        <f>""</f>
        <v/>
      </c>
      <c r="FP159" t="str">
        <f>""</f>
        <v/>
      </c>
      <c r="FQ159" t="str">
        <f>""</f>
        <v/>
      </c>
      <c r="FR159" t="str">
        <f>""</f>
        <v/>
      </c>
      <c r="FS159" t="str">
        <f>""</f>
        <v/>
      </c>
      <c r="FT159" t="str">
        <f>""</f>
        <v/>
      </c>
      <c r="FU159" t="str">
        <f>""</f>
        <v/>
      </c>
      <c r="FV159" t="str">
        <f>""</f>
        <v/>
      </c>
      <c r="FW159" t="str">
        <f>""</f>
        <v/>
      </c>
      <c r="FX159" t="str">
        <f>""</f>
        <v/>
      </c>
      <c r="FY159" t="str">
        <f>""</f>
        <v/>
      </c>
      <c r="FZ159" t="str">
        <f>""</f>
        <v/>
      </c>
      <c r="GA159" t="str">
        <f>""</f>
        <v/>
      </c>
      <c r="GB159" t="str">
        <f>""</f>
        <v/>
      </c>
      <c r="GC159" t="str">
        <f>""</f>
        <v/>
      </c>
      <c r="GD159" t="str">
        <f>""</f>
        <v/>
      </c>
      <c r="GE159" t="str">
        <f>""</f>
        <v/>
      </c>
      <c r="GF159" t="str">
        <f>""</f>
        <v/>
      </c>
      <c r="GG159" t="str">
        <f>""</f>
        <v/>
      </c>
      <c r="GH159" t="str">
        <f>""</f>
        <v/>
      </c>
      <c r="GI159" t="str">
        <f>""</f>
        <v/>
      </c>
      <c r="GJ159" t="str">
        <f>""</f>
        <v/>
      </c>
      <c r="GK159" t="str">
        <f>""</f>
        <v/>
      </c>
      <c r="GL159" t="str">
        <f>""</f>
        <v/>
      </c>
      <c r="GM159" t="str">
        <f>""</f>
        <v/>
      </c>
      <c r="GN159" t="str">
        <f>""</f>
        <v/>
      </c>
      <c r="GO159" t="str">
        <f>""</f>
        <v/>
      </c>
      <c r="GP159" t="str">
        <f>""</f>
        <v/>
      </c>
      <c r="GQ159" t="str">
        <f>""</f>
        <v/>
      </c>
      <c r="GR159" t="str">
        <f>""</f>
        <v/>
      </c>
      <c r="GS159" t="str">
        <f>""</f>
        <v/>
      </c>
      <c r="GT159" t="str">
        <f>""</f>
        <v/>
      </c>
      <c r="GU159" t="str">
        <f>""</f>
        <v/>
      </c>
      <c r="GV159" t="str">
        <f>""</f>
        <v/>
      </c>
      <c r="GW159" t="str">
        <f>""</f>
        <v/>
      </c>
      <c r="GX159" t="str">
        <f>""</f>
        <v/>
      </c>
      <c r="GY159" t="str">
        <f>""</f>
        <v/>
      </c>
      <c r="GZ159" t="str">
        <f>""</f>
        <v/>
      </c>
      <c r="HA159" t="str">
        <f>""</f>
        <v/>
      </c>
      <c r="HB159" t="str">
        <f>""</f>
        <v/>
      </c>
      <c r="HC159" t="str">
        <f>""</f>
        <v/>
      </c>
      <c r="HD159" t="str">
        <f>""</f>
        <v/>
      </c>
      <c r="HE159" t="str">
        <f>""</f>
        <v/>
      </c>
      <c r="HF159" t="str">
        <f>""</f>
        <v/>
      </c>
      <c r="HG159" t="str">
        <f>""</f>
        <v/>
      </c>
      <c r="HH159" t="str">
        <f>""</f>
        <v/>
      </c>
      <c r="HI159" t="str">
        <f>""</f>
        <v/>
      </c>
      <c r="HJ159" t="str">
        <f>""</f>
        <v/>
      </c>
      <c r="HK159" t="str">
        <f>""</f>
        <v/>
      </c>
      <c r="HL159" t="str">
        <f>""</f>
        <v/>
      </c>
      <c r="HM159" t="str">
        <f>""</f>
        <v/>
      </c>
      <c r="HN159" t="str">
        <f>""</f>
        <v/>
      </c>
      <c r="HO159" t="str">
        <f>""</f>
        <v/>
      </c>
      <c r="HP159" t="str">
        <f>""</f>
        <v/>
      </c>
      <c r="HQ159" t="str">
        <f>""</f>
        <v/>
      </c>
      <c r="HR159" t="str">
        <f>""</f>
        <v/>
      </c>
      <c r="HS159" t="str">
        <f>""</f>
        <v/>
      </c>
      <c r="HT159" t="str">
        <f>""</f>
        <v/>
      </c>
      <c r="HU159" t="str">
        <f>""</f>
        <v/>
      </c>
      <c r="HV159" t="str">
        <f>""</f>
        <v/>
      </c>
      <c r="HW159" t="str">
        <f>""</f>
        <v/>
      </c>
      <c r="HX159" t="str">
        <f>""</f>
        <v/>
      </c>
      <c r="HY159" t="str">
        <f>""</f>
        <v/>
      </c>
      <c r="HZ159" t="str">
        <f>""</f>
        <v/>
      </c>
      <c r="IA159" t="str">
        <f>""</f>
        <v/>
      </c>
      <c r="IB159" t="str">
        <f>""</f>
        <v/>
      </c>
      <c r="IC159" t="str">
        <f>""</f>
        <v/>
      </c>
      <c r="ID159" t="str">
        <f>""</f>
        <v/>
      </c>
      <c r="IE159" t="str">
        <f>""</f>
        <v/>
      </c>
      <c r="IF159" t="str">
        <f>""</f>
        <v/>
      </c>
      <c r="IG159" t="str">
        <f>""</f>
        <v/>
      </c>
      <c r="IH159" t="str">
        <f>""</f>
        <v/>
      </c>
      <c r="II159" t="str">
        <f>""</f>
        <v/>
      </c>
      <c r="IJ159" t="str">
        <f>""</f>
        <v/>
      </c>
      <c r="IK159" t="str">
        <f>""</f>
        <v/>
      </c>
      <c r="IL159" t="str">
        <f>""</f>
        <v/>
      </c>
      <c r="IM159" t="str">
        <f>""</f>
        <v/>
      </c>
      <c r="IN159" t="str">
        <f>""</f>
        <v/>
      </c>
      <c r="IO159" t="str">
        <f>""</f>
        <v/>
      </c>
      <c r="IP159" t="str">
        <f>""</f>
        <v/>
      </c>
      <c r="IQ159" t="str">
        <f>""</f>
        <v/>
      </c>
      <c r="IR159" t="str">
        <f>""</f>
        <v/>
      </c>
      <c r="IS159" t="str">
        <f>""</f>
        <v/>
      </c>
      <c r="IT159" t="str">
        <f>""</f>
        <v/>
      </c>
      <c r="IU159" t="str">
        <f>""</f>
        <v/>
      </c>
      <c r="IV159" t="str">
        <f>""</f>
        <v/>
      </c>
      <c r="IW159" t="str">
        <f>""</f>
        <v/>
      </c>
      <c r="IX159" t="str">
        <f>""</f>
        <v/>
      </c>
      <c r="IY159" t="str">
        <f>""</f>
        <v/>
      </c>
      <c r="IZ159" t="str">
        <f>""</f>
        <v/>
      </c>
      <c r="JA159" t="str">
        <f>""</f>
        <v/>
      </c>
      <c r="JB159" t="str">
        <f>""</f>
        <v/>
      </c>
      <c r="JC159" t="str">
        <f>""</f>
        <v/>
      </c>
      <c r="JD159" t="str">
        <f>""</f>
        <v/>
      </c>
      <c r="JE159" t="str">
        <f>""</f>
        <v/>
      </c>
      <c r="JF159" t="str">
        <f>""</f>
        <v/>
      </c>
      <c r="JG159" t="str">
        <f>""</f>
        <v/>
      </c>
      <c r="JH159" t="str">
        <f>""</f>
        <v/>
      </c>
      <c r="JI159" t="str">
        <f>""</f>
        <v/>
      </c>
      <c r="JJ159" t="str">
        <f>""</f>
        <v/>
      </c>
      <c r="JK159" t="str">
        <f>""</f>
        <v/>
      </c>
    </row>
    <row r="160" spans="1:271" x14ac:dyDescent="0.3">
      <c r="A160" t="str">
        <f>""</f>
        <v/>
      </c>
      <c r="B160" t="str">
        <f>""</f>
        <v/>
      </c>
      <c r="C160" t="str">
        <f>""</f>
        <v/>
      </c>
      <c r="D160" t="str">
        <f>""</f>
        <v/>
      </c>
      <c r="E160" t="str">
        <f>""</f>
        <v/>
      </c>
      <c r="F160" t="str">
        <f>""</f>
        <v/>
      </c>
      <c r="G160" t="str">
        <f>""</f>
        <v/>
      </c>
      <c r="H160" t="str">
        <f>""</f>
        <v/>
      </c>
      <c r="I160" t="str">
        <f>""</f>
        <v/>
      </c>
      <c r="J160" t="str">
        <f>""</f>
        <v/>
      </c>
      <c r="K160" t="str">
        <f>""</f>
        <v/>
      </c>
      <c r="L160" t="str">
        <f>""</f>
        <v/>
      </c>
      <c r="M160" t="str">
        <f>""</f>
        <v/>
      </c>
      <c r="N160" t="str">
        <f>""</f>
        <v/>
      </c>
      <c r="O160" t="str">
        <f>""</f>
        <v/>
      </c>
      <c r="P160" t="str">
        <f>""</f>
        <v/>
      </c>
      <c r="Q160" t="str">
        <f>""</f>
        <v/>
      </c>
      <c r="R160" t="str">
        <f>""</f>
        <v/>
      </c>
      <c r="S160" t="str">
        <f>""</f>
        <v/>
      </c>
      <c r="T160" t="str">
        <f>""</f>
        <v/>
      </c>
      <c r="U160" t="str">
        <f>""</f>
        <v/>
      </c>
      <c r="V160" t="str">
        <f>""</f>
        <v/>
      </c>
      <c r="W160" t="str">
        <f>""</f>
        <v/>
      </c>
      <c r="X160" t="str">
        <f>""</f>
        <v/>
      </c>
      <c r="Y160" t="str">
        <f>""</f>
        <v/>
      </c>
      <c r="Z160" t="str">
        <f>""</f>
        <v/>
      </c>
      <c r="AA160" t="str">
        <f>""</f>
        <v/>
      </c>
      <c r="AB160" t="str">
        <f>""</f>
        <v/>
      </c>
      <c r="AC160" t="str">
        <f>""</f>
        <v/>
      </c>
      <c r="AD160" t="str">
        <f>""</f>
        <v/>
      </c>
      <c r="AE160" t="str">
        <f>""</f>
        <v/>
      </c>
      <c r="AF160" t="str">
        <f>""</f>
        <v/>
      </c>
      <c r="AG160" t="str">
        <f>""</f>
        <v/>
      </c>
      <c r="AH160" t="str">
        <f>""</f>
        <v/>
      </c>
      <c r="AI160" t="str">
        <f>""</f>
        <v/>
      </c>
      <c r="AJ160" t="str">
        <f>""</f>
        <v/>
      </c>
      <c r="AK160" t="str">
        <f>""</f>
        <v/>
      </c>
      <c r="AL160" t="str">
        <f>""</f>
        <v/>
      </c>
      <c r="AM160" t="str">
        <f>""</f>
        <v/>
      </c>
      <c r="AN160" t="str">
        <f>""</f>
        <v/>
      </c>
      <c r="AO160" t="str">
        <f>""</f>
        <v/>
      </c>
      <c r="AP160" t="str">
        <f>""</f>
        <v/>
      </c>
      <c r="AQ160" t="str">
        <f>""</f>
        <v/>
      </c>
      <c r="AR160" t="str">
        <f>""</f>
        <v/>
      </c>
      <c r="AS160" t="str">
        <f>""</f>
        <v/>
      </c>
      <c r="AT160" t="str">
        <f>""</f>
        <v/>
      </c>
      <c r="AU160" t="str">
        <f>""</f>
        <v/>
      </c>
      <c r="AV160" t="str">
        <f>""</f>
        <v/>
      </c>
      <c r="AW160" t="str">
        <f>""</f>
        <v/>
      </c>
      <c r="AX160" t="str">
        <f>""</f>
        <v/>
      </c>
      <c r="AY160" t="str">
        <f>""</f>
        <v/>
      </c>
      <c r="AZ160" t="str">
        <f>""</f>
        <v/>
      </c>
      <c r="BA160" t="str">
        <f>""</f>
        <v/>
      </c>
      <c r="BB160" t="str">
        <f>""</f>
        <v/>
      </c>
      <c r="BC160" t="str">
        <f>""</f>
        <v/>
      </c>
      <c r="BD160" t="str">
        <f>""</f>
        <v/>
      </c>
      <c r="BE160" t="str">
        <f>""</f>
        <v/>
      </c>
      <c r="BF160" t="str">
        <f>""</f>
        <v/>
      </c>
      <c r="BG160" t="str">
        <f>""</f>
        <v/>
      </c>
      <c r="BH160" t="str">
        <f>""</f>
        <v/>
      </c>
      <c r="BI160" t="str">
        <f>""</f>
        <v/>
      </c>
      <c r="BJ160" t="str">
        <f>""</f>
        <v/>
      </c>
      <c r="BK160" t="str">
        <f>""</f>
        <v/>
      </c>
      <c r="BL160" t="str">
        <f>""</f>
        <v/>
      </c>
      <c r="BM160" t="str">
        <f>""</f>
        <v/>
      </c>
      <c r="BN160" t="str">
        <f>""</f>
        <v/>
      </c>
      <c r="BO160" t="str">
        <f>""</f>
        <v/>
      </c>
      <c r="BP160" t="str">
        <f>""</f>
        <v/>
      </c>
      <c r="BQ160" t="str">
        <f>""</f>
        <v/>
      </c>
      <c r="BR160" t="str">
        <f>""</f>
        <v/>
      </c>
      <c r="BS160" t="str">
        <f>""</f>
        <v/>
      </c>
      <c r="BT160" t="str">
        <f>""</f>
        <v/>
      </c>
      <c r="BU160" t="str">
        <f>""</f>
        <v/>
      </c>
      <c r="BV160" t="str">
        <f>""</f>
        <v/>
      </c>
      <c r="BW160" t="str">
        <f>""</f>
        <v/>
      </c>
      <c r="BX160" t="str">
        <f>""</f>
        <v/>
      </c>
      <c r="BY160" t="str">
        <f>"(0.101)"</f>
        <v>(0.101)</v>
      </c>
      <c r="BZ160" t="str">
        <f>"(0.0801)"</f>
        <v>(0.0801)</v>
      </c>
      <c r="CA160" t="str">
        <f>"(0.0408)"</f>
        <v>(0.0408)</v>
      </c>
      <c r="CB160" t="str">
        <f>""</f>
        <v/>
      </c>
      <c r="CC160" t="str">
        <f>""</f>
        <v/>
      </c>
      <c r="CD160" t="str">
        <f>""</f>
        <v/>
      </c>
      <c r="CE160" t="str">
        <f>""</f>
        <v/>
      </c>
      <c r="CF160" t="str">
        <f>""</f>
        <v/>
      </c>
      <c r="CG160" t="str">
        <f>""</f>
        <v/>
      </c>
      <c r="CH160" t="str">
        <f>""</f>
        <v/>
      </c>
      <c r="CI160" t="str">
        <f>""</f>
        <v/>
      </c>
      <c r="CJ160" t="str">
        <f>""</f>
        <v/>
      </c>
      <c r="CK160" t="str">
        <f>""</f>
        <v/>
      </c>
      <c r="CL160" t="str">
        <f>""</f>
        <v/>
      </c>
      <c r="CM160" t="str">
        <f>""</f>
        <v/>
      </c>
      <c r="CN160" t="str">
        <f>""</f>
        <v/>
      </c>
      <c r="CO160" t="str">
        <f>""</f>
        <v/>
      </c>
      <c r="CP160" t="str">
        <f>""</f>
        <v/>
      </c>
      <c r="CQ160" t="str">
        <f>""</f>
        <v/>
      </c>
      <c r="CR160" t="str">
        <f>""</f>
        <v/>
      </c>
      <c r="CS160" t="str">
        <f>""</f>
        <v/>
      </c>
      <c r="CT160" t="str">
        <f>""</f>
        <v/>
      </c>
      <c r="CU160" t="str">
        <f>""</f>
        <v/>
      </c>
      <c r="CV160" t="str">
        <f>""</f>
        <v/>
      </c>
      <c r="CW160" t="str">
        <f>""</f>
        <v/>
      </c>
      <c r="CX160" t="str">
        <f>""</f>
        <v/>
      </c>
      <c r="CY160" t="str">
        <f>""</f>
        <v/>
      </c>
      <c r="CZ160" t="str">
        <f>""</f>
        <v/>
      </c>
      <c r="DA160" t="str">
        <f>""</f>
        <v/>
      </c>
      <c r="DB160" t="str">
        <f>""</f>
        <v/>
      </c>
      <c r="DC160" t="str">
        <f>""</f>
        <v/>
      </c>
      <c r="DD160" t="str">
        <f>""</f>
        <v/>
      </c>
      <c r="DE160" t="str">
        <f>""</f>
        <v/>
      </c>
      <c r="DF160" t="str">
        <f>""</f>
        <v/>
      </c>
      <c r="DG160" t="str">
        <f>""</f>
        <v/>
      </c>
      <c r="DH160" t="str">
        <f>""</f>
        <v/>
      </c>
      <c r="DI160" t="str">
        <f>""</f>
        <v/>
      </c>
      <c r="DJ160" t="str">
        <f>""</f>
        <v/>
      </c>
      <c r="DK160" t="str">
        <f>""</f>
        <v/>
      </c>
      <c r="DL160" t="str">
        <f>""</f>
        <v/>
      </c>
      <c r="DM160" t="str">
        <f>""</f>
        <v/>
      </c>
      <c r="DN160" t="str">
        <f>""</f>
        <v/>
      </c>
      <c r="DO160" t="str">
        <f>""</f>
        <v/>
      </c>
      <c r="DP160" t="str">
        <f>""</f>
        <v/>
      </c>
      <c r="DQ160" t="str">
        <f>""</f>
        <v/>
      </c>
      <c r="DR160" t="str">
        <f>""</f>
        <v/>
      </c>
      <c r="DS160" t="str">
        <f>""</f>
        <v/>
      </c>
      <c r="DT160" t="str">
        <f>""</f>
        <v/>
      </c>
      <c r="DU160" t="str">
        <f>""</f>
        <v/>
      </c>
      <c r="DV160" t="str">
        <f>""</f>
        <v/>
      </c>
      <c r="DW160" t="str">
        <f>""</f>
        <v/>
      </c>
      <c r="DX160" t="str">
        <f>""</f>
        <v/>
      </c>
      <c r="DY160" t="str">
        <f>""</f>
        <v/>
      </c>
      <c r="DZ160" t="str">
        <f>""</f>
        <v/>
      </c>
      <c r="EA160" t="str">
        <f>""</f>
        <v/>
      </c>
      <c r="EB160" t="str">
        <f>""</f>
        <v/>
      </c>
      <c r="EC160" t="str">
        <f>""</f>
        <v/>
      </c>
      <c r="ED160" t="str">
        <f>""</f>
        <v/>
      </c>
      <c r="EE160" t="str">
        <f>""</f>
        <v/>
      </c>
      <c r="EF160" t="str">
        <f>""</f>
        <v/>
      </c>
      <c r="EG160" t="str">
        <f>""</f>
        <v/>
      </c>
      <c r="EH160" t="str">
        <f>""</f>
        <v/>
      </c>
      <c r="EI160" t="str">
        <f>""</f>
        <v/>
      </c>
      <c r="EJ160" t="str">
        <f>""</f>
        <v/>
      </c>
      <c r="EK160" t="str">
        <f>""</f>
        <v/>
      </c>
      <c r="EL160" t="str">
        <f>""</f>
        <v/>
      </c>
      <c r="EM160" t="str">
        <f>""</f>
        <v/>
      </c>
      <c r="EN160" t="str">
        <f>""</f>
        <v/>
      </c>
      <c r="EO160" t="str">
        <f>""</f>
        <v/>
      </c>
      <c r="EP160" t="str">
        <f>""</f>
        <v/>
      </c>
      <c r="EQ160" t="str">
        <f>""</f>
        <v/>
      </c>
      <c r="ER160" t="str">
        <f>""</f>
        <v/>
      </c>
      <c r="ES160" t="str">
        <f>""</f>
        <v/>
      </c>
      <c r="ET160" t="str">
        <f>""</f>
        <v/>
      </c>
      <c r="EU160" t="str">
        <f>""</f>
        <v/>
      </c>
      <c r="EV160" t="str">
        <f>""</f>
        <v/>
      </c>
      <c r="EW160" t="str">
        <f>""</f>
        <v/>
      </c>
      <c r="EX160" t="str">
        <f>""</f>
        <v/>
      </c>
      <c r="EY160" t="str">
        <f>""</f>
        <v/>
      </c>
      <c r="EZ160" t="str">
        <f>""</f>
        <v/>
      </c>
      <c r="FA160" t="str">
        <f>""</f>
        <v/>
      </c>
      <c r="FB160" t="str">
        <f>""</f>
        <v/>
      </c>
      <c r="FC160" t="str">
        <f>""</f>
        <v/>
      </c>
      <c r="FD160" t="str">
        <f>""</f>
        <v/>
      </c>
      <c r="FE160" t="str">
        <f>""</f>
        <v/>
      </c>
      <c r="FF160" t="str">
        <f>""</f>
        <v/>
      </c>
      <c r="FG160" t="str">
        <f>""</f>
        <v/>
      </c>
      <c r="FH160" t="str">
        <f>""</f>
        <v/>
      </c>
      <c r="FI160" t="str">
        <f>""</f>
        <v/>
      </c>
      <c r="FJ160" t="str">
        <f>""</f>
        <v/>
      </c>
      <c r="FK160" t="str">
        <f>""</f>
        <v/>
      </c>
      <c r="FL160" t="str">
        <f>""</f>
        <v/>
      </c>
      <c r="FM160" t="str">
        <f>""</f>
        <v/>
      </c>
      <c r="FN160" t="str">
        <f>""</f>
        <v/>
      </c>
      <c r="FO160" t="str">
        <f>""</f>
        <v/>
      </c>
      <c r="FP160" t="str">
        <f>""</f>
        <v/>
      </c>
      <c r="FQ160" t="str">
        <f>""</f>
        <v/>
      </c>
      <c r="FR160" t="str">
        <f>""</f>
        <v/>
      </c>
      <c r="FS160" t="str">
        <f>""</f>
        <v/>
      </c>
      <c r="FT160" t="str">
        <f>""</f>
        <v/>
      </c>
      <c r="FU160" t="str">
        <f>""</f>
        <v/>
      </c>
      <c r="FV160" t="str">
        <f>""</f>
        <v/>
      </c>
      <c r="FW160" t="str">
        <f>""</f>
        <v/>
      </c>
      <c r="FX160" t="str">
        <f>""</f>
        <v/>
      </c>
      <c r="FY160" t="str">
        <f>""</f>
        <v/>
      </c>
      <c r="FZ160" t="str">
        <f>""</f>
        <v/>
      </c>
      <c r="GA160" t="str">
        <f>""</f>
        <v/>
      </c>
      <c r="GB160" t="str">
        <f>""</f>
        <v/>
      </c>
      <c r="GC160" t="str">
        <f>""</f>
        <v/>
      </c>
      <c r="GD160" t="str">
        <f>""</f>
        <v/>
      </c>
      <c r="GE160" t="str">
        <f>""</f>
        <v/>
      </c>
      <c r="GF160" t="str">
        <f>""</f>
        <v/>
      </c>
      <c r="GG160" t="str">
        <f>""</f>
        <v/>
      </c>
      <c r="GH160" t="str">
        <f>""</f>
        <v/>
      </c>
      <c r="GI160" t="str">
        <f>""</f>
        <v/>
      </c>
      <c r="GJ160" t="str">
        <f>""</f>
        <v/>
      </c>
      <c r="GK160" t="str">
        <f>""</f>
        <v/>
      </c>
      <c r="GL160" t="str">
        <f>""</f>
        <v/>
      </c>
      <c r="GM160" t="str">
        <f>""</f>
        <v/>
      </c>
      <c r="GN160" t="str">
        <f>""</f>
        <v/>
      </c>
      <c r="GO160" t="str">
        <f>""</f>
        <v/>
      </c>
      <c r="GP160" t="str">
        <f>""</f>
        <v/>
      </c>
      <c r="GQ160" t="str">
        <f>""</f>
        <v/>
      </c>
      <c r="GR160" t="str">
        <f>""</f>
        <v/>
      </c>
      <c r="GS160" t="str">
        <f>""</f>
        <v/>
      </c>
      <c r="GT160" t="str">
        <f>""</f>
        <v/>
      </c>
      <c r="GU160" t="str">
        <f>""</f>
        <v/>
      </c>
      <c r="GV160" t="str">
        <f>""</f>
        <v/>
      </c>
      <c r="GW160" t="str">
        <f>""</f>
        <v/>
      </c>
      <c r="GX160" t="str">
        <f>""</f>
        <v/>
      </c>
      <c r="GY160" t="str">
        <f>""</f>
        <v/>
      </c>
      <c r="GZ160" t="str">
        <f>""</f>
        <v/>
      </c>
      <c r="HA160" t="str">
        <f>""</f>
        <v/>
      </c>
      <c r="HB160" t="str">
        <f>""</f>
        <v/>
      </c>
      <c r="HC160" t="str">
        <f>""</f>
        <v/>
      </c>
      <c r="HD160" t="str">
        <f>""</f>
        <v/>
      </c>
      <c r="HE160" t="str">
        <f>""</f>
        <v/>
      </c>
      <c r="HF160" t="str">
        <f>""</f>
        <v/>
      </c>
      <c r="HG160" t="str">
        <f>""</f>
        <v/>
      </c>
      <c r="HH160" t="str">
        <f>""</f>
        <v/>
      </c>
      <c r="HI160" t="str">
        <f>""</f>
        <v/>
      </c>
      <c r="HJ160" t="str">
        <f>""</f>
        <v/>
      </c>
      <c r="HK160" t="str">
        <f>""</f>
        <v/>
      </c>
      <c r="HL160" t="str">
        <f>""</f>
        <v/>
      </c>
      <c r="HM160" t="str">
        <f>""</f>
        <v/>
      </c>
      <c r="HN160" t="str">
        <f>""</f>
        <v/>
      </c>
      <c r="HO160" t="str">
        <f>""</f>
        <v/>
      </c>
      <c r="HP160" t="str">
        <f>""</f>
        <v/>
      </c>
      <c r="HQ160" t="str">
        <f>""</f>
        <v/>
      </c>
      <c r="HR160" t="str">
        <f>""</f>
        <v/>
      </c>
      <c r="HS160" t="str">
        <f>""</f>
        <v/>
      </c>
      <c r="HT160" t="str">
        <f>""</f>
        <v/>
      </c>
      <c r="HU160" t="str">
        <f>""</f>
        <v/>
      </c>
      <c r="HV160" t="str">
        <f>""</f>
        <v/>
      </c>
      <c r="HW160" t="str">
        <f>""</f>
        <v/>
      </c>
      <c r="HX160" t="str">
        <f>""</f>
        <v/>
      </c>
      <c r="HY160" t="str">
        <f>""</f>
        <v/>
      </c>
      <c r="HZ160" t="str">
        <f>""</f>
        <v/>
      </c>
      <c r="IA160" t="str">
        <f>""</f>
        <v/>
      </c>
      <c r="IB160" t="str">
        <f>""</f>
        <v/>
      </c>
      <c r="IC160" t="str">
        <f>""</f>
        <v/>
      </c>
      <c r="ID160" t="str">
        <f>""</f>
        <v/>
      </c>
      <c r="IE160" t="str">
        <f>""</f>
        <v/>
      </c>
      <c r="IF160" t="str">
        <f>""</f>
        <v/>
      </c>
      <c r="IG160" t="str">
        <f>""</f>
        <v/>
      </c>
      <c r="IH160" t="str">
        <f>""</f>
        <v/>
      </c>
      <c r="II160" t="str">
        <f>""</f>
        <v/>
      </c>
      <c r="IJ160" t="str">
        <f>""</f>
        <v/>
      </c>
      <c r="IK160" t="str">
        <f>""</f>
        <v/>
      </c>
      <c r="IL160" t="str">
        <f>""</f>
        <v/>
      </c>
      <c r="IM160" t="str">
        <f>""</f>
        <v/>
      </c>
      <c r="IN160" t="str">
        <f>""</f>
        <v/>
      </c>
      <c r="IO160" t="str">
        <f>""</f>
        <v/>
      </c>
      <c r="IP160" t="str">
        <f>""</f>
        <v/>
      </c>
      <c r="IQ160" t="str">
        <f>""</f>
        <v/>
      </c>
      <c r="IR160" t="str">
        <f>""</f>
        <v/>
      </c>
      <c r="IS160" t="str">
        <f>""</f>
        <v/>
      </c>
      <c r="IT160" t="str">
        <f>""</f>
        <v/>
      </c>
      <c r="IU160" t="str">
        <f>""</f>
        <v/>
      </c>
      <c r="IV160" t="str">
        <f>""</f>
        <v/>
      </c>
      <c r="IW160" t="str">
        <f>""</f>
        <v/>
      </c>
      <c r="IX160" t="str">
        <f>""</f>
        <v/>
      </c>
      <c r="IY160" t="str">
        <f>""</f>
        <v/>
      </c>
      <c r="IZ160" t="str">
        <f>""</f>
        <v/>
      </c>
      <c r="JA160" t="str">
        <f>""</f>
        <v/>
      </c>
      <c r="JB160" t="str">
        <f>""</f>
        <v/>
      </c>
      <c r="JC160" t="str">
        <f>""</f>
        <v/>
      </c>
      <c r="JD160" t="str">
        <f>""</f>
        <v/>
      </c>
      <c r="JE160" t="str">
        <f>""</f>
        <v/>
      </c>
      <c r="JF160" t="str">
        <f>""</f>
        <v/>
      </c>
      <c r="JG160" t="str">
        <f>""</f>
        <v/>
      </c>
      <c r="JH160" t="str">
        <f>""</f>
        <v/>
      </c>
      <c r="JI160" t="str">
        <f>""</f>
        <v/>
      </c>
      <c r="JJ160" t="str">
        <f>""</f>
        <v/>
      </c>
      <c r="JK160" t="str">
        <f>""</f>
        <v/>
      </c>
    </row>
    <row r="162" spans="1:271" x14ac:dyDescent="0.3">
      <c r="A162" t="str">
        <f>"c.zMETAB12#c.PM2"</f>
        <v>c.zMETAB12#c.PM2</v>
      </c>
      <c r="B162" t="str">
        <f>""</f>
        <v/>
      </c>
      <c r="C162" t="str">
        <f>""</f>
        <v/>
      </c>
      <c r="D162" t="str">
        <f>""</f>
        <v/>
      </c>
      <c r="E162" t="str">
        <f>""</f>
        <v/>
      </c>
      <c r="F162" t="str">
        <f>""</f>
        <v/>
      </c>
      <c r="G162" t="str">
        <f>""</f>
        <v/>
      </c>
      <c r="H162" t="str">
        <f>""</f>
        <v/>
      </c>
      <c r="I162" t="str">
        <f>""</f>
        <v/>
      </c>
      <c r="J162" t="str">
        <f>""</f>
        <v/>
      </c>
      <c r="K162" t="str">
        <f>""</f>
        <v/>
      </c>
      <c r="L162" t="str">
        <f>""</f>
        <v/>
      </c>
      <c r="M162" t="str">
        <f>""</f>
        <v/>
      </c>
      <c r="N162" t="str">
        <f>""</f>
        <v/>
      </c>
      <c r="O162" t="str">
        <f>""</f>
        <v/>
      </c>
      <c r="P162" t="str">
        <f>""</f>
        <v/>
      </c>
      <c r="Q162" t="str">
        <f>""</f>
        <v/>
      </c>
      <c r="R162" t="str">
        <f>""</f>
        <v/>
      </c>
      <c r="S162" t="str">
        <f>""</f>
        <v/>
      </c>
      <c r="T162" t="str">
        <f>""</f>
        <v/>
      </c>
      <c r="U162" t="str">
        <f>""</f>
        <v/>
      </c>
      <c r="V162" t="str">
        <f>""</f>
        <v/>
      </c>
      <c r="W162" t="str">
        <f>""</f>
        <v/>
      </c>
      <c r="X162" t="str">
        <f>""</f>
        <v/>
      </c>
      <c r="Y162" t="str">
        <f>""</f>
        <v/>
      </c>
      <c r="Z162" t="str">
        <f>""</f>
        <v/>
      </c>
      <c r="AA162" t="str">
        <f>""</f>
        <v/>
      </c>
      <c r="AB162" t="str">
        <f>""</f>
        <v/>
      </c>
      <c r="AC162" t="str">
        <f>""</f>
        <v/>
      </c>
      <c r="AD162" t="str">
        <f>""</f>
        <v/>
      </c>
      <c r="AE162" t="str">
        <f>""</f>
        <v/>
      </c>
      <c r="AF162" t="str">
        <f>""</f>
        <v/>
      </c>
      <c r="AG162" t="str">
        <f>""</f>
        <v/>
      </c>
      <c r="AH162" t="str">
        <f>""</f>
        <v/>
      </c>
      <c r="AI162" t="str">
        <f>""</f>
        <v/>
      </c>
      <c r="AJ162" t="str">
        <f>""</f>
        <v/>
      </c>
      <c r="AK162" t="str">
        <f>""</f>
        <v/>
      </c>
      <c r="AL162" t="str">
        <f>""</f>
        <v/>
      </c>
      <c r="AM162" t="str">
        <f>""</f>
        <v/>
      </c>
      <c r="AN162" t="str">
        <f>""</f>
        <v/>
      </c>
      <c r="AO162" t="str">
        <f>""</f>
        <v/>
      </c>
      <c r="AP162" t="str">
        <f>""</f>
        <v/>
      </c>
      <c r="AQ162" t="str">
        <f>""</f>
        <v/>
      </c>
      <c r="AR162" t="str">
        <f>""</f>
        <v/>
      </c>
      <c r="AS162" t="str">
        <f>""</f>
        <v/>
      </c>
      <c r="AT162" t="str">
        <f>""</f>
        <v/>
      </c>
      <c r="AU162" t="str">
        <f>""</f>
        <v/>
      </c>
      <c r="AV162" t="str">
        <f>""</f>
        <v/>
      </c>
      <c r="AW162" t="str">
        <f>""</f>
        <v/>
      </c>
      <c r="AX162" t="str">
        <f>""</f>
        <v/>
      </c>
      <c r="AY162" t="str">
        <f>""</f>
        <v/>
      </c>
      <c r="AZ162" t="str">
        <f>""</f>
        <v/>
      </c>
      <c r="BA162" t="str">
        <f>""</f>
        <v/>
      </c>
      <c r="BB162" t="str">
        <f>""</f>
        <v/>
      </c>
      <c r="BC162" t="str">
        <f>""</f>
        <v/>
      </c>
      <c r="BD162" t="str">
        <f>""</f>
        <v/>
      </c>
      <c r="BE162" t="str">
        <f>""</f>
        <v/>
      </c>
      <c r="BF162" t="str">
        <f>""</f>
        <v/>
      </c>
      <c r="BG162" t="str">
        <f>""</f>
        <v/>
      </c>
      <c r="BH162" t="str">
        <f>""</f>
        <v/>
      </c>
      <c r="BI162" t="str">
        <f>""</f>
        <v/>
      </c>
      <c r="BJ162" t="str">
        <f>""</f>
        <v/>
      </c>
      <c r="BK162" t="str">
        <f>""</f>
        <v/>
      </c>
      <c r="BL162" t="str">
        <f>""</f>
        <v/>
      </c>
      <c r="BM162" t="str">
        <f>""</f>
        <v/>
      </c>
      <c r="BN162" t="str">
        <f>""</f>
        <v/>
      </c>
      <c r="BO162" t="str">
        <f>""</f>
        <v/>
      </c>
      <c r="BP162" t="str">
        <f>""</f>
        <v/>
      </c>
      <c r="BQ162" t="str">
        <f>""</f>
        <v/>
      </c>
      <c r="BR162" t="str">
        <f>""</f>
        <v/>
      </c>
      <c r="BS162" t="str">
        <f>""</f>
        <v/>
      </c>
      <c r="BT162" t="str">
        <f>""</f>
        <v/>
      </c>
      <c r="BU162" t="str">
        <f>""</f>
        <v/>
      </c>
      <c r="BV162" t="str">
        <f>""</f>
        <v/>
      </c>
      <c r="BW162" t="str">
        <f>""</f>
        <v/>
      </c>
      <c r="BX162" t="str">
        <f>""</f>
        <v/>
      </c>
      <c r="BY162" t="str">
        <f>""</f>
        <v/>
      </c>
      <c r="BZ162" t="str">
        <f>""</f>
        <v/>
      </c>
      <c r="CA162" t="str">
        <f>""</f>
        <v/>
      </c>
      <c r="CB162" t="str">
        <f>"-0.0987"</f>
        <v>-0.0987</v>
      </c>
      <c r="CC162" t="str">
        <f>"0.230**"</f>
        <v>0.230**</v>
      </c>
      <c r="CD162" t="str">
        <f>"0.0583"</f>
        <v>0.0583</v>
      </c>
      <c r="CE162" t="str">
        <f>""</f>
        <v/>
      </c>
      <c r="CF162" t="str">
        <f>""</f>
        <v/>
      </c>
      <c r="CG162" t="str">
        <f>""</f>
        <v/>
      </c>
      <c r="CH162" t="str">
        <f>""</f>
        <v/>
      </c>
      <c r="CI162" t="str">
        <f>""</f>
        <v/>
      </c>
      <c r="CJ162" t="str">
        <f>""</f>
        <v/>
      </c>
      <c r="CK162" t="str">
        <f>""</f>
        <v/>
      </c>
      <c r="CL162" t="str">
        <f>""</f>
        <v/>
      </c>
      <c r="CM162" t="str">
        <f>""</f>
        <v/>
      </c>
      <c r="CN162" t="str">
        <f>""</f>
        <v/>
      </c>
      <c r="CO162" t="str">
        <f>""</f>
        <v/>
      </c>
      <c r="CP162" t="str">
        <f>""</f>
        <v/>
      </c>
      <c r="CQ162" t="str">
        <f>""</f>
        <v/>
      </c>
      <c r="CR162" t="str">
        <f>""</f>
        <v/>
      </c>
      <c r="CS162" t="str">
        <f>""</f>
        <v/>
      </c>
      <c r="CT162" t="str">
        <f>""</f>
        <v/>
      </c>
      <c r="CU162" t="str">
        <f>""</f>
        <v/>
      </c>
      <c r="CV162" t="str">
        <f>""</f>
        <v/>
      </c>
      <c r="CW162" t="str">
        <f>""</f>
        <v/>
      </c>
      <c r="CX162" t="str">
        <f>""</f>
        <v/>
      </c>
      <c r="CY162" t="str">
        <f>""</f>
        <v/>
      </c>
      <c r="CZ162" t="str">
        <f>""</f>
        <v/>
      </c>
      <c r="DA162" t="str">
        <f>""</f>
        <v/>
      </c>
      <c r="DB162" t="str">
        <f>""</f>
        <v/>
      </c>
      <c r="DC162" t="str">
        <f>""</f>
        <v/>
      </c>
      <c r="DD162" t="str">
        <f>""</f>
        <v/>
      </c>
      <c r="DE162" t="str">
        <f>""</f>
        <v/>
      </c>
      <c r="DF162" t="str">
        <f>""</f>
        <v/>
      </c>
      <c r="DG162" t="str">
        <f>""</f>
        <v/>
      </c>
      <c r="DH162" t="str">
        <f>""</f>
        <v/>
      </c>
      <c r="DI162" t="str">
        <f>""</f>
        <v/>
      </c>
      <c r="DJ162" t="str">
        <f>""</f>
        <v/>
      </c>
      <c r="DK162" t="str">
        <f>""</f>
        <v/>
      </c>
      <c r="DL162" t="str">
        <f>""</f>
        <v/>
      </c>
      <c r="DM162" t="str">
        <f>""</f>
        <v/>
      </c>
      <c r="DN162" t="str">
        <f>""</f>
        <v/>
      </c>
      <c r="DO162" t="str">
        <f>""</f>
        <v/>
      </c>
      <c r="DP162" t="str">
        <f>""</f>
        <v/>
      </c>
      <c r="DQ162" t="str">
        <f>""</f>
        <v/>
      </c>
      <c r="DR162" t="str">
        <f>""</f>
        <v/>
      </c>
      <c r="DS162" t="str">
        <f>""</f>
        <v/>
      </c>
      <c r="DT162" t="str">
        <f>""</f>
        <v/>
      </c>
      <c r="DU162" t="str">
        <f>""</f>
        <v/>
      </c>
      <c r="DV162" t="str">
        <f>""</f>
        <v/>
      </c>
      <c r="DW162" t="str">
        <f>""</f>
        <v/>
      </c>
      <c r="DX162" t="str">
        <f>""</f>
        <v/>
      </c>
      <c r="DY162" t="str">
        <f>""</f>
        <v/>
      </c>
      <c r="DZ162" t="str">
        <f>""</f>
        <v/>
      </c>
      <c r="EA162" t="str">
        <f>""</f>
        <v/>
      </c>
      <c r="EB162" t="str">
        <f>""</f>
        <v/>
      </c>
      <c r="EC162" t="str">
        <f>""</f>
        <v/>
      </c>
      <c r="ED162" t="str">
        <f>""</f>
        <v/>
      </c>
      <c r="EE162" t="str">
        <f>""</f>
        <v/>
      </c>
      <c r="EF162" t="str">
        <f>""</f>
        <v/>
      </c>
      <c r="EG162" t="str">
        <f>""</f>
        <v/>
      </c>
      <c r="EH162" t="str">
        <f>""</f>
        <v/>
      </c>
      <c r="EI162" t="str">
        <f>""</f>
        <v/>
      </c>
      <c r="EJ162" t="str">
        <f>""</f>
        <v/>
      </c>
      <c r="EK162" t="str">
        <f>""</f>
        <v/>
      </c>
      <c r="EL162" t="str">
        <f>""</f>
        <v/>
      </c>
      <c r="EM162" t="str">
        <f>""</f>
        <v/>
      </c>
      <c r="EN162" t="str">
        <f>""</f>
        <v/>
      </c>
      <c r="EO162" t="str">
        <f>""</f>
        <v/>
      </c>
      <c r="EP162" t="str">
        <f>""</f>
        <v/>
      </c>
      <c r="EQ162" t="str">
        <f>""</f>
        <v/>
      </c>
      <c r="ER162" t="str">
        <f>""</f>
        <v/>
      </c>
      <c r="ES162" t="str">
        <f>""</f>
        <v/>
      </c>
      <c r="ET162" t="str">
        <f>""</f>
        <v/>
      </c>
      <c r="EU162" t="str">
        <f>""</f>
        <v/>
      </c>
      <c r="EV162" t="str">
        <f>""</f>
        <v/>
      </c>
      <c r="EW162" t="str">
        <f>""</f>
        <v/>
      </c>
      <c r="EX162" t="str">
        <f>""</f>
        <v/>
      </c>
      <c r="EY162" t="str">
        <f>""</f>
        <v/>
      </c>
      <c r="EZ162" t="str">
        <f>""</f>
        <v/>
      </c>
      <c r="FA162" t="str">
        <f>""</f>
        <v/>
      </c>
      <c r="FB162" t="str">
        <f>""</f>
        <v/>
      </c>
      <c r="FC162" t="str">
        <f>""</f>
        <v/>
      </c>
      <c r="FD162" t="str">
        <f>""</f>
        <v/>
      </c>
      <c r="FE162" t="str">
        <f>""</f>
        <v/>
      </c>
      <c r="FF162" t="str">
        <f>""</f>
        <v/>
      </c>
      <c r="FG162" t="str">
        <f>""</f>
        <v/>
      </c>
      <c r="FH162" t="str">
        <f>""</f>
        <v/>
      </c>
      <c r="FI162" t="str">
        <f>""</f>
        <v/>
      </c>
      <c r="FJ162" t="str">
        <f>""</f>
        <v/>
      </c>
      <c r="FK162" t="str">
        <f>""</f>
        <v/>
      </c>
      <c r="FL162" t="str">
        <f>""</f>
        <v/>
      </c>
      <c r="FM162" t="str">
        <f>""</f>
        <v/>
      </c>
      <c r="FN162" t="str">
        <f>""</f>
        <v/>
      </c>
      <c r="FO162" t="str">
        <f>""</f>
        <v/>
      </c>
      <c r="FP162" t="str">
        <f>""</f>
        <v/>
      </c>
      <c r="FQ162" t="str">
        <f>""</f>
        <v/>
      </c>
      <c r="FR162" t="str">
        <f>""</f>
        <v/>
      </c>
      <c r="FS162" t="str">
        <f>""</f>
        <v/>
      </c>
      <c r="FT162" t="str">
        <f>""</f>
        <v/>
      </c>
      <c r="FU162" t="str">
        <f>""</f>
        <v/>
      </c>
      <c r="FV162" t="str">
        <f>""</f>
        <v/>
      </c>
      <c r="FW162" t="str">
        <f>""</f>
        <v/>
      </c>
      <c r="FX162" t="str">
        <f>""</f>
        <v/>
      </c>
      <c r="FY162" t="str">
        <f>""</f>
        <v/>
      </c>
      <c r="FZ162" t="str">
        <f>""</f>
        <v/>
      </c>
      <c r="GA162" t="str">
        <f>""</f>
        <v/>
      </c>
      <c r="GB162" t="str">
        <f>""</f>
        <v/>
      </c>
      <c r="GC162" t="str">
        <f>""</f>
        <v/>
      </c>
      <c r="GD162" t="str">
        <f>""</f>
        <v/>
      </c>
      <c r="GE162" t="str">
        <f>""</f>
        <v/>
      </c>
      <c r="GF162" t="str">
        <f>""</f>
        <v/>
      </c>
      <c r="GG162" t="str">
        <f>""</f>
        <v/>
      </c>
      <c r="GH162" t="str">
        <f>""</f>
        <v/>
      </c>
      <c r="GI162" t="str">
        <f>""</f>
        <v/>
      </c>
      <c r="GJ162" t="str">
        <f>""</f>
        <v/>
      </c>
      <c r="GK162" t="str">
        <f>""</f>
        <v/>
      </c>
      <c r="GL162" t="str">
        <f>""</f>
        <v/>
      </c>
      <c r="GM162" t="str">
        <f>""</f>
        <v/>
      </c>
      <c r="GN162" t="str">
        <f>""</f>
        <v/>
      </c>
      <c r="GO162" t="str">
        <f>""</f>
        <v/>
      </c>
      <c r="GP162" t="str">
        <f>""</f>
        <v/>
      </c>
      <c r="GQ162" t="str">
        <f>""</f>
        <v/>
      </c>
      <c r="GR162" t="str">
        <f>""</f>
        <v/>
      </c>
      <c r="GS162" t="str">
        <f>""</f>
        <v/>
      </c>
      <c r="GT162" t="str">
        <f>""</f>
        <v/>
      </c>
      <c r="GU162" t="str">
        <f>""</f>
        <v/>
      </c>
      <c r="GV162" t="str">
        <f>""</f>
        <v/>
      </c>
      <c r="GW162" t="str">
        <f>""</f>
        <v/>
      </c>
      <c r="GX162" t="str">
        <f>""</f>
        <v/>
      </c>
      <c r="GY162" t="str">
        <f>""</f>
        <v/>
      </c>
      <c r="GZ162" t="str">
        <f>""</f>
        <v/>
      </c>
      <c r="HA162" t="str">
        <f>""</f>
        <v/>
      </c>
      <c r="HB162" t="str">
        <f>""</f>
        <v/>
      </c>
      <c r="HC162" t="str">
        <f>""</f>
        <v/>
      </c>
      <c r="HD162" t="str">
        <f>""</f>
        <v/>
      </c>
      <c r="HE162" t="str">
        <f>""</f>
        <v/>
      </c>
      <c r="HF162" t="str">
        <f>""</f>
        <v/>
      </c>
      <c r="HG162" t="str">
        <f>""</f>
        <v/>
      </c>
      <c r="HH162" t="str">
        <f>""</f>
        <v/>
      </c>
      <c r="HI162" t="str">
        <f>""</f>
        <v/>
      </c>
      <c r="HJ162" t="str">
        <f>""</f>
        <v/>
      </c>
      <c r="HK162" t="str">
        <f>""</f>
        <v/>
      </c>
      <c r="HL162" t="str">
        <f>""</f>
        <v/>
      </c>
      <c r="HM162" t="str">
        <f>""</f>
        <v/>
      </c>
      <c r="HN162" t="str">
        <f>""</f>
        <v/>
      </c>
      <c r="HO162" t="str">
        <f>""</f>
        <v/>
      </c>
      <c r="HP162" t="str">
        <f>""</f>
        <v/>
      </c>
      <c r="HQ162" t="str">
        <f>""</f>
        <v/>
      </c>
      <c r="HR162" t="str">
        <f>""</f>
        <v/>
      </c>
      <c r="HS162" t="str">
        <f>""</f>
        <v/>
      </c>
      <c r="HT162" t="str">
        <f>""</f>
        <v/>
      </c>
      <c r="HU162" t="str">
        <f>""</f>
        <v/>
      </c>
      <c r="HV162" t="str">
        <f>""</f>
        <v/>
      </c>
      <c r="HW162" t="str">
        <f>""</f>
        <v/>
      </c>
      <c r="HX162" t="str">
        <f>""</f>
        <v/>
      </c>
      <c r="HY162" t="str">
        <f>""</f>
        <v/>
      </c>
      <c r="HZ162" t="str">
        <f>""</f>
        <v/>
      </c>
      <c r="IA162" t="str">
        <f>""</f>
        <v/>
      </c>
      <c r="IB162" t="str">
        <f>""</f>
        <v/>
      </c>
      <c r="IC162" t="str">
        <f>""</f>
        <v/>
      </c>
      <c r="ID162" t="str">
        <f>""</f>
        <v/>
      </c>
      <c r="IE162" t="str">
        <f>""</f>
        <v/>
      </c>
      <c r="IF162" t="str">
        <f>""</f>
        <v/>
      </c>
      <c r="IG162" t="str">
        <f>""</f>
        <v/>
      </c>
      <c r="IH162" t="str">
        <f>""</f>
        <v/>
      </c>
      <c r="II162" t="str">
        <f>""</f>
        <v/>
      </c>
      <c r="IJ162" t="str">
        <f>""</f>
        <v/>
      </c>
      <c r="IK162" t="str">
        <f>""</f>
        <v/>
      </c>
      <c r="IL162" t="str">
        <f>""</f>
        <v/>
      </c>
      <c r="IM162" t="str">
        <f>""</f>
        <v/>
      </c>
      <c r="IN162" t="str">
        <f>""</f>
        <v/>
      </c>
      <c r="IO162" t="str">
        <f>""</f>
        <v/>
      </c>
      <c r="IP162" t="str">
        <f>""</f>
        <v/>
      </c>
      <c r="IQ162" t="str">
        <f>""</f>
        <v/>
      </c>
      <c r="IR162" t="str">
        <f>""</f>
        <v/>
      </c>
      <c r="IS162" t="str">
        <f>""</f>
        <v/>
      </c>
      <c r="IT162" t="str">
        <f>""</f>
        <v/>
      </c>
      <c r="IU162" t="str">
        <f>""</f>
        <v/>
      </c>
      <c r="IV162" t="str">
        <f>""</f>
        <v/>
      </c>
      <c r="IW162" t="str">
        <f>""</f>
        <v/>
      </c>
      <c r="IX162" t="str">
        <f>""</f>
        <v/>
      </c>
      <c r="IY162" t="str">
        <f>""</f>
        <v/>
      </c>
      <c r="IZ162" t="str">
        <f>""</f>
        <v/>
      </c>
      <c r="JA162" t="str">
        <f>""</f>
        <v/>
      </c>
      <c r="JB162" t="str">
        <f>""</f>
        <v/>
      </c>
      <c r="JC162" t="str">
        <f>""</f>
        <v/>
      </c>
      <c r="JD162" t="str">
        <f>""</f>
        <v/>
      </c>
      <c r="JE162" t="str">
        <f>""</f>
        <v/>
      </c>
      <c r="JF162" t="str">
        <f>""</f>
        <v/>
      </c>
      <c r="JG162" t="str">
        <f>""</f>
        <v/>
      </c>
      <c r="JH162" t="str">
        <f>""</f>
        <v/>
      </c>
      <c r="JI162" t="str">
        <f>""</f>
        <v/>
      </c>
      <c r="JJ162" t="str">
        <f>""</f>
        <v/>
      </c>
      <c r="JK162" t="str">
        <f>""</f>
        <v/>
      </c>
    </row>
    <row r="163" spans="1:271" x14ac:dyDescent="0.3">
      <c r="A163" t="str">
        <f>""</f>
        <v/>
      </c>
      <c r="B163" t="str">
        <f>""</f>
        <v/>
      </c>
      <c r="C163" t="str">
        <f>""</f>
        <v/>
      </c>
      <c r="D163" t="str">
        <f>""</f>
        <v/>
      </c>
      <c r="E163" t="str">
        <f>""</f>
        <v/>
      </c>
      <c r="F163" t="str">
        <f>""</f>
        <v/>
      </c>
      <c r="G163" t="str">
        <f>""</f>
        <v/>
      </c>
      <c r="H163" t="str">
        <f>""</f>
        <v/>
      </c>
      <c r="I163" t="str">
        <f>""</f>
        <v/>
      </c>
      <c r="J163" t="str">
        <f>""</f>
        <v/>
      </c>
      <c r="K163" t="str">
        <f>""</f>
        <v/>
      </c>
      <c r="L163" t="str">
        <f>""</f>
        <v/>
      </c>
      <c r="M163" t="str">
        <f>""</f>
        <v/>
      </c>
      <c r="N163" t="str">
        <f>""</f>
        <v/>
      </c>
      <c r="O163" t="str">
        <f>""</f>
        <v/>
      </c>
      <c r="P163" t="str">
        <f>""</f>
        <v/>
      </c>
      <c r="Q163" t="str">
        <f>""</f>
        <v/>
      </c>
      <c r="R163" t="str">
        <f>""</f>
        <v/>
      </c>
      <c r="S163" t="str">
        <f>""</f>
        <v/>
      </c>
      <c r="T163" t="str">
        <f>""</f>
        <v/>
      </c>
      <c r="U163" t="str">
        <f>""</f>
        <v/>
      </c>
      <c r="V163" t="str">
        <f>""</f>
        <v/>
      </c>
      <c r="W163" t="str">
        <f>""</f>
        <v/>
      </c>
      <c r="X163" t="str">
        <f>""</f>
        <v/>
      </c>
      <c r="Y163" t="str">
        <f>""</f>
        <v/>
      </c>
      <c r="Z163" t="str">
        <f>""</f>
        <v/>
      </c>
      <c r="AA163" t="str">
        <f>""</f>
        <v/>
      </c>
      <c r="AB163" t="str">
        <f>""</f>
        <v/>
      </c>
      <c r="AC163" t="str">
        <f>""</f>
        <v/>
      </c>
      <c r="AD163" t="str">
        <f>""</f>
        <v/>
      </c>
      <c r="AE163" t="str">
        <f>""</f>
        <v/>
      </c>
      <c r="AF163" t="str">
        <f>""</f>
        <v/>
      </c>
      <c r="AG163" t="str">
        <f>""</f>
        <v/>
      </c>
      <c r="AH163" t="str">
        <f>""</f>
        <v/>
      </c>
      <c r="AI163" t="str">
        <f>""</f>
        <v/>
      </c>
      <c r="AJ163" t="str">
        <f>""</f>
        <v/>
      </c>
      <c r="AK163" t="str">
        <f>""</f>
        <v/>
      </c>
      <c r="AL163" t="str">
        <f>""</f>
        <v/>
      </c>
      <c r="AM163" t="str">
        <f>""</f>
        <v/>
      </c>
      <c r="AN163" t="str">
        <f>""</f>
        <v/>
      </c>
      <c r="AO163" t="str">
        <f>""</f>
        <v/>
      </c>
      <c r="AP163" t="str">
        <f>""</f>
        <v/>
      </c>
      <c r="AQ163" t="str">
        <f>""</f>
        <v/>
      </c>
      <c r="AR163" t="str">
        <f>""</f>
        <v/>
      </c>
      <c r="AS163" t="str">
        <f>""</f>
        <v/>
      </c>
      <c r="AT163" t="str">
        <f>""</f>
        <v/>
      </c>
      <c r="AU163" t="str">
        <f>""</f>
        <v/>
      </c>
      <c r="AV163" t="str">
        <f>""</f>
        <v/>
      </c>
      <c r="AW163" t="str">
        <f>""</f>
        <v/>
      </c>
      <c r="AX163" t="str">
        <f>""</f>
        <v/>
      </c>
      <c r="AY163" t="str">
        <f>""</f>
        <v/>
      </c>
      <c r="AZ163" t="str">
        <f>""</f>
        <v/>
      </c>
      <c r="BA163" t="str">
        <f>""</f>
        <v/>
      </c>
      <c r="BB163" t="str">
        <f>""</f>
        <v/>
      </c>
      <c r="BC163" t="str">
        <f>""</f>
        <v/>
      </c>
      <c r="BD163" t="str">
        <f>""</f>
        <v/>
      </c>
      <c r="BE163" t="str">
        <f>""</f>
        <v/>
      </c>
      <c r="BF163" t="str">
        <f>""</f>
        <v/>
      </c>
      <c r="BG163" t="str">
        <f>""</f>
        <v/>
      </c>
      <c r="BH163" t="str">
        <f>""</f>
        <v/>
      </c>
      <c r="BI163" t="str">
        <f>""</f>
        <v/>
      </c>
      <c r="BJ163" t="str">
        <f>""</f>
        <v/>
      </c>
      <c r="BK163" t="str">
        <f>""</f>
        <v/>
      </c>
      <c r="BL163" t="str">
        <f>""</f>
        <v/>
      </c>
      <c r="BM163" t="str">
        <f>""</f>
        <v/>
      </c>
      <c r="BN163" t="str">
        <f>""</f>
        <v/>
      </c>
      <c r="BO163" t="str">
        <f>""</f>
        <v/>
      </c>
      <c r="BP163" t="str">
        <f>""</f>
        <v/>
      </c>
      <c r="BQ163" t="str">
        <f>""</f>
        <v/>
      </c>
      <c r="BR163" t="str">
        <f>""</f>
        <v/>
      </c>
      <c r="BS163" t="str">
        <f>""</f>
        <v/>
      </c>
      <c r="BT163" t="str">
        <f>""</f>
        <v/>
      </c>
      <c r="BU163" t="str">
        <f>""</f>
        <v/>
      </c>
      <c r="BV163" t="str">
        <f>""</f>
        <v/>
      </c>
      <c r="BW163" t="str">
        <f>""</f>
        <v/>
      </c>
      <c r="BX163" t="str">
        <f>""</f>
        <v/>
      </c>
      <c r="BY163" t="str">
        <f>""</f>
        <v/>
      </c>
      <c r="BZ163" t="str">
        <f>""</f>
        <v/>
      </c>
      <c r="CA163" t="str">
        <f>""</f>
        <v/>
      </c>
      <c r="CB163" t="str">
        <f>"(0.102)"</f>
        <v>(0.102)</v>
      </c>
      <c r="CC163" t="str">
        <f>"(0.0796)"</f>
        <v>(0.0796)</v>
      </c>
      <c r="CD163" t="str">
        <f>"(0.0424)"</f>
        <v>(0.0424)</v>
      </c>
      <c r="CE163" t="str">
        <f>""</f>
        <v/>
      </c>
      <c r="CF163" t="str">
        <f>""</f>
        <v/>
      </c>
      <c r="CG163" t="str">
        <f>""</f>
        <v/>
      </c>
      <c r="CH163" t="str">
        <f>""</f>
        <v/>
      </c>
      <c r="CI163" t="str">
        <f>""</f>
        <v/>
      </c>
      <c r="CJ163" t="str">
        <f>""</f>
        <v/>
      </c>
      <c r="CK163" t="str">
        <f>""</f>
        <v/>
      </c>
      <c r="CL163" t="str">
        <f>""</f>
        <v/>
      </c>
      <c r="CM163" t="str">
        <f>""</f>
        <v/>
      </c>
      <c r="CN163" t="str">
        <f>""</f>
        <v/>
      </c>
      <c r="CO163" t="str">
        <f>""</f>
        <v/>
      </c>
      <c r="CP163" t="str">
        <f>""</f>
        <v/>
      </c>
      <c r="CQ163" t="str">
        <f>""</f>
        <v/>
      </c>
      <c r="CR163" t="str">
        <f>""</f>
        <v/>
      </c>
      <c r="CS163" t="str">
        <f>""</f>
        <v/>
      </c>
      <c r="CT163" t="str">
        <f>""</f>
        <v/>
      </c>
      <c r="CU163" t="str">
        <f>""</f>
        <v/>
      </c>
      <c r="CV163" t="str">
        <f>""</f>
        <v/>
      </c>
      <c r="CW163" t="str">
        <f>""</f>
        <v/>
      </c>
      <c r="CX163" t="str">
        <f>""</f>
        <v/>
      </c>
      <c r="CY163" t="str">
        <f>""</f>
        <v/>
      </c>
      <c r="CZ163" t="str">
        <f>""</f>
        <v/>
      </c>
      <c r="DA163" t="str">
        <f>""</f>
        <v/>
      </c>
      <c r="DB163" t="str">
        <f>""</f>
        <v/>
      </c>
      <c r="DC163" t="str">
        <f>""</f>
        <v/>
      </c>
      <c r="DD163" t="str">
        <f>""</f>
        <v/>
      </c>
      <c r="DE163" t="str">
        <f>""</f>
        <v/>
      </c>
      <c r="DF163" t="str">
        <f>""</f>
        <v/>
      </c>
      <c r="DG163" t="str">
        <f>""</f>
        <v/>
      </c>
      <c r="DH163" t="str">
        <f>""</f>
        <v/>
      </c>
      <c r="DI163" t="str">
        <f>""</f>
        <v/>
      </c>
      <c r="DJ163" t="str">
        <f>""</f>
        <v/>
      </c>
      <c r="DK163" t="str">
        <f>""</f>
        <v/>
      </c>
      <c r="DL163" t="str">
        <f>""</f>
        <v/>
      </c>
      <c r="DM163" t="str">
        <f>""</f>
        <v/>
      </c>
      <c r="DN163" t="str">
        <f>""</f>
        <v/>
      </c>
      <c r="DO163" t="str">
        <f>""</f>
        <v/>
      </c>
      <c r="DP163" t="str">
        <f>""</f>
        <v/>
      </c>
      <c r="DQ163" t="str">
        <f>""</f>
        <v/>
      </c>
      <c r="DR163" t="str">
        <f>""</f>
        <v/>
      </c>
      <c r="DS163" t="str">
        <f>""</f>
        <v/>
      </c>
      <c r="DT163" t="str">
        <f>""</f>
        <v/>
      </c>
      <c r="DU163" t="str">
        <f>""</f>
        <v/>
      </c>
      <c r="DV163" t="str">
        <f>""</f>
        <v/>
      </c>
      <c r="DW163" t="str">
        <f>""</f>
        <v/>
      </c>
      <c r="DX163" t="str">
        <f>""</f>
        <v/>
      </c>
      <c r="DY163" t="str">
        <f>""</f>
        <v/>
      </c>
      <c r="DZ163" t="str">
        <f>""</f>
        <v/>
      </c>
      <c r="EA163" t="str">
        <f>""</f>
        <v/>
      </c>
      <c r="EB163" t="str">
        <f>""</f>
        <v/>
      </c>
      <c r="EC163" t="str">
        <f>""</f>
        <v/>
      </c>
      <c r="ED163" t="str">
        <f>""</f>
        <v/>
      </c>
      <c r="EE163" t="str">
        <f>""</f>
        <v/>
      </c>
      <c r="EF163" t="str">
        <f>""</f>
        <v/>
      </c>
      <c r="EG163" t="str">
        <f>""</f>
        <v/>
      </c>
      <c r="EH163" t="str">
        <f>""</f>
        <v/>
      </c>
      <c r="EI163" t="str">
        <f>""</f>
        <v/>
      </c>
      <c r="EJ163" t="str">
        <f>""</f>
        <v/>
      </c>
      <c r="EK163" t="str">
        <f>""</f>
        <v/>
      </c>
      <c r="EL163" t="str">
        <f>""</f>
        <v/>
      </c>
      <c r="EM163" t="str">
        <f>""</f>
        <v/>
      </c>
      <c r="EN163" t="str">
        <f>""</f>
        <v/>
      </c>
      <c r="EO163" t="str">
        <f>""</f>
        <v/>
      </c>
      <c r="EP163" t="str">
        <f>""</f>
        <v/>
      </c>
      <c r="EQ163" t="str">
        <f>""</f>
        <v/>
      </c>
      <c r="ER163" t="str">
        <f>""</f>
        <v/>
      </c>
      <c r="ES163" t="str">
        <f>""</f>
        <v/>
      </c>
      <c r="ET163" t="str">
        <f>""</f>
        <v/>
      </c>
      <c r="EU163" t="str">
        <f>""</f>
        <v/>
      </c>
      <c r="EV163" t="str">
        <f>""</f>
        <v/>
      </c>
      <c r="EW163" t="str">
        <f>""</f>
        <v/>
      </c>
      <c r="EX163" t="str">
        <f>""</f>
        <v/>
      </c>
      <c r="EY163" t="str">
        <f>""</f>
        <v/>
      </c>
      <c r="EZ163" t="str">
        <f>""</f>
        <v/>
      </c>
      <c r="FA163" t="str">
        <f>""</f>
        <v/>
      </c>
      <c r="FB163" t="str">
        <f>""</f>
        <v/>
      </c>
      <c r="FC163" t="str">
        <f>""</f>
        <v/>
      </c>
      <c r="FD163" t="str">
        <f>""</f>
        <v/>
      </c>
      <c r="FE163" t="str">
        <f>""</f>
        <v/>
      </c>
      <c r="FF163" t="str">
        <f>""</f>
        <v/>
      </c>
      <c r="FG163" t="str">
        <f>""</f>
        <v/>
      </c>
      <c r="FH163" t="str">
        <f>""</f>
        <v/>
      </c>
      <c r="FI163" t="str">
        <f>""</f>
        <v/>
      </c>
      <c r="FJ163" t="str">
        <f>""</f>
        <v/>
      </c>
      <c r="FK163" t="str">
        <f>""</f>
        <v/>
      </c>
      <c r="FL163" t="str">
        <f>""</f>
        <v/>
      </c>
      <c r="FM163" t="str">
        <f>""</f>
        <v/>
      </c>
      <c r="FN163" t="str">
        <f>""</f>
        <v/>
      </c>
      <c r="FO163" t="str">
        <f>""</f>
        <v/>
      </c>
      <c r="FP163" t="str">
        <f>""</f>
        <v/>
      </c>
      <c r="FQ163" t="str">
        <f>""</f>
        <v/>
      </c>
      <c r="FR163" t="str">
        <f>""</f>
        <v/>
      </c>
      <c r="FS163" t="str">
        <f>""</f>
        <v/>
      </c>
      <c r="FT163" t="str">
        <f>""</f>
        <v/>
      </c>
      <c r="FU163" t="str">
        <f>""</f>
        <v/>
      </c>
      <c r="FV163" t="str">
        <f>""</f>
        <v/>
      </c>
      <c r="FW163" t="str">
        <f>""</f>
        <v/>
      </c>
      <c r="FX163" t="str">
        <f>""</f>
        <v/>
      </c>
      <c r="FY163" t="str">
        <f>""</f>
        <v/>
      </c>
      <c r="FZ163" t="str">
        <f>""</f>
        <v/>
      </c>
      <c r="GA163" t="str">
        <f>""</f>
        <v/>
      </c>
      <c r="GB163" t="str">
        <f>""</f>
        <v/>
      </c>
      <c r="GC163" t="str">
        <f>""</f>
        <v/>
      </c>
      <c r="GD163" t="str">
        <f>""</f>
        <v/>
      </c>
      <c r="GE163" t="str">
        <f>""</f>
        <v/>
      </c>
      <c r="GF163" t="str">
        <f>""</f>
        <v/>
      </c>
      <c r="GG163" t="str">
        <f>""</f>
        <v/>
      </c>
      <c r="GH163" t="str">
        <f>""</f>
        <v/>
      </c>
      <c r="GI163" t="str">
        <f>""</f>
        <v/>
      </c>
      <c r="GJ163" t="str">
        <f>""</f>
        <v/>
      </c>
      <c r="GK163" t="str">
        <f>""</f>
        <v/>
      </c>
      <c r="GL163" t="str">
        <f>""</f>
        <v/>
      </c>
      <c r="GM163" t="str">
        <f>""</f>
        <v/>
      </c>
      <c r="GN163" t="str">
        <f>""</f>
        <v/>
      </c>
      <c r="GO163" t="str">
        <f>""</f>
        <v/>
      </c>
      <c r="GP163" t="str">
        <f>""</f>
        <v/>
      </c>
      <c r="GQ163" t="str">
        <f>""</f>
        <v/>
      </c>
      <c r="GR163" t="str">
        <f>""</f>
        <v/>
      </c>
      <c r="GS163" t="str">
        <f>""</f>
        <v/>
      </c>
      <c r="GT163" t="str">
        <f>""</f>
        <v/>
      </c>
      <c r="GU163" t="str">
        <f>""</f>
        <v/>
      </c>
      <c r="GV163" t="str">
        <f>""</f>
        <v/>
      </c>
      <c r="GW163" t="str">
        <f>""</f>
        <v/>
      </c>
      <c r="GX163" t="str">
        <f>""</f>
        <v/>
      </c>
      <c r="GY163" t="str">
        <f>""</f>
        <v/>
      </c>
      <c r="GZ163" t="str">
        <f>""</f>
        <v/>
      </c>
      <c r="HA163" t="str">
        <f>""</f>
        <v/>
      </c>
      <c r="HB163" t="str">
        <f>""</f>
        <v/>
      </c>
      <c r="HC163" t="str">
        <f>""</f>
        <v/>
      </c>
      <c r="HD163" t="str">
        <f>""</f>
        <v/>
      </c>
      <c r="HE163" t="str">
        <f>""</f>
        <v/>
      </c>
      <c r="HF163" t="str">
        <f>""</f>
        <v/>
      </c>
      <c r="HG163" t="str">
        <f>""</f>
        <v/>
      </c>
      <c r="HH163" t="str">
        <f>""</f>
        <v/>
      </c>
      <c r="HI163" t="str">
        <f>""</f>
        <v/>
      </c>
      <c r="HJ163" t="str">
        <f>""</f>
        <v/>
      </c>
      <c r="HK163" t="str">
        <f>""</f>
        <v/>
      </c>
      <c r="HL163" t="str">
        <f>""</f>
        <v/>
      </c>
      <c r="HM163" t="str">
        <f>""</f>
        <v/>
      </c>
      <c r="HN163" t="str">
        <f>""</f>
        <v/>
      </c>
      <c r="HO163" t="str">
        <f>""</f>
        <v/>
      </c>
      <c r="HP163" t="str">
        <f>""</f>
        <v/>
      </c>
      <c r="HQ163" t="str">
        <f>""</f>
        <v/>
      </c>
      <c r="HR163" t="str">
        <f>""</f>
        <v/>
      </c>
      <c r="HS163" t="str">
        <f>""</f>
        <v/>
      </c>
      <c r="HT163" t="str">
        <f>""</f>
        <v/>
      </c>
      <c r="HU163" t="str">
        <f>""</f>
        <v/>
      </c>
      <c r="HV163" t="str">
        <f>""</f>
        <v/>
      </c>
      <c r="HW163" t="str">
        <f>""</f>
        <v/>
      </c>
      <c r="HX163" t="str">
        <f>""</f>
        <v/>
      </c>
      <c r="HY163" t="str">
        <f>""</f>
        <v/>
      </c>
      <c r="HZ163" t="str">
        <f>""</f>
        <v/>
      </c>
      <c r="IA163" t="str">
        <f>""</f>
        <v/>
      </c>
      <c r="IB163" t="str">
        <f>""</f>
        <v/>
      </c>
      <c r="IC163" t="str">
        <f>""</f>
        <v/>
      </c>
      <c r="ID163" t="str">
        <f>""</f>
        <v/>
      </c>
      <c r="IE163" t="str">
        <f>""</f>
        <v/>
      </c>
      <c r="IF163" t="str">
        <f>""</f>
        <v/>
      </c>
      <c r="IG163" t="str">
        <f>""</f>
        <v/>
      </c>
      <c r="IH163" t="str">
        <f>""</f>
        <v/>
      </c>
      <c r="II163" t="str">
        <f>""</f>
        <v/>
      </c>
      <c r="IJ163" t="str">
        <f>""</f>
        <v/>
      </c>
      <c r="IK163" t="str">
        <f>""</f>
        <v/>
      </c>
      <c r="IL163" t="str">
        <f>""</f>
        <v/>
      </c>
      <c r="IM163" t="str">
        <f>""</f>
        <v/>
      </c>
      <c r="IN163" t="str">
        <f>""</f>
        <v/>
      </c>
      <c r="IO163" t="str">
        <f>""</f>
        <v/>
      </c>
      <c r="IP163" t="str">
        <f>""</f>
        <v/>
      </c>
      <c r="IQ163" t="str">
        <f>""</f>
        <v/>
      </c>
      <c r="IR163" t="str">
        <f>""</f>
        <v/>
      </c>
      <c r="IS163" t="str">
        <f>""</f>
        <v/>
      </c>
      <c r="IT163" t="str">
        <f>""</f>
        <v/>
      </c>
      <c r="IU163" t="str">
        <f>""</f>
        <v/>
      </c>
      <c r="IV163" t="str">
        <f>""</f>
        <v/>
      </c>
      <c r="IW163" t="str">
        <f>""</f>
        <v/>
      </c>
      <c r="IX163" t="str">
        <f>""</f>
        <v/>
      </c>
      <c r="IY163" t="str">
        <f>""</f>
        <v/>
      </c>
      <c r="IZ163" t="str">
        <f>""</f>
        <v/>
      </c>
      <c r="JA163" t="str">
        <f>""</f>
        <v/>
      </c>
      <c r="JB163" t="str">
        <f>""</f>
        <v/>
      </c>
      <c r="JC163" t="str">
        <f>""</f>
        <v/>
      </c>
      <c r="JD163" t="str">
        <f>""</f>
        <v/>
      </c>
      <c r="JE163" t="str">
        <f>""</f>
        <v/>
      </c>
      <c r="JF163" t="str">
        <f>""</f>
        <v/>
      </c>
      <c r="JG163" t="str">
        <f>""</f>
        <v/>
      </c>
      <c r="JH163" t="str">
        <f>""</f>
        <v/>
      </c>
      <c r="JI163" t="str">
        <f>""</f>
        <v/>
      </c>
      <c r="JJ163" t="str">
        <f>""</f>
        <v/>
      </c>
      <c r="JK163" t="str">
        <f>""</f>
        <v/>
      </c>
    </row>
    <row r="165" spans="1:271" x14ac:dyDescent="0.3">
      <c r="A165" t="str">
        <f>"c.zMETAB13#c.PM2"</f>
        <v>c.zMETAB13#c.PM2</v>
      </c>
      <c r="B165" t="str">
        <f>""</f>
        <v/>
      </c>
      <c r="C165" t="str">
        <f>""</f>
        <v/>
      </c>
      <c r="D165" t="str">
        <f>""</f>
        <v/>
      </c>
      <c r="E165" t="str">
        <f>""</f>
        <v/>
      </c>
      <c r="F165" t="str">
        <f>""</f>
        <v/>
      </c>
      <c r="G165" t="str">
        <f>""</f>
        <v/>
      </c>
      <c r="H165" t="str">
        <f>""</f>
        <v/>
      </c>
      <c r="I165" t="str">
        <f>""</f>
        <v/>
      </c>
      <c r="J165" t="str">
        <f>""</f>
        <v/>
      </c>
      <c r="K165" t="str">
        <f>""</f>
        <v/>
      </c>
      <c r="L165" t="str">
        <f>""</f>
        <v/>
      </c>
      <c r="M165" t="str">
        <f>""</f>
        <v/>
      </c>
      <c r="N165" t="str">
        <f>""</f>
        <v/>
      </c>
      <c r="O165" t="str">
        <f>""</f>
        <v/>
      </c>
      <c r="P165" t="str">
        <f>""</f>
        <v/>
      </c>
      <c r="Q165" t="str">
        <f>""</f>
        <v/>
      </c>
      <c r="R165" t="str">
        <f>""</f>
        <v/>
      </c>
      <c r="S165" t="str">
        <f>""</f>
        <v/>
      </c>
      <c r="T165" t="str">
        <f>""</f>
        <v/>
      </c>
      <c r="U165" t="str">
        <f>""</f>
        <v/>
      </c>
      <c r="V165" t="str">
        <f>""</f>
        <v/>
      </c>
      <c r="W165" t="str">
        <f>""</f>
        <v/>
      </c>
      <c r="X165" t="str">
        <f>""</f>
        <v/>
      </c>
      <c r="Y165" t="str">
        <f>""</f>
        <v/>
      </c>
      <c r="Z165" t="str">
        <f>""</f>
        <v/>
      </c>
      <c r="AA165" t="str">
        <f>""</f>
        <v/>
      </c>
      <c r="AB165" t="str">
        <f>""</f>
        <v/>
      </c>
      <c r="AC165" t="str">
        <f>""</f>
        <v/>
      </c>
      <c r="AD165" t="str">
        <f>""</f>
        <v/>
      </c>
      <c r="AE165" t="str">
        <f>""</f>
        <v/>
      </c>
      <c r="AF165" t="str">
        <f>""</f>
        <v/>
      </c>
      <c r="AG165" t="str">
        <f>""</f>
        <v/>
      </c>
      <c r="AH165" t="str">
        <f>""</f>
        <v/>
      </c>
      <c r="AI165" t="str">
        <f>""</f>
        <v/>
      </c>
      <c r="AJ165" t="str">
        <f>""</f>
        <v/>
      </c>
      <c r="AK165" t="str">
        <f>""</f>
        <v/>
      </c>
      <c r="AL165" t="str">
        <f>""</f>
        <v/>
      </c>
      <c r="AM165" t="str">
        <f>""</f>
        <v/>
      </c>
      <c r="AN165" t="str">
        <f>""</f>
        <v/>
      </c>
      <c r="AO165" t="str">
        <f>""</f>
        <v/>
      </c>
      <c r="AP165" t="str">
        <f>""</f>
        <v/>
      </c>
      <c r="AQ165" t="str">
        <f>""</f>
        <v/>
      </c>
      <c r="AR165" t="str">
        <f>""</f>
        <v/>
      </c>
      <c r="AS165" t="str">
        <f>""</f>
        <v/>
      </c>
      <c r="AT165" t="str">
        <f>""</f>
        <v/>
      </c>
      <c r="AU165" t="str">
        <f>""</f>
        <v/>
      </c>
      <c r="AV165" t="str">
        <f>""</f>
        <v/>
      </c>
      <c r="AW165" t="str">
        <f>""</f>
        <v/>
      </c>
      <c r="AX165" t="str">
        <f>""</f>
        <v/>
      </c>
      <c r="AY165" t="str">
        <f>""</f>
        <v/>
      </c>
      <c r="AZ165" t="str">
        <f>""</f>
        <v/>
      </c>
      <c r="BA165" t="str">
        <f>""</f>
        <v/>
      </c>
      <c r="BB165" t="str">
        <f>""</f>
        <v/>
      </c>
      <c r="BC165" t="str">
        <f>""</f>
        <v/>
      </c>
      <c r="BD165" t="str">
        <f>""</f>
        <v/>
      </c>
      <c r="BE165" t="str">
        <f>""</f>
        <v/>
      </c>
      <c r="BF165" t="str">
        <f>""</f>
        <v/>
      </c>
      <c r="BG165" t="str">
        <f>""</f>
        <v/>
      </c>
      <c r="BH165" t="str">
        <f>""</f>
        <v/>
      </c>
      <c r="BI165" t="str">
        <f>""</f>
        <v/>
      </c>
      <c r="BJ165" t="str">
        <f>""</f>
        <v/>
      </c>
      <c r="BK165" t="str">
        <f>""</f>
        <v/>
      </c>
      <c r="BL165" t="str">
        <f>""</f>
        <v/>
      </c>
      <c r="BM165" t="str">
        <f>""</f>
        <v/>
      </c>
      <c r="BN165" t="str">
        <f>""</f>
        <v/>
      </c>
      <c r="BO165" t="str">
        <f>""</f>
        <v/>
      </c>
      <c r="BP165" t="str">
        <f>""</f>
        <v/>
      </c>
      <c r="BQ165" t="str">
        <f>""</f>
        <v/>
      </c>
      <c r="BR165" t="str">
        <f>""</f>
        <v/>
      </c>
      <c r="BS165" t="str">
        <f>""</f>
        <v/>
      </c>
      <c r="BT165" t="str">
        <f>""</f>
        <v/>
      </c>
      <c r="BU165" t="str">
        <f>""</f>
        <v/>
      </c>
      <c r="BV165" t="str">
        <f>""</f>
        <v/>
      </c>
      <c r="BW165" t="str">
        <f>""</f>
        <v/>
      </c>
      <c r="BX165" t="str">
        <f>""</f>
        <v/>
      </c>
      <c r="BY165" t="str">
        <f>""</f>
        <v/>
      </c>
      <c r="BZ165" t="str">
        <f>""</f>
        <v/>
      </c>
      <c r="CA165" t="str">
        <f>""</f>
        <v/>
      </c>
      <c r="CB165" t="str">
        <f>""</f>
        <v/>
      </c>
      <c r="CC165" t="str">
        <f>""</f>
        <v/>
      </c>
      <c r="CD165" t="str">
        <f>""</f>
        <v/>
      </c>
      <c r="CE165" t="str">
        <f>"0.302**"</f>
        <v>0.302**</v>
      </c>
      <c r="CF165" t="str">
        <f>"0.0116"</f>
        <v>0.0116</v>
      </c>
      <c r="CG165" t="str">
        <f>"-0.0248"</f>
        <v>-0.0248</v>
      </c>
      <c r="CH165" t="str">
        <f>""</f>
        <v/>
      </c>
      <c r="CI165" t="str">
        <f>""</f>
        <v/>
      </c>
      <c r="CJ165" t="str">
        <f>""</f>
        <v/>
      </c>
      <c r="CK165" t="str">
        <f>""</f>
        <v/>
      </c>
      <c r="CL165" t="str">
        <f>""</f>
        <v/>
      </c>
      <c r="CM165" t="str">
        <f>""</f>
        <v/>
      </c>
      <c r="CN165" t="str">
        <f>""</f>
        <v/>
      </c>
      <c r="CO165" t="str">
        <f>""</f>
        <v/>
      </c>
      <c r="CP165" t="str">
        <f>""</f>
        <v/>
      </c>
      <c r="CQ165" t="str">
        <f>""</f>
        <v/>
      </c>
      <c r="CR165" t="str">
        <f>""</f>
        <v/>
      </c>
      <c r="CS165" t="str">
        <f>""</f>
        <v/>
      </c>
      <c r="CT165" t="str">
        <f>""</f>
        <v/>
      </c>
      <c r="CU165" t="str">
        <f>""</f>
        <v/>
      </c>
      <c r="CV165" t="str">
        <f>""</f>
        <v/>
      </c>
      <c r="CW165" t="str">
        <f>""</f>
        <v/>
      </c>
      <c r="CX165" t="str">
        <f>""</f>
        <v/>
      </c>
      <c r="CY165" t="str">
        <f>""</f>
        <v/>
      </c>
      <c r="CZ165" t="str">
        <f>""</f>
        <v/>
      </c>
      <c r="DA165" t="str">
        <f>""</f>
        <v/>
      </c>
      <c r="DB165" t="str">
        <f>""</f>
        <v/>
      </c>
      <c r="DC165" t="str">
        <f>""</f>
        <v/>
      </c>
      <c r="DD165" t="str">
        <f>""</f>
        <v/>
      </c>
      <c r="DE165" t="str">
        <f>""</f>
        <v/>
      </c>
      <c r="DF165" t="str">
        <f>""</f>
        <v/>
      </c>
      <c r="DG165" t="str">
        <f>""</f>
        <v/>
      </c>
      <c r="DH165" t="str">
        <f>""</f>
        <v/>
      </c>
      <c r="DI165" t="str">
        <f>""</f>
        <v/>
      </c>
      <c r="DJ165" t="str">
        <f>""</f>
        <v/>
      </c>
      <c r="DK165" t="str">
        <f>""</f>
        <v/>
      </c>
      <c r="DL165" t="str">
        <f>""</f>
        <v/>
      </c>
      <c r="DM165" t="str">
        <f>""</f>
        <v/>
      </c>
      <c r="DN165" t="str">
        <f>""</f>
        <v/>
      </c>
      <c r="DO165" t="str">
        <f>""</f>
        <v/>
      </c>
      <c r="DP165" t="str">
        <f>""</f>
        <v/>
      </c>
      <c r="DQ165" t="str">
        <f>""</f>
        <v/>
      </c>
      <c r="DR165" t="str">
        <f>""</f>
        <v/>
      </c>
      <c r="DS165" t="str">
        <f>""</f>
        <v/>
      </c>
      <c r="DT165" t="str">
        <f>""</f>
        <v/>
      </c>
      <c r="DU165" t="str">
        <f>""</f>
        <v/>
      </c>
      <c r="DV165" t="str">
        <f>""</f>
        <v/>
      </c>
      <c r="DW165" t="str">
        <f>""</f>
        <v/>
      </c>
      <c r="DX165" t="str">
        <f>""</f>
        <v/>
      </c>
      <c r="DY165" t="str">
        <f>""</f>
        <v/>
      </c>
      <c r="DZ165" t="str">
        <f>""</f>
        <v/>
      </c>
      <c r="EA165" t="str">
        <f>""</f>
        <v/>
      </c>
      <c r="EB165" t="str">
        <f>""</f>
        <v/>
      </c>
      <c r="EC165" t="str">
        <f>""</f>
        <v/>
      </c>
      <c r="ED165" t="str">
        <f>""</f>
        <v/>
      </c>
      <c r="EE165" t="str">
        <f>""</f>
        <v/>
      </c>
      <c r="EF165" t="str">
        <f>""</f>
        <v/>
      </c>
      <c r="EG165" t="str">
        <f>""</f>
        <v/>
      </c>
      <c r="EH165" t="str">
        <f>""</f>
        <v/>
      </c>
      <c r="EI165" t="str">
        <f>""</f>
        <v/>
      </c>
      <c r="EJ165" t="str">
        <f>""</f>
        <v/>
      </c>
      <c r="EK165" t="str">
        <f>""</f>
        <v/>
      </c>
      <c r="EL165" t="str">
        <f>""</f>
        <v/>
      </c>
      <c r="EM165" t="str">
        <f>""</f>
        <v/>
      </c>
      <c r="EN165" t="str">
        <f>""</f>
        <v/>
      </c>
      <c r="EO165" t="str">
        <f>""</f>
        <v/>
      </c>
      <c r="EP165" t="str">
        <f>""</f>
        <v/>
      </c>
      <c r="EQ165" t="str">
        <f>""</f>
        <v/>
      </c>
      <c r="ER165" t="str">
        <f>""</f>
        <v/>
      </c>
      <c r="ES165" t="str">
        <f>""</f>
        <v/>
      </c>
      <c r="ET165" t="str">
        <f>""</f>
        <v/>
      </c>
      <c r="EU165" t="str">
        <f>""</f>
        <v/>
      </c>
      <c r="EV165" t="str">
        <f>""</f>
        <v/>
      </c>
      <c r="EW165" t="str">
        <f>""</f>
        <v/>
      </c>
      <c r="EX165" t="str">
        <f>""</f>
        <v/>
      </c>
      <c r="EY165" t="str">
        <f>""</f>
        <v/>
      </c>
      <c r="EZ165" t="str">
        <f>""</f>
        <v/>
      </c>
      <c r="FA165" t="str">
        <f>""</f>
        <v/>
      </c>
      <c r="FB165" t="str">
        <f>""</f>
        <v/>
      </c>
      <c r="FC165" t="str">
        <f>""</f>
        <v/>
      </c>
      <c r="FD165" t="str">
        <f>""</f>
        <v/>
      </c>
      <c r="FE165" t="str">
        <f>""</f>
        <v/>
      </c>
      <c r="FF165" t="str">
        <f>""</f>
        <v/>
      </c>
      <c r="FG165" t="str">
        <f>""</f>
        <v/>
      </c>
      <c r="FH165" t="str">
        <f>""</f>
        <v/>
      </c>
      <c r="FI165" t="str">
        <f>""</f>
        <v/>
      </c>
      <c r="FJ165" t="str">
        <f>""</f>
        <v/>
      </c>
      <c r="FK165" t="str">
        <f>""</f>
        <v/>
      </c>
      <c r="FL165" t="str">
        <f>""</f>
        <v/>
      </c>
      <c r="FM165" t="str">
        <f>""</f>
        <v/>
      </c>
      <c r="FN165" t="str">
        <f>""</f>
        <v/>
      </c>
      <c r="FO165" t="str">
        <f>""</f>
        <v/>
      </c>
      <c r="FP165" t="str">
        <f>""</f>
        <v/>
      </c>
      <c r="FQ165" t="str">
        <f>""</f>
        <v/>
      </c>
      <c r="FR165" t="str">
        <f>""</f>
        <v/>
      </c>
      <c r="FS165" t="str">
        <f>""</f>
        <v/>
      </c>
      <c r="FT165" t="str">
        <f>""</f>
        <v/>
      </c>
      <c r="FU165" t="str">
        <f>""</f>
        <v/>
      </c>
      <c r="FV165" t="str">
        <f>""</f>
        <v/>
      </c>
      <c r="FW165" t="str">
        <f>""</f>
        <v/>
      </c>
      <c r="FX165" t="str">
        <f>""</f>
        <v/>
      </c>
      <c r="FY165" t="str">
        <f>""</f>
        <v/>
      </c>
      <c r="FZ165" t="str">
        <f>""</f>
        <v/>
      </c>
      <c r="GA165" t="str">
        <f>""</f>
        <v/>
      </c>
      <c r="GB165" t="str">
        <f>""</f>
        <v/>
      </c>
      <c r="GC165" t="str">
        <f>""</f>
        <v/>
      </c>
      <c r="GD165" t="str">
        <f>""</f>
        <v/>
      </c>
      <c r="GE165" t="str">
        <f>""</f>
        <v/>
      </c>
      <c r="GF165" t="str">
        <f>""</f>
        <v/>
      </c>
      <c r="GG165" t="str">
        <f>""</f>
        <v/>
      </c>
      <c r="GH165" t="str">
        <f>""</f>
        <v/>
      </c>
      <c r="GI165" t="str">
        <f>""</f>
        <v/>
      </c>
      <c r="GJ165" t="str">
        <f>""</f>
        <v/>
      </c>
      <c r="GK165" t="str">
        <f>""</f>
        <v/>
      </c>
      <c r="GL165" t="str">
        <f>""</f>
        <v/>
      </c>
      <c r="GM165" t="str">
        <f>""</f>
        <v/>
      </c>
      <c r="GN165" t="str">
        <f>""</f>
        <v/>
      </c>
      <c r="GO165" t="str">
        <f>""</f>
        <v/>
      </c>
      <c r="GP165" t="str">
        <f>""</f>
        <v/>
      </c>
      <c r="GQ165" t="str">
        <f>""</f>
        <v/>
      </c>
      <c r="GR165" t="str">
        <f>""</f>
        <v/>
      </c>
      <c r="GS165" t="str">
        <f>""</f>
        <v/>
      </c>
      <c r="GT165" t="str">
        <f>""</f>
        <v/>
      </c>
      <c r="GU165" t="str">
        <f>""</f>
        <v/>
      </c>
      <c r="GV165" t="str">
        <f>""</f>
        <v/>
      </c>
      <c r="GW165" t="str">
        <f>""</f>
        <v/>
      </c>
      <c r="GX165" t="str">
        <f>""</f>
        <v/>
      </c>
      <c r="GY165" t="str">
        <f>""</f>
        <v/>
      </c>
      <c r="GZ165" t="str">
        <f>""</f>
        <v/>
      </c>
      <c r="HA165" t="str">
        <f>""</f>
        <v/>
      </c>
      <c r="HB165" t="str">
        <f>""</f>
        <v/>
      </c>
      <c r="HC165" t="str">
        <f>""</f>
        <v/>
      </c>
      <c r="HD165" t="str">
        <f>""</f>
        <v/>
      </c>
      <c r="HE165" t="str">
        <f>""</f>
        <v/>
      </c>
      <c r="HF165" t="str">
        <f>""</f>
        <v/>
      </c>
      <c r="HG165" t="str">
        <f>""</f>
        <v/>
      </c>
      <c r="HH165" t="str">
        <f>""</f>
        <v/>
      </c>
      <c r="HI165" t="str">
        <f>""</f>
        <v/>
      </c>
      <c r="HJ165" t="str">
        <f>""</f>
        <v/>
      </c>
      <c r="HK165" t="str">
        <f>""</f>
        <v/>
      </c>
      <c r="HL165" t="str">
        <f>""</f>
        <v/>
      </c>
      <c r="HM165" t="str">
        <f>""</f>
        <v/>
      </c>
      <c r="HN165" t="str">
        <f>""</f>
        <v/>
      </c>
      <c r="HO165" t="str">
        <f>""</f>
        <v/>
      </c>
      <c r="HP165" t="str">
        <f>""</f>
        <v/>
      </c>
      <c r="HQ165" t="str">
        <f>""</f>
        <v/>
      </c>
      <c r="HR165" t="str">
        <f>""</f>
        <v/>
      </c>
      <c r="HS165" t="str">
        <f>""</f>
        <v/>
      </c>
      <c r="HT165" t="str">
        <f>""</f>
        <v/>
      </c>
      <c r="HU165" t="str">
        <f>""</f>
        <v/>
      </c>
      <c r="HV165" t="str">
        <f>""</f>
        <v/>
      </c>
      <c r="HW165" t="str">
        <f>""</f>
        <v/>
      </c>
      <c r="HX165" t="str">
        <f>""</f>
        <v/>
      </c>
      <c r="HY165" t="str">
        <f>""</f>
        <v/>
      </c>
      <c r="HZ165" t="str">
        <f>""</f>
        <v/>
      </c>
      <c r="IA165" t="str">
        <f>""</f>
        <v/>
      </c>
      <c r="IB165" t="str">
        <f>""</f>
        <v/>
      </c>
      <c r="IC165" t="str">
        <f>""</f>
        <v/>
      </c>
      <c r="ID165" t="str">
        <f>""</f>
        <v/>
      </c>
      <c r="IE165" t="str">
        <f>""</f>
        <v/>
      </c>
      <c r="IF165" t="str">
        <f>""</f>
        <v/>
      </c>
      <c r="IG165" t="str">
        <f>""</f>
        <v/>
      </c>
      <c r="IH165" t="str">
        <f>""</f>
        <v/>
      </c>
      <c r="II165" t="str">
        <f>""</f>
        <v/>
      </c>
      <c r="IJ165" t="str">
        <f>""</f>
        <v/>
      </c>
      <c r="IK165" t="str">
        <f>""</f>
        <v/>
      </c>
      <c r="IL165" t="str">
        <f>""</f>
        <v/>
      </c>
      <c r="IM165" t="str">
        <f>""</f>
        <v/>
      </c>
      <c r="IN165" t="str">
        <f>""</f>
        <v/>
      </c>
      <c r="IO165" t="str">
        <f>""</f>
        <v/>
      </c>
      <c r="IP165" t="str">
        <f>""</f>
        <v/>
      </c>
      <c r="IQ165" t="str">
        <f>""</f>
        <v/>
      </c>
      <c r="IR165" t="str">
        <f>""</f>
        <v/>
      </c>
      <c r="IS165" t="str">
        <f>""</f>
        <v/>
      </c>
      <c r="IT165" t="str">
        <f>""</f>
        <v/>
      </c>
      <c r="IU165" t="str">
        <f>""</f>
        <v/>
      </c>
      <c r="IV165" t="str">
        <f>""</f>
        <v/>
      </c>
      <c r="IW165" t="str">
        <f>""</f>
        <v/>
      </c>
      <c r="IX165" t="str">
        <f>""</f>
        <v/>
      </c>
      <c r="IY165" t="str">
        <f>""</f>
        <v/>
      </c>
      <c r="IZ165" t="str">
        <f>""</f>
        <v/>
      </c>
      <c r="JA165" t="str">
        <f>""</f>
        <v/>
      </c>
      <c r="JB165" t="str">
        <f>""</f>
        <v/>
      </c>
      <c r="JC165" t="str">
        <f>""</f>
        <v/>
      </c>
      <c r="JD165" t="str">
        <f>""</f>
        <v/>
      </c>
      <c r="JE165" t="str">
        <f>""</f>
        <v/>
      </c>
      <c r="JF165" t="str">
        <f>""</f>
        <v/>
      </c>
      <c r="JG165" t="str">
        <f>""</f>
        <v/>
      </c>
      <c r="JH165" t="str">
        <f>""</f>
        <v/>
      </c>
      <c r="JI165" t="str">
        <f>""</f>
        <v/>
      </c>
      <c r="JJ165" t="str">
        <f>""</f>
        <v/>
      </c>
      <c r="JK165" t="str">
        <f>""</f>
        <v/>
      </c>
    </row>
    <row r="166" spans="1:271" x14ac:dyDescent="0.3">
      <c r="A166" t="str">
        <f>""</f>
        <v/>
      </c>
      <c r="B166" t="str">
        <f>""</f>
        <v/>
      </c>
      <c r="C166" t="str">
        <f>""</f>
        <v/>
      </c>
      <c r="D166" t="str">
        <f>""</f>
        <v/>
      </c>
      <c r="E166" t="str">
        <f>""</f>
        <v/>
      </c>
      <c r="F166" t="str">
        <f>""</f>
        <v/>
      </c>
      <c r="G166" t="str">
        <f>""</f>
        <v/>
      </c>
      <c r="H166" t="str">
        <f>""</f>
        <v/>
      </c>
      <c r="I166" t="str">
        <f>""</f>
        <v/>
      </c>
      <c r="J166" t="str">
        <f>""</f>
        <v/>
      </c>
      <c r="K166" t="str">
        <f>""</f>
        <v/>
      </c>
      <c r="L166" t="str">
        <f>""</f>
        <v/>
      </c>
      <c r="M166" t="str">
        <f>""</f>
        <v/>
      </c>
      <c r="N166" t="str">
        <f>""</f>
        <v/>
      </c>
      <c r="O166" t="str">
        <f>""</f>
        <v/>
      </c>
      <c r="P166" t="str">
        <f>""</f>
        <v/>
      </c>
      <c r="Q166" t="str">
        <f>""</f>
        <v/>
      </c>
      <c r="R166" t="str">
        <f>""</f>
        <v/>
      </c>
      <c r="S166" t="str">
        <f>""</f>
        <v/>
      </c>
      <c r="T166" t="str">
        <f>""</f>
        <v/>
      </c>
      <c r="U166" t="str">
        <f>""</f>
        <v/>
      </c>
      <c r="V166" t="str">
        <f>""</f>
        <v/>
      </c>
      <c r="W166" t="str">
        <f>""</f>
        <v/>
      </c>
      <c r="X166" t="str">
        <f>""</f>
        <v/>
      </c>
      <c r="Y166" t="str">
        <f>""</f>
        <v/>
      </c>
      <c r="Z166" t="str">
        <f>""</f>
        <v/>
      </c>
      <c r="AA166" t="str">
        <f>""</f>
        <v/>
      </c>
      <c r="AB166" t="str">
        <f>""</f>
        <v/>
      </c>
      <c r="AC166" t="str">
        <f>""</f>
        <v/>
      </c>
      <c r="AD166" t="str">
        <f>""</f>
        <v/>
      </c>
      <c r="AE166" t="str">
        <f>""</f>
        <v/>
      </c>
      <c r="AF166" t="str">
        <f>""</f>
        <v/>
      </c>
      <c r="AG166" t="str">
        <f>""</f>
        <v/>
      </c>
      <c r="AH166" t="str">
        <f>""</f>
        <v/>
      </c>
      <c r="AI166" t="str">
        <f>""</f>
        <v/>
      </c>
      <c r="AJ166" t="str">
        <f>""</f>
        <v/>
      </c>
      <c r="AK166" t="str">
        <f>""</f>
        <v/>
      </c>
      <c r="AL166" t="str">
        <f>""</f>
        <v/>
      </c>
      <c r="AM166" t="str">
        <f>""</f>
        <v/>
      </c>
      <c r="AN166" t="str">
        <f>""</f>
        <v/>
      </c>
      <c r="AO166" t="str">
        <f>""</f>
        <v/>
      </c>
      <c r="AP166" t="str">
        <f>""</f>
        <v/>
      </c>
      <c r="AQ166" t="str">
        <f>""</f>
        <v/>
      </c>
      <c r="AR166" t="str">
        <f>""</f>
        <v/>
      </c>
      <c r="AS166" t="str">
        <f>""</f>
        <v/>
      </c>
      <c r="AT166" t="str">
        <f>""</f>
        <v/>
      </c>
      <c r="AU166" t="str">
        <f>""</f>
        <v/>
      </c>
      <c r="AV166" t="str">
        <f>""</f>
        <v/>
      </c>
      <c r="AW166" t="str">
        <f>""</f>
        <v/>
      </c>
      <c r="AX166" t="str">
        <f>""</f>
        <v/>
      </c>
      <c r="AY166" t="str">
        <f>""</f>
        <v/>
      </c>
      <c r="AZ166" t="str">
        <f>""</f>
        <v/>
      </c>
      <c r="BA166" t="str">
        <f>""</f>
        <v/>
      </c>
      <c r="BB166" t="str">
        <f>""</f>
        <v/>
      </c>
      <c r="BC166" t="str">
        <f>""</f>
        <v/>
      </c>
      <c r="BD166" t="str">
        <f>""</f>
        <v/>
      </c>
      <c r="BE166" t="str">
        <f>""</f>
        <v/>
      </c>
      <c r="BF166" t="str">
        <f>""</f>
        <v/>
      </c>
      <c r="BG166" t="str">
        <f>""</f>
        <v/>
      </c>
      <c r="BH166" t="str">
        <f>""</f>
        <v/>
      </c>
      <c r="BI166" t="str">
        <f>""</f>
        <v/>
      </c>
      <c r="BJ166" t="str">
        <f>""</f>
        <v/>
      </c>
      <c r="BK166" t="str">
        <f>""</f>
        <v/>
      </c>
      <c r="BL166" t="str">
        <f>""</f>
        <v/>
      </c>
      <c r="BM166" t="str">
        <f>""</f>
        <v/>
      </c>
      <c r="BN166" t="str">
        <f>""</f>
        <v/>
      </c>
      <c r="BO166" t="str">
        <f>""</f>
        <v/>
      </c>
      <c r="BP166" t="str">
        <f>""</f>
        <v/>
      </c>
      <c r="BQ166" t="str">
        <f>""</f>
        <v/>
      </c>
      <c r="BR166" t="str">
        <f>""</f>
        <v/>
      </c>
      <c r="BS166" t="str">
        <f>""</f>
        <v/>
      </c>
      <c r="BT166" t="str">
        <f>""</f>
        <v/>
      </c>
      <c r="BU166" t="str">
        <f>""</f>
        <v/>
      </c>
      <c r="BV166" t="str">
        <f>""</f>
        <v/>
      </c>
      <c r="BW166" t="str">
        <f>""</f>
        <v/>
      </c>
      <c r="BX166" t="str">
        <f>""</f>
        <v/>
      </c>
      <c r="BY166" t="str">
        <f>""</f>
        <v/>
      </c>
      <c r="BZ166" t="str">
        <f>""</f>
        <v/>
      </c>
      <c r="CA166" t="str">
        <f>""</f>
        <v/>
      </c>
      <c r="CB166" t="str">
        <f>""</f>
        <v/>
      </c>
      <c r="CC166" t="str">
        <f>""</f>
        <v/>
      </c>
      <c r="CD166" t="str">
        <f>""</f>
        <v/>
      </c>
      <c r="CE166" t="str">
        <f>"(0.103)"</f>
        <v>(0.103)</v>
      </c>
      <c r="CF166" t="str">
        <f>"(0.0815)"</f>
        <v>(0.0815)</v>
      </c>
      <c r="CG166" t="str">
        <f>"(0.0436)"</f>
        <v>(0.0436)</v>
      </c>
      <c r="CH166" t="str">
        <f>""</f>
        <v/>
      </c>
      <c r="CI166" t="str">
        <f>""</f>
        <v/>
      </c>
      <c r="CJ166" t="str">
        <f>""</f>
        <v/>
      </c>
      <c r="CK166" t="str">
        <f>""</f>
        <v/>
      </c>
      <c r="CL166" t="str">
        <f>""</f>
        <v/>
      </c>
      <c r="CM166" t="str">
        <f>""</f>
        <v/>
      </c>
      <c r="CN166" t="str">
        <f>""</f>
        <v/>
      </c>
      <c r="CO166" t="str">
        <f>""</f>
        <v/>
      </c>
      <c r="CP166" t="str">
        <f>""</f>
        <v/>
      </c>
      <c r="CQ166" t="str">
        <f>""</f>
        <v/>
      </c>
      <c r="CR166" t="str">
        <f>""</f>
        <v/>
      </c>
      <c r="CS166" t="str">
        <f>""</f>
        <v/>
      </c>
      <c r="CT166" t="str">
        <f>""</f>
        <v/>
      </c>
      <c r="CU166" t="str">
        <f>""</f>
        <v/>
      </c>
      <c r="CV166" t="str">
        <f>""</f>
        <v/>
      </c>
      <c r="CW166" t="str">
        <f>""</f>
        <v/>
      </c>
      <c r="CX166" t="str">
        <f>""</f>
        <v/>
      </c>
      <c r="CY166" t="str">
        <f>""</f>
        <v/>
      </c>
      <c r="CZ166" t="str">
        <f>""</f>
        <v/>
      </c>
      <c r="DA166" t="str">
        <f>""</f>
        <v/>
      </c>
      <c r="DB166" t="str">
        <f>""</f>
        <v/>
      </c>
      <c r="DC166" t="str">
        <f>""</f>
        <v/>
      </c>
      <c r="DD166" t="str">
        <f>""</f>
        <v/>
      </c>
      <c r="DE166" t="str">
        <f>""</f>
        <v/>
      </c>
      <c r="DF166" t="str">
        <f>""</f>
        <v/>
      </c>
      <c r="DG166" t="str">
        <f>""</f>
        <v/>
      </c>
      <c r="DH166" t="str">
        <f>""</f>
        <v/>
      </c>
      <c r="DI166" t="str">
        <f>""</f>
        <v/>
      </c>
      <c r="DJ166" t="str">
        <f>""</f>
        <v/>
      </c>
      <c r="DK166" t="str">
        <f>""</f>
        <v/>
      </c>
      <c r="DL166" t="str">
        <f>""</f>
        <v/>
      </c>
      <c r="DM166" t="str">
        <f>""</f>
        <v/>
      </c>
      <c r="DN166" t="str">
        <f>""</f>
        <v/>
      </c>
      <c r="DO166" t="str">
        <f>""</f>
        <v/>
      </c>
      <c r="DP166" t="str">
        <f>""</f>
        <v/>
      </c>
      <c r="DQ166" t="str">
        <f>""</f>
        <v/>
      </c>
      <c r="DR166" t="str">
        <f>""</f>
        <v/>
      </c>
      <c r="DS166" t="str">
        <f>""</f>
        <v/>
      </c>
      <c r="DT166" t="str">
        <f>""</f>
        <v/>
      </c>
      <c r="DU166" t="str">
        <f>""</f>
        <v/>
      </c>
      <c r="DV166" t="str">
        <f>""</f>
        <v/>
      </c>
      <c r="DW166" t="str">
        <f>""</f>
        <v/>
      </c>
      <c r="DX166" t="str">
        <f>""</f>
        <v/>
      </c>
      <c r="DY166" t="str">
        <f>""</f>
        <v/>
      </c>
      <c r="DZ166" t="str">
        <f>""</f>
        <v/>
      </c>
      <c r="EA166" t="str">
        <f>""</f>
        <v/>
      </c>
      <c r="EB166" t="str">
        <f>""</f>
        <v/>
      </c>
      <c r="EC166" t="str">
        <f>""</f>
        <v/>
      </c>
      <c r="ED166" t="str">
        <f>""</f>
        <v/>
      </c>
      <c r="EE166" t="str">
        <f>""</f>
        <v/>
      </c>
      <c r="EF166" t="str">
        <f>""</f>
        <v/>
      </c>
      <c r="EG166" t="str">
        <f>""</f>
        <v/>
      </c>
      <c r="EH166" t="str">
        <f>""</f>
        <v/>
      </c>
      <c r="EI166" t="str">
        <f>""</f>
        <v/>
      </c>
      <c r="EJ166" t="str">
        <f>""</f>
        <v/>
      </c>
      <c r="EK166" t="str">
        <f>""</f>
        <v/>
      </c>
      <c r="EL166" t="str">
        <f>""</f>
        <v/>
      </c>
      <c r="EM166" t="str">
        <f>""</f>
        <v/>
      </c>
      <c r="EN166" t="str">
        <f>""</f>
        <v/>
      </c>
      <c r="EO166" t="str">
        <f>""</f>
        <v/>
      </c>
      <c r="EP166" t="str">
        <f>""</f>
        <v/>
      </c>
      <c r="EQ166" t="str">
        <f>""</f>
        <v/>
      </c>
      <c r="ER166" t="str">
        <f>""</f>
        <v/>
      </c>
      <c r="ES166" t="str">
        <f>""</f>
        <v/>
      </c>
      <c r="ET166" t="str">
        <f>""</f>
        <v/>
      </c>
      <c r="EU166" t="str">
        <f>""</f>
        <v/>
      </c>
      <c r="EV166" t="str">
        <f>""</f>
        <v/>
      </c>
      <c r="EW166" t="str">
        <f>""</f>
        <v/>
      </c>
      <c r="EX166" t="str">
        <f>""</f>
        <v/>
      </c>
      <c r="EY166" t="str">
        <f>""</f>
        <v/>
      </c>
      <c r="EZ166" t="str">
        <f>""</f>
        <v/>
      </c>
      <c r="FA166" t="str">
        <f>""</f>
        <v/>
      </c>
      <c r="FB166" t="str">
        <f>""</f>
        <v/>
      </c>
      <c r="FC166" t="str">
        <f>""</f>
        <v/>
      </c>
      <c r="FD166" t="str">
        <f>""</f>
        <v/>
      </c>
      <c r="FE166" t="str">
        <f>""</f>
        <v/>
      </c>
      <c r="FF166" t="str">
        <f>""</f>
        <v/>
      </c>
      <c r="FG166" t="str">
        <f>""</f>
        <v/>
      </c>
      <c r="FH166" t="str">
        <f>""</f>
        <v/>
      </c>
      <c r="FI166" t="str">
        <f>""</f>
        <v/>
      </c>
      <c r="FJ166" t="str">
        <f>""</f>
        <v/>
      </c>
      <c r="FK166" t="str">
        <f>""</f>
        <v/>
      </c>
      <c r="FL166" t="str">
        <f>""</f>
        <v/>
      </c>
      <c r="FM166" t="str">
        <f>""</f>
        <v/>
      </c>
      <c r="FN166" t="str">
        <f>""</f>
        <v/>
      </c>
      <c r="FO166" t="str">
        <f>""</f>
        <v/>
      </c>
      <c r="FP166" t="str">
        <f>""</f>
        <v/>
      </c>
      <c r="FQ166" t="str">
        <f>""</f>
        <v/>
      </c>
      <c r="FR166" t="str">
        <f>""</f>
        <v/>
      </c>
      <c r="FS166" t="str">
        <f>""</f>
        <v/>
      </c>
      <c r="FT166" t="str">
        <f>""</f>
        <v/>
      </c>
      <c r="FU166" t="str">
        <f>""</f>
        <v/>
      </c>
      <c r="FV166" t="str">
        <f>""</f>
        <v/>
      </c>
      <c r="FW166" t="str">
        <f>""</f>
        <v/>
      </c>
      <c r="FX166" t="str">
        <f>""</f>
        <v/>
      </c>
      <c r="FY166" t="str">
        <f>""</f>
        <v/>
      </c>
      <c r="FZ166" t="str">
        <f>""</f>
        <v/>
      </c>
      <c r="GA166" t="str">
        <f>""</f>
        <v/>
      </c>
      <c r="GB166" t="str">
        <f>""</f>
        <v/>
      </c>
      <c r="GC166" t="str">
        <f>""</f>
        <v/>
      </c>
      <c r="GD166" t="str">
        <f>""</f>
        <v/>
      </c>
      <c r="GE166" t="str">
        <f>""</f>
        <v/>
      </c>
      <c r="GF166" t="str">
        <f>""</f>
        <v/>
      </c>
      <c r="GG166" t="str">
        <f>""</f>
        <v/>
      </c>
      <c r="GH166" t="str">
        <f>""</f>
        <v/>
      </c>
      <c r="GI166" t="str">
        <f>""</f>
        <v/>
      </c>
      <c r="GJ166" t="str">
        <f>""</f>
        <v/>
      </c>
      <c r="GK166" t="str">
        <f>""</f>
        <v/>
      </c>
      <c r="GL166" t="str">
        <f>""</f>
        <v/>
      </c>
      <c r="GM166" t="str">
        <f>""</f>
        <v/>
      </c>
      <c r="GN166" t="str">
        <f>""</f>
        <v/>
      </c>
      <c r="GO166" t="str">
        <f>""</f>
        <v/>
      </c>
      <c r="GP166" t="str">
        <f>""</f>
        <v/>
      </c>
      <c r="GQ166" t="str">
        <f>""</f>
        <v/>
      </c>
      <c r="GR166" t="str">
        <f>""</f>
        <v/>
      </c>
      <c r="GS166" t="str">
        <f>""</f>
        <v/>
      </c>
      <c r="GT166" t="str">
        <f>""</f>
        <v/>
      </c>
      <c r="GU166" t="str">
        <f>""</f>
        <v/>
      </c>
      <c r="GV166" t="str">
        <f>""</f>
        <v/>
      </c>
      <c r="GW166" t="str">
        <f>""</f>
        <v/>
      </c>
      <c r="GX166" t="str">
        <f>""</f>
        <v/>
      </c>
      <c r="GY166" t="str">
        <f>""</f>
        <v/>
      </c>
      <c r="GZ166" t="str">
        <f>""</f>
        <v/>
      </c>
      <c r="HA166" t="str">
        <f>""</f>
        <v/>
      </c>
      <c r="HB166" t="str">
        <f>""</f>
        <v/>
      </c>
      <c r="HC166" t="str">
        <f>""</f>
        <v/>
      </c>
      <c r="HD166" t="str">
        <f>""</f>
        <v/>
      </c>
      <c r="HE166" t="str">
        <f>""</f>
        <v/>
      </c>
      <c r="HF166" t="str">
        <f>""</f>
        <v/>
      </c>
      <c r="HG166" t="str">
        <f>""</f>
        <v/>
      </c>
      <c r="HH166" t="str">
        <f>""</f>
        <v/>
      </c>
      <c r="HI166" t="str">
        <f>""</f>
        <v/>
      </c>
      <c r="HJ166" t="str">
        <f>""</f>
        <v/>
      </c>
      <c r="HK166" t="str">
        <f>""</f>
        <v/>
      </c>
      <c r="HL166" t="str">
        <f>""</f>
        <v/>
      </c>
      <c r="HM166" t="str">
        <f>""</f>
        <v/>
      </c>
      <c r="HN166" t="str">
        <f>""</f>
        <v/>
      </c>
      <c r="HO166" t="str">
        <f>""</f>
        <v/>
      </c>
      <c r="HP166" t="str">
        <f>""</f>
        <v/>
      </c>
      <c r="HQ166" t="str">
        <f>""</f>
        <v/>
      </c>
      <c r="HR166" t="str">
        <f>""</f>
        <v/>
      </c>
      <c r="HS166" t="str">
        <f>""</f>
        <v/>
      </c>
      <c r="HT166" t="str">
        <f>""</f>
        <v/>
      </c>
      <c r="HU166" t="str">
        <f>""</f>
        <v/>
      </c>
      <c r="HV166" t="str">
        <f>""</f>
        <v/>
      </c>
      <c r="HW166" t="str">
        <f>""</f>
        <v/>
      </c>
      <c r="HX166" t="str">
        <f>""</f>
        <v/>
      </c>
      <c r="HY166" t="str">
        <f>""</f>
        <v/>
      </c>
      <c r="HZ166" t="str">
        <f>""</f>
        <v/>
      </c>
      <c r="IA166" t="str">
        <f>""</f>
        <v/>
      </c>
      <c r="IB166" t="str">
        <f>""</f>
        <v/>
      </c>
      <c r="IC166" t="str">
        <f>""</f>
        <v/>
      </c>
      <c r="ID166" t="str">
        <f>""</f>
        <v/>
      </c>
      <c r="IE166" t="str">
        <f>""</f>
        <v/>
      </c>
      <c r="IF166" t="str">
        <f>""</f>
        <v/>
      </c>
      <c r="IG166" t="str">
        <f>""</f>
        <v/>
      </c>
      <c r="IH166" t="str">
        <f>""</f>
        <v/>
      </c>
      <c r="II166" t="str">
        <f>""</f>
        <v/>
      </c>
      <c r="IJ166" t="str">
        <f>""</f>
        <v/>
      </c>
      <c r="IK166" t="str">
        <f>""</f>
        <v/>
      </c>
      <c r="IL166" t="str">
        <f>""</f>
        <v/>
      </c>
      <c r="IM166" t="str">
        <f>""</f>
        <v/>
      </c>
      <c r="IN166" t="str">
        <f>""</f>
        <v/>
      </c>
      <c r="IO166" t="str">
        <f>""</f>
        <v/>
      </c>
      <c r="IP166" t="str">
        <f>""</f>
        <v/>
      </c>
      <c r="IQ166" t="str">
        <f>""</f>
        <v/>
      </c>
      <c r="IR166" t="str">
        <f>""</f>
        <v/>
      </c>
      <c r="IS166" t="str">
        <f>""</f>
        <v/>
      </c>
      <c r="IT166" t="str">
        <f>""</f>
        <v/>
      </c>
      <c r="IU166" t="str">
        <f>""</f>
        <v/>
      </c>
      <c r="IV166" t="str">
        <f>""</f>
        <v/>
      </c>
      <c r="IW166" t="str">
        <f>""</f>
        <v/>
      </c>
      <c r="IX166" t="str">
        <f>""</f>
        <v/>
      </c>
      <c r="IY166" t="str">
        <f>""</f>
        <v/>
      </c>
      <c r="IZ166" t="str">
        <f>""</f>
        <v/>
      </c>
      <c r="JA166" t="str">
        <f>""</f>
        <v/>
      </c>
      <c r="JB166" t="str">
        <f>""</f>
        <v/>
      </c>
      <c r="JC166" t="str">
        <f>""</f>
        <v/>
      </c>
      <c r="JD166" t="str">
        <f>""</f>
        <v/>
      </c>
      <c r="JE166" t="str">
        <f>""</f>
        <v/>
      </c>
      <c r="JF166" t="str">
        <f>""</f>
        <v/>
      </c>
      <c r="JG166" t="str">
        <f>""</f>
        <v/>
      </c>
      <c r="JH166" t="str">
        <f>""</f>
        <v/>
      </c>
      <c r="JI166" t="str">
        <f>""</f>
        <v/>
      </c>
      <c r="JJ166" t="str">
        <f>""</f>
        <v/>
      </c>
      <c r="JK166" t="str">
        <f>""</f>
        <v/>
      </c>
    </row>
    <row r="168" spans="1:271" x14ac:dyDescent="0.3">
      <c r="A168" t="str">
        <f>"c.zMETAB14#c.PM2"</f>
        <v>c.zMETAB14#c.PM2</v>
      </c>
      <c r="B168" t="str">
        <f>""</f>
        <v/>
      </c>
      <c r="C168" t="str">
        <f>""</f>
        <v/>
      </c>
      <c r="D168" t="str">
        <f>""</f>
        <v/>
      </c>
      <c r="E168" t="str">
        <f>""</f>
        <v/>
      </c>
      <c r="F168" t="str">
        <f>""</f>
        <v/>
      </c>
      <c r="G168" t="str">
        <f>""</f>
        <v/>
      </c>
      <c r="H168" t="str">
        <f>""</f>
        <v/>
      </c>
      <c r="I168" t="str">
        <f>""</f>
        <v/>
      </c>
      <c r="J168" t="str">
        <f>""</f>
        <v/>
      </c>
      <c r="K168" t="str">
        <f>""</f>
        <v/>
      </c>
      <c r="L168" t="str">
        <f>""</f>
        <v/>
      </c>
      <c r="M168" t="str">
        <f>""</f>
        <v/>
      </c>
      <c r="N168" t="str">
        <f>""</f>
        <v/>
      </c>
      <c r="O168" t="str">
        <f>""</f>
        <v/>
      </c>
      <c r="P168" t="str">
        <f>""</f>
        <v/>
      </c>
      <c r="Q168" t="str">
        <f>""</f>
        <v/>
      </c>
      <c r="R168" t="str">
        <f>""</f>
        <v/>
      </c>
      <c r="S168" t="str">
        <f>""</f>
        <v/>
      </c>
      <c r="T168" t="str">
        <f>""</f>
        <v/>
      </c>
      <c r="U168" t="str">
        <f>""</f>
        <v/>
      </c>
      <c r="V168" t="str">
        <f>""</f>
        <v/>
      </c>
      <c r="W168" t="str">
        <f>""</f>
        <v/>
      </c>
      <c r="X168" t="str">
        <f>""</f>
        <v/>
      </c>
      <c r="Y168" t="str">
        <f>""</f>
        <v/>
      </c>
      <c r="Z168" t="str">
        <f>""</f>
        <v/>
      </c>
      <c r="AA168" t="str">
        <f>""</f>
        <v/>
      </c>
      <c r="AB168" t="str">
        <f>""</f>
        <v/>
      </c>
      <c r="AC168" t="str">
        <f>""</f>
        <v/>
      </c>
      <c r="AD168" t="str">
        <f>""</f>
        <v/>
      </c>
      <c r="AE168" t="str">
        <f>""</f>
        <v/>
      </c>
      <c r="AF168" t="str">
        <f>""</f>
        <v/>
      </c>
      <c r="AG168" t="str">
        <f>""</f>
        <v/>
      </c>
      <c r="AH168" t="str">
        <f>""</f>
        <v/>
      </c>
      <c r="AI168" t="str">
        <f>""</f>
        <v/>
      </c>
      <c r="AJ168" t="str">
        <f>""</f>
        <v/>
      </c>
      <c r="AK168" t="str">
        <f>""</f>
        <v/>
      </c>
      <c r="AL168" t="str">
        <f>""</f>
        <v/>
      </c>
      <c r="AM168" t="str">
        <f>""</f>
        <v/>
      </c>
      <c r="AN168" t="str">
        <f>""</f>
        <v/>
      </c>
      <c r="AO168" t="str">
        <f>""</f>
        <v/>
      </c>
      <c r="AP168" t="str">
        <f>""</f>
        <v/>
      </c>
      <c r="AQ168" t="str">
        <f>""</f>
        <v/>
      </c>
      <c r="AR168" t="str">
        <f>""</f>
        <v/>
      </c>
      <c r="AS168" t="str">
        <f>""</f>
        <v/>
      </c>
      <c r="AT168" t="str">
        <f>""</f>
        <v/>
      </c>
      <c r="AU168" t="str">
        <f>""</f>
        <v/>
      </c>
      <c r="AV168" t="str">
        <f>""</f>
        <v/>
      </c>
      <c r="AW168" t="str">
        <f>""</f>
        <v/>
      </c>
      <c r="AX168" t="str">
        <f>""</f>
        <v/>
      </c>
      <c r="AY168" t="str">
        <f>""</f>
        <v/>
      </c>
      <c r="AZ168" t="str">
        <f>""</f>
        <v/>
      </c>
      <c r="BA168" t="str">
        <f>""</f>
        <v/>
      </c>
      <c r="BB168" t="str">
        <f>""</f>
        <v/>
      </c>
      <c r="BC168" t="str">
        <f>""</f>
        <v/>
      </c>
      <c r="BD168" t="str">
        <f>""</f>
        <v/>
      </c>
      <c r="BE168" t="str">
        <f>""</f>
        <v/>
      </c>
      <c r="BF168" t="str">
        <f>""</f>
        <v/>
      </c>
      <c r="BG168" t="str">
        <f>""</f>
        <v/>
      </c>
      <c r="BH168" t="str">
        <f>""</f>
        <v/>
      </c>
      <c r="BI168" t="str">
        <f>""</f>
        <v/>
      </c>
      <c r="BJ168" t="str">
        <f>""</f>
        <v/>
      </c>
      <c r="BK168" t="str">
        <f>""</f>
        <v/>
      </c>
      <c r="BL168" t="str">
        <f>""</f>
        <v/>
      </c>
      <c r="BM168" t="str">
        <f>""</f>
        <v/>
      </c>
      <c r="BN168" t="str">
        <f>""</f>
        <v/>
      </c>
      <c r="BO168" t="str">
        <f>""</f>
        <v/>
      </c>
      <c r="BP168" t="str">
        <f>""</f>
        <v/>
      </c>
      <c r="BQ168" t="str">
        <f>""</f>
        <v/>
      </c>
      <c r="BR168" t="str">
        <f>""</f>
        <v/>
      </c>
      <c r="BS168" t="str">
        <f>""</f>
        <v/>
      </c>
      <c r="BT168" t="str">
        <f>""</f>
        <v/>
      </c>
      <c r="BU168" t="str">
        <f>""</f>
        <v/>
      </c>
      <c r="BV168" t="str">
        <f>""</f>
        <v/>
      </c>
      <c r="BW168" t="str">
        <f>""</f>
        <v/>
      </c>
      <c r="BX168" t="str">
        <f>""</f>
        <v/>
      </c>
      <c r="BY168" t="str">
        <f>""</f>
        <v/>
      </c>
      <c r="BZ168" t="str">
        <f>""</f>
        <v/>
      </c>
      <c r="CA168" t="str">
        <f>""</f>
        <v/>
      </c>
      <c r="CB168" t="str">
        <f>""</f>
        <v/>
      </c>
      <c r="CC168" t="str">
        <f>""</f>
        <v/>
      </c>
      <c r="CD168" t="str">
        <f>""</f>
        <v/>
      </c>
      <c r="CE168" t="str">
        <f>""</f>
        <v/>
      </c>
      <c r="CF168" t="str">
        <f>""</f>
        <v/>
      </c>
      <c r="CG168" t="str">
        <f>""</f>
        <v/>
      </c>
      <c r="CH168" t="str">
        <f>"-0.0659"</f>
        <v>-0.0659</v>
      </c>
      <c r="CI168" t="str">
        <f>"0.0269"</f>
        <v>0.0269</v>
      </c>
      <c r="CJ168" t="str">
        <f>"0.0306"</f>
        <v>0.0306</v>
      </c>
      <c r="CK168" t="str">
        <f>""</f>
        <v/>
      </c>
      <c r="CL168" t="str">
        <f>""</f>
        <v/>
      </c>
      <c r="CM168" t="str">
        <f>""</f>
        <v/>
      </c>
      <c r="CN168" t="str">
        <f>""</f>
        <v/>
      </c>
      <c r="CO168" t="str">
        <f>""</f>
        <v/>
      </c>
      <c r="CP168" t="str">
        <f>""</f>
        <v/>
      </c>
      <c r="CQ168" t="str">
        <f>""</f>
        <v/>
      </c>
      <c r="CR168" t="str">
        <f>""</f>
        <v/>
      </c>
      <c r="CS168" t="str">
        <f>""</f>
        <v/>
      </c>
      <c r="CT168" t="str">
        <f>""</f>
        <v/>
      </c>
      <c r="CU168" t="str">
        <f>""</f>
        <v/>
      </c>
      <c r="CV168" t="str">
        <f>""</f>
        <v/>
      </c>
      <c r="CW168" t="str">
        <f>""</f>
        <v/>
      </c>
      <c r="CX168" t="str">
        <f>""</f>
        <v/>
      </c>
      <c r="CY168" t="str">
        <f>""</f>
        <v/>
      </c>
      <c r="CZ168" t="str">
        <f>""</f>
        <v/>
      </c>
      <c r="DA168" t="str">
        <f>""</f>
        <v/>
      </c>
      <c r="DB168" t="str">
        <f>""</f>
        <v/>
      </c>
      <c r="DC168" t="str">
        <f>""</f>
        <v/>
      </c>
      <c r="DD168" t="str">
        <f>""</f>
        <v/>
      </c>
      <c r="DE168" t="str">
        <f>""</f>
        <v/>
      </c>
      <c r="DF168" t="str">
        <f>""</f>
        <v/>
      </c>
      <c r="DG168" t="str">
        <f>""</f>
        <v/>
      </c>
      <c r="DH168" t="str">
        <f>""</f>
        <v/>
      </c>
      <c r="DI168" t="str">
        <f>""</f>
        <v/>
      </c>
      <c r="DJ168" t="str">
        <f>""</f>
        <v/>
      </c>
      <c r="DK168" t="str">
        <f>""</f>
        <v/>
      </c>
      <c r="DL168" t="str">
        <f>""</f>
        <v/>
      </c>
      <c r="DM168" t="str">
        <f>""</f>
        <v/>
      </c>
      <c r="DN168" t="str">
        <f>""</f>
        <v/>
      </c>
      <c r="DO168" t="str">
        <f>""</f>
        <v/>
      </c>
      <c r="DP168" t="str">
        <f>""</f>
        <v/>
      </c>
      <c r="DQ168" t="str">
        <f>""</f>
        <v/>
      </c>
      <c r="DR168" t="str">
        <f>""</f>
        <v/>
      </c>
      <c r="DS168" t="str">
        <f>""</f>
        <v/>
      </c>
      <c r="DT168" t="str">
        <f>""</f>
        <v/>
      </c>
      <c r="DU168" t="str">
        <f>""</f>
        <v/>
      </c>
      <c r="DV168" t="str">
        <f>""</f>
        <v/>
      </c>
      <c r="DW168" t="str">
        <f>""</f>
        <v/>
      </c>
      <c r="DX168" t="str">
        <f>""</f>
        <v/>
      </c>
      <c r="DY168" t="str">
        <f>""</f>
        <v/>
      </c>
      <c r="DZ168" t="str">
        <f>""</f>
        <v/>
      </c>
      <c r="EA168" t="str">
        <f>""</f>
        <v/>
      </c>
      <c r="EB168" t="str">
        <f>""</f>
        <v/>
      </c>
      <c r="EC168" t="str">
        <f>""</f>
        <v/>
      </c>
      <c r="ED168" t="str">
        <f>""</f>
        <v/>
      </c>
      <c r="EE168" t="str">
        <f>""</f>
        <v/>
      </c>
      <c r="EF168" t="str">
        <f>""</f>
        <v/>
      </c>
      <c r="EG168" t="str">
        <f>""</f>
        <v/>
      </c>
      <c r="EH168" t="str">
        <f>""</f>
        <v/>
      </c>
      <c r="EI168" t="str">
        <f>""</f>
        <v/>
      </c>
      <c r="EJ168" t="str">
        <f>""</f>
        <v/>
      </c>
      <c r="EK168" t="str">
        <f>""</f>
        <v/>
      </c>
      <c r="EL168" t="str">
        <f>""</f>
        <v/>
      </c>
      <c r="EM168" t="str">
        <f>""</f>
        <v/>
      </c>
      <c r="EN168" t="str">
        <f>""</f>
        <v/>
      </c>
      <c r="EO168" t="str">
        <f>""</f>
        <v/>
      </c>
      <c r="EP168" t="str">
        <f>""</f>
        <v/>
      </c>
      <c r="EQ168" t="str">
        <f>""</f>
        <v/>
      </c>
      <c r="ER168" t="str">
        <f>""</f>
        <v/>
      </c>
      <c r="ES168" t="str">
        <f>""</f>
        <v/>
      </c>
      <c r="ET168" t="str">
        <f>""</f>
        <v/>
      </c>
      <c r="EU168" t="str">
        <f>""</f>
        <v/>
      </c>
      <c r="EV168" t="str">
        <f>""</f>
        <v/>
      </c>
      <c r="EW168" t="str">
        <f>""</f>
        <v/>
      </c>
      <c r="EX168" t="str">
        <f>""</f>
        <v/>
      </c>
      <c r="EY168" t="str">
        <f>""</f>
        <v/>
      </c>
      <c r="EZ168" t="str">
        <f>""</f>
        <v/>
      </c>
      <c r="FA168" t="str">
        <f>""</f>
        <v/>
      </c>
      <c r="FB168" t="str">
        <f>""</f>
        <v/>
      </c>
      <c r="FC168" t="str">
        <f>""</f>
        <v/>
      </c>
      <c r="FD168" t="str">
        <f>""</f>
        <v/>
      </c>
      <c r="FE168" t="str">
        <f>""</f>
        <v/>
      </c>
      <c r="FF168" t="str">
        <f>""</f>
        <v/>
      </c>
      <c r="FG168" t="str">
        <f>""</f>
        <v/>
      </c>
      <c r="FH168" t="str">
        <f>""</f>
        <v/>
      </c>
      <c r="FI168" t="str">
        <f>""</f>
        <v/>
      </c>
      <c r="FJ168" t="str">
        <f>""</f>
        <v/>
      </c>
      <c r="FK168" t="str">
        <f>""</f>
        <v/>
      </c>
      <c r="FL168" t="str">
        <f>""</f>
        <v/>
      </c>
      <c r="FM168" t="str">
        <f>""</f>
        <v/>
      </c>
      <c r="FN168" t="str">
        <f>""</f>
        <v/>
      </c>
      <c r="FO168" t="str">
        <f>""</f>
        <v/>
      </c>
      <c r="FP168" t="str">
        <f>""</f>
        <v/>
      </c>
      <c r="FQ168" t="str">
        <f>""</f>
        <v/>
      </c>
      <c r="FR168" t="str">
        <f>""</f>
        <v/>
      </c>
      <c r="FS168" t="str">
        <f>""</f>
        <v/>
      </c>
      <c r="FT168" t="str">
        <f>""</f>
        <v/>
      </c>
      <c r="FU168" t="str">
        <f>""</f>
        <v/>
      </c>
      <c r="FV168" t="str">
        <f>""</f>
        <v/>
      </c>
      <c r="FW168" t="str">
        <f>""</f>
        <v/>
      </c>
      <c r="FX168" t="str">
        <f>""</f>
        <v/>
      </c>
      <c r="FY168" t="str">
        <f>""</f>
        <v/>
      </c>
      <c r="FZ168" t="str">
        <f>""</f>
        <v/>
      </c>
      <c r="GA168" t="str">
        <f>""</f>
        <v/>
      </c>
      <c r="GB168" t="str">
        <f>""</f>
        <v/>
      </c>
      <c r="GC168" t="str">
        <f>""</f>
        <v/>
      </c>
      <c r="GD168" t="str">
        <f>""</f>
        <v/>
      </c>
      <c r="GE168" t="str">
        <f>""</f>
        <v/>
      </c>
      <c r="GF168" t="str">
        <f>""</f>
        <v/>
      </c>
      <c r="GG168" t="str">
        <f>""</f>
        <v/>
      </c>
      <c r="GH168" t="str">
        <f>""</f>
        <v/>
      </c>
      <c r="GI168" t="str">
        <f>""</f>
        <v/>
      </c>
      <c r="GJ168" t="str">
        <f>""</f>
        <v/>
      </c>
      <c r="GK168" t="str">
        <f>""</f>
        <v/>
      </c>
      <c r="GL168" t="str">
        <f>""</f>
        <v/>
      </c>
      <c r="GM168" t="str">
        <f>""</f>
        <v/>
      </c>
      <c r="GN168" t="str">
        <f>""</f>
        <v/>
      </c>
      <c r="GO168" t="str">
        <f>""</f>
        <v/>
      </c>
      <c r="GP168" t="str">
        <f>""</f>
        <v/>
      </c>
      <c r="GQ168" t="str">
        <f>""</f>
        <v/>
      </c>
      <c r="GR168" t="str">
        <f>""</f>
        <v/>
      </c>
      <c r="GS168" t="str">
        <f>""</f>
        <v/>
      </c>
      <c r="GT168" t="str">
        <f>""</f>
        <v/>
      </c>
      <c r="GU168" t="str">
        <f>""</f>
        <v/>
      </c>
      <c r="GV168" t="str">
        <f>""</f>
        <v/>
      </c>
      <c r="GW168" t="str">
        <f>""</f>
        <v/>
      </c>
      <c r="GX168" t="str">
        <f>""</f>
        <v/>
      </c>
      <c r="GY168" t="str">
        <f>""</f>
        <v/>
      </c>
      <c r="GZ168" t="str">
        <f>""</f>
        <v/>
      </c>
      <c r="HA168" t="str">
        <f>""</f>
        <v/>
      </c>
      <c r="HB168" t="str">
        <f>""</f>
        <v/>
      </c>
      <c r="HC168" t="str">
        <f>""</f>
        <v/>
      </c>
      <c r="HD168" t="str">
        <f>""</f>
        <v/>
      </c>
      <c r="HE168" t="str">
        <f>""</f>
        <v/>
      </c>
      <c r="HF168" t="str">
        <f>""</f>
        <v/>
      </c>
      <c r="HG168" t="str">
        <f>""</f>
        <v/>
      </c>
      <c r="HH168" t="str">
        <f>""</f>
        <v/>
      </c>
      <c r="HI168" t="str">
        <f>""</f>
        <v/>
      </c>
      <c r="HJ168" t="str">
        <f>""</f>
        <v/>
      </c>
      <c r="HK168" t="str">
        <f>""</f>
        <v/>
      </c>
      <c r="HL168" t="str">
        <f>""</f>
        <v/>
      </c>
      <c r="HM168" t="str">
        <f>""</f>
        <v/>
      </c>
      <c r="HN168" t="str">
        <f>""</f>
        <v/>
      </c>
      <c r="HO168" t="str">
        <f>""</f>
        <v/>
      </c>
      <c r="HP168" t="str">
        <f>""</f>
        <v/>
      </c>
      <c r="HQ168" t="str">
        <f>""</f>
        <v/>
      </c>
      <c r="HR168" t="str">
        <f>""</f>
        <v/>
      </c>
      <c r="HS168" t="str">
        <f>""</f>
        <v/>
      </c>
      <c r="HT168" t="str">
        <f>""</f>
        <v/>
      </c>
      <c r="HU168" t="str">
        <f>""</f>
        <v/>
      </c>
      <c r="HV168" t="str">
        <f>""</f>
        <v/>
      </c>
      <c r="HW168" t="str">
        <f>""</f>
        <v/>
      </c>
      <c r="HX168" t="str">
        <f>""</f>
        <v/>
      </c>
      <c r="HY168" t="str">
        <f>""</f>
        <v/>
      </c>
      <c r="HZ168" t="str">
        <f>""</f>
        <v/>
      </c>
      <c r="IA168" t="str">
        <f>""</f>
        <v/>
      </c>
      <c r="IB168" t="str">
        <f>""</f>
        <v/>
      </c>
      <c r="IC168" t="str">
        <f>""</f>
        <v/>
      </c>
      <c r="ID168" t="str">
        <f>""</f>
        <v/>
      </c>
      <c r="IE168" t="str">
        <f>""</f>
        <v/>
      </c>
      <c r="IF168" t="str">
        <f>""</f>
        <v/>
      </c>
      <c r="IG168" t="str">
        <f>""</f>
        <v/>
      </c>
      <c r="IH168" t="str">
        <f>""</f>
        <v/>
      </c>
      <c r="II168" t="str">
        <f>""</f>
        <v/>
      </c>
      <c r="IJ168" t="str">
        <f>""</f>
        <v/>
      </c>
      <c r="IK168" t="str">
        <f>""</f>
        <v/>
      </c>
      <c r="IL168" t="str">
        <f>""</f>
        <v/>
      </c>
      <c r="IM168" t="str">
        <f>""</f>
        <v/>
      </c>
      <c r="IN168" t="str">
        <f>""</f>
        <v/>
      </c>
      <c r="IO168" t="str">
        <f>""</f>
        <v/>
      </c>
      <c r="IP168" t="str">
        <f>""</f>
        <v/>
      </c>
      <c r="IQ168" t="str">
        <f>""</f>
        <v/>
      </c>
      <c r="IR168" t="str">
        <f>""</f>
        <v/>
      </c>
      <c r="IS168" t="str">
        <f>""</f>
        <v/>
      </c>
      <c r="IT168" t="str">
        <f>""</f>
        <v/>
      </c>
      <c r="IU168" t="str">
        <f>""</f>
        <v/>
      </c>
      <c r="IV168" t="str">
        <f>""</f>
        <v/>
      </c>
      <c r="IW168" t="str">
        <f>""</f>
        <v/>
      </c>
      <c r="IX168" t="str">
        <f>""</f>
        <v/>
      </c>
      <c r="IY168" t="str">
        <f>""</f>
        <v/>
      </c>
      <c r="IZ168" t="str">
        <f>""</f>
        <v/>
      </c>
      <c r="JA168" t="str">
        <f>""</f>
        <v/>
      </c>
      <c r="JB168" t="str">
        <f>""</f>
        <v/>
      </c>
      <c r="JC168" t="str">
        <f>""</f>
        <v/>
      </c>
      <c r="JD168" t="str">
        <f>""</f>
        <v/>
      </c>
      <c r="JE168" t="str">
        <f>""</f>
        <v/>
      </c>
      <c r="JF168" t="str">
        <f>""</f>
        <v/>
      </c>
      <c r="JG168" t="str">
        <f>""</f>
        <v/>
      </c>
      <c r="JH168" t="str">
        <f>""</f>
        <v/>
      </c>
      <c r="JI168" t="str">
        <f>""</f>
        <v/>
      </c>
      <c r="JJ168" t="str">
        <f>""</f>
        <v/>
      </c>
      <c r="JK168" t="str">
        <f>""</f>
        <v/>
      </c>
    </row>
    <row r="169" spans="1:271" x14ac:dyDescent="0.3">
      <c r="A169" t="str">
        <f>""</f>
        <v/>
      </c>
      <c r="B169" t="str">
        <f>""</f>
        <v/>
      </c>
      <c r="C169" t="str">
        <f>""</f>
        <v/>
      </c>
      <c r="D169" t="str">
        <f>""</f>
        <v/>
      </c>
      <c r="E169" t="str">
        <f>""</f>
        <v/>
      </c>
      <c r="F169" t="str">
        <f>""</f>
        <v/>
      </c>
      <c r="G169" t="str">
        <f>""</f>
        <v/>
      </c>
      <c r="H169" t="str">
        <f>""</f>
        <v/>
      </c>
      <c r="I169" t="str">
        <f>""</f>
        <v/>
      </c>
      <c r="J169" t="str">
        <f>""</f>
        <v/>
      </c>
      <c r="K169" t="str">
        <f>""</f>
        <v/>
      </c>
      <c r="L169" t="str">
        <f>""</f>
        <v/>
      </c>
      <c r="M169" t="str">
        <f>""</f>
        <v/>
      </c>
      <c r="N169" t="str">
        <f>""</f>
        <v/>
      </c>
      <c r="O169" t="str">
        <f>""</f>
        <v/>
      </c>
      <c r="P169" t="str">
        <f>""</f>
        <v/>
      </c>
      <c r="Q169" t="str">
        <f>""</f>
        <v/>
      </c>
      <c r="R169" t="str">
        <f>""</f>
        <v/>
      </c>
      <c r="S169" t="str">
        <f>""</f>
        <v/>
      </c>
      <c r="T169" t="str">
        <f>""</f>
        <v/>
      </c>
      <c r="U169" t="str">
        <f>""</f>
        <v/>
      </c>
      <c r="V169" t="str">
        <f>""</f>
        <v/>
      </c>
      <c r="W169" t="str">
        <f>""</f>
        <v/>
      </c>
      <c r="X169" t="str">
        <f>""</f>
        <v/>
      </c>
      <c r="Y169" t="str">
        <f>""</f>
        <v/>
      </c>
      <c r="Z169" t="str">
        <f>""</f>
        <v/>
      </c>
      <c r="AA169" t="str">
        <f>""</f>
        <v/>
      </c>
      <c r="AB169" t="str">
        <f>""</f>
        <v/>
      </c>
      <c r="AC169" t="str">
        <f>""</f>
        <v/>
      </c>
      <c r="AD169" t="str">
        <f>""</f>
        <v/>
      </c>
      <c r="AE169" t="str">
        <f>""</f>
        <v/>
      </c>
      <c r="AF169" t="str">
        <f>""</f>
        <v/>
      </c>
      <c r="AG169" t="str">
        <f>""</f>
        <v/>
      </c>
      <c r="AH169" t="str">
        <f>""</f>
        <v/>
      </c>
      <c r="AI169" t="str">
        <f>""</f>
        <v/>
      </c>
      <c r="AJ169" t="str">
        <f>""</f>
        <v/>
      </c>
      <c r="AK169" t="str">
        <f>""</f>
        <v/>
      </c>
      <c r="AL169" t="str">
        <f>""</f>
        <v/>
      </c>
      <c r="AM169" t="str">
        <f>""</f>
        <v/>
      </c>
      <c r="AN169" t="str">
        <f>""</f>
        <v/>
      </c>
      <c r="AO169" t="str">
        <f>""</f>
        <v/>
      </c>
      <c r="AP169" t="str">
        <f>""</f>
        <v/>
      </c>
      <c r="AQ169" t="str">
        <f>""</f>
        <v/>
      </c>
      <c r="AR169" t="str">
        <f>""</f>
        <v/>
      </c>
      <c r="AS169" t="str">
        <f>""</f>
        <v/>
      </c>
      <c r="AT169" t="str">
        <f>""</f>
        <v/>
      </c>
      <c r="AU169" t="str">
        <f>""</f>
        <v/>
      </c>
      <c r="AV169" t="str">
        <f>""</f>
        <v/>
      </c>
      <c r="AW169" t="str">
        <f>""</f>
        <v/>
      </c>
      <c r="AX169" t="str">
        <f>""</f>
        <v/>
      </c>
      <c r="AY169" t="str">
        <f>""</f>
        <v/>
      </c>
      <c r="AZ169" t="str">
        <f>""</f>
        <v/>
      </c>
      <c r="BA169" t="str">
        <f>""</f>
        <v/>
      </c>
      <c r="BB169" t="str">
        <f>""</f>
        <v/>
      </c>
      <c r="BC169" t="str">
        <f>""</f>
        <v/>
      </c>
      <c r="BD169" t="str">
        <f>""</f>
        <v/>
      </c>
      <c r="BE169" t="str">
        <f>""</f>
        <v/>
      </c>
      <c r="BF169" t="str">
        <f>""</f>
        <v/>
      </c>
      <c r="BG169" t="str">
        <f>""</f>
        <v/>
      </c>
      <c r="BH169" t="str">
        <f>""</f>
        <v/>
      </c>
      <c r="BI169" t="str">
        <f>""</f>
        <v/>
      </c>
      <c r="BJ169" t="str">
        <f>""</f>
        <v/>
      </c>
      <c r="BK169" t="str">
        <f>""</f>
        <v/>
      </c>
      <c r="BL169" t="str">
        <f>""</f>
        <v/>
      </c>
      <c r="BM169" t="str">
        <f>""</f>
        <v/>
      </c>
      <c r="BN169" t="str">
        <f>""</f>
        <v/>
      </c>
      <c r="BO169" t="str">
        <f>""</f>
        <v/>
      </c>
      <c r="BP169" t="str">
        <f>""</f>
        <v/>
      </c>
      <c r="BQ169" t="str">
        <f>""</f>
        <v/>
      </c>
      <c r="BR169" t="str">
        <f>""</f>
        <v/>
      </c>
      <c r="BS169" t="str">
        <f>""</f>
        <v/>
      </c>
      <c r="BT169" t="str">
        <f>""</f>
        <v/>
      </c>
      <c r="BU169" t="str">
        <f>""</f>
        <v/>
      </c>
      <c r="BV169" t="str">
        <f>""</f>
        <v/>
      </c>
      <c r="BW169" t="str">
        <f>""</f>
        <v/>
      </c>
      <c r="BX169" t="str">
        <f>""</f>
        <v/>
      </c>
      <c r="BY169" t="str">
        <f>""</f>
        <v/>
      </c>
      <c r="BZ169" t="str">
        <f>""</f>
        <v/>
      </c>
      <c r="CA169" t="str">
        <f>""</f>
        <v/>
      </c>
      <c r="CB169" t="str">
        <f>""</f>
        <v/>
      </c>
      <c r="CC169" t="str">
        <f>""</f>
        <v/>
      </c>
      <c r="CD169" t="str">
        <f>""</f>
        <v/>
      </c>
      <c r="CE169" t="str">
        <f>""</f>
        <v/>
      </c>
      <c r="CF169" t="str">
        <f>""</f>
        <v/>
      </c>
      <c r="CG169" t="str">
        <f>""</f>
        <v/>
      </c>
      <c r="CH169" t="str">
        <f>"(0.105)"</f>
        <v>(0.105)</v>
      </c>
      <c r="CI169" t="str">
        <f>"(0.0829)"</f>
        <v>(0.0829)</v>
      </c>
      <c r="CJ169" t="str">
        <f>"(0.0440)"</f>
        <v>(0.0440)</v>
      </c>
      <c r="CK169" t="str">
        <f>""</f>
        <v/>
      </c>
      <c r="CL169" t="str">
        <f>""</f>
        <v/>
      </c>
      <c r="CM169" t="str">
        <f>""</f>
        <v/>
      </c>
      <c r="CN169" t="str">
        <f>""</f>
        <v/>
      </c>
      <c r="CO169" t="str">
        <f>""</f>
        <v/>
      </c>
      <c r="CP169" t="str">
        <f>""</f>
        <v/>
      </c>
      <c r="CQ169" t="str">
        <f>""</f>
        <v/>
      </c>
      <c r="CR169" t="str">
        <f>""</f>
        <v/>
      </c>
      <c r="CS169" t="str">
        <f>""</f>
        <v/>
      </c>
      <c r="CT169" t="str">
        <f>""</f>
        <v/>
      </c>
      <c r="CU169" t="str">
        <f>""</f>
        <v/>
      </c>
      <c r="CV169" t="str">
        <f>""</f>
        <v/>
      </c>
      <c r="CW169" t="str">
        <f>""</f>
        <v/>
      </c>
      <c r="CX169" t="str">
        <f>""</f>
        <v/>
      </c>
      <c r="CY169" t="str">
        <f>""</f>
        <v/>
      </c>
      <c r="CZ169" t="str">
        <f>""</f>
        <v/>
      </c>
      <c r="DA169" t="str">
        <f>""</f>
        <v/>
      </c>
      <c r="DB169" t="str">
        <f>""</f>
        <v/>
      </c>
      <c r="DC169" t="str">
        <f>""</f>
        <v/>
      </c>
      <c r="DD169" t="str">
        <f>""</f>
        <v/>
      </c>
      <c r="DE169" t="str">
        <f>""</f>
        <v/>
      </c>
      <c r="DF169" t="str">
        <f>""</f>
        <v/>
      </c>
      <c r="DG169" t="str">
        <f>""</f>
        <v/>
      </c>
      <c r="DH169" t="str">
        <f>""</f>
        <v/>
      </c>
      <c r="DI169" t="str">
        <f>""</f>
        <v/>
      </c>
      <c r="DJ169" t="str">
        <f>""</f>
        <v/>
      </c>
      <c r="DK169" t="str">
        <f>""</f>
        <v/>
      </c>
      <c r="DL169" t="str">
        <f>""</f>
        <v/>
      </c>
      <c r="DM169" t="str">
        <f>""</f>
        <v/>
      </c>
      <c r="DN169" t="str">
        <f>""</f>
        <v/>
      </c>
      <c r="DO169" t="str">
        <f>""</f>
        <v/>
      </c>
      <c r="DP169" t="str">
        <f>""</f>
        <v/>
      </c>
      <c r="DQ169" t="str">
        <f>""</f>
        <v/>
      </c>
      <c r="DR169" t="str">
        <f>""</f>
        <v/>
      </c>
      <c r="DS169" t="str">
        <f>""</f>
        <v/>
      </c>
      <c r="DT169" t="str">
        <f>""</f>
        <v/>
      </c>
      <c r="DU169" t="str">
        <f>""</f>
        <v/>
      </c>
      <c r="DV169" t="str">
        <f>""</f>
        <v/>
      </c>
      <c r="DW169" t="str">
        <f>""</f>
        <v/>
      </c>
      <c r="DX169" t="str">
        <f>""</f>
        <v/>
      </c>
      <c r="DY169" t="str">
        <f>""</f>
        <v/>
      </c>
      <c r="DZ169" t="str">
        <f>""</f>
        <v/>
      </c>
      <c r="EA169" t="str">
        <f>""</f>
        <v/>
      </c>
      <c r="EB169" t="str">
        <f>""</f>
        <v/>
      </c>
      <c r="EC169" t="str">
        <f>""</f>
        <v/>
      </c>
      <c r="ED169" t="str">
        <f>""</f>
        <v/>
      </c>
      <c r="EE169" t="str">
        <f>""</f>
        <v/>
      </c>
      <c r="EF169" t="str">
        <f>""</f>
        <v/>
      </c>
      <c r="EG169" t="str">
        <f>""</f>
        <v/>
      </c>
      <c r="EH169" t="str">
        <f>""</f>
        <v/>
      </c>
      <c r="EI169" t="str">
        <f>""</f>
        <v/>
      </c>
      <c r="EJ169" t="str">
        <f>""</f>
        <v/>
      </c>
      <c r="EK169" t="str">
        <f>""</f>
        <v/>
      </c>
      <c r="EL169" t="str">
        <f>""</f>
        <v/>
      </c>
      <c r="EM169" t="str">
        <f>""</f>
        <v/>
      </c>
      <c r="EN169" t="str">
        <f>""</f>
        <v/>
      </c>
      <c r="EO169" t="str">
        <f>""</f>
        <v/>
      </c>
      <c r="EP169" t="str">
        <f>""</f>
        <v/>
      </c>
      <c r="EQ169" t="str">
        <f>""</f>
        <v/>
      </c>
      <c r="ER169" t="str">
        <f>""</f>
        <v/>
      </c>
      <c r="ES169" t="str">
        <f>""</f>
        <v/>
      </c>
      <c r="ET169" t="str">
        <f>""</f>
        <v/>
      </c>
      <c r="EU169" t="str">
        <f>""</f>
        <v/>
      </c>
      <c r="EV169" t="str">
        <f>""</f>
        <v/>
      </c>
      <c r="EW169" t="str">
        <f>""</f>
        <v/>
      </c>
      <c r="EX169" t="str">
        <f>""</f>
        <v/>
      </c>
      <c r="EY169" t="str">
        <f>""</f>
        <v/>
      </c>
      <c r="EZ169" t="str">
        <f>""</f>
        <v/>
      </c>
      <c r="FA169" t="str">
        <f>""</f>
        <v/>
      </c>
      <c r="FB169" t="str">
        <f>""</f>
        <v/>
      </c>
      <c r="FC169" t="str">
        <f>""</f>
        <v/>
      </c>
      <c r="FD169" t="str">
        <f>""</f>
        <v/>
      </c>
      <c r="FE169" t="str">
        <f>""</f>
        <v/>
      </c>
      <c r="FF169" t="str">
        <f>""</f>
        <v/>
      </c>
      <c r="FG169" t="str">
        <f>""</f>
        <v/>
      </c>
      <c r="FH169" t="str">
        <f>""</f>
        <v/>
      </c>
      <c r="FI169" t="str">
        <f>""</f>
        <v/>
      </c>
      <c r="FJ169" t="str">
        <f>""</f>
        <v/>
      </c>
      <c r="FK169" t="str">
        <f>""</f>
        <v/>
      </c>
      <c r="FL169" t="str">
        <f>""</f>
        <v/>
      </c>
      <c r="FM169" t="str">
        <f>""</f>
        <v/>
      </c>
      <c r="FN169" t="str">
        <f>""</f>
        <v/>
      </c>
      <c r="FO169" t="str">
        <f>""</f>
        <v/>
      </c>
      <c r="FP169" t="str">
        <f>""</f>
        <v/>
      </c>
      <c r="FQ169" t="str">
        <f>""</f>
        <v/>
      </c>
      <c r="FR169" t="str">
        <f>""</f>
        <v/>
      </c>
      <c r="FS169" t="str">
        <f>""</f>
        <v/>
      </c>
      <c r="FT169" t="str">
        <f>""</f>
        <v/>
      </c>
      <c r="FU169" t="str">
        <f>""</f>
        <v/>
      </c>
      <c r="FV169" t="str">
        <f>""</f>
        <v/>
      </c>
      <c r="FW169" t="str">
        <f>""</f>
        <v/>
      </c>
      <c r="FX169" t="str">
        <f>""</f>
        <v/>
      </c>
      <c r="FY169" t="str">
        <f>""</f>
        <v/>
      </c>
      <c r="FZ169" t="str">
        <f>""</f>
        <v/>
      </c>
      <c r="GA169" t="str">
        <f>""</f>
        <v/>
      </c>
      <c r="GB169" t="str">
        <f>""</f>
        <v/>
      </c>
      <c r="GC169" t="str">
        <f>""</f>
        <v/>
      </c>
      <c r="GD169" t="str">
        <f>""</f>
        <v/>
      </c>
      <c r="GE169" t="str">
        <f>""</f>
        <v/>
      </c>
      <c r="GF169" t="str">
        <f>""</f>
        <v/>
      </c>
      <c r="GG169" t="str">
        <f>""</f>
        <v/>
      </c>
      <c r="GH169" t="str">
        <f>""</f>
        <v/>
      </c>
      <c r="GI169" t="str">
        <f>""</f>
        <v/>
      </c>
      <c r="GJ169" t="str">
        <f>""</f>
        <v/>
      </c>
      <c r="GK169" t="str">
        <f>""</f>
        <v/>
      </c>
      <c r="GL169" t="str">
        <f>""</f>
        <v/>
      </c>
      <c r="GM169" t="str">
        <f>""</f>
        <v/>
      </c>
      <c r="GN169" t="str">
        <f>""</f>
        <v/>
      </c>
      <c r="GO169" t="str">
        <f>""</f>
        <v/>
      </c>
      <c r="GP169" t="str">
        <f>""</f>
        <v/>
      </c>
      <c r="GQ169" t="str">
        <f>""</f>
        <v/>
      </c>
      <c r="GR169" t="str">
        <f>""</f>
        <v/>
      </c>
      <c r="GS169" t="str">
        <f>""</f>
        <v/>
      </c>
      <c r="GT169" t="str">
        <f>""</f>
        <v/>
      </c>
      <c r="GU169" t="str">
        <f>""</f>
        <v/>
      </c>
      <c r="GV169" t="str">
        <f>""</f>
        <v/>
      </c>
      <c r="GW169" t="str">
        <f>""</f>
        <v/>
      </c>
      <c r="GX169" t="str">
        <f>""</f>
        <v/>
      </c>
      <c r="GY169" t="str">
        <f>""</f>
        <v/>
      </c>
      <c r="GZ169" t="str">
        <f>""</f>
        <v/>
      </c>
      <c r="HA169" t="str">
        <f>""</f>
        <v/>
      </c>
      <c r="HB169" t="str">
        <f>""</f>
        <v/>
      </c>
      <c r="HC169" t="str">
        <f>""</f>
        <v/>
      </c>
      <c r="HD169" t="str">
        <f>""</f>
        <v/>
      </c>
      <c r="HE169" t="str">
        <f>""</f>
        <v/>
      </c>
      <c r="HF169" t="str">
        <f>""</f>
        <v/>
      </c>
      <c r="HG169" t="str">
        <f>""</f>
        <v/>
      </c>
      <c r="HH169" t="str">
        <f>""</f>
        <v/>
      </c>
      <c r="HI169" t="str">
        <f>""</f>
        <v/>
      </c>
      <c r="HJ169" t="str">
        <f>""</f>
        <v/>
      </c>
      <c r="HK169" t="str">
        <f>""</f>
        <v/>
      </c>
      <c r="HL169" t="str">
        <f>""</f>
        <v/>
      </c>
      <c r="HM169" t="str">
        <f>""</f>
        <v/>
      </c>
      <c r="HN169" t="str">
        <f>""</f>
        <v/>
      </c>
      <c r="HO169" t="str">
        <f>""</f>
        <v/>
      </c>
      <c r="HP169" t="str">
        <f>""</f>
        <v/>
      </c>
      <c r="HQ169" t="str">
        <f>""</f>
        <v/>
      </c>
      <c r="HR169" t="str">
        <f>""</f>
        <v/>
      </c>
      <c r="HS169" t="str">
        <f>""</f>
        <v/>
      </c>
      <c r="HT169" t="str">
        <f>""</f>
        <v/>
      </c>
      <c r="HU169" t="str">
        <f>""</f>
        <v/>
      </c>
      <c r="HV169" t="str">
        <f>""</f>
        <v/>
      </c>
      <c r="HW169" t="str">
        <f>""</f>
        <v/>
      </c>
      <c r="HX169" t="str">
        <f>""</f>
        <v/>
      </c>
      <c r="HY169" t="str">
        <f>""</f>
        <v/>
      </c>
      <c r="HZ169" t="str">
        <f>""</f>
        <v/>
      </c>
      <c r="IA169" t="str">
        <f>""</f>
        <v/>
      </c>
      <c r="IB169" t="str">
        <f>""</f>
        <v/>
      </c>
      <c r="IC169" t="str">
        <f>""</f>
        <v/>
      </c>
      <c r="ID169" t="str">
        <f>""</f>
        <v/>
      </c>
      <c r="IE169" t="str">
        <f>""</f>
        <v/>
      </c>
      <c r="IF169" t="str">
        <f>""</f>
        <v/>
      </c>
      <c r="IG169" t="str">
        <f>""</f>
        <v/>
      </c>
      <c r="IH169" t="str">
        <f>""</f>
        <v/>
      </c>
      <c r="II169" t="str">
        <f>""</f>
        <v/>
      </c>
      <c r="IJ169" t="str">
        <f>""</f>
        <v/>
      </c>
      <c r="IK169" t="str">
        <f>""</f>
        <v/>
      </c>
      <c r="IL169" t="str">
        <f>""</f>
        <v/>
      </c>
      <c r="IM169" t="str">
        <f>""</f>
        <v/>
      </c>
      <c r="IN169" t="str">
        <f>""</f>
        <v/>
      </c>
      <c r="IO169" t="str">
        <f>""</f>
        <v/>
      </c>
      <c r="IP169" t="str">
        <f>""</f>
        <v/>
      </c>
      <c r="IQ169" t="str">
        <f>""</f>
        <v/>
      </c>
      <c r="IR169" t="str">
        <f>""</f>
        <v/>
      </c>
      <c r="IS169" t="str">
        <f>""</f>
        <v/>
      </c>
      <c r="IT169" t="str">
        <f>""</f>
        <v/>
      </c>
      <c r="IU169" t="str">
        <f>""</f>
        <v/>
      </c>
      <c r="IV169" t="str">
        <f>""</f>
        <v/>
      </c>
      <c r="IW169" t="str">
        <f>""</f>
        <v/>
      </c>
      <c r="IX169" t="str">
        <f>""</f>
        <v/>
      </c>
      <c r="IY169" t="str">
        <f>""</f>
        <v/>
      </c>
      <c r="IZ169" t="str">
        <f>""</f>
        <v/>
      </c>
      <c r="JA169" t="str">
        <f>""</f>
        <v/>
      </c>
      <c r="JB169" t="str">
        <f>""</f>
        <v/>
      </c>
      <c r="JC169" t="str">
        <f>""</f>
        <v/>
      </c>
      <c r="JD169" t="str">
        <f>""</f>
        <v/>
      </c>
      <c r="JE169" t="str">
        <f>""</f>
        <v/>
      </c>
      <c r="JF169" t="str">
        <f>""</f>
        <v/>
      </c>
      <c r="JG169" t="str">
        <f>""</f>
        <v/>
      </c>
      <c r="JH169" t="str">
        <f>""</f>
        <v/>
      </c>
      <c r="JI169" t="str">
        <f>""</f>
        <v/>
      </c>
      <c r="JJ169" t="str">
        <f>""</f>
        <v/>
      </c>
      <c r="JK169" t="str">
        <f>""</f>
        <v/>
      </c>
    </row>
    <row r="171" spans="1:271" x14ac:dyDescent="0.3">
      <c r="A171" t="str">
        <f>"c.zMETAB15#c.PM2"</f>
        <v>c.zMETAB15#c.PM2</v>
      </c>
      <c r="B171" t="str">
        <f>""</f>
        <v/>
      </c>
      <c r="C171" t="str">
        <f>""</f>
        <v/>
      </c>
      <c r="D171" t="str">
        <f>""</f>
        <v/>
      </c>
      <c r="E171" t="str">
        <f>""</f>
        <v/>
      </c>
      <c r="F171" t="str">
        <f>""</f>
        <v/>
      </c>
      <c r="G171" t="str">
        <f>""</f>
        <v/>
      </c>
      <c r="H171" t="str">
        <f>""</f>
        <v/>
      </c>
      <c r="I171" t="str">
        <f>""</f>
        <v/>
      </c>
      <c r="J171" t="str">
        <f>""</f>
        <v/>
      </c>
      <c r="K171" t="str">
        <f>""</f>
        <v/>
      </c>
      <c r="L171" t="str">
        <f>""</f>
        <v/>
      </c>
      <c r="M171" t="str">
        <f>""</f>
        <v/>
      </c>
      <c r="N171" t="str">
        <f>""</f>
        <v/>
      </c>
      <c r="O171" t="str">
        <f>""</f>
        <v/>
      </c>
      <c r="P171" t="str">
        <f>""</f>
        <v/>
      </c>
      <c r="Q171" t="str">
        <f>""</f>
        <v/>
      </c>
      <c r="R171" t="str">
        <f>""</f>
        <v/>
      </c>
      <c r="S171" t="str">
        <f>""</f>
        <v/>
      </c>
      <c r="T171" t="str">
        <f>""</f>
        <v/>
      </c>
      <c r="U171" t="str">
        <f>""</f>
        <v/>
      </c>
      <c r="V171" t="str">
        <f>""</f>
        <v/>
      </c>
      <c r="W171" t="str">
        <f>""</f>
        <v/>
      </c>
      <c r="X171" t="str">
        <f>""</f>
        <v/>
      </c>
      <c r="Y171" t="str">
        <f>""</f>
        <v/>
      </c>
      <c r="Z171" t="str">
        <f>""</f>
        <v/>
      </c>
      <c r="AA171" t="str">
        <f>""</f>
        <v/>
      </c>
      <c r="AB171" t="str">
        <f>""</f>
        <v/>
      </c>
      <c r="AC171" t="str">
        <f>""</f>
        <v/>
      </c>
      <c r="AD171" t="str">
        <f>""</f>
        <v/>
      </c>
      <c r="AE171" t="str">
        <f>""</f>
        <v/>
      </c>
      <c r="AF171" t="str">
        <f>""</f>
        <v/>
      </c>
      <c r="AG171" t="str">
        <f>""</f>
        <v/>
      </c>
      <c r="AH171" t="str">
        <f>""</f>
        <v/>
      </c>
      <c r="AI171" t="str">
        <f>""</f>
        <v/>
      </c>
      <c r="AJ171" t="str">
        <f>""</f>
        <v/>
      </c>
      <c r="AK171" t="str">
        <f>""</f>
        <v/>
      </c>
      <c r="AL171" t="str">
        <f>""</f>
        <v/>
      </c>
      <c r="AM171" t="str">
        <f>""</f>
        <v/>
      </c>
      <c r="AN171" t="str">
        <f>""</f>
        <v/>
      </c>
      <c r="AO171" t="str">
        <f>""</f>
        <v/>
      </c>
      <c r="AP171" t="str">
        <f>""</f>
        <v/>
      </c>
      <c r="AQ171" t="str">
        <f>""</f>
        <v/>
      </c>
      <c r="AR171" t="str">
        <f>""</f>
        <v/>
      </c>
      <c r="AS171" t="str">
        <f>""</f>
        <v/>
      </c>
      <c r="AT171" t="str">
        <f>""</f>
        <v/>
      </c>
      <c r="AU171" t="str">
        <f>""</f>
        <v/>
      </c>
      <c r="AV171" t="str">
        <f>""</f>
        <v/>
      </c>
      <c r="AW171" t="str">
        <f>""</f>
        <v/>
      </c>
      <c r="AX171" t="str">
        <f>""</f>
        <v/>
      </c>
      <c r="AY171" t="str">
        <f>""</f>
        <v/>
      </c>
      <c r="AZ171" t="str">
        <f>""</f>
        <v/>
      </c>
      <c r="BA171" t="str">
        <f>""</f>
        <v/>
      </c>
      <c r="BB171" t="str">
        <f>""</f>
        <v/>
      </c>
      <c r="BC171" t="str">
        <f>""</f>
        <v/>
      </c>
      <c r="BD171" t="str">
        <f>""</f>
        <v/>
      </c>
      <c r="BE171" t="str">
        <f>""</f>
        <v/>
      </c>
      <c r="BF171" t="str">
        <f>""</f>
        <v/>
      </c>
      <c r="BG171" t="str">
        <f>""</f>
        <v/>
      </c>
      <c r="BH171" t="str">
        <f>""</f>
        <v/>
      </c>
      <c r="BI171" t="str">
        <f>""</f>
        <v/>
      </c>
      <c r="BJ171" t="str">
        <f>""</f>
        <v/>
      </c>
      <c r="BK171" t="str">
        <f>""</f>
        <v/>
      </c>
      <c r="BL171" t="str">
        <f>""</f>
        <v/>
      </c>
      <c r="BM171" t="str">
        <f>""</f>
        <v/>
      </c>
      <c r="BN171" t="str">
        <f>""</f>
        <v/>
      </c>
      <c r="BO171" t="str">
        <f>""</f>
        <v/>
      </c>
      <c r="BP171" t="str">
        <f>""</f>
        <v/>
      </c>
      <c r="BQ171" t="str">
        <f>""</f>
        <v/>
      </c>
      <c r="BR171" t="str">
        <f>""</f>
        <v/>
      </c>
      <c r="BS171" t="str">
        <f>""</f>
        <v/>
      </c>
      <c r="BT171" t="str">
        <f>""</f>
        <v/>
      </c>
      <c r="BU171" t="str">
        <f>""</f>
        <v/>
      </c>
      <c r="BV171" t="str">
        <f>""</f>
        <v/>
      </c>
      <c r="BW171" t="str">
        <f>""</f>
        <v/>
      </c>
      <c r="BX171" t="str">
        <f>""</f>
        <v/>
      </c>
      <c r="BY171" t="str">
        <f>""</f>
        <v/>
      </c>
      <c r="BZ171" t="str">
        <f>""</f>
        <v/>
      </c>
      <c r="CA171" t="str">
        <f>""</f>
        <v/>
      </c>
      <c r="CB171" t="str">
        <f>""</f>
        <v/>
      </c>
      <c r="CC171" t="str">
        <f>""</f>
        <v/>
      </c>
      <c r="CD171" t="str">
        <f>""</f>
        <v/>
      </c>
      <c r="CE171" t="str">
        <f>""</f>
        <v/>
      </c>
      <c r="CF171" t="str">
        <f>""</f>
        <v/>
      </c>
      <c r="CG171" t="str">
        <f>""</f>
        <v/>
      </c>
      <c r="CH171" t="str">
        <f>""</f>
        <v/>
      </c>
      <c r="CI171" t="str">
        <f>""</f>
        <v/>
      </c>
      <c r="CJ171" t="str">
        <f>""</f>
        <v/>
      </c>
      <c r="CK171" t="str">
        <f>"-0.0828"</f>
        <v>-0.0828</v>
      </c>
      <c r="CL171" t="str">
        <f>"-0.0112"</f>
        <v>-0.0112</v>
      </c>
      <c r="CM171" t="str">
        <f>"0.0190"</f>
        <v>0.0190</v>
      </c>
      <c r="CN171" t="str">
        <f>""</f>
        <v/>
      </c>
      <c r="CO171" t="str">
        <f>""</f>
        <v/>
      </c>
      <c r="CP171" t="str">
        <f>""</f>
        <v/>
      </c>
      <c r="CQ171" t="str">
        <f>""</f>
        <v/>
      </c>
      <c r="CR171" t="str">
        <f>""</f>
        <v/>
      </c>
      <c r="CS171" t="str">
        <f>""</f>
        <v/>
      </c>
      <c r="CT171" t="str">
        <f>""</f>
        <v/>
      </c>
      <c r="CU171" t="str">
        <f>""</f>
        <v/>
      </c>
      <c r="CV171" t="str">
        <f>""</f>
        <v/>
      </c>
      <c r="CW171" t="str">
        <f>""</f>
        <v/>
      </c>
      <c r="CX171" t="str">
        <f>""</f>
        <v/>
      </c>
      <c r="CY171" t="str">
        <f>""</f>
        <v/>
      </c>
      <c r="CZ171" t="str">
        <f>""</f>
        <v/>
      </c>
      <c r="DA171" t="str">
        <f>""</f>
        <v/>
      </c>
      <c r="DB171" t="str">
        <f>""</f>
        <v/>
      </c>
      <c r="DC171" t="str">
        <f>""</f>
        <v/>
      </c>
      <c r="DD171" t="str">
        <f>""</f>
        <v/>
      </c>
      <c r="DE171" t="str">
        <f>""</f>
        <v/>
      </c>
      <c r="DF171" t="str">
        <f>""</f>
        <v/>
      </c>
      <c r="DG171" t="str">
        <f>""</f>
        <v/>
      </c>
      <c r="DH171" t="str">
        <f>""</f>
        <v/>
      </c>
      <c r="DI171" t="str">
        <f>""</f>
        <v/>
      </c>
      <c r="DJ171" t="str">
        <f>""</f>
        <v/>
      </c>
      <c r="DK171" t="str">
        <f>""</f>
        <v/>
      </c>
      <c r="DL171" t="str">
        <f>""</f>
        <v/>
      </c>
      <c r="DM171" t="str">
        <f>""</f>
        <v/>
      </c>
      <c r="DN171" t="str">
        <f>""</f>
        <v/>
      </c>
      <c r="DO171" t="str">
        <f>""</f>
        <v/>
      </c>
      <c r="DP171" t="str">
        <f>""</f>
        <v/>
      </c>
      <c r="DQ171" t="str">
        <f>""</f>
        <v/>
      </c>
      <c r="DR171" t="str">
        <f>""</f>
        <v/>
      </c>
      <c r="DS171" t="str">
        <f>""</f>
        <v/>
      </c>
      <c r="DT171" t="str">
        <f>""</f>
        <v/>
      </c>
      <c r="DU171" t="str">
        <f>""</f>
        <v/>
      </c>
      <c r="DV171" t="str">
        <f>""</f>
        <v/>
      </c>
      <c r="DW171" t="str">
        <f>""</f>
        <v/>
      </c>
      <c r="DX171" t="str">
        <f>""</f>
        <v/>
      </c>
      <c r="DY171" t="str">
        <f>""</f>
        <v/>
      </c>
      <c r="DZ171" t="str">
        <f>""</f>
        <v/>
      </c>
      <c r="EA171" t="str">
        <f>""</f>
        <v/>
      </c>
      <c r="EB171" t="str">
        <f>""</f>
        <v/>
      </c>
      <c r="EC171" t="str">
        <f>""</f>
        <v/>
      </c>
      <c r="ED171" t="str">
        <f>""</f>
        <v/>
      </c>
      <c r="EE171" t="str">
        <f>""</f>
        <v/>
      </c>
      <c r="EF171" t="str">
        <f>""</f>
        <v/>
      </c>
      <c r="EG171" t="str">
        <f>""</f>
        <v/>
      </c>
      <c r="EH171" t="str">
        <f>""</f>
        <v/>
      </c>
      <c r="EI171" t="str">
        <f>""</f>
        <v/>
      </c>
      <c r="EJ171" t="str">
        <f>""</f>
        <v/>
      </c>
      <c r="EK171" t="str">
        <f>""</f>
        <v/>
      </c>
      <c r="EL171" t="str">
        <f>""</f>
        <v/>
      </c>
      <c r="EM171" t="str">
        <f>""</f>
        <v/>
      </c>
      <c r="EN171" t="str">
        <f>""</f>
        <v/>
      </c>
      <c r="EO171" t="str">
        <f>""</f>
        <v/>
      </c>
      <c r="EP171" t="str">
        <f>""</f>
        <v/>
      </c>
      <c r="EQ171" t="str">
        <f>""</f>
        <v/>
      </c>
      <c r="ER171" t="str">
        <f>""</f>
        <v/>
      </c>
      <c r="ES171" t="str">
        <f>""</f>
        <v/>
      </c>
      <c r="ET171" t="str">
        <f>""</f>
        <v/>
      </c>
      <c r="EU171" t="str">
        <f>""</f>
        <v/>
      </c>
      <c r="EV171" t="str">
        <f>""</f>
        <v/>
      </c>
      <c r="EW171" t="str">
        <f>""</f>
        <v/>
      </c>
      <c r="EX171" t="str">
        <f>""</f>
        <v/>
      </c>
      <c r="EY171" t="str">
        <f>""</f>
        <v/>
      </c>
      <c r="EZ171" t="str">
        <f>""</f>
        <v/>
      </c>
      <c r="FA171" t="str">
        <f>""</f>
        <v/>
      </c>
      <c r="FB171" t="str">
        <f>""</f>
        <v/>
      </c>
      <c r="FC171" t="str">
        <f>""</f>
        <v/>
      </c>
      <c r="FD171" t="str">
        <f>""</f>
        <v/>
      </c>
      <c r="FE171" t="str">
        <f>""</f>
        <v/>
      </c>
      <c r="FF171" t="str">
        <f>""</f>
        <v/>
      </c>
      <c r="FG171" t="str">
        <f>""</f>
        <v/>
      </c>
      <c r="FH171" t="str">
        <f>""</f>
        <v/>
      </c>
      <c r="FI171" t="str">
        <f>""</f>
        <v/>
      </c>
      <c r="FJ171" t="str">
        <f>""</f>
        <v/>
      </c>
      <c r="FK171" t="str">
        <f>""</f>
        <v/>
      </c>
      <c r="FL171" t="str">
        <f>""</f>
        <v/>
      </c>
      <c r="FM171" t="str">
        <f>""</f>
        <v/>
      </c>
      <c r="FN171" t="str">
        <f>""</f>
        <v/>
      </c>
      <c r="FO171" t="str">
        <f>""</f>
        <v/>
      </c>
      <c r="FP171" t="str">
        <f>""</f>
        <v/>
      </c>
      <c r="FQ171" t="str">
        <f>""</f>
        <v/>
      </c>
      <c r="FR171" t="str">
        <f>""</f>
        <v/>
      </c>
      <c r="FS171" t="str">
        <f>""</f>
        <v/>
      </c>
      <c r="FT171" t="str">
        <f>""</f>
        <v/>
      </c>
      <c r="FU171" t="str">
        <f>""</f>
        <v/>
      </c>
      <c r="FV171" t="str">
        <f>""</f>
        <v/>
      </c>
      <c r="FW171" t="str">
        <f>""</f>
        <v/>
      </c>
      <c r="FX171" t="str">
        <f>""</f>
        <v/>
      </c>
      <c r="FY171" t="str">
        <f>""</f>
        <v/>
      </c>
      <c r="FZ171" t="str">
        <f>""</f>
        <v/>
      </c>
      <c r="GA171" t="str">
        <f>""</f>
        <v/>
      </c>
      <c r="GB171" t="str">
        <f>""</f>
        <v/>
      </c>
      <c r="GC171" t="str">
        <f>""</f>
        <v/>
      </c>
      <c r="GD171" t="str">
        <f>""</f>
        <v/>
      </c>
      <c r="GE171" t="str">
        <f>""</f>
        <v/>
      </c>
      <c r="GF171" t="str">
        <f>""</f>
        <v/>
      </c>
      <c r="GG171" t="str">
        <f>""</f>
        <v/>
      </c>
      <c r="GH171" t="str">
        <f>""</f>
        <v/>
      </c>
      <c r="GI171" t="str">
        <f>""</f>
        <v/>
      </c>
      <c r="GJ171" t="str">
        <f>""</f>
        <v/>
      </c>
      <c r="GK171" t="str">
        <f>""</f>
        <v/>
      </c>
      <c r="GL171" t="str">
        <f>""</f>
        <v/>
      </c>
      <c r="GM171" t="str">
        <f>""</f>
        <v/>
      </c>
      <c r="GN171" t="str">
        <f>""</f>
        <v/>
      </c>
      <c r="GO171" t="str">
        <f>""</f>
        <v/>
      </c>
      <c r="GP171" t="str">
        <f>""</f>
        <v/>
      </c>
      <c r="GQ171" t="str">
        <f>""</f>
        <v/>
      </c>
      <c r="GR171" t="str">
        <f>""</f>
        <v/>
      </c>
      <c r="GS171" t="str">
        <f>""</f>
        <v/>
      </c>
      <c r="GT171" t="str">
        <f>""</f>
        <v/>
      </c>
      <c r="GU171" t="str">
        <f>""</f>
        <v/>
      </c>
      <c r="GV171" t="str">
        <f>""</f>
        <v/>
      </c>
      <c r="GW171" t="str">
        <f>""</f>
        <v/>
      </c>
      <c r="GX171" t="str">
        <f>""</f>
        <v/>
      </c>
      <c r="GY171" t="str">
        <f>""</f>
        <v/>
      </c>
      <c r="GZ171" t="str">
        <f>""</f>
        <v/>
      </c>
      <c r="HA171" t="str">
        <f>""</f>
        <v/>
      </c>
      <c r="HB171" t="str">
        <f>""</f>
        <v/>
      </c>
      <c r="HC171" t="str">
        <f>""</f>
        <v/>
      </c>
      <c r="HD171" t="str">
        <f>""</f>
        <v/>
      </c>
      <c r="HE171" t="str">
        <f>""</f>
        <v/>
      </c>
      <c r="HF171" t="str">
        <f>""</f>
        <v/>
      </c>
      <c r="HG171" t="str">
        <f>""</f>
        <v/>
      </c>
      <c r="HH171" t="str">
        <f>""</f>
        <v/>
      </c>
      <c r="HI171" t="str">
        <f>""</f>
        <v/>
      </c>
      <c r="HJ171" t="str">
        <f>""</f>
        <v/>
      </c>
      <c r="HK171" t="str">
        <f>""</f>
        <v/>
      </c>
      <c r="HL171" t="str">
        <f>""</f>
        <v/>
      </c>
      <c r="HM171" t="str">
        <f>""</f>
        <v/>
      </c>
      <c r="HN171" t="str">
        <f>""</f>
        <v/>
      </c>
      <c r="HO171" t="str">
        <f>""</f>
        <v/>
      </c>
      <c r="HP171" t="str">
        <f>""</f>
        <v/>
      </c>
      <c r="HQ171" t="str">
        <f>""</f>
        <v/>
      </c>
      <c r="HR171" t="str">
        <f>""</f>
        <v/>
      </c>
      <c r="HS171" t="str">
        <f>""</f>
        <v/>
      </c>
      <c r="HT171" t="str">
        <f>""</f>
        <v/>
      </c>
      <c r="HU171" t="str">
        <f>""</f>
        <v/>
      </c>
      <c r="HV171" t="str">
        <f>""</f>
        <v/>
      </c>
      <c r="HW171" t="str">
        <f>""</f>
        <v/>
      </c>
      <c r="HX171" t="str">
        <f>""</f>
        <v/>
      </c>
      <c r="HY171" t="str">
        <f>""</f>
        <v/>
      </c>
      <c r="HZ171" t="str">
        <f>""</f>
        <v/>
      </c>
      <c r="IA171" t="str">
        <f>""</f>
        <v/>
      </c>
      <c r="IB171" t="str">
        <f>""</f>
        <v/>
      </c>
      <c r="IC171" t="str">
        <f>""</f>
        <v/>
      </c>
      <c r="ID171" t="str">
        <f>""</f>
        <v/>
      </c>
      <c r="IE171" t="str">
        <f>""</f>
        <v/>
      </c>
      <c r="IF171" t="str">
        <f>""</f>
        <v/>
      </c>
      <c r="IG171" t="str">
        <f>""</f>
        <v/>
      </c>
      <c r="IH171" t="str">
        <f>""</f>
        <v/>
      </c>
      <c r="II171" t="str">
        <f>""</f>
        <v/>
      </c>
      <c r="IJ171" t="str">
        <f>""</f>
        <v/>
      </c>
      <c r="IK171" t="str">
        <f>""</f>
        <v/>
      </c>
      <c r="IL171" t="str">
        <f>""</f>
        <v/>
      </c>
      <c r="IM171" t="str">
        <f>""</f>
        <v/>
      </c>
      <c r="IN171" t="str">
        <f>""</f>
        <v/>
      </c>
      <c r="IO171" t="str">
        <f>""</f>
        <v/>
      </c>
      <c r="IP171" t="str">
        <f>""</f>
        <v/>
      </c>
      <c r="IQ171" t="str">
        <f>""</f>
        <v/>
      </c>
      <c r="IR171" t="str">
        <f>""</f>
        <v/>
      </c>
      <c r="IS171" t="str">
        <f>""</f>
        <v/>
      </c>
      <c r="IT171" t="str">
        <f>""</f>
        <v/>
      </c>
      <c r="IU171" t="str">
        <f>""</f>
        <v/>
      </c>
      <c r="IV171" t="str">
        <f>""</f>
        <v/>
      </c>
      <c r="IW171" t="str">
        <f>""</f>
        <v/>
      </c>
      <c r="IX171" t="str">
        <f>""</f>
        <v/>
      </c>
      <c r="IY171" t="str">
        <f>""</f>
        <v/>
      </c>
      <c r="IZ171" t="str">
        <f>""</f>
        <v/>
      </c>
      <c r="JA171" t="str">
        <f>""</f>
        <v/>
      </c>
      <c r="JB171" t="str">
        <f>""</f>
        <v/>
      </c>
      <c r="JC171" t="str">
        <f>""</f>
        <v/>
      </c>
      <c r="JD171" t="str">
        <f>""</f>
        <v/>
      </c>
      <c r="JE171" t="str">
        <f>""</f>
        <v/>
      </c>
      <c r="JF171" t="str">
        <f>""</f>
        <v/>
      </c>
      <c r="JG171" t="str">
        <f>""</f>
        <v/>
      </c>
      <c r="JH171" t="str">
        <f>""</f>
        <v/>
      </c>
      <c r="JI171" t="str">
        <f>""</f>
        <v/>
      </c>
      <c r="JJ171" t="str">
        <f>""</f>
        <v/>
      </c>
      <c r="JK171" t="str">
        <f>""</f>
        <v/>
      </c>
    </row>
    <row r="172" spans="1:271" x14ac:dyDescent="0.3">
      <c r="A172" t="str">
        <f>""</f>
        <v/>
      </c>
      <c r="B172" t="str">
        <f>""</f>
        <v/>
      </c>
      <c r="C172" t="str">
        <f>""</f>
        <v/>
      </c>
      <c r="D172" t="str">
        <f>""</f>
        <v/>
      </c>
      <c r="E172" t="str">
        <f>""</f>
        <v/>
      </c>
      <c r="F172" t="str">
        <f>""</f>
        <v/>
      </c>
      <c r="G172" t="str">
        <f>""</f>
        <v/>
      </c>
      <c r="H172" t="str">
        <f>""</f>
        <v/>
      </c>
      <c r="I172" t="str">
        <f>""</f>
        <v/>
      </c>
      <c r="J172" t="str">
        <f>""</f>
        <v/>
      </c>
      <c r="K172" t="str">
        <f>""</f>
        <v/>
      </c>
      <c r="L172" t="str">
        <f>""</f>
        <v/>
      </c>
      <c r="M172" t="str">
        <f>""</f>
        <v/>
      </c>
      <c r="N172" t="str">
        <f>""</f>
        <v/>
      </c>
      <c r="O172" t="str">
        <f>""</f>
        <v/>
      </c>
      <c r="P172" t="str">
        <f>""</f>
        <v/>
      </c>
      <c r="Q172" t="str">
        <f>""</f>
        <v/>
      </c>
      <c r="R172" t="str">
        <f>""</f>
        <v/>
      </c>
      <c r="S172" t="str">
        <f>""</f>
        <v/>
      </c>
      <c r="T172" t="str">
        <f>""</f>
        <v/>
      </c>
      <c r="U172" t="str">
        <f>""</f>
        <v/>
      </c>
      <c r="V172" t="str">
        <f>""</f>
        <v/>
      </c>
      <c r="W172" t="str">
        <f>""</f>
        <v/>
      </c>
      <c r="X172" t="str">
        <f>""</f>
        <v/>
      </c>
      <c r="Y172" t="str">
        <f>""</f>
        <v/>
      </c>
      <c r="Z172" t="str">
        <f>""</f>
        <v/>
      </c>
      <c r="AA172" t="str">
        <f>""</f>
        <v/>
      </c>
      <c r="AB172" t="str">
        <f>""</f>
        <v/>
      </c>
      <c r="AC172" t="str">
        <f>""</f>
        <v/>
      </c>
      <c r="AD172" t="str">
        <f>""</f>
        <v/>
      </c>
      <c r="AE172" t="str">
        <f>""</f>
        <v/>
      </c>
      <c r="AF172" t="str">
        <f>""</f>
        <v/>
      </c>
      <c r="AG172" t="str">
        <f>""</f>
        <v/>
      </c>
      <c r="AH172" t="str">
        <f>""</f>
        <v/>
      </c>
      <c r="AI172" t="str">
        <f>""</f>
        <v/>
      </c>
      <c r="AJ172" t="str">
        <f>""</f>
        <v/>
      </c>
      <c r="AK172" t="str">
        <f>""</f>
        <v/>
      </c>
      <c r="AL172" t="str">
        <f>""</f>
        <v/>
      </c>
      <c r="AM172" t="str">
        <f>""</f>
        <v/>
      </c>
      <c r="AN172" t="str">
        <f>""</f>
        <v/>
      </c>
      <c r="AO172" t="str">
        <f>""</f>
        <v/>
      </c>
      <c r="AP172" t="str">
        <f>""</f>
        <v/>
      </c>
      <c r="AQ172" t="str">
        <f>""</f>
        <v/>
      </c>
      <c r="AR172" t="str">
        <f>""</f>
        <v/>
      </c>
      <c r="AS172" t="str">
        <f>""</f>
        <v/>
      </c>
      <c r="AT172" t="str">
        <f>""</f>
        <v/>
      </c>
      <c r="AU172" t="str">
        <f>""</f>
        <v/>
      </c>
      <c r="AV172" t="str">
        <f>""</f>
        <v/>
      </c>
      <c r="AW172" t="str">
        <f>""</f>
        <v/>
      </c>
      <c r="AX172" t="str">
        <f>""</f>
        <v/>
      </c>
      <c r="AY172" t="str">
        <f>""</f>
        <v/>
      </c>
      <c r="AZ172" t="str">
        <f>""</f>
        <v/>
      </c>
      <c r="BA172" t="str">
        <f>""</f>
        <v/>
      </c>
      <c r="BB172" t="str">
        <f>""</f>
        <v/>
      </c>
      <c r="BC172" t="str">
        <f>""</f>
        <v/>
      </c>
      <c r="BD172" t="str">
        <f>""</f>
        <v/>
      </c>
      <c r="BE172" t="str">
        <f>""</f>
        <v/>
      </c>
      <c r="BF172" t="str">
        <f>""</f>
        <v/>
      </c>
      <c r="BG172" t="str">
        <f>""</f>
        <v/>
      </c>
      <c r="BH172" t="str">
        <f>""</f>
        <v/>
      </c>
      <c r="BI172" t="str">
        <f>""</f>
        <v/>
      </c>
      <c r="BJ172" t="str">
        <f>""</f>
        <v/>
      </c>
      <c r="BK172" t="str">
        <f>""</f>
        <v/>
      </c>
      <c r="BL172" t="str">
        <f>""</f>
        <v/>
      </c>
      <c r="BM172" t="str">
        <f>""</f>
        <v/>
      </c>
      <c r="BN172" t="str">
        <f>""</f>
        <v/>
      </c>
      <c r="BO172" t="str">
        <f>""</f>
        <v/>
      </c>
      <c r="BP172" t="str">
        <f>""</f>
        <v/>
      </c>
      <c r="BQ172" t="str">
        <f>""</f>
        <v/>
      </c>
      <c r="BR172" t="str">
        <f>""</f>
        <v/>
      </c>
      <c r="BS172" t="str">
        <f>""</f>
        <v/>
      </c>
      <c r="BT172" t="str">
        <f>""</f>
        <v/>
      </c>
      <c r="BU172" t="str">
        <f>""</f>
        <v/>
      </c>
      <c r="BV172" t="str">
        <f>""</f>
        <v/>
      </c>
      <c r="BW172" t="str">
        <f>""</f>
        <v/>
      </c>
      <c r="BX172" t="str">
        <f>""</f>
        <v/>
      </c>
      <c r="BY172" t="str">
        <f>""</f>
        <v/>
      </c>
      <c r="BZ172" t="str">
        <f>""</f>
        <v/>
      </c>
      <c r="CA172" t="str">
        <f>""</f>
        <v/>
      </c>
      <c r="CB172" t="str">
        <f>""</f>
        <v/>
      </c>
      <c r="CC172" t="str">
        <f>""</f>
        <v/>
      </c>
      <c r="CD172" t="str">
        <f>""</f>
        <v/>
      </c>
      <c r="CE172" t="str">
        <f>""</f>
        <v/>
      </c>
      <c r="CF172" t="str">
        <f>""</f>
        <v/>
      </c>
      <c r="CG172" t="str">
        <f>""</f>
        <v/>
      </c>
      <c r="CH172" t="str">
        <f>""</f>
        <v/>
      </c>
      <c r="CI172" t="str">
        <f>""</f>
        <v/>
      </c>
      <c r="CJ172" t="str">
        <f>""</f>
        <v/>
      </c>
      <c r="CK172" t="str">
        <f>"(0.105)"</f>
        <v>(0.105)</v>
      </c>
      <c r="CL172" t="str">
        <f>"(0.0839)"</f>
        <v>(0.0839)</v>
      </c>
      <c r="CM172" t="str">
        <f>"(0.0447)"</f>
        <v>(0.0447)</v>
      </c>
      <c r="CN172" t="str">
        <f>""</f>
        <v/>
      </c>
      <c r="CO172" t="str">
        <f>""</f>
        <v/>
      </c>
      <c r="CP172" t="str">
        <f>""</f>
        <v/>
      </c>
      <c r="CQ172" t="str">
        <f>""</f>
        <v/>
      </c>
      <c r="CR172" t="str">
        <f>""</f>
        <v/>
      </c>
      <c r="CS172" t="str">
        <f>""</f>
        <v/>
      </c>
      <c r="CT172" t="str">
        <f>""</f>
        <v/>
      </c>
      <c r="CU172" t="str">
        <f>""</f>
        <v/>
      </c>
      <c r="CV172" t="str">
        <f>""</f>
        <v/>
      </c>
      <c r="CW172" t="str">
        <f>""</f>
        <v/>
      </c>
      <c r="CX172" t="str">
        <f>""</f>
        <v/>
      </c>
      <c r="CY172" t="str">
        <f>""</f>
        <v/>
      </c>
      <c r="CZ172" t="str">
        <f>""</f>
        <v/>
      </c>
      <c r="DA172" t="str">
        <f>""</f>
        <v/>
      </c>
      <c r="DB172" t="str">
        <f>""</f>
        <v/>
      </c>
      <c r="DC172" t="str">
        <f>""</f>
        <v/>
      </c>
      <c r="DD172" t="str">
        <f>""</f>
        <v/>
      </c>
      <c r="DE172" t="str">
        <f>""</f>
        <v/>
      </c>
      <c r="DF172" t="str">
        <f>""</f>
        <v/>
      </c>
      <c r="DG172" t="str">
        <f>""</f>
        <v/>
      </c>
      <c r="DH172" t="str">
        <f>""</f>
        <v/>
      </c>
      <c r="DI172" t="str">
        <f>""</f>
        <v/>
      </c>
      <c r="DJ172" t="str">
        <f>""</f>
        <v/>
      </c>
      <c r="DK172" t="str">
        <f>""</f>
        <v/>
      </c>
      <c r="DL172" t="str">
        <f>""</f>
        <v/>
      </c>
      <c r="DM172" t="str">
        <f>""</f>
        <v/>
      </c>
      <c r="DN172" t="str">
        <f>""</f>
        <v/>
      </c>
      <c r="DO172" t="str">
        <f>""</f>
        <v/>
      </c>
      <c r="DP172" t="str">
        <f>""</f>
        <v/>
      </c>
      <c r="DQ172" t="str">
        <f>""</f>
        <v/>
      </c>
      <c r="DR172" t="str">
        <f>""</f>
        <v/>
      </c>
      <c r="DS172" t="str">
        <f>""</f>
        <v/>
      </c>
      <c r="DT172" t="str">
        <f>""</f>
        <v/>
      </c>
      <c r="DU172" t="str">
        <f>""</f>
        <v/>
      </c>
      <c r="DV172" t="str">
        <f>""</f>
        <v/>
      </c>
      <c r="DW172" t="str">
        <f>""</f>
        <v/>
      </c>
      <c r="DX172" t="str">
        <f>""</f>
        <v/>
      </c>
      <c r="DY172" t="str">
        <f>""</f>
        <v/>
      </c>
      <c r="DZ172" t="str">
        <f>""</f>
        <v/>
      </c>
      <c r="EA172" t="str">
        <f>""</f>
        <v/>
      </c>
      <c r="EB172" t="str">
        <f>""</f>
        <v/>
      </c>
      <c r="EC172" t="str">
        <f>""</f>
        <v/>
      </c>
      <c r="ED172" t="str">
        <f>""</f>
        <v/>
      </c>
      <c r="EE172" t="str">
        <f>""</f>
        <v/>
      </c>
      <c r="EF172" t="str">
        <f>""</f>
        <v/>
      </c>
      <c r="EG172" t="str">
        <f>""</f>
        <v/>
      </c>
      <c r="EH172" t="str">
        <f>""</f>
        <v/>
      </c>
      <c r="EI172" t="str">
        <f>""</f>
        <v/>
      </c>
      <c r="EJ172" t="str">
        <f>""</f>
        <v/>
      </c>
      <c r="EK172" t="str">
        <f>""</f>
        <v/>
      </c>
      <c r="EL172" t="str">
        <f>""</f>
        <v/>
      </c>
      <c r="EM172" t="str">
        <f>""</f>
        <v/>
      </c>
      <c r="EN172" t="str">
        <f>""</f>
        <v/>
      </c>
      <c r="EO172" t="str">
        <f>""</f>
        <v/>
      </c>
      <c r="EP172" t="str">
        <f>""</f>
        <v/>
      </c>
      <c r="EQ172" t="str">
        <f>""</f>
        <v/>
      </c>
      <c r="ER172" t="str">
        <f>""</f>
        <v/>
      </c>
      <c r="ES172" t="str">
        <f>""</f>
        <v/>
      </c>
      <c r="ET172" t="str">
        <f>""</f>
        <v/>
      </c>
      <c r="EU172" t="str">
        <f>""</f>
        <v/>
      </c>
      <c r="EV172" t="str">
        <f>""</f>
        <v/>
      </c>
      <c r="EW172" t="str">
        <f>""</f>
        <v/>
      </c>
      <c r="EX172" t="str">
        <f>""</f>
        <v/>
      </c>
      <c r="EY172" t="str">
        <f>""</f>
        <v/>
      </c>
      <c r="EZ172" t="str">
        <f>""</f>
        <v/>
      </c>
      <c r="FA172" t="str">
        <f>""</f>
        <v/>
      </c>
      <c r="FB172" t="str">
        <f>""</f>
        <v/>
      </c>
      <c r="FC172" t="str">
        <f>""</f>
        <v/>
      </c>
      <c r="FD172" t="str">
        <f>""</f>
        <v/>
      </c>
      <c r="FE172" t="str">
        <f>""</f>
        <v/>
      </c>
      <c r="FF172" t="str">
        <f>""</f>
        <v/>
      </c>
      <c r="FG172" t="str">
        <f>""</f>
        <v/>
      </c>
      <c r="FH172" t="str">
        <f>""</f>
        <v/>
      </c>
      <c r="FI172" t="str">
        <f>""</f>
        <v/>
      </c>
      <c r="FJ172" t="str">
        <f>""</f>
        <v/>
      </c>
      <c r="FK172" t="str">
        <f>""</f>
        <v/>
      </c>
      <c r="FL172" t="str">
        <f>""</f>
        <v/>
      </c>
      <c r="FM172" t="str">
        <f>""</f>
        <v/>
      </c>
      <c r="FN172" t="str">
        <f>""</f>
        <v/>
      </c>
      <c r="FO172" t="str">
        <f>""</f>
        <v/>
      </c>
      <c r="FP172" t="str">
        <f>""</f>
        <v/>
      </c>
      <c r="FQ172" t="str">
        <f>""</f>
        <v/>
      </c>
      <c r="FR172" t="str">
        <f>""</f>
        <v/>
      </c>
      <c r="FS172" t="str">
        <f>""</f>
        <v/>
      </c>
      <c r="FT172" t="str">
        <f>""</f>
        <v/>
      </c>
      <c r="FU172" t="str">
        <f>""</f>
        <v/>
      </c>
      <c r="FV172" t="str">
        <f>""</f>
        <v/>
      </c>
      <c r="FW172" t="str">
        <f>""</f>
        <v/>
      </c>
      <c r="FX172" t="str">
        <f>""</f>
        <v/>
      </c>
      <c r="FY172" t="str">
        <f>""</f>
        <v/>
      </c>
      <c r="FZ172" t="str">
        <f>""</f>
        <v/>
      </c>
      <c r="GA172" t="str">
        <f>""</f>
        <v/>
      </c>
      <c r="GB172" t="str">
        <f>""</f>
        <v/>
      </c>
      <c r="GC172" t="str">
        <f>""</f>
        <v/>
      </c>
      <c r="GD172" t="str">
        <f>""</f>
        <v/>
      </c>
      <c r="GE172" t="str">
        <f>""</f>
        <v/>
      </c>
      <c r="GF172" t="str">
        <f>""</f>
        <v/>
      </c>
      <c r="GG172" t="str">
        <f>""</f>
        <v/>
      </c>
      <c r="GH172" t="str">
        <f>""</f>
        <v/>
      </c>
      <c r="GI172" t="str">
        <f>""</f>
        <v/>
      </c>
      <c r="GJ172" t="str">
        <f>""</f>
        <v/>
      </c>
      <c r="GK172" t="str">
        <f>""</f>
        <v/>
      </c>
      <c r="GL172" t="str">
        <f>""</f>
        <v/>
      </c>
      <c r="GM172" t="str">
        <f>""</f>
        <v/>
      </c>
      <c r="GN172" t="str">
        <f>""</f>
        <v/>
      </c>
      <c r="GO172" t="str">
        <f>""</f>
        <v/>
      </c>
      <c r="GP172" t="str">
        <f>""</f>
        <v/>
      </c>
      <c r="GQ172" t="str">
        <f>""</f>
        <v/>
      </c>
      <c r="GR172" t="str">
        <f>""</f>
        <v/>
      </c>
      <c r="GS172" t="str">
        <f>""</f>
        <v/>
      </c>
      <c r="GT172" t="str">
        <f>""</f>
        <v/>
      </c>
      <c r="GU172" t="str">
        <f>""</f>
        <v/>
      </c>
      <c r="GV172" t="str">
        <f>""</f>
        <v/>
      </c>
      <c r="GW172" t="str">
        <f>""</f>
        <v/>
      </c>
      <c r="GX172" t="str">
        <f>""</f>
        <v/>
      </c>
      <c r="GY172" t="str">
        <f>""</f>
        <v/>
      </c>
      <c r="GZ172" t="str">
        <f>""</f>
        <v/>
      </c>
      <c r="HA172" t="str">
        <f>""</f>
        <v/>
      </c>
      <c r="HB172" t="str">
        <f>""</f>
        <v/>
      </c>
      <c r="HC172" t="str">
        <f>""</f>
        <v/>
      </c>
      <c r="HD172" t="str">
        <f>""</f>
        <v/>
      </c>
      <c r="HE172" t="str">
        <f>""</f>
        <v/>
      </c>
      <c r="HF172" t="str">
        <f>""</f>
        <v/>
      </c>
      <c r="HG172" t="str">
        <f>""</f>
        <v/>
      </c>
      <c r="HH172" t="str">
        <f>""</f>
        <v/>
      </c>
      <c r="HI172" t="str">
        <f>""</f>
        <v/>
      </c>
      <c r="HJ172" t="str">
        <f>""</f>
        <v/>
      </c>
      <c r="HK172" t="str">
        <f>""</f>
        <v/>
      </c>
      <c r="HL172" t="str">
        <f>""</f>
        <v/>
      </c>
      <c r="HM172" t="str">
        <f>""</f>
        <v/>
      </c>
      <c r="HN172" t="str">
        <f>""</f>
        <v/>
      </c>
      <c r="HO172" t="str">
        <f>""</f>
        <v/>
      </c>
      <c r="HP172" t="str">
        <f>""</f>
        <v/>
      </c>
      <c r="HQ172" t="str">
        <f>""</f>
        <v/>
      </c>
      <c r="HR172" t="str">
        <f>""</f>
        <v/>
      </c>
      <c r="HS172" t="str">
        <f>""</f>
        <v/>
      </c>
      <c r="HT172" t="str">
        <f>""</f>
        <v/>
      </c>
      <c r="HU172" t="str">
        <f>""</f>
        <v/>
      </c>
      <c r="HV172" t="str">
        <f>""</f>
        <v/>
      </c>
      <c r="HW172" t="str">
        <f>""</f>
        <v/>
      </c>
      <c r="HX172" t="str">
        <f>""</f>
        <v/>
      </c>
      <c r="HY172" t="str">
        <f>""</f>
        <v/>
      </c>
      <c r="HZ172" t="str">
        <f>""</f>
        <v/>
      </c>
      <c r="IA172" t="str">
        <f>""</f>
        <v/>
      </c>
      <c r="IB172" t="str">
        <f>""</f>
        <v/>
      </c>
      <c r="IC172" t="str">
        <f>""</f>
        <v/>
      </c>
      <c r="ID172" t="str">
        <f>""</f>
        <v/>
      </c>
      <c r="IE172" t="str">
        <f>""</f>
        <v/>
      </c>
      <c r="IF172" t="str">
        <f>""</f>
        <v/>
      </c>
      <c r="IG172" t="str">
        <f>""</f>
        <v/>
      </c>
      <c r="IH172" t="str">
        <f>""</f>
        <v/>
      </c>
      <c r="II172" t="str">
        <f>""</f>
        <v/>
      </c>
      <c r="IJ172" t="str">
        <f>""</f>
        <v/>
      </c>
      <c r="IK172" t="str">
        <f>""</f>
        <v/>
      </c>
      <c r="IL172" t="str">
        <f>""</f>
        <v/>
      </c>
      <c r="IM172" t="str">
        <f>""</f>
        <v/>
      </c>
      <c r="IN172" t="str">
        <f>""</f>
        <v/>
      </c>
      <c r="IO172" t="str">
        <f>""</f>
        <v/>
      </c>
      <c r="IP172" t="str">
        <f>""</f>
        <v/>
      </c>
      <c r="IQ172" t="str">
        <f>""</f>
        <v/>
      </c>
      <c r="IR172" t="str">
        <f>""</f>
        <v/>
      </c>
      <c r="IS172" t="str">
        <f>""</f>
        <v/>
      </c>
      <c r="IT172" t="str">
        <f>""</f>
        <v/>
      </c>
      <c r="IU172" t="str">
        <f>""</f>
        <v/>
      </c>
      <c r="IV172" t="str">
        <f>""</f>
        <v/>
      </c>
      <c r="IW172" t="str">
        <f>""</f>
        <v/>
      </c>
      <c r="IX172" t="str">
        <f>""</f>
        <v/>
      </c>
      <c r="IY172" t="str">
        <f>""</f>
        <v/>
      </c>
      <c r="IZ172" t="str">
        <f>""</f>
        <v/>
      </c>
      <c r="JA172" t="str">
        <f>""</f>
        <v/>
      </c>
      <c r="JB172" t="str">
        <f>""</f>
        <v/>
      </c>
      <c r="JC172" t="str">
        <f>""</f>
        <v/>
      </c>
      <c r="JD172" t="str">
        <f>""</f>
        <v/>
      </c>
      <c r="JE172" t="str">
        <f>""</f>
        <v/>
      </c>
      <c r="JF172" t="str">
        <f>""</f>
        <v/>
      </c>
      <c r="JG172" t="str">
        <f>""</f>
        <v/>
      </c>
      <c r="JH172" t="str">
        <f>""</f>
        <v/>
      </c>
      <c r="JI172" t="str">
        <f>""</f>
        <v/>
      </c>
      <c r="JJ172" t="str">
        <f>""</f>
        <v/>
      </c>
      <c r="JK172" t="str">
        <f>""</f>
        <v/>
      </c>
    </row>
    <row r="174" spans="1:271" x14ac:dyDescent="0.3">
      <c r="A174" t="str">
        <f>"PM3"</f>
        <v>PM3</v>
      </c>
      <c r="B174" t="str">
        <f>""</f>
        <v/>
      </c>
      <c r="C174" t="str">
        <f>""</f>
        <v/>
      </c>
      <c r="D174" t="str">
        <f>""</f>
        <v/>
      </c>
      <c r="E174" t="str">
        <f>""</f>
        <v/>
      </c>
      <c r="F174" t="str">
        <f>""</f>
        <v/>
      </c>
      <c r="G174" t="str">
        <f>""</f>
        <v/>
      </c>
      <c r="H174" t="str">
        <f>""</f>
        <v/>
      </c>
      <c r="I174" t="str">
        <f>""</f>
        <v/>
      </c>
      <c r="J174" t="str">
        <f>""</f>
        <v/>
      </c>
      <c r="K174" t="str">
        <f>""</f>
        <v/>
      </c>
      <c r="L174" t="str">
        <f>""</f>
        <v/>
      </c>
      <c r="M174" t="str">
        <f>""</f>
        <v/>
      </c>
      <c r="N174" t="str">
        <f>""</f>
        <v/>
      </c>
      <c r="O174" t="str">
        <f>""</f>
        <v/>
      </c>
      <c r="P174" t="str">
        <f>""</f>
        <v/>
      </c>
      <c r="Q174" t="str">
        <f>""</f>
        <v/>
      </c>
      <c r="R174" t="str">
        <f>""</f>
        <v/>
      </c>
      <c r="S174" t="str">
        <f>""</f>
        <v/>
      </c>
      <c r="T174" t="str">
        <f>""</f>
        <v/>
      </c>
      <c r="U174" t="str">
        <f>""</f>
        <v/>
      </c>
      <c r="V174" t="str">
        <f>""</f>
        <v/>
      </c>
      <c r="W174" t="str">
        <f>""</f>
        <v/>
      </c>
      <c r="X174" t="str">
        <f>""</f>
        <v/>
      </c>
      <c r="Y174" t="str">
        <f>""</f>
        <v/>
      </c>
      <c r="Z174" t="str">
        <f>""</f>
        <v/>
      </c>
      <c r="AA174" t="str">
        <f>""</f>
        <v/>
      </c>
      <c r="AB174" t="str">
        <f>""</f>
        <v/>
      </c>
      <c r="AC174" t="str">
        <f>""</f>
        <v/>
      </c>
      <c r="AD174" t="str">
        <f>""</f>
        <v/>
      </c>
      <c r="AE174" t="str">
        <f>""</f>
        <v/>
      </c>
      <c r="AF174" t="str">
        <f>""</f>
        <v/>
      </c>
      <c r="AG174" t="str">
        <f>""</f>
        <v/>
      </c>
      <c r="AH174" t="str">
        <f>""</f>
        <v/>
      </c>
      <c r="AI174" t="str">
        <f>""</f>
        <v/>
      </c>
      <c r="AJ174" t="str">
        <f>""</f>
        <v/>
      </c>
      <c r="AK174" t="str">
        <f>""</f>
        <v/>
      </c>
      <c r="AL174" t="str">
        <f>""</f>
        <v/>
      </c>
      <c r="AM174" t="str">
        <f>""</f>
        <v/>
      </c>
      <c r="AN174" t="str">
        <f>""</f>
        <v/>
      </c>
      <c r="AO174" t="str">
        <f>""</f>
        <v/>
      </c>
      <c r="AP174" t="str">
        <f>""</f>
        <v/>
      </c>
      <c r="AQ174" t="str">
        <f>""</f>
        <v/>
      </c>
      <c r="AR174" t="str">
        <f>""</f>
        <v/>
      </c>
      <c r="AS174" t="str">
        <f>""</f>
        <v/>
      </c>
      <c r="AT174" t="str">
        <f>""</f>
        <v/>
      </c>
      <c r="AU174" t="str">
        <f>""</f>
        <v/>
      </c>
      <c r="AV174" t="str">
        <f>""</f>
        <v/>
      </c>
      <c r="AW174" t="str">
        <f>""</f>
        <v/>
      </c>
      <c r="AX174" t="str">
        <f>""</f>
        <v/>
      </c>
      <c r="AY174" t="str">
        <f>""</f>
        <v/>
      </c>
      <c r="AZ174" t="str">
        <f>""</f>
        <v/>
      </c>
      <c r="BA174" t="str">
        <f>""</f>
        <v/>
      </c>
      <c r="BB174" t="str">
        <f>""</f>
        <v/>
      </c>
      <c r="BC174" t="str">
        <f>""</f>
        <v/>
      </c>
      <c r="BD174" t="str">
        <f>""</f>
        <v/>
      </c>
      <c r="BE174" t="str">
        <f>""</f>
        <v/>
      </c>
      <c r="BF174" t="str">
        <f>""</f>
        <v/>
      </c>
      <c r="BG174" t="str">
        <f>""</f>
        <v/>
      </c>
      <c r="BH174" t="str">
        <f>""</f>
        <v/>
      </c>
      <c r="BI174" t="str">
        <f>""</f>
        <v/>
      </c>
      <c r="BJ174" t="str">
        <f>""</f>
        <v/>
      </c>
      <c r="BK174" t="str">
        <f>""</f>
        <v/>
      </c>
      <c r="BL174" t="str">
        <f>""</f>
        <v/>
      </c>
      <c r="BM174" t="str">
        <f>""</f>
        <v/>
      </c>
      <c r="BN174" t="str">
        <f>""</f>
        <v/>
      </c>
      <c r="BO174" t="str">
        <f>""</f>
        <v/>
      </c>
      <c r="BP174" t="str">
        <f>""</f>
        <v/>
      </c>
      <c r="BQ174" t="str">
        <f>""</f>
        <v/>
      </c>
      <c r="BR174" t="str">
        <f>""</f>
        <v/>
      </c>
      <c r="BS174" t="str">
        <f>""</f>
        <v/>
      </c>
      <c r="BT174" t="str">
        <f>""</f>
        <v/>
      </c>
      <c r="BU174" t="str">
        <f>""</f>
        <v/>
      </c>
      <c r="BV174" t="str">
        <f>""</f>
        <v/>
      </c>
      <c r="BW174" t="str">
        <f>""</f>
        <v/>
      </c>
      <c r="BX174" t="str">
        <f>""</f>
        <v/>
      </c>
      <c r="BY174" t="str">
        <f>""</f>
        <v/>
      </c>
      <c r="BZ174" t="str">
        <f>""</f>
        <v/>
      </c>
      <c r="CA174" t="str">
        <f>""</f>
        <v/>
      </c>
      <c r="CB174" t="str">
        <f>""</f>
        <v/>
      </c>
      <c r="CC174" t="str">
        <f>""</f>
        <v/>
      </c>
      <c r="CD174" t="str">
        <f>""</f>
        <v/>
      </c>
      <c r="CE174" t="str">
        <f>""</f>
        <v/>
      </c>
      <c r="CF174" t="str">
        <f>""</f>
        <v/>
      </c>
      <c r="CG174" t="str">
        <f>""</f>
        <v/>
      </c>
      <c r="CH174" t="str">
        <f>""</f>
        <v/>
      </c>
      <c r="CI174" t="str">
        <f>""</f>
        <v/>
      </c>
      <c r="CJ174" t="str">
        <f>""</f>
        <v/>
      </c>
      <c r="CK174" t="str">
        <f>""</f>
        <v/>
      </c>
      <c r="CL174" t="str">
        <f>""</f>
        <v/>
      </c>
      <c r="CM174" t="str">
        <f>""</f>
        <v/>
      </c>
      <c r="CN174" t="str">
        <f>"-0.00182"</f>
        <v>-0.00182</v>
      </c>
      <c r="CO174" t="str">
        <f>"-0.195*"</f>
        <v>-0.195*</v>
      </c>
      <c r="CP174" t="str">
        <f>"0.0183"</f>
        <v>0.0183</v>
      </c>
      <c r="CQ174" t="str">
        <f>"0.00256"</f>
        <v>0.00256</v>
      </c>
      <c r="CR174" t="str">
        <f>"-0.200*"</f>
        <v>-0.200*</v>
      </c>
      <c r="CS174" t="str">
        <f>"0.0248"</f>
        <v>0.0248</v>
      </c>
      <c r="CT174" t="str">
        <f>"0.0149"</f>
        <v>0.0149</v>
      </c>
      <c r="CU174" t="str">
        <f>"-0.199*"</f>
        <v>-0.199*</v>
      </c>
      <c r="CV174" t="str">
        <f>"0.0372"</f>
        <v>0.0372</v>
      </c>
      <c r="CW174" t="str">
        <f>"-0.0234"</f>
        <v>-0.0234</v>
      </c>
      <c r="CX174" t="str">
        <f>"-0.204*"</f>
        <v>-0.204*</v>
      </c>
      <c r="CY174" t="str">
        <f>"0.0370"</f>
        <v>0.0370</v>
      </c>
      <c r="CZ174" t="str">
        <f>"0.000708"</f>
        <v>0.000708</v>
      </c>
      <c r="DA174" t="str">
        <f>"-0.198*"</f>
        <v>-0.198*</v>
      </c>
      <c r="DB174" t="str">
        <f>"0.0296"</f>
        <v>0.0296</v>
      </c>
      <c r="DC174" t="str">
        <f>"0.0155"</f>
        <v>0.0155</v>
      </c>
      <c r="DD174" t="str">
        <f>"-0.203*"</f>
        <v>-0.203*</v>
      </c>
      <c r="DE174" t="str">
        <f>"0.0188"</f>
        <v>0.0188</v>
      </c>
      <c r="DF174" t="str">
        <f>"0.0194"</f>
        <v>0.0194</v>
      </c>
      <c r="DG174" t="str">
        <f>"-0.201*"</f>
        <v>-0.201*</v>
      </c>
      <c r="DH174" t="str">
        <f>"0.0271"</f>
        <v>0.0271</v>
      </c>
      <c r="DI174" t="str">
        <f>"0.0138"</f>
        <v>0.0138</v>
      </c>
      <c r="DJ174" t="str">
        <f>"-0.193*"</f>
        <v>-0.193*</v>
      </c>
      <c r="DK174" t="str">
        <f>"0.0200"</f>
        <v>0.0200</v>
      </c>
      <c r="DL174" t="str">
        <f>"0.0223"</f>
        <v>0.0223</v>
      </c>
      <c r="DM174" t="str">
        <f>"-0.198*"</f>
        <v>-0.198*</v>
      </c>
      <c r="DN174" t="str">
        <f>"0.0232"</f>
        <v>0.0232</v>
      </c>
      <c r="DO174" t="str">
        <f>"0.0182"</f>
        <v>0.0182</v>
      </c>
      <c r="DP174" t="str">
        <f>"-0.199*"</f>
        <v>-0.199*</v>
      </c>
      <c r="DQ174" t="str">
        <f>"0.0249"</f>
        <v>0.0249</v>
      </c>
      <c r="DR174" t="str">
        <f>"0.0116"</f>
        <v>0.0116</v>
      </c>
      <c r="DS174" t="str">
        <f>"-0.194*"</f>
        <v>-0.194*</v>
      </c>
      <c r="DT174" t="str">
        <f>"0.0391"</f>
        <v>0.0391</v>
      </c>
      <c r="DU174" t="str">
        <f>"0.00502"</f>
        <v>0.00502</v>
      </c>
      <c r="DV174" t="str">
        <f>"-0.194*"</f>
        <v>-0.194*</v>
      </c>
      <c r="DW174" t="str">
        <f>"0.0268"</f>
        <v>0.0268</v>
      </c>
      <c r="DX174" t="str">
        <f>"0.00381"</f>
        <v>0.00381</v>
      </c>
      <c r="DY174" t="str">
        <f>"-0.196*"</f>
        <v>-0.196*</v>
      </c>
      <c r="DZ174" t="str">
        <f>"0.0215"</f>
        <v>0.0215</v>
      </c>
      <c r="EA174" t="str">
        <f>"0.0192"</f>
        <v>0.0192</v>
      </c>
      <c r="EB174" t="str">
        <f>"-0.196*"</f>
        <v>-0.196*</v>
      </c>
      <c r="EC174" t="str">
        <f>"0.0291"</f>
        <v>0.0291</v>
      </c>
      <c r="ED174" t="str">
        <f>"0.0167"</f>
        <v>0.0167</v>
      </c>
      <c r="EE174" t="str">
        <f>"-0.198*"</f>
        <v>-0.198*</v>
      </c>
      <c r="EF174" t="str">
        <f>"0.0173"</f>
        <v>0.0173</v>
      </c>
      <c r="EG174" t="str">
        <f>""</f>
        <v/>
      </c>
      <c r="EH174" t="str">
        <f>""</f>
        <v/>
      </c>
      <c r="EI174" t="str">
        <f>""</f>
        <v/>
      </c>
      <c r="EJ174" t="str">
        <f>""</f>
        <v/>
      </c>
      <c r="EK174" t="str">
        <f>""</f>
        <v/>
      </c>
      <c r="EL174" t="str">
        <f>""</f>
        <v/>
      </c>
      <c r="EM174" t="str">
        <f>""</f>
        <v/>
      </c>
      <c r="EN174" t="str">
        <f>""</f>
        <v/>
      </c>
      <c r="EO174" t="str">
        <f>""</f>
        <v/>
      </c>
      <c r="EP174" t="str">
        <f>""</f>
        <v/>
      </c>
      <c r="EQ174" t="str">
        <f>""</f>
        <v/>
      </c>
      <c r="ER174" t="str">
        <f>""</f>
        <v/>
      </c>
      <c r="ES174" t="str">
        <f>""</f>
        <v/>
      </c>
      <c r="ET174" t="str">
        <f>""</f>
        <v/>
      </c>
      <c r="EU174" t="str">
        <f>""</f>
        <v/>
      </c>
      <c r="EV174" t="str">
        <f>""</f>
        <v/>
      </c>
      <c r="EW174" t="str">
        <f>""</f>
        <v/>
      </c>
      <c r="EX174" t="str">
        <f>""</f>
        <v/>
      </c>
      <c r="EY174" t="str">
        <f>""</f>
        <v/>
      </c>
      <c r="EZ174" t="str">
        <f>""</f>
        <v/>
      </c>
      <c r="FA174" t="str">
        <f>""</f>
        <v/>
      </c>
      <c r="FB174" t="str">
        <f>""</f>
        <v/>
      </c>
      <c r="FC174" t="str">
        <f>""</f>
        <v/>
      </c>
      <c r="FD174" t="str">
        <f>""</f>
        <v/>
      </c>
      <c r="FE174" t="str">
        <f>""</f>
        <v/>
      </c>
      <c r="FF174" t="str">
        <f>""</f>
        <v/>
      </c>
      <c r="FG174" t="str">
        <f>""</f>
        <v/>
      </c>
      <c r="FH174" t="str">
        <f>""</f>
        <v/>
      </c>
      <c r="FI174" t="str">
        <f>""</f>
        <v/>
      </c>
      <c r="FJ174" t="str">
        <f>""</f>
        <v/>
      </c>
      <c r="FK174" t="str">
        <f>""</f>
        <v/>
      </c>
      <c r="FL174" t="str">
        <f>""</f>
        <v/>
      </c>
      <c r="FM174" t="str">
        <f>""</f>
        <v/>
      </c>
      <c r="FN174" t="str">
        <f>""</f>
        <v/>
      </c>
      <c r="FO174" t="str">
        <f>""</f>
        <v/>
      </c>
      <c r="FP174" t="str">
        <f>""</f>
        <v/>
      </c>
      <c r="FQ174" t="str">
        <f>""</f>
        <v/>
      </c>
      <c r="FR174" t="str">
        <f>""</f>
        <v/>
      </c>
      <c r="FS174" t="str">
        <f>""</f>
        <v/>
      </c>
      <c r="FT174" t="str">
        <f>""</f>
        <v/>
      </c>
      <c r="FU174" t="str">
        <f>""</f>
        <v/>
      </c>
      <c r="FV174" t="str">
        <f>""</f>
        <v/>
      </c>
      <c r="FW174" t="str">
        <f>""</f>
        <v/>
      </c>
      <c r="FX174" t="str">
        <f>""</f>
        <v/>
      </c>
      <c r="FY174" t="str">
        <f>""</f>
        <v/>
      </c>
      <c r="FZ174" t="str">
        <f>""</f>
        <v/>
      </c>
      <c r="GA174" t="str">
        <f>""</f>
        <v/>
      </c>
      <c r="GB174" t="str">
        <f>""</f>
        <v/>
      </c>
      <c r="GC174" t="str">
        <f>""</f>
        <v/>
      </c>
      <c r="GD174" t="str">
        <f>""</f>
        <v/>
      </c>
      <c r="GE174" t="str">
        <f>""</f>
        <v/>
      </c>
      <c r="GF174" t="str">
        <f>""</f>
        <v/>
      </c>
      <c r="GG174" t="str">
        <f>""</f>
        <v/>
      </c>
      <c r="GH174" t="str">
        <f>""</f>
        <v/>
      </c>
      <c r="GI174" t="str">
        <f>""</f>
        <v/>
      </c>
      <c r="GJ174" t="str">
        <f>""</f>
        <v/>
      </c>
      <c r="GK174" t="str">
        <f>""</f>
        <v/>
      </c>
      <c r="GL174" t="str">
        <f>""</f>
        <v/>
      </c>
      <c r="GM174" t="str">
        <f>""</f>
        <v/>
      </c>
      <c r="GN174" t="str">
        <f>""</f>
        <v/>
      </c>
      <c r="GO174" t="str">
        <f>""</f>
        <v/>
      </c>
      <c r="GP174" t="str">
        <f>""</f>
        <v/>
      </c>
      <c r="GQ174" t="str">
        <f>""</f>
        <v/>
      </c>
      <c r="GR174" t="str">
        <f>""</f>
        <v/>
      </c>
      <c r="GS174" t="str">
        <f>""</f>
        <v/>
      </c>
      <c r="GT174" t="str">
        <f>""</f>
        <v/>
      </c>
      <c r="GU174" t="str">
        <f>""</f>
        <v/>
      </c>
      <c r="GV174" t="str">
        <f>""</f>
        <v/>
      </c>
      <c r="GW174" t="str">
        <f>""</f>
        <v/>
      </c>
      <c r="GX174" t="str">
        <f>""</f>
        <v/>
      </c>
      <c r="GY174" t="str">
        <f>""</f>
        <v/>
      </c>
      <c r="GZ174" t="str">
        <f>""</f>
        <v/>
      </c>
      <c r="HA174" t="str">
        <f>""</f>
        <v/>
      </c>
      <c r="HB174" t="str">
        <f>""</f>
        <v/>
      </c>
      <c r="HC174" t="str">
        <f>""</f>
        <v/>
      </c>
      <c r="HD174" t="str">
        <f>""</f>
        <v/>
      </c>
      <c r="HE174" t="str">
        <f>""</f>
        <v/>
      </c>
      <c r="HF174" t="str">
        <f>""</f>
        <v/>
      </c>
      <c r="HG174" t="str">
        <f>""</f>
        <v/>
      </c>
      <c r="HH174" t="str">
        <f>""</f>
        <v/>
      </c>
      <c r="HI174" t="str">
        <f>""</f>
        <v/>
      </c>
      <c r="HJ174" t="str">
        <f>""</f>
        <v/>
      </c>
      <c r="HK174" t="str">
        <f>""</f>
        <v/>
      </c>
      <c r="HL174" t="str">
        <f>""</f>
        <v/>
      </c>
      <c r="HM174" t="str">
        <f>""</f>
        <v/>
      </c>
      <c r="HN174" t="str">
        <f>""</f>
        <v/>
      </c>
      <c r="HO174" t="str">
        <f>""</f>
        <v/>
      </c>
      <c r="HP174" t="str">
        <f>""</f>
        <v/>
      </c>
      <c r="HQ174" t="str">
        <f>""</f>
        <v/>
      </c>
      <c r="HR174" t="str">
        <f>""</f>
        <v/>
      </c>
      <c r="HS174" t="str">
        <f>""</f>
        <v/>
      </c>
      <c r="HT174" t="str">
        <f>""</f>
        <v/>
      </c>
      <c r="HU174" t="str">
        <f>""</f>
        <v/>
      </c>
      <c r="HV174" t="str">
        <f>""</f>
        <v/>
      </c>
      <c r="HW174" t="str">
        <f>""</f>
        <v/>
      </c>
      <c r="HX174" t="str">
        <f>""</f>
        <v/>
      </c>
      <c r="HY174" t="str">
        <f>""</f>
        <v/>
      </c>
      <c r="HZ174" t="str">
        <f>""</f>
        <v/>
      </c>
      <c r="IA174" t="str">
        <f>""</f>
        <v/>
      </c>
      <c r="IB174" t="str">
        <f>""</f>
        <v/>
      </c>
      <c r="IC174" t="str">
        <f>""</f>
        <v/>
      </c>
      <c r="ID174" t="str">
        <f>""</f>
        <v/>
      </c>
      <c r="IE174" t="str">
        <f>""</f>
        <v/>
      </c>
      <c r="IF174" t="str">
        <f>""</f>
        <v/>
      </c>
      <c r="IG174" t="str">
        <f>""</f>
        <v/>
      </c>
      <c r="IH174" t="str">
        <f>""</f>
        <v/>
      </c>
      <c r="II174" t="str">
        <f>""</f>
        <v/>
      </c>
      <c r="IJ174" t="str">
        <f>""</f>
        <v/>
      </c>
      <c r="IK174" t="str">
        <f>""</f>
        <v/>
      </c>
      <c r="IL174" t="str">
        <f>""</f>
        <v/>
      </c>
      <c r="IM174" t="str">
        <f>""</f>
        <v/>
      </c>
      <c r="IN174" t="str">
        <f>""</f>
        <v/>
      </c>
      <c r="IO174" t="str">
        <f>""</f>
        <v/>
      </c>
      <c r="IP174" t="str">
        <f>""</f>
        <v/>
      </c>
      <c r="IQ174" t="str">
        <f>""</f>
        <v/>
      </c>
      <c r="IR174" t="str">
        <f>""</f>
        <v/>
      </c>
      <c r="IS174" t="str">
        <f>""</f>
        <v/>
      </c>
      <c r="IT174" t="str">
        <f>""</f>
        <v/>
      </c>
      <c r="IU174" t="str">
        <f>""</f>
        <v/>
      </c>
      <c r="IV174" t="str">
        <f>""</f>
        <v/>
      </c>
      <c r="IW174" t="str">
        <f>""</f>
        <v/>
      </c>
      <c r="IX174" t="str">
        <f>""</f>
        <v/>
      </c>
      <c r="IY174" t="str">
        <f>""</f>
        <v/>
      </c>
      <c r="IZ174" t="str">
        <f>""</f>
        <v/>
      </c>
      <c r="JA174" t="str">
        <f>""</f>
        <v/>
      </c>
      <c r="JB174" t="str">
        <f>""</f>
        <v/>
      </c>
      <c r="JC174" t="str">
        <f>""</f>
        <v/>
      </c>
      <c r="JD174" t="str">
        <f>""</f>
        <v/>
      </c>
      <c r="JE174" t="str">
        <f>""</f>
        <v/>
      </c>
      <c r="JF174" t="str">
        <f>""</f>
        <v/>
      </c>
      <c r="JG174" t="str">
        <f>""</f>
        <v/>
      </c>
      <c r="JH174" t="str">
        <f>""</f>
        <v/>
      </c>
      <c r="JI174" t="str">
        <f>""</f>
        <v/>
      </c>
      <c r="JJ174" t="str">
        <f>""</f>
        <v/>
      </c>
      <c r="JK174" t="str">
        <f>""</f>
        <v/>
      </c>
    </row>
    <row r="175" spans="1:271" x14ac:dyDescent="0.3">
      <c r="A175" t="str">
        <f>""</f>
        <v/>
      </c>
      <c r="B175" t="str">
        <f>""</f>
        <v/>
      </c>
      <c r="C175" t="str">
        <f>""</f>
        <v/>
      </c>
      <c r="D175" t="str">
        <f>""</f>
        <v/>
      </c>
      <c r="E175" t="str">
        <f>""</f>
        <v/>
      </c>
      <c r="F175" t="str">
        <f>""</f>
        <v/>
      </c>
      <c r="G175" t="str">
        <f>""</f>
        <v/>
      </c>
      <c r="H175" t="str">
        <f>""</f>
        <v/>
      </c>
      <c r="I175" t="str">
        <f>""</f>
        <v/>
      </c>
      <c r="J175" t="str">
        <f>""</f>
        <v/>
      </c>
      <c r="K175" t="str">
        <f>""</f>
        <v/>
      </c>
      <c r="L175" t="str">
        <f>""</f>
        <v/>
      </c>
      <c r="M175" t="str">
        <f>""</f>
        <v/>
      </c>
      <c r="N175" t="str">
        <f>""</f>
        <v/>
      </c>
      <c r="O175" t="str">
        <f>""</f>
        <v/>
      </c>
      <c r="P175" t="str">
        <f>""</f>
        <v/>
      </c>
      <c r="Q175" t="str">
        <f>""</f>
        <v/>
      </c>
      <c r="R175" t="str">
        <f>""</f>
        <v/>
      </c>
      <c r="S175" t="str">
        <f>""</f>
        <v/>
      </c>
      <c r="T175" t="str">
        <f>""</f>
        <v/>
      </c>
      <c r="U175" t="str">
        <f>""</f>
        <v/>
      </c>
      <c r="V175" t="str">
        <f>""</f>
        <v/>
      </c>
      <c r="W175" t="str">
        <f>""</f>
        <v/>
      </c>
      <c r="X175" t="str">
        <f>""</f>
        <v/>
      </c>
      <c r="Y175" t="str">
        <f>""</f>
        <v/>
      </c>
      <c r="Z175" t="str">
        <f>""</f>
        <v/>
      </c>
      <c r="AA175" t="str">
        <f>""</f>
        <v/>
      </c>
      <c r="AB175" t="str">
        <f>""</f>
        <v/>
      </c>
      <c r="AC175" t="str">
        <f>""</f>
        <v/>
      </c>
      <c r="AD175" t="str">
        <f>""</f>
        <v/>
      </c>
      <c r="AE175" t="str">
        <f>""</f>
        <v/>
      </c>
      <c r="AF175" t="str">
        <f>""</f>
        <v/>
      </c>
      <c r="AG175" t="str">
        <f>""</f>
        <v/>
      </c>
      <c r="AH175" t="str">
        <f>""</f>
        <v/>
      </c>
      <c r="AI175" t="str">
        <f>""</f>
        <v/>
      </c>
      <c r="AJ175" t="str">
        <f>""</f>
        <v/>
      </c>
      <c r="AK175" t="str">
        <f>""</f>
        <v/>
      </c>
      <c r="AL175" t="str">
        <f>""</f>
        <v/>
      </c>
      <c r="AM175" t="str">
        <f>""</f>
        <v/>
      </c>
      <c r="AN175" t="str">
        <f>""</f>
        <v/>
      </c>
      <c r="AO175" t="str">
        <f>""</f>
        <v/>
      </c>
      <c r="AP175" t="str">
        <f>""</f>
        <v/>
      </c>
      <c r="AQ175" t="str">
        <f>""</f>
        <v/>
      </c>
      <c r="AR175" t="str">
        <f>""</f>
        <v/>
      </c>
      <c r="AS175" t="str">
        <f>""</f>
        <v/>
      </c>
      <c r="AT175" t="str">
        <f>""</f>
        <v/>
      </c>
      <c r="AU175" t="str">
        <f>""</f>
        <v/>
      </c>
      <c r="AV175" t="str">
        <f>""</f>
        <v/>
      </c>
      <c r="AW175" t="str">
        <f>""</f>
        <v/>
      </c>
      <c r="AX175" t="str">
        <f>""</f>
        <v/>
      </c>
      <c r="AY175" t="str">
        <f>""</f>
        <v/>
      </c>
      <c r="AZ175" t="str">
        <f>""</f>
        <v/>
      </c>
      <c r="BA175" t="str">
        <f>""</f>
        <v/>
      </c>
      <c r="BB175" t="str">
        <f>""</f>
        <v/>
      </c>
      <c r="BC175" t="str">
        <f>""</f>
        <v/>
      </c>
      <c r="BD175" t="str">
        <f>""</f>
        <v/>
      </c>
      <c r="BE175" t="str">
        <f>""</f>
        <v/>
      </c>
      <c r="BF175" t="str">
        <f>""</f>
        <v/>
      </c>
      <c r="BG175" t="str">
        <f>""</f>
        <v/>
      </c>
      <c r="BH175" t="str">
        <f>""</f>
        <v/>
      </c>
      <c r="BI175" t="str">
        <f>""</f>
        <v/>
      </c>
      <c r="BJ175" t="str">
        <f>""</f>
        <v/>
      </c>
      <c r="BK175" t="str">
        <f>""</f>
        <v/>
      </c>
      <c r="BL175" t="str">
        <f>""</f>
        <v/>
      </c>
      <c r="BM175" t="str">
        <f>""</f>
        <v/>
      </c>
      <c r="BN175" t="str">
        <f>""</f>
        <v/>
      </c>
      <c r="BO175" t="str">
        <f>""</f>
        <v/>
      </c>
      <c r="BP175" t="str">
        <f>""</f>
        <v/>
      </c>
      <c r="BQ175" t="str">
        <f>""</f>
        <v/>
      </c>
      <c r="BR175" t="str">
        <f>""</f>
        <v/>
      </c>
      <c r="BS175" t="str">
        <f>""</f>
        <v/>
      </c>
      <c r="BT175" t="str">
        <f>""</f>
        <v/>
      </c>
      <c r="BU175" t="str">
        <f>""</f>
        <v/>
      </c>
      <c r="BV175" t="str">
        <f>""</f>
        <v/>
      </c>
      <c r="BW175" t="str">
        <f>""</f>
        <v/>
      </c>
      <c r="BX175" t="str">
        <f>""</f>
        <v/>
      </c>
      <c r="BY175" t="str">
        <f>""</f>
        <v/>
      </c>
      <c r="BZ175" t="str">
        <f>""</f>
        <v/>
      </c>
      <c r="CA175" t="str">
        <f>""</f>
        <v/>
      </c>
      <c r="CB175" t="str">
        <f>""</f>
        <v/>
      </c>
      <c r="CC175" t="str">
        <f>""</f>
        <v/>
      </c>
      <c r="CD175" t="str">
        <f>""</f>
        <v/>
      </c>
      <c r="CE175" t="str">
        <f>""</f>
        <v/>
      </c>
      <c r="CF175" t="str">
        <f>""</f>
        <v/>
      </c>
      <c r="CG175" t="str">
        <f>""</f>
        <v/>
      </c>
      <c r="CH175" t="str">
        <f>""</f>
        <v/>
      </c>
      <c r="CI175" t="str">
        <f>""</f>
        <v/>
      </c>
      <c r="CJ175" t="str">
        <f>""</f>
        <v/>
      </c>
      <c r="CK175" t="str">
        <f>""</f>
        <v/>
      </c>
      <c r="CL175" t="str">
        <f>""</f>
        <v/>
      </c>
      <c r="CM175" t="str">
        <f>""</f>
        <v/>
      </c>
      <c r="CN175" t="str">
        <f>"(0.108)"</f>
        <v>(0.108)</v>
      </c>
      <c r="CO175" t="str">
        <f>"(0.0846)"</f>
        <v>(0.0846)</v>
      </c>
      <c r="CP175" t="str">
        <f>"(0.0458)"</f>
        <v>(0.0458)</v>
      </c>
      <c r="CQ175" t="str">
        <f>"(0.106)"</f>
        <v>(0.106)</v>
      </c>
      <c r="CR175" t="str">
        <f>"(0.0837)"</f>
        <v>(0.0837)</v>
      </c>
      <c r="CS175" t="str">
        <f>"(0.0459)"</f>
        <v>(0.0459)</v>
      </c>
      <c r="CT175" t="str">
        <f>"(0.106)"</f>
        <v>(0.106)</v>
      </c>
      <c r="CU175" t="str">
        <f>"(0.0839)"</f>
        <v>(0.0839)</v>
      </c>
      <c r="CV175" t="str">
        <f>"(0.0470)"</f>
        <v>(0.0470)</v>
      </c>
      <c r="CW175" t="str">
        <f>"(0.108)"</f>
        <v>(0.108)</v>
      </c>
      <c r="CX175" t="str">
        <f>"(0.0843)"</f>
        <v>(0.0843)</v>
      </c>
      <c r="CY175" t="str">
        <f>"(0.0468)"</f>
        <v>(0.0468)</v>
      </c>
      <c r="CZ175" t="str">
        <f>"(0.106)"</f>
        <v>(0.106)</v>
      </c>
      <c r="DA175" t="str">
        <f>"(0.0840)"</f>
        <v>(0.0840)</v>
      </c>
      <c r="DB175" t="str">
        <f>"(0.0467)"</f>
        <v>(0.0467)</v>
      </c>
      <c r="DC175" t="str">
        <f>"(0.106)"</f>
        <v>(0.106)</v>
      </c>
      <c r="DD175" t="str">
        <f>"(0.0837)"</f>
        <v>(0.0837)</v>
      </c>
      <c r="DE175" t="str">
        <f>"(0.0456)"</f>
        <v>(0.0456)</v>
      </c>
      <c r="DF175" t="str">
        <f>"(0.106)"</f>
        <v>(0.106)</v>
      </c>
      <c r="DG175" t="str">
        <f>"(0.0837)"</f>
        <v>(0.0837)</v>
      </c>
      <c r="DH175" t="str">
        <f>"(0.0462)"</f>
        <v>(0.0462)</v>
      </c>
      <c r="DI175" t="str">
        <f>"(0.106)"</f>
        <v>(0.106)</v>
      </c>
      <c r="DJ175" t="str">
        <f>"(0.0837)"</f>
        <v>(0.0837)</v>
      </c>
      <c r="DK175" t="str">
        <f>"(0.0452)"</f>
        <v>(0.0452)</v>
      </c>
      <c r="DL175" t="str">
        <f>"(0.106)"</f>
        <v>(0.106)</v>
      </c>
      <c r="DM175" t="str">
        <f>"(0.0836)"</f>
        <v>(0.0836)</v>
      </c>
      <c r="DN175" t="str">
        <f>"(0.0451)"</f>
        <v>(0.0451)</v>
      </c>
      <c r="DO175" t="str">
        <f>"(0.106)"</f>
        <v>(0.106)</v>
      </c>
      <c r="DP175" t="str">
        <f>"(0.0836)"</f>
        <v>(0.0836)</v>
      </c>
      <c r="DQ175" t="str">
        <f>"(0.0452)"</f>
        <v>(0.0452)</v>
      </c>
      <c r="DR175" t="str">
        <f>"(0.106)"</f>
        <v>(0.106)</v>
      </c>
      <c r="DS175" t="str">
        <f>"(0.0839)"</f>
        <v>(0.0839)</v>
      </c>
      <c r="DT175" t="str">
        <f>"(0.0461)"</f>
        <v>(0.0461)</v>
      </c>
      <c r="DU175" t="str">
        <f>"(0.106)"</f>
        <v>(0.106)</v>
      </c>
      <c r="DV175" t="str">
        <f>"(0.0835)"</f>
        <v>(0.0835)</v>
      </c>
      <c r="DW175" t="str">
        <f>"(0.0451)"</f>
        <v>(0.0451)</v>
      </c>
      <c r="DX175" t="str">
        <f>"(0.107)"</f>
        <v>(0.107)</v>
      </c>
      <c r="DY175" t="str">
        <f>"(0.0839)"</f>
        <v>(0.0839)</v>
      </c>
      <c r="DZ175" t="str">
        <f>"(0.0458)"</f>
        <v>(0.0458)</v>
      </c>
      <c r="EA175" t="str">
        <f>"(0.106)"</f>
        <v>(0.106)</v>
      </c>
      <c r="EB175" t="str">
        <f>"(0.0835)"</f>
        <v>(0.0835)</v>
      </c>
      <c r="EC175" t="str">
        <f>"(0.0452)"</f>
        <v>(0.0452)</v>
      </c>
      <c r="ED175" t="str">
        <f>"(0.106)"</f>
        <v>(0.106)</v>
      </c>
      <c r="EE175" t="str">
        <f>"(0.0836)"</f>
        <v>(0.0836)</v>
      </c>
      <c r="EF175" t="str">
        <f>"(0.0454)"</f>
        <v>(0.0454)</v>
      </c>
      <c r="EG175" t="str">
        <f>""</f>
        <v/>
      </c>
      <c r="EH175" t="str">
        <f>""</f>
        <v/>
      </c>
      <c r="EI175" t="str">
        <f>""</f>
        <v/>
      </c>
      <c r="EJ175" t="str">
        <f>""</f>
        <v/>
      </c>
      <c r="EK175" t="str">
        <f>""</f>
        <v/>
      </c>
      <c r="EL175" t="str">
        <f>""</f>
        <v/>
      </c>
      <c r="EM175" t="str">
        <f>""</f>
        <v/>
      </c>
      <c r="EN175" t="str">
        <f>""</f>
        <v/>
      </c>
      <c r="EO175" t="str">
        <f>""</f>
        <v/>
      </c>
      <c r="EP175" t="str">
        <f>""</f>
        <v/>
      </c>
      <c r="EQ175" t="str">
        <f>""</f>
        <v/>
      </c>
      <c r="ER175" t="str">
        <f>""</f>
        <v/>
      </c>
      <c r="ES175" t="str">
        <f>""</f>
        <v/>
      </c>
      <c r="ET175" t="str">
        <f>""</f>
        <v/>
      </c>
      <c r="EU175" t="str">
        <f>""</f>
        <v/>
      </c>
      <c r="EV175" t="str">
        <f>""</f>
        <v/>
      </c>
      <c r="EW175" t="str">
        <f>""</f>
        <v/>
      </c>
      <c r="EX175" t="str">
        <f>""</f>
        <v/>
      </c>
      <c r="EY175" t="str">
        <f>""</f>
        <v/>
      </c>
      <c r="EZ175" t="str">
        <f>""</f>
        <v/>
      </c>
      <c r="FA175" t="str">
        <f>""</f>
        <v/>
      </c>
      <c r="FB175" t="str">
        <f>""</f>
        <v/>
      </c>
      <c r="FC175" t="str">
        <f>""</f>
        <v/>
      </c>
      <c r="FD175" t="str">
        <f>""</f>
        <v/>
      </c>
      <c r="FE175" t="str">
        <f>""</f>
        <v/>
      </c>
      <c r="FF175" t="str">
        <f>""</f>
        <v/>
      </c>
      <c r="FG175" t="str">
        <f>""</f>
        <v/>
      </c>
      <c r="FH175" t="str">
        <f>""</f>
        <v/>
      </c>
      <c r="FI175" t="str">
        <f>""</f>
        <v/>
      </c>
      <c r="FJ175" t="str">
        <f>""</f>
        <v/>
      </c>
      <c r="FK175" t="str">
        <f>""</f>
        <v/>
      </c>
      <c r="FL175" t="str">
        <f>""</f>
        <v/>
      </c>
      <c r="FM175" t="str">
        <f>""</f>
        <v/>
      </c>
      <c r="FN175" t="str">
        <f>""</f>
        <v/>
      </c>
      <c r="FO175" t="str">
        <f>""</f>
        <v/>
      </c>
      <c r="FP175" t="str">
        <f>""</f>
        <v/>
      </c>
      <c r="FQ175" t="str">
        <f>""</f>
        <v/>
      </c>
      <c r="FR175" t="str">
        <f>""</f>
        <v/>
      </c>
      <c r="FS175" t="str">
        <f>""</f>
        <v/>
      </c>
      <c r="FT175" t="str">
        <f>""</f>
        <v/>
      </c>
      <c r="FU175" t="str">
        <f>""</f>
        <v/>
      </c>
      <c r="FV175" t="str">
        <f>""</f>
        <v/>
      </c>
      <c r="FW175" t="str">
        <f>""</f>
        <v/>
      </c>
      <c r="FX175" t="str">
        <f>""</f>
        <v/>
      </c>
      <c r="FY175" t="str">
        <f>""</f>
        <v/>
      </c>
      <c r="FZ175" t="str">
        <f>""</f>
        <v/>
      </c>
      <c r="GA175" t="str">
        <f>""</f>
        <v/>
      </c>
      <c r="GB175" t="str">
        <f>""</f>
        <v/>
      </c>
      <c r="GC175" t="str">
        <f>""</f>
        <v/>
      </c>
      <c r="GD175" t="str">
        <f>""</f>
        <v/>
      </c>
      <c r="GE175" t="str">
        <f>""</f>
        <v/>
      </c>
      <c r="GF175" t="str">
        <f>""</f>
        <v/>
      </c>
      <c r="GG175" t="str">
        <f>""</f>
        <v/>
      </c>
      <c r="GH175" t="str">
        <f>""</f>
        <v/>
      </c>
      <c r="GI175" t="str">
        <f>""</f>
        <v/>
      </c>
      <c r="GJ175" t="str">
        <f>""</f>
        <v/>
      </c>
      <c r="GK175" t="str">
        <f>""</f>
        <v/>
      </c>
      <c r="GL175" t="str">
        <f>""</f>
        <v/>
      </c>
      <c r="GM175" t="str">
        <f>""</f>
        <v/>
      </c>
      <c r="GN175" t="str">
        <f>""</f>
        <v/>
      </c>
      <c r="GO175" t="str">
        <f>""</f>
        <v/>
      </c>
      <c r="GP175" t="str">
        <f>""</f>
        <v/>
      </c>
      <c r="GQ175" t="str">
        <f>""</f>
        <v/>
      </c>
      <c r="GR175" t="str">
        <f>""</f>
        <v/>
      </c>
      <c r="GS175" t="str">
        <f>""</f>
        <v/>
      </c>
      <c r="GT175" t="str">
        <f>""</f>
        <v/>
      </c>
      <c r="GU175" t="str">
        <f>""</f>
        <v/>
      </c>
      <c r="GV175" t="str">
        <f>""</f>
        <v/>
      </c>
      <c r="GW175" t="str">
        <f>""</f>
        <v/>
      </c>
      <c r="GX175" t="str">
        <f>""</f>
        <v/>
      </c>
      <c r="GY175" t="str">
        <f>""</f>
        <v/>
      </c>
      <c r="GZ175" t="str">
        <f>""</f>
        <v/>
      </c>
      <c r="HA175" t="str">
        <f>""</f>
        <v/>
      </c>
      <c r="HB175" t="str">
        <f>""</f>
        <v/>
      </c>
      <c r="HC175" t="str">
        <f>""</f>
        <v/>
      </c>
      <c r="HD175" t="str">
        <f>""</f>
        <v/>
      </c>
      <c r="HE175" t="str">
        <f>""</f>
        <v/>
      </c>
      <c r="HF175" t="str">
        <f>""</f>
        <v/>
      </c>
      <c r="HG175" t="str">
        <f>""</f>
        <v/>
      </c>
      <c r="HH175" t="str">
        <f>""</f>
        <v/>
      </c>
      <c r="HI175" t="str">
        <f>""</f>
        <v/>
      </c>
      <c r="HJ175" t="str">
        <f>""</f>
        <v/>
      </c>
      <c r="HK175" t="str">
        <f>""</f>
        <v/>
      </c>
      <c r="HL175" t="str">
        <f>""</f>
        <v/>
      </c>
      <c r="HM175" t="str">
        <f>""</f>
        <v/>
      </c>
      <c r="HN175" t="str">
        <f>""</f>
        <v/>
      </c>
      <c r="HO175" t="str">
        <f>""</f>
        <v/>
      </c>
      <c r="HP175" t="str">
        <f>""</f>
        <v/>
      </c>
      <c r="HQ175" t="str">
        <f>""</f>
        <v/>
      </c>
      <c r="HR175" t="str">
        <f>""</f>
        <v/>
      </c>
      <c r="HS175" t="str">
        <f>""</f>
        <v/>
      </c>
      <c r="HT175" t="str">
        <f>""</f>
        <v/>
      </c>
      <c r="HU175" t="str">
        <f>""</f>
        <v/>
      </c>
      <c r="HV175" t="str">
        <f>""</f>
        <v/>
      </c>
      <c r="HW175" t="str">
        <f>""</f>
        <v/>
      </c>
      <c r="HX175" t="str">
        <f>""</f>
        <v/>
      </c>
      <c r="HY175" t="str">
        <f>""</f>
        <v/>
      </c>
      <c r="HZ175" t="str">
        <f>""</f>
        <v/>
      </c>
      <c r="IA175" t="str">
        <f>""</f>
        <v/>
      </c>
      <c r="IB175" t="str">
        <f>""</f>
        <v/>
      </c>
      <c r="IC175" t="str">
        <f>""</f>
        <v/>
      </c>
      <c r="ID175" t="str">
        <f>""</f>
        <v/>
      </c>
      <c r="IE175" t="str">
        <f>""</f>
        <v/>
      </c>
      <c r="IF175" t="str">
        <f>""</f>
        <v/>
      </c>
      <c r="IG175" t="str">
        <f>""</f>
        <v/>
      </c>
      <c r="IH175" t="str">
        <f>""</f>
        <v/>
      </c>
      <c r="II175" t="str">
        <f>""</f>
        <v/>
      </c>
      <c r="IJ175" t="str">
        <f>""</f>
        <v/>
      </c>
      <c r="IK175" t="str">
        <f>""</f>
        <v/>
      </c>
      <c r="IL175" t="str">
        <f>""</f>
        <v/>
      </c>
      <c r="IM175" t="str">
        <f>""</f>
        <v/>
      </c>
      <c r="IN175" t="str">
        <f>""</f>
        <v/>
      </c>
      <c r="IO175" t="str">
        <f>""</f>
        <v/>
      </c>
      <c r="IP175" t="str">
        <f>""</f>
        <v/>
      </c>
      <c r="IQ175" t="str">
        <f>""</f>
        <v/>
      </c>
      <c r="IR175" t="str">
        <f>""</f>
        <v/>
      </c>
      <c r="IS175" t="str">
        <f>""</f>
        <v/>
      </c>
      <c r="IT175" t="str">
        <f>""</f>
        <v/>
      </c>
      <c r="IU175" t="str">
        <f>""</f>
        <v/>
      </c>
      <c r="IV175" t="str">
        <f>""</f>
        <v/>
      </c>
      <c r="IW175" t="str">
        <f>""</f>
        <v/>
      </c>
      <c r="IX175" t="str">
        <f>""</f>
        <v/>
      </c>
      <c r="IY175" t="str">
        <f>""</f>
        <v/>
      </c>
      <c r="IZ175" t="str">
        <f>""</f>
        <v/>
      </c>
      <c r="JA175" t="str">
        <f>""</f>
        <v/>
      </c>
      <c r="JB175" t="str">
        <f>""</f>
        <v/>
      </c>
      <c r="JC175" t="str">
        <f>""</f>
        <v/>
      </c>
      <c r="JD175" t="str">
        <f>""</f>
        <v/>
      </c>
      <c r="JE175" t="str">
        <f>""</f>
        <v/>
      </c>
      <c r="JF175" t="str">
        <f>""</f>
        <v/>
      </c>
      <c r="JG175" t="str">
        <f>""</f>
        <v/>
      </c>
      <c r="JH175" t="str">
        <f>""</f>
        <v/>
      </c>
      <c r="JI175" t="str">
        <f>""</f>
        <v/>
      </c>
      <c r="JJ175" t="str">
        <f>""</f>
        <v/>
      </c>
      <c r="JK175" t="str">
        <f>""</f>
        <v/>
      </c>
    </row>
    <row r="177" spans="1:271" x14ac:dyDescent="0.3">
      <c r="A177" t="str">
        <f>"c.zMETAB1#c.PM3"</f>
        <v>c.zMETAB1#c.PM3</v>
      </c>
      <c r="B177" t="str">
        <f>""</f>
        <v/>
      </c>
      <c r="C177" t="str">
        <f>""</f>
        <v/>
      </c>
      <c r="D177" t="str">
        <f>""</f>
        <v/>
      </c>
      <c r="E177" t="str">
        <f>""</f>
        <v/>
      </c>
      <c r="F177" t="str">
        <f>""</f>
        <v/>
      </c>
      <c r="G177" t="str">
        <f>""</f>
        <v/>
      </c>
      <c r="H177" t="str">
        <f>""</f>
        <v/>
      </c>
      <c r="I177" t="str">
        <f>""</f>
        <v/>
      </c>
      <c r="J177" t="str">
        <f>""</f>
        <v/>
      </c>
      <c r="K177" t="str">
        <f>""</f>
        <v/>
      </c>
      <c r="L177" t="str">
        <f>""</f>
        <v/>
      </c>
      <c r="M177" t="str">
        <f>""</f>
        <v/>
      </c>
      <c r="N177" t="str">
        <f>""</f>
        <v/>
      </c>
      <c r="O177" t="str">
        <f>""</f>
        <v/>
      </c>
      <c r="P177" t="str">
        <f>""</f>
        <v/>
      </c>
      <c r="Q177" t="str">
        <f>""</f>
        <v/>
      </c>
      <c r="R177" t="str">
        <f>""</f>
        <v/>
      </c>
      <c r="S177" t="str">
        <f>""</f>
        <v/>
      </c>
      <c r="T177" t="str">
        <f>""</f>
        <v/>
      </c>
      <c r="U177" t="str">
        <f>""</f>
        <v/>
      </c>
      <c r="V177" t="str">
        <f>""</f>
        <v/>
      </c>
      <c r="W177" t="str">
        <f>""</f>
        <v/>
      </c>
      <c r="X177" t="str">
        <f>""</f>
        <v/>
      </c>
      <c r="Y177" t="str">
        <f>""</f>
        <v/>
      </c>
      <c r="Z177" t="str">
        <f>""</f>
        <v/>
      </c>
      <c r="AA177" t="str">
        <f>""</f>
        <v/>
      </c>
      <c r="AB177" t="str">
        <f>""</f>
        <v/>
      </c>
      <c r="AC177" t="str">
        <f>""</f>
        <v/>
      </c>
      <c r="AD177" t="str">
        <f>""</f>
        <v/>
      </c>
      <c r="AE177" t="str">
        <f>""</f>
        <v/>
      </c>
      <c r="AF177" t="str">
        <f>""</f>
        <v/>
      </c>
      <c r="AG177" t="str">
        <f>""</f>
        <v/>
      </c>
      <c r="AH177" t="str">
        <f>""</f>
        <v/>
      </c>
      <c r="AI177" t="str">
        <f>""</f>
        <v/>
      </c>
      <c r="AJ177" t="str">
        <f>""</f>
        <v/>
      </c>
      <c r="AK177" t="str">
        <f>""</f>
        <v/>
      </c>
      <c r="AL177" t="str">
        <f>""</f>
        <v/>
      </c>
      <c r="AM177" t="str">
        <f>""</f>
        <v/>
      </c>
      <c r="AN177" t="str">
        <f>""</f>
        <v/>
      </c>
      <c r="AO177" t="str">
        <f>""</f>
        <v/>
      </c>
      <c r="AP177" t="str">
        <f>""</f>
        <v/>
      </c>
      <c r="AQ177" t="str">
        <f>""</f>
        <v/>
      </c>
      <c r="AR177" t="str">
        <f>""</f>
        <v/>
      </c>
      <c r="AS177" t="str">
        <f>""</f>
        <v/>
      </c>
      <c r="AT177" t="str">
        <f>""</f>
        <v/>
      </c>
      <c r="AU177" t="str">
        <f>""</f>
        <v/>
      </c>
      <c r="AV177" t="str">
        <f>""</f>
        <v/>
      </c>
      <c r="AW177" t="str">
        <f>""</f>
        <v/>
      </c>
      <c r="AX177" t="str">
        <f>""</f>
        <v/>
      </c>
      <c r="AY177" t="str">
        <f>""</f>
        <v/>
      </c>
      <c r="AZ177" t="str">
        <f>""</f>
        <v/>
      </c>
      <c r="BA177" t="str">
        <f>""</f>
        <v/>
      </c>
      <c r="BB177" t="str">
        <f>""</f>
        <v/>
      </c>
      <c r="BC177" t="str">
        <f>""</f>
        <v/>
      </c>
      <c r="BD177" t="str">
        <f>""</f>
        <v/>
      </c>
      <c r="BE177" t="str">
        <f>""</f>
        <v/>
      </c>
      <c r="BF177" t="str">
        <f>""</f>
        <v/>
      </c>
      <c r="BG177" t="str">
        <f>""</f>
        <v/>
      </c>
      <c r="BH177" t="str">
        <f>""</f>
        <v/>
      </c>
      <c r="BI177" t="str">
        <f>""</f>
        <v/>
      </c>
      <c r="BJ177" t="str">
        <f>""</f>
        <v/>
      </c>
      <c r="BK177" t="str">
        <f>""</f>
        <v/>
      </c>
      <c r="BL177" t="str">
        <f>""</f>
        <v/>
      </c>
      <c r="BM177" t="str">
        <f>""</f>
        <v/>
      </c>
      <c r="BN177" t="str">
        <f>""</f>
        <v/>
      </c>
      <c r="BO177" t="str">
        <f>""</f>
        <v/>
      </c>
      <c r="BP177" t="str">
        <f>""</f>
        <v/>
      </c>
      <c r="BQ177" t="str">
        <f>""</f>
        <v/>
      </c>
      <c r="BR177" t="str">
        <f>""</f>
        <v/>
      </c>
      <c r="BS177" t="str">
        <f>""</f>
        <v/>
      </c>
      <c r="BT177" t="str">
        <f>""</f>
        <v/>
      </c>
      <c r="BU177" t="str">
        <f>""</f>
        <v/>
      </c>
      <c r="BV177" t="str">
        <f>""</f>
        <v/>
      </c>
      <c r="BW177" t="str">
        <f>""</f>
        <v/>
      </c>
      <c r="BX177" t="str">
        <f>""</f>
        <v/>
      </c>
      <c r="BY177" t="str">
        <f>""</f>
        <v/>
      </c>
      <c r="BZ177" t="str">
        <f>""</f>
        <v/>
      </c>
      <c r="CA177" t="str">
        <f>""</f>
        <v/>
      </c>
      <c r="CB177" t="str">
        <f>""</f>
        <v/>
      </c>
      <c r="CC177" t="str">
        <f>""</f>
        <v/>
      </c>
      <c r="CD177" t="str">
        <f>""</f>
        <v/>
      </c>
      <c r="CE177" t="str">
        <f>""</f>
        <v/>
      </c>
      <c r="CF177" t="str">
        <f>""</f>
        <v/>
      </c>
      <c r="CG177" t="str">
        <f>""</f>
        <v/>
      </c>
      <c r="CH177" t="str">
        <f>""</f>
        <v/>
      </c>
      <c r="CI177" t="str">
        <f>""</f>
        <v/>
      </c>
      <c r="CJ177" t="str">
        <f>""</f>
        <v/>
      </c>
      <c r="CK177" t="str">
        <f>""</f>
        <v/>
      </c>
      <c r="CL177" t="str">
        <f>""</f>
        <v/>
      </c>
      <c r="CM177" t="str">
        <f>""</f>
        <v/>
      </c>
      <c r="CN177" t="str">
        <f>"-0.0977"</f>
        <v>-0.0977</v>
      </c>
      <c r="CO177" t="str">
        <f>"0.00545"</f>
        <v>0.00545</v>
      </c>
      <c r="CP177" t="str">
        <f>"-0.0519"</f>
        <v>-0.0519</v>
      </c>
      <c r="CQ177" t="str">
        <f>""</f>
        <v/>
      </c>
      <c r="CR177" t="str">
        <f>""</f>
        <v/>
      </c>
      <c r="CS177" t="str">
        <f>""</f>
        <v/>
      </c>
      <c r="CT177" t="str">
        <f>""</f>
        <v/>
      </c>
      <c r="CU177" t="str">
        <f>""</f>
        <v/>
      </c>
      <c r="CV177" t="str">
        <f>""</f>
        <v/>
      </c>
      <c r="CW177" t="str">
        <f>""</f>
        <v/>
      </c>
      <c r="CX177" t="str">
        <f>""</f>
        <v/>
      </c>
      <c r="CY177" t="str">
        <f>""</f>
        <v/>
      </c>
      <c r="CZ177" t="str">
        <f>""</f>
        <v/>
      </c>
      <c r="DA177" t="str">
        <f>""</f>
        <v/>
      </c>
      <c r="DB177" t="str">
        <f>""</f>
        <v/>
      </c>
      <c r="DC177" t="str">
        <f>""</f>
        <v/>
      </c>
      <c r="DD177" t="str">
        <f>""</f>
        <v/>
      </c>
      <c r="DE177" t="str">
        <f>""</f>
        <v/>
      </c>
      <c r="DF177" t="str">
        <f>""</f>
        <v/>
      </c>
      <c r="DG177" t="str">
        <f>""</f>
        <v/>
      </c>
      <c r="DH177" t="str">
        <f>""</f>
        <v/>
      </c>
      <c r="DI177" t="str">
        <f>""</f>
        <v/>
      </c>
      <c r="DJ177" t="str">
        <f>""</f>
        <v/>
      </c>
      <c r="DK177" t="str">
        <f>""</f>
        <v/>
      </c>
      <c r="DL177" t="str">
        <f>""</f>
        <v/>
      </c>
      <c r="DM177" t="str">
        <f>""</f>
        <v/>
      </c>
      <c r="DN177" t="str">
        <f>""</f>
        <v/>
      </c>
      <c r="DO177" t="str">
        <f>""</f>
        <v/>
      </c>
      <c r="DP177" t="str">
        <f>""</f>
        <v/>
      </c>
      <c r="DQ177" t="str">
        <f>""</f>
        <v/>
      </c>
      <c r="DR177" t="str">
        <f>""</f>
        <v/>
      </c>
      <c r="DS177" t="str">
        <f>""</f>
        <v/>
      </c>
      <c r="DT177" t="str">
        <f>""</f>
        <v/>
      </c>
      <c r="DU177" t="str">
        <f>""</f>
        <v/>
      </c>
      <c r="DV177" t="str">
        <f>""</f>
        <v/>
      </c>
      <c r="DW177" t="str">
        <f>""</f>
        <v/>
      </c>
      <c r="DX177" t="str">
        <f>""</f>
        <v/>
      </c>
      <c r="DY177" t="str">
        <f>""</f>
        <v/>
      </c>
      <c r="DZ177" t="str">
        <f>""</f>
        <v/>
      </c>
      <c r="EA177" t="str">
        <f>""</f>
        <v/>
      </c>
      <c r="EB177" t="str">
        <f>""</f>
        <v/>
      </c>
      <c r="EC177" t="str">
        <f>""</f>
        <v/>
      </c>
      <c r="ED177" t="str">
        <f>""</f>
        <v/>
      </c>
      <c r="EE177" t="str">
        <f>""</f>
        <v/>
      </c>
      <c r="EF177" t="str">
        <f>""</f>
        <v/>
      </c>
      <c r="EG177" t="str">
        <f>""</f>
        <v/>
      </c>
      <c r="EH177" t="str">
        <f>""</f>
        <v/>
      </c>
      <c r="EI177" t="str">
        <f>""</f>
        <v/>
      </c>
      <c r="EJ177" t="str">
        <f>""</f>
        <v/>
      </c>
      <c r="EK177" t="str">
        <f>""</f>
        <v/>
      </c>
      <c r="EL177" t="str">
        <f>""</f>
        <v/>
      </c>
      <c r="EM177" t="str">
        <f>""</f>
        <v/>
      </c>
      <c r="EN177" t="str">
        <f>""</f>
        <v/>
      </c>
      <c r="EO177" t="str">
        <f>""</f>
        <v/>
      </c>
      <c r="EP177" t="str">
        <f>""</f>
        <v/>
      </c>
      <c r="EQ177" t="str">
        <f>""</f>
        <v/>
      </c>
      <c r="ER177" t="str">
        <f>""</f>
        <v/>
      </c>
      <c r="ES177" t="str">
        <f>""</f>
        <v/>
      </c>
      <c r="ET177" t="str">
        <f>""</f>
        <v/>
      </c>
      <c r="EU177" t="str">
        <f>""</f>
        <v/>
      </c>
      <c r="EV177" t="str">
        <f>""</f>
        <v/>
      </c>
      <c r="EW177" t="str">
        <f>""</f>
        <v/>
      </c>
      <c r="EX177" t="str">
        <f>""</f>
        <v/>
      </c>
      <c r="EY177" t="str">
        <f>""</f>
        <v/>
      </c>
      <c r="EZ177" t="str">
        <f>""</f>
        <v/>
      </c>
      <c r="FA177" t="str">
        <f>""</f>
        <v/>
      </c>
      <c r="FB177" t="str">
        <f>""</f>
        <v/>
      </c>
      <c r="FC177" t="str">
        <f>""</f>
        <v/>
      </c>
      <c r="FD177" t="str">
        <f>""</f>
        <v/>
      </c>
      <c r="FE177" t="str">
        <f>""</f>
        <v/>
      </c>
      <c r="FF177" t="str">
        <f>""</f>
        <v/>
      </c>
      <c r="FG177" t="str">
        <f>""</f>
        <v/>
      </c>
      <c r="FH177" t="str">
        <f>""</f>
        <v/>
      </c>
      <c r="FI177" t="str">
        <f>""</f>
        <v/>
      </c>
      <c r="FJ177" t="str">
        <f>""</f>
        <v/>
      </c>
      <c r="FK177" t="str">
        <f>""</f>
        <v/>
      </c>
      <c r="FL177" t="str">
        <f>""</f>
        <v/>
      </c>
      <c r="FM177" t="str">
        <f>""</f>
        <v/>
      </c>
      <c r="FN177" t="str">
        <f>""</f>
        <v/>
      </c>
      <c r="FO177" t="str">
        <f>""</f>
        <v/>
      </c>
      <c r="FP177" t="str">
        <f>""</f>
        <v/>
      </c>
      <c r="FQ177" t="str">
        <f>""</f>
        <v/>
      </c>
      <c r="FR177" t="str">
        <f>""</f>
        <v/>
      </c>
      <c r="FS177" t="str">
        <f>""</f>
        <v/>
      </c>
      <c r="FT177" t="str">
        <f>""</f>
        <v/>
      </c>
      <c r="FU177" t="str">
        <f>""</f>
        <v/>
      </c>
      <c r="FV177" t="str">
        <f>""</f>
        <v/>
      </c>
      <c r="FW177" t="str">
        <f>""</f>
        <v/>
      </c>
      <c r="FX177" t="str">
        <f>""</f>
        <v/>
      </c>
      <c r="FY177" t="str">
        <f>""</f>
        <v/>
      </c>
      <c r="FZ177" t="str">
        <f>""</f>
        <v/>
      </c>
      <c r="GA177" t="str">
        <f>""</f>
        <v/>
      </c>
      <c r="GB177" t="str">
        <f>""</f>
        <v/>
      </c>
      <c r="GC177" t="str">
        <f>""</f>
        <v/>
      </c>
      <c r="GD177" t="str">
        <f>""</f>
        <v/>
      </c>
      <c r="GE177" t="str">
        <f>""</f>
        <v/>
      </c>
      <c r="GF177" t="str">
        <f>""</f>
        <v/>
      </c>
      <c r="GG177" t="str">
        <f>""</f>
        <v/>
      </c>
      <c r="GH177" t="str">
        <f>""</f>
        <v/>
      </c>
      <c r="GI177" t="str">
        <f>""</f>
        <v/>
      </c>
      <c r="GJ177" t="str">
        <f>""</f>
        <v/>
      </c>
      <c r="GK177" t="str">
        <f>""</f>
        <v/>
      </c>
      <c r="GL177" t="str">
        <f>""</f>
        <v/>
      </c>
      <c r="GM177" t="str">
        <f>""</f>
        <v/>
      </c>
      <c r="GN177" t="str">
        <f>""</f>
        <v/>
      </c>
      <c r="GO177" t="str">
        <f>""</f>
        <v/>
      </c>
      <c r="GP177" t="str">
        <f>""</f>
        <v/>
      </c>
      <c r="GQ177" t="str">
        <f>""</f>
        <v/>
      </c>
      <c r="GR177" t="str">
        <f>""</f>
        <v/>
      </c>
      <c r="GS177" t="str">
        <f>""</f>
        <v/>
      </c>
      <c r="GT177" t="str">
        <f>""</f>
        <v/>
      </c>
      <c r="GU177" t="str">
        <f>""</f>
        <v/>
      </c>
      <c r="GV177" t="str">
        <f>""</f>
        <v/>
      </c>
      <c r="GW177" t="str">
        <f>""</f>
        <v/>
      </c>
      <c r="GX177" t="str">
        <f>""</f>
        <v/>
      </c>
      <c r="GY177" t="str">
        <f>""</f>
        <v/>
      </c>
      <c r="GZ177" t="str">
        <f>""</f>
        <v/>
      </c>
      <c r="HA177" t="str">
        <f>""</f>
        <v/>
      </c>
      <c r="HB177" t="str">
        <f>""</f>
        <v/>
      </c>
      <c r="HC177" t="str">
        <f>""</f>
        <v/>
      </c>
      <c r="HD177" t="str">
        <f>""</f>
        <v/>
      </c>
      <c r="HE177" t="str">
        <f>""</f>
        <v/>
      </c>
      <c r="HF177" t="str">
        <f>""</f>
        <v/>
      </c>
      <c r="HG177" t="str">
        <f>""</f>
        <v/>
      </c>
      <c r="HH177" t="str">
        <f>""</f>
        <v/>
      </c>
      <c r="HI177" t="str">
        <f>""</f>
        <v/>
      </c>
      <c r="HJ177" t="str">
        <f>""</f>
        <v/>
      </c>
      <c r="HK177" t="str">
        <f>""</f>
        <v/>
      </c>
      <c r="HL177" t="str">
        <f>""</f>
        <v/>
      </c>
      <c r="HM177" t="str">
        <f>""</f>
        <v/>
      </c>
      <c r="HN177" t="str">
        <f>""</f>
        <v/>
      </c>
      <c r="HO177" t="str">
        <f>""</f>
        <v/>
      </c>
      <c r="HP177" t="str">
        <f>""</f>
        <v/>
      </c>
      <c r="HQ177" t="str">
        <f>""</f>
        <v/>
      </c>
      <c r="HR177" t="str">
        <f>""</f>
        <v/>
      </c>
      <c r="HS177" t="str">
        <f>""</f>
        <v/>
      </c>
      <c r="HT177" t="str">
        <f>""</f>
        <v/>
      </c>
      <c r="HU177" t="str">
        <f>""</f>
        <v/>
      </c>
      <c r="HV177" t="str">
        <f>""</f>
        <v/>
      </c>
      <c r="HW177" t="str">
        <f>""</f>
        <v/>
      </c>
      <c r="HX177" t="str">
        <f>""</f>
        <v/>
      </c>
      <c r="HY177" t="str">
        <f>""</f>
        <v/>
      </c>
      <c r="HZ177" t="str">
        <f>""</f>
        <v/>
      </c>
      <c r="IA177" t="str">
        <f>""</f>
        <v/>
      </c>
      <c r="IB177" t="str">
        <f>""</f>
        <v/>
      </c>
      <c r="IC177" t="str">
        <f>""</f>
        <v/>
      </c>
      <c r="ID177" t="str">
        <f>""</f>
        <v/>
      </c>
      <c r="IE177" t="str">
        <f>""</f>
        <v/>
      </c>
      <c r="IF177" t="str">
        <f>""</f>
        <v/>
      </c>
      <c r="IG177" t="str">
        <f>""</f>
        <v/>
      </c>
      <c r="IH177" t="str">
        <f>""</f>
        <v/>
      </c>
      <c r="II177" t="str">
        <f>""</f>
        <v/>
      </c>
      <c r="IJ177" t="str">
        <f>""</f>
        <v/>
      </c>
      <c r="IK177" t="str">
        <f>""</f>
        <v/>
      </c>
      <c r="IL177" t="str">
        <f>""</f>
        <v/>
      </c>
      <c r="IM177" t="str">
        <f>""</f>
        <v/>
      </c>
      <c r="IN177" t="str">
        <f>""</f>
        <v/>
      </c>
      <c r="IO177" t="str">
        <f>""</f>
        <v/>
      </c>
      <c r="IP177" t="str">
        <f>""</f>
        <v/>
      </c>
      <c r="IQ177" t="str">
        <f>""</f>
        <v/>
      </c>
      <c r="IR177" t="str">
        <f>""</f>
        <v/>
      </c>
      <c r="IS177" t="str">
        <f>""</f>
        <v/>
      </c>
      <c r="IT177" t="str">
        <f>""</f>
        <v/>
      </c>
      <c r="IU177" t="str">
        <f>""</f>
        <v/>
      </c>
      <c r="IV177" t="str">
        <f>""</f>
        <v/>
      </c>
      <c r="IW177" t="str">
        <f>""</f>
        <v/>
      </c>
      <c r="IX177" t="str">
        <f>""</f>
        <v/>
      </c>
      <c r="IY177" t="str">
        <f>""</f>
        <v/>
      </c>
      <c r="IZ177" t="str">
        <f>""</f>
        <v/>
      </c>
      <c r="JA177" t="str">
        <f>""</f>
        <v/>
      </c>
      <c r="JB177" t="str">
        <f>""</f>
        <v/>
      </c>
      <c r="JC177" t="str">
        <f>""</f>
        <v/>
      </c>
      <c r="JD177" t="str">
        <f>""</f>
        <v/>
      </c>
      <c r="JE177" t="str">
        <f>""</f>
        <v/>
      </c>
      <c r="JF177" t="str">
        <f>""</f>
        <v/>
      </c>
      <c r="JG177" t="str">
        <f>""</f>
        <v/>
      </c>
      <c r="JH177" t="str">
        <f>""</f>
        <v/>
      </c>
      <c r="JI177" t="str">
        <f>""</f>
        <v/>
      </c>
      <c r="JJ177" t="str">
        <f>""</f>
        <v/>
      </c>
      <c r="JK177" t="str">
        <f>""</f>
        <v/>
      </c>
    </row>
    <row r="178" spans="1:271" x14ac:dyDescent="0.3">
      <c r="A178" t="str">
        <f>""</f>
        <v/>
      </c>
      <c r="B178" t="str">
        <f>""</f>
        <v/>
      </c>
      <c r="C178" t="str">
        <f>""</f>
        <v/>
      </c>
      <c r="D178" t="str">
        <f>""</f>
        <v/>
      </c>
      <c r="E178" t="str">
        <f>""</f>
        <v/>
      </c>
      <c r="F178" t="str">
        <f>""</f>
        <v/>
      </c>
      <c r="G178" t="str">
        <f>""</f>
        <v/>
      </c>
      <c r="H178" t="str">
        <f>""</f>
        <v/>
      </c>
      <c r="I178" t="str">
        <f>""</f>
        <v/>
      </c>
      <c r="J178" t="str">
        <f>""</f>
        <v/>
      </c>
      <c r="K178" t="str">
        <f>""</f>
        <v/>
      </c>
      <c r="L178" t="str">
        <f>""</f>
        <v/>
      </c>
      <c r="M178" t="str">
        <f>""</f>
        <v/>
      </c>
      <c r="N178" t="str">
        <f>""</f>
        <v/>
      </c>
      <c r="O178" t="str">
        <f>""</f>
        <v/>
      </c>
      <c r="P178" t="str">
        <f>""</f>
        <v/>
      </c>
      <c r="Q178" t="str">
        <f>""</f>
        <v/>
      </c>
      <c r="R178" t="str">
        <f>""</f>
        <v/>
      </c>
      <c r="S178" t="str">
        <f>""</f>
        <v/>
      </c>
      <c r="T178" t="str">
        <f>""</f>
        <v/>
      </c>
      <c r="U178" t="str">
        <f>""</f>
        <v/>
      </c>
      <c r="V178" t="str">
        <f>""</f>
        <v/>
      </c>
      <c r="W178" t="str">
        <f>""</f>
        <v/>
      </c>
      <c r="X178" t="str">
        <f>""</f>
        <v/>
      </c>
      <c r="Y178" t="str">
        <f>""</f>
        <v/>
      </c>
      <c r="Z178" t="str">
        <f>""</f>
        <v/>
      </c>
      <c r="AA178" t="str">
        <f>""</f>
        <v/>
      </c>
      <c r="AB178" t="str">
        <f>""</f>
        <v/>
      </c>
      <c r="AC178" t="str">
        <f>""</f>
        <v/>
      </c>
      <c r="AD178" t="str">
        <f>""</f>
        <v/>
      </c>
      <c r="AE178" t="str">
        <f>""</f>
        <v/>
      </c>
      <c r="AF178" t="str">
        <f>""</f>
        <v/>
      </c>
      <c r="AG178" t="str">
        <f>""</f>
        <v/>
      </c>
      <c r="AH178" t="str">
        <f>""</f>
        <v/>
      </c>
      <c r="AI178" t="str">
        <f>""</f>
        <v/>
      </c>
      <c r="AJ178" t="str">
        <f>""</f>
        <v/>
      </c>
      <c r="AK178" t="str">
        <f>""</f>
        <v/>
      </c>
      <c r="AL178" t="str">
        <f>""</f>
        <v/>
      </c>
      <c r="AM178" t="str">
        <f>""</f>
        <v/>
      </c>
      <c r="AN178" t="str">
        <f>""</f>
        <v/>
      </c>
      <c r="AO178" t="str">
        <f>""</f>
        <v/>
      </c>
      <c r="AP178" t="str">
        <f>""</f>
        <v/>
      </c>
      <c r="AQ178" t="str">
        <f>""</f>
        <v/>
      </c>
      <c r="AR178" t="str">
        <f>""</f>
        <v/>
      </c>
      <c r="AS178" t="str">
        <f>""</f>
        <v/>
      </c>
      <c r="AT178" t="str">
        <f>""</f>
        <v/>
      </c>
      <c r="AU178" t="str">
        <f>""</f>
        <v/>
      </c>
      <c r="AV178" t="str">
        <f>""</f>
        <v/>
      </c>
      <c r="AW178" t="str">
        <f>""</f>
        <v/>
      </c>
      <c r="AX178" t="str">
        <f>""</f>
        <v/>
      </c>
      <c r="AY178" t="str">
        <f>""</f>
        <v/>
      </c>
      <c r="AZ178" t="str">
        <f>""</f>
        <v/>
      </c>
      <c r="BA178" t="str">
        <f>""</f>
        <v/>
      </c>
      <c r="BB178" t="str">
        <f>""</f>
        <v/>
      </c>
      <c r="BC178" t="str">
        <f>""</f>
        <v/>
      </c>
      <c r="BD178" t="str">
        <f>""</f>
        <v/>
      </c>
      <c r="BE178" t="str">
        <f>""</f>
        <v/>
      </c>
      <c r="BF178" t="str">
        <f>""</f>
        <v/>
      </c>
      <c r="BG178" t="str">
        <f>""</f>
        <v/>
      </c>
      <c r="BH178" t="str">
        <f>""</f>
        <v/>
      </c>
      <c r="BI178" t="str">
        <f>""</f>
        <v/>
      </c>
      <c r="BJ178" t="str">
        <f>""</f>
        <v/>
      </c>
      <c r="BK178" t="str">
        <f>""</f>
        <v/>
      </c>
      <c r="BL178" t="str">
        <f>""</f>
        <v/>
      </c>
      <c r="BM178" t="str">
        <f>""</f>
        <v/>
      </c>
      <c r="BN178" t="str">
        <f>""</f>
        <v/>
      </c>
      <c r="BO178" t="str">
        <f>""</f>
        <v/>
      </c>
      <c r="BP178" t="str">
        <f>""</f>
        <v/>
      </c>
      <c r="BQ178" t="str">
        <f>""</f>
        <v/>
      </c>
      <c r="BR178" t="str">
        <f>""</f>
        <v/>
      </c>
      <c r="BS178" t="str">
        <f>""</f>
        <v/>
      </c>
      <c r="BT178" t="str">
        <f>""</f>
        <v/>
      </c>
      <c r="BU178" t="str">
        <f>""</f>
        <v/>
      </c>
      <c r="BV178" t="str">
        <f>""</f>
        <v/>
      </c>
      <c r="BW178" t="str">
        <f>""</f>
        <v/>
      </c>
      <c r="BX178" t="str">
        <f>""</f>
        <v/>
      </c>
      <c r="BY178" t="str">
        <f>""</f>
        <v/>
      </c>
      <c r="BZ178" t="str">
        <f>""</f>
        <v/>
      </c>
      <c r="CA178" t="str">
        <f>""</f>
        <v/>
      </c>
      <c r="CB178" t="str">
        <f>""</f>
        <v/>
      </c>
      <c r="CC178" t="str">
        <f>""</f>
        <v/>
      </c>
      <c r="CD178" t="str">
        <f>""</f>
        <v/>
      </c>
      <c r="CE178" t="str">
        <f>""</f>
        <v/>
      </c>
      <c r="CF178" t="str">
        <f>""</f>
        <v/>
      </c>
      <c r="CG178" t="str">
        <f>""</f>
        <v/>
      </c>
      <c r="CH178" t="str">
        <f>""</f>
        <v/>
      </c>
      <c r="CI178" t="str">
        <f>""</f>
        <v/>
      </c>
      <c r="CJ178" t="str">
        <f>""</f>
        <v/>
      </c>
      <c r="CK178" t="str">
        <f>""</f>
        <v/>
      </c>
      <c r="CL178" t="str">
        <f>""</f>
        <v/>
      </c>
      <c r="CM178" t="str">
        <f>""</f>
        <v/>
      </c>
      <c r="CN178" t="str">
        <f>"(0.104)"</f>
        <v>(0.104)</v>
      </c>
      <c r="CO178" t="str">
        <f>"(0.0814)"</f>
        <v>(0.0814)</v>
      </c>
      <c r="CP178" t="str">
        <f>"(0.0438)"</f>
        <v>(0.0438)</v>
      </c>
      <c r="CQ178" t="str">
        <f>""</f>
        <v/>
      </c>
      <c r="CR178" t="str">
        <f>""</f>
        <v/>
      </c>
      <c r="CS178" t="str">
        <f>""</f>
        <v/>
      </c>
      <c r="CT178" t="str">
        <f>""</f>
        <v/>
      </c>
      <c r="CU178" t="str">
        <f>""</f>
        <v/>
      </c>
      <c r="CV178" t="str">
        <f>""</f>
        <v/>
      </c>
      <c r="CW178" t="str">
        <f>""</f>
        <v/>
      </c>
      <c r="CX178" t="str">
        <f>""</f>
        <v/>
      </c>
      <c r="CY178" t="str">
        <f>""</f>
        <v/>
      </c>
      <c r="CZ178" t="str">
        <f>""</f>
        <v/>
      </c>
      <c r="DA178" t="str">
        <f>""</f>
        <v/>
      </c>
      <c r="DB178" t="str">
        <f>""</f>
        <v/>
      </c>
      <c r="DC178" t="str">
        <f>""</f>
        <v/>
      </c>
      <c r="DD178" t="str">
        <f>""</f>
        <v/>
      </c>
      <c r="DE178" t="str">
        <f>""</f>
        <v/>
      </c>
      <c r="DF178" t="str">
        <f>""</f>
        <v/>
      </c>
      <c r="DG178" t="str">
        <f>""</f>
        <v/>
      </c>
      <c r="DH178" t="str">
        <f>""</f>
        <v/>
      </c>
      <c r="DI178" t="str">
        <f>""</f>
        <v/>
      </c>
      <c r="DJ178" t="str">
        <f>""</f>
        <v/>
      </c>
      <c r="DK178" t="str">
        <f>""</f>
        <v/>
      </c>
      <c r="DL178" t="str">
        <f>""</f>
        <v/>
      </c>
      <c r="DM178" t="str">
        <f>""</f>
        <v/>
      </c>
      <c r="DN178" t="str">
        <f>""</f>
        <v/>
      </c>
      <c r="DO178" t="str">
        <f>""</f>
        <v/>
      </c>
      <c r="DP178" t="str">
        <f>""</f>
        <v/>
      </c>
      <c r="DQ178" t="str">
        <f>""</f>
        <v/>
      </c>
      <c r="DR178" t="str">
        <f>""</f>
        <v/>
      </c>
      <c r="DS178" t="str">
        <f>""</f>
        <v/>
      </c>
      <c r="DT178" t="str">
        <f>""</f>
        <v/>
      </c>
      <c r="DU178" t="str">
        <f>""</f>
        <v/>
      </c>
      <c r="DV178" t="str">
        <f>""</f>
        <v/>
      </c>
      <c r="DW178" t="str">
        <f>""</f>
        <v/>
      </c>
      <c r="DX178" t="str">
        <f>""</f>
        <v/>
      </c>
      <c r="DY178" t="str">
        <f>""</f>
        <v/>
      </c>
      <c r="DZ178" t="str">
        <f>""</f>
        <v/>
      </c>
      <c r="EA178" t="str">
        <f>""</f>
        <v/>
      </c>
      <c r="EB178" t="str">
        <f>""</f>
        <v/>
      </c>
      <c r="EC178" t="str">
        <f>""</f>
        <v/>
      </c>
      <c r="ED178" t="str">
        <f>""</f>
        <v/>
      </c>
      <c r="EE178" t="str">
        <f>""</f>
        <v/>
      </c>
      <c r="EF178" t="str">
        <f>""</f>
        <v/>
      </c>
      <c r="EG178" t="str">
        <f>""</f>
        <v/>
      </c>
      <c r="EH178" t="str">
        <f>""</f>
        <v/>
      </c>
      <c r="EI178" t="str">
        <f>""</f>
        <v/>
      </c>
      <c r="EJ178" t="str">
        <f>""</f>
        <v/>
      </c>
      <c r="EK178" t="str">
        <f>""</f>
        <v/>
      </c>
      <c r="EL178" t="str">
        <f>""</f>
        <v/>
      </c>
      <c r="EM178" t="str">
        <f>""</f>
        <v/>
      </c>
      <c r="EN178" t="str">
        <f>""</f>
        <v/>
      </c>
      <c r="EO178" t="str">
        <f>""</f>
        <v/>
      </c>
      <c r="EP178" t="str">
        <f>""</f>
        <v/>
      </c>
      <c r="EQ178" t="str">
        <f>""</f>
        <v/>
      </c>
      <c r="ER178" t="str">
        <f>""</f>
        <v/>
      </c>
      <c r="ES178" t="str">
        <f>""</f>
        <v/>
      </c>
      <c r="ET178" t="str">
        <f>""</f>
        <v/>
      </c>
      <c r="EU178" t="str">
        <f>""</f>
        <v/>
      </c>
      <c r="EV178" t="str">
        <f>""</f>
        <v/>
      </c>
      <c r="EW178" t="str">
        <f>""</f>
        <v/>
      </c>
      <c r="EX178" t="str">
        <f>""</f>
        <v/>
      </c>
      <c r="EY178" t="str">
        <f>""</f>
        <v/>
      </c>
      <c r="EZ178" t="str">
        <f>""</f>
        <v/>
      </c>
      <c r="FA178" t="str">
        <f>""</f>
        <v/>
      </c>
      <c r="FB178" t="str">
        <f>""</f>
        <v/>
      </c>
      <c r="FC178" t="str">
        <f>""</f>
        <v/>
      </c>
      <c r="FD178" t="str">
        <f>""</f>
        <v/>
      </c>
      <c r="FE178" t="str">
        <f>""</f>
        <v/>
      </c>
      <c r="FF178" t="str">
        <f>""</f>
        <v/>
      </c>
      <c r="FG178" t="str">
        <f>""</f>
        <v/>
      </c>
      <c r="FH178" t="str">
        <f>""</f>
        <v/>
      </c>
      <c r="FI178" t="str">
        <f>""</f>
        <v/>
      </c>
      <c r="FJ178" t="str">
        <f>""</f>
        <v/>
      </c>
      <c r="FK178" t="str">
        <f>""</f>
        <v/>
      </c>
      <c r="FL178" t="str">
        <f>""</f>
        <v/>
      </c>
      <c r="FM178" t="str">
        <f>""</f>
        <v/>
      </c>
      <c r="FN178" t="str">
        <f>""</f>
        <v/>
      </c>
      <c r="FO178" t="str">
        <f>""</f>
        <v/>
      </c>
      <c r="FP178" t="str">
        <f>""</f>
        <v/>
      </c>
      <c r="FQ178" t="str">
        <f>""</f>
        <v/>
      </c>
      <c r="FR178" t="str">
        <f>""</f>
        <v/>
      </c>
      <c r="FS178" t="str">
        <f>""</f>
        <v/>
      </c>
      <c r="FT178" t="str">
        <f>""</f>
        <v/>
      </c>
      <c r="FU178" t="str">
        <f>""</f>
        <v/>
      </c>
      <c r="FV178" t="str">
        <f>""</f>
        <v/>
      </c>
      <c r="FW178" t="str">
        <f>""</f>
        <v/>
      </c>
      <c r="FX178" t="str">
        <f>""</f>
        <v/>
      </c>
      <c r="FY178" t="str">
        <f>""</f>
        <v/>
      </c>
      <c r="FZ178" t="str">
        <f>""</f>
        <v/>
      </c>
      <c r="GA178" t="str">
        <f>""</f>
        <v/>
      </c>
      <c r="GB178" t="str">
        <f>""</f>
        <v/>
      </c>
      <c r="GC178" t="str">
        <f>""</f>
        <v/>
      </c>
      <c r="GD178" t="str">
        <f>""</f>
        <v/>
      </c>
      <c r="GE178" t="str">
        <f>""</f>
        <v/>
      </c>
      <c r="GF178" t="str">
        <f>""</f>
        <v/>
      </c>
      <c r="GG178" t="str">
        <f>""</f>
        <v/>
      </c>
      <c r="GH178" t="str">
        <f>""</f>
        <v/>
      </c>
      <c r="GI178" t="str">
        <f>""</f>
        <v/>
      </c>
      <c r="GJ178" t="str">
        <f>""</f>
        <v/>
      </c>
      <c r="GK178" t="str">
        <f>""</f>
        <v/>
      </c>
      <c r="GL178" t="str">
        <f>""</f>
        <v/>
      </c>
      <c r="GM178" t="str">
        <f>""</f>
        <v/>
      </c>
      <c r="GN178" t="str">
        <f>""</f>
        <v/>
      </c>
      <c r="GO178" t="str">
        <f>""</f>
        <v/>
      </c>
      <c r="GP178" t="str">
        <f>""</f>
        <v/>
      </c>
      <c r="GQ178" t="str">
        <f>""</f>
        <v/>
      </c>
      <c r="GR178" t="str">
        <f>""</f>
        <v/>
      </c>
      <c r="GS178" t="str">
        <f>""</f>
        <v/>
      </c>
      <c r="GT178" t="str">
        <f>""</f>
        <v/>
      </c>
      <c r="GU178" t="str">
        <f>""</f>
        <v/>
      </c>
      <c r="GV178" t="str">
        <f>""</f>
        <v/>
      </c>
      <c r="GW178" t="str">
        <f>""</f>
        <v/>
      </c>
      <c r="GX178" t="str">
        <f>""</f>
        <v/>
      </c>
      <c r="GY178" t="str">
        <f>""</f>
        <v/>
      </c>
      <c r="GZ178" t="str">
        <f>""</f>
        <v/>
      </c>
      <c r="HA178" t="str">
        <f>""</f>
        <v/>
      </c>
      <c r="HB178" t="str">
        <f>""</f>
        <v/>
      </c>
      <c r="HC178" t="str">
        <f>""</f>
        <v/>
      </c>
      <c r="HD178" t="str">
        <f>""</f>
        <v/>
      </c>
      <c r="HE178" t="str">
        <f>""</f>
        <v/>
      </c>
      <c r="HF178" t="str">
        <f>""</f>
        <v/>
      </c>
      <c r="HG178" t="str">
        <f>""</f>
        <v/>
      </c>
      <c r="HH178" t="str">
        <f>""</f>
        <v/>
      </c>
      <c r="HI178" t="str">
        <f>""</f>
        <v/>
      </c>
      <c r="HJ178" t="str">
        <f>""</f>
        <v/>
      </c>
      <c r="HK178" t="str">
        <f>""</f>
        <v/>
      </c>
      <c r="HL178" t="str">
        <f>""</f>
        <v/>
      </c>
      <c r="HM178" t="str">
        <f>""</f>
        <v/>
      </c>
      <c r="HN178" t="str">
        <f>""</f>
        <v/>
      </c>
      <c r="HO178" t="str">
        <f>""</f>
        <v/>
      </c>
      <c r="HP178" t="str">
        <f>""</f>
        <v/>
      </c>
      <c r="HQ178" t="str">
        <f>""</f>
        <v/>
      </c>
      <c r="HR178" t="str">
        <f>""</f>
        <v/>
      </c>
      <c r="HS178" t="str">
        <f>""</f>
        <v/>
      </c>
      <c r="HT178" t="str">
        <f>""</f>
        <v/>
      </c>
      <c r="HU178" t="str">
        <f>""</f>
        <v/>
      </c>
      <c r="HV178" t="str">
        <f>""</f>
        <v/>
      </c>
      <c r="HW178" t="str">
        <f>""</f>
        <v/>
      </c>
      <c r="HX178" t="str">
        <f>""</f>
        <v/>
      </c>
      <c r="HY178" t="str">
        <f>""</f>
        <v/>
      </c>
      <c r="HZ178" t="str">
        <f>""</f>
        <v/>
      </c>
      <c r="IA178" t="str">
        <f>""</f>
        <v/>
      </c>
      <c r="IB178" t="str">
        <f>""</f>
        <v/>
      </c>
      <c r="IC178" t="str">
        <f>""</f>
        <v/>
      </c>
      <c r="ID178" t="str">
        <f>""</f>
        <v/>
      </c>
      <c r="IE178" t="str">
        <f>""</f>
        <v/>
      </c>
      <c r="IF178" t="str">
        <f>""</f>
        <v/>
      </c>
      <c r="IG178" t="str">
        <f>""</f>
        <v/>
      </c>
      <c r="IH178" t="str">
        <f>""</f>
        <v/>
      </c>
      <c r="II178" t="str">
        <f>""</f>
        <v/>
      </c>
      <c r="IJ178" t="str">
        <f>""</f>
        <v/>
      </c>
      <c r="IK178" t="str">
        <f>""</f>
        <v/>
      </c>
      <c r="IL178" t="str">
        <f>""</f>
        <v/>
      </c>
      <c r="IM178" t="str">
        <f>""</f>
        <v/>
      </c>
      <c r="IN178" t="str">
        <f>""</f>
        <v/>
      </c>
      <c r="IO178" t="str">
        <f>""</f>
        <v/>
      </c>
      <c r="IP178" t="str">
        <f>""</f>
        <v/>
      </c>
      <c r="IQ178" t="str">
        <f>""</f>
        <v/>
      </c>
      <c r="IR178" t="str">
        <f>""</f>
        <v/>
      </c>
      <c r="IS178" t="str">
        <f>""</f>
        <v/>
      </c>
      <c r="IT178" t="str">
        <f>""</f>
        <v/>
      </c>
      <c r="IU178" t="str">
        <f>""</f>
        <v/>
      </c>
      <c r="IV178" t="str">
        <f>""</f>
        <v/>
      </c>
      <c r="IW178" t="str">
        <f>""</f>
        <v/>
      </c>
      <c r="IX178" t="str">
        <f>""</f>
        <v/>
      </c>
      <c r="IY178" t="str">
        <f>""</f>
        <v/>
      </c>
      <c r="IZ178" t="str">
        <f>""</f>
        <v/>
      </c>
      <c r="JA178" t="str">
        <f>""</f>
        <v/>
      </c>
      <c r="JB178" t="str">
        <f>""</f>
        <v/>
      </c>
      <c r="JC178" t="str">
        <f>""</f>
        <v/>
      </c>
      <c r="JD178" t="str">
        <f>""</f>
        <v/>
      </c>
      <c r="JE178" t="str">
        <f>""</f>
        <v/>
      </c>
      <c r="JF178" t="str">
        <f>""</f>
        <v/>
      </c>
      <c r="JG178" t="str">
        <f>""</f>
        <v/>
      </c>
      <c r="JH178" t="str">
        <f>""</f>
        <v/>
      </c>
      <c r="JI178" t="str">
        <f>""</f>
        <v/>
      </c>
      <c r="JJ178" t="str">
        <f>""</f>
        <v/>
      </c>
      <c r="JK178" t="str">
        <f>""</f>
        <v/>
      </c>
    </row>
    <row r="180" spans="1:271" x14ac:dyDescent="0.3">
      <c r="A180" t="str">
        <f>"c.zMETAB2#c.PM3"</f>
        <v>c.zMETAB2#c.PM3</v>
      </c>
      <c r="B180" t="str">
        <f>""</f>
        <v/>
      </c>
      <c r="C180" t="str">
        <f>""</f>
        <v/>
      </c>
      <c r="D180" t="str">
        <f>""</f>
        <v/>
      </c>
      <c r="E180" t="str">
        <f>""</f>
        <v/>
      </c>
      <c r="F180" t="str">
        <f>""</f>
        <v/>
      </c>
      <c r="G180" t="str">
        <f>""</f>
        <v/>
      </c>
      <c r="H180" t="str">
        <f>""</f>
        <v/>
      </c>
      <c r="I180" t="str">
        <f>""</f>
        <v/>
      </c>
      <c r="J180" t="str">
        <f>""</f>
        <v/>
      </c>
      <c r="K180" t="str">
        <f>""</f>
        <v/>
      </c>
      <c r="L180" t="str">
        <f>""</f>
        <v/>
      </c>
      <c r="M180" t="str">
        <f>""</f>
        <v/>
      </c>
      <c r="N180" t="str">
        <f>""</f>
        <v/>
      </c>
      <c r="O180" t="str">
        <f>""</f>
        <v/>
      </c>
      <c r="P180" t="str">
        <f>""</f>
        <v/>
      </c>
      <c r="Q180" t="str">
        <f>""</f>
        <v/>
      </c>
      <c r="R180" t="str">
        <f>""</f>
        <v/>
      </c>
      <c r="S180" t="str">
        <f>""</f>
        <v/>
      </c>
      <c r="T180" t="str">
        <f>""</f>
        <v/>
      </c>
      <c r="U180" t="str">
        <f>""</f>
        <v/>
      </c>
      <c r="V180" t="str">
        <f>""</f>
        <v/>
      </c>
      <c r="W180" t="str">
        <f>""</f>
        <v/>
      </c>
      <c r="X180" t="str">
        <f>""</f>
        <v/>
      </c>
      <c r="Y180" t="str">
        <f>""</f>
        <v/>
      </c>
      <c r="Z180" t="str">
        <f>""</f>
        <v/>
      </c>
      <c r="AA180" t="str">
        <f>""</f>
        <v/>
      </c>
      <c r="AB180" t="str">
        <f>""</f>
        <v/>
      </c>
      <c r="AC180" t="str">
        <f>""</f>
        <v/>
      </c>
      <c r="AD180" t="str">
        <f>""</f>
        <v/>
      </c>
      <c r="AE180" t="str">
        <f>""</f>
        <v/>
      </c>
      <c r="AF180" t="str">
        <f>""</f>
        <v/>
      </c>
      <c r="AG180" t="str">
        <f>""</f>
        <v/>
      </c>
      <c r="AH180" t="str">
        <f>""</f>
        <v/>
      </c>
      <c r="AI180" t="str">
        <f>""</f>
        <v/>
      </c>
      <c r="AJ180" t="str">
        <f>""</f>
        <v/>
      </c>
      <c r="AK180" t="str">
        <f>""</f>
        <v/>
      </c>
      <c r="AL180" t="str">
        <f>""</f>
        <v/>
      </c>
      <c r="AM180" t="str">
        <f>""</f>
        <v/>
      </c>
      <c r="AN180" t="str">
        <f>""</f>
        <v/>
      </c>
      <c r="AO180" t="str">
        <f>""</f>
        <v/>
      </c>
      <c r="AP180" t="str">
        <f>""</f>
        <v/>
      </c>
      <c r="AQ180" t="str">
        <f>""</f>
        <v/>
      </c>
      <c r="AR180" t="str">
        <f>""</f>
        <v/>
      </c>
      <c r="AS180" t="str">
        <f>""</f>
        <v/>
      </c>
      <c r="AT180" t="str">
        <f>""</f>
        <v/>
      </c>
      <c r="AU180" t="str">
        <f>""</f>
        <v/>
      </c>
      <c r="AV180" t="str">
        <f>""</f>
        <v/>
      </c>
      <c r="AW180" t="str">
        <f>""</f>
        <v/>
      </c>
      <c r="AX180" t="str">
        <f>""</f>
        <v/>
      </c>
      <c r="AY180" t="str">
        <f>""</f>
        <v/>
      </c>
      <c r="AZ180" t="str">
        <f>""</f>
        <v/>
      </c>
      <c r="BA180" t="str">
        <f>""</f>
        <v/>
      </c>
      <c r="BB180" t="str">
        <f>""</f>
        <v/>
      </c>
      <c r="BC180" t="str">
        <f>""</f>
        <v/>
      </c>
      <c r="BD180" t="str">
        <f>""</f>
        <v/>
      </c>
      <c r="BE180" t="str">
        <f>""</f>
        <v/>
      </c>
      <c r="BF180" t="str">
        <f>""</f>
        <v/>
      </c>
      <c r="BG180" t="str">
        <f>""</f>
        <v/>
      </c>
      <c r="BH180" t="str">
        <f>""</f>
        <v/>
      </c>
      <c r="BI180" t="str">
        <f>""</f>
        <v/>
      </c>
      <c r="BJ180" t="str">
        <f>""</f>
        <v/>
      </c>
      <c r="BK180" t="str">
        <f>""</f>
        <v/>
      </c>
      <c r="BL180" t="str">
        <f>""</f>
        <v/>
      </c>
      <c r="BM180" t="str">
        <f>""</f>
        <v/>
      </c>
      <c r="BN180" t="str">
        <f>""</f>
        <v/>
      </c>
      <c r="BO180" t="str">
        <f>""</f>
        <v/>
      </c>
      <c r="BP180" t="str">
        <f>""</f>
        <v/>
      </c>
      <c r="BQ180" t="str">
        <f>""</f>
        <v/>
      </c>
      <c r="BR180" t="str">
        <f>""</f>
        <v/>
      </c>
      <c r="BS180" t="str">
        <f>""</f>
        <v/>
      </c>
      <c r="BT180" t="str">
        <f>""</f>
        <v/>
      </c>
      <c r="BU180" t="str">
        <f>""</f>
        <v/>
      </c>
      <c r="BV180" t="str">
        <f>""</f>
        <v/>
      </c>
      <c r="BW180" t="str">
        <f>""</f>
        <v/>
      </c>
      <c r="BX180" t="str">
        <f>""</f>
        <v/>
      </c>
      <c r="BY180" t="str">
        <f>""</f>
        <v/>
      </c>
      <c r="BZ180" t="str">
        <f>""</f>
        <v/>
      </c>
      <c r="CA180" t="str">
        <f>""</f>
        <v/>
      </c>
      <c r="CB180" t="str">
        <f>""</f>
        <v/>
      </c>
      <c r="CC180" t="str">
        <f>""</f>
        <v/>
      </c>
      <c r="CD180" t="str">
        <f>""</f>
        <v/>
      </c>
      <c r="CE180" t="str">
        <f>""</f>
        <v/>
      </c>
      <c r="CF180" t="str">
        <f>""</f>
        <v/>
      </c>
      <c r="CG180" t="str">
        <f>""</f>
        <v/>
      </c>
      <c r="CH180" t="str">
        <f>""</f>
        <v/>
      </c>
      <c r="CI180" t="str">
        <f>""</f>
        <v/>
      </c>
      <c r="CJ180" t="str">
        <f>""</f>
        <v/>
      </c>
      <c r="CK180" t="str">
        <f>""</f>
        <v/>
      </c>
      <c r="CL180" t="str">
        <f>""</f>
        <v/>
      </c>
      <c r="CM180" t="str">
        <f>""</f>
        <v/>
      </c>
      <c r="CN180" t="str">
        <f>""</f>
        <v/>
      </c>
      <c r="CO180" t="str">
        <f>""</f>
        <v/>
      </c>
      <c r="CP180" t="str">
        <f>""</f>
        <v/>
      </c>
      <c r="CQ180" t="str">
        <f>"-0.144"</f>
        <v>-0.144</v>
      </c>
      <c r="CR180" t="str">
        <f>"-0.0525"</f>
        <v>-0.0525</v>
      </c>
      <c r="CS180" t="str">
        <f>"-0.00156"</f>
        <v>-0.00156</v>
      </c>
      <c r="CT180" t="str">
        <f>""</f>
        <v/>
      </c>
      <c r="CU180" t="str">
        <f>""</f>
        <v/>
      </c>
      <c r="CV180" t="str">
        <f>""</f>
        <v/>
      </c>
      <c r="CW180" t="str">
        <f>""</f>
        <v/>
      </c>
      <c r="CX180" t="str">
        <f>""</f>
        <v/>
      </c>
      <c r="CY180" t="str">
        <f>""</f>
        <v/>
      </c>
      <c r="CZ180" t="str">
        <f>""</f>
        <v/>
      </c>
      <c r="DA180" t="str">
        <f>""</f>
        <v/>
      </c>
      <c r="DB180" t="str">
        <f>""</f>
        <v/>
      </c>
      <c r="DC180" t="str">
        <f>""</f>
        <v/>
      </c>
      <c r="DD180" t="str">
        <f>""</f>
        <v/>
      </c>
      <c r="DE180" t="str">
        <f>""</f>
        <v/>
      </c>
      <c r="DF180" t="str">
        <f>""</f>
        <v/>
      </c>
      <c r="DG180" t="str">
        <f>""</f>
        <v/>
      </c>
      <c r="DH180" t="str">
        <f>""</f>
        <v/>
      </c>
      <c r="DI180" t="str">
        <f>""</f>
        <v/>
      </c>
      <c r="DJ180" t="str">
        <f>""</f>
        <v/>
      </c>
      <c r="DK180" t="str">
        <f>""</f>
        <v/>
      </c>
      <c r="DL180" t="str">
        <f>""</f>
        <v/>
      </c>
      <c r="DM180" t="str">
        <f>""</f>
        <v/>
      </c>
      <c r="DN180" t="str">
        <f>""</f>
        <v/>
      </c>
      <c r="DO180" t="str">
        <f>""</f>
        <v/>
      </c>
      <c r="DP180" t="str">
        <f>""</f>
        <v/>
      </c>
      <c r="DQ180" t="str">
        <f>""</f>
        <v/>
      </c>
      <c r="DR180" t="str">
        <f>""</f>
        <v/>
      </c>
      <c r="DS180" t="str">
        <f>""</f>
        <v/>
      </c>
      <c r="DT180" t="str">
        <f>""</f>
        <v/>
      </c>
      <c r="DU180" t="str">
        <f>""</f>
        <v/>
      </c>
      <c r="DV180" t="str">
        <f>""</f>
        <v/>
      </c>
      <c r="DW180" t="str">
        <f>""</f>
        <v/>
      </c>
      <c r="DX180" t="str">
        <f>""</f>
        <v/>
      </c>
      <c r="DY180" t="str">
        <f>""</f>
        <v/>
      </c>
      <c r="DZ180" t="str">
        <f>""</f>
        <v/>
      </c>
      <c r="EA180" t="str">
        <f>""</f>
        <v/>
      </c>
      <c r="EB180" t="str">
        <f>""</f>
        <v/>
      </c>
      <c r="EC180" t="str">
        <f>""</f>
        <v/>
      </c>
      <c r="ED180" t="str">
        <f>""</f>
        <v/>
      </c>
      <c r="EE180" t="str">
        <f>""</f>
        <v/>
      </c>
      <c r="EF180" t="str">
        <f>""</f>
        <v/>
      </c>
      <c r="EG180" t="str">
        <f>""</f>
        <v/>
      </c>
      <c r="EH180" t="str">
        <f>""</f>
        <v/>
      </c>
      <c r="EI180" t="str">
        <f>""</f>
        <v/>
      </c>
      <c r="EJ180" t="str">
        <f>""</f>
        <v/>
      </c>
      <c r="EK180" t="str">
        <f>""</f>
        <v/>
      </c>
      <c r="EL180" t="str">
        <f>""</f>
        <v/>
      </c>
      <c r="EM180" t="str">
        <f>""</f>
        <v/>
      </c>
      <c r="EN180" t="str">
        <f>""</f>
        <v/>
      </c>
      <c r="EO180" t="str">
        <f>""</f>
        <v/>
      </c>
      <c r="EP180" t="str">
        <f>""</f>
        <v/>
      </c>
      <c r="EQ180" t="str">
        <f>""</f>
        <v/>
      </c>
      <c r="ER180" t="str">
        <f>""</f>
        <v/>
      </c>
      <c r="ES180" t="str">
        <f>""</f>
        <v/>
      </c>
      <c r="ET180" t="str">
        <f>""</f>
        <v/>
      </c>
      <c r="EU180" t="str">
        <f>""</f>
        <v/>
      </c>
      <c r="EV180" t="str">
        <f>""</f>
        <v/>
      </c>
      <c r="EW180" t="str">
        <f>""</f>
        <v/>
      </c>
      <c r="EX180" t="str">
        <f>""</f>
        <v/>
      </c>
      <c r="EY180" t="str">
        <f>""</f>
        <v/>
      </c>
      <c r="EZ180" t="str">
        <f>""</f>
        <v/>
      </c>
      <c r="FA180" t="str">
        <f>""</f>
        <v/>
      </c>
      <c r="FB180" t="str">
        <f>""</f>
        <v/>
      </c>
      <c r="FC180" t="str">
        <f>""</f>
        <v/>
      </c>
      <c r="FD180" t="str">
        <f>""</f>
        <v/>
      </c>
      <c r="FE180" t="str">
        <f>""</f>
        <v/>
      </c>
      <c r="FF180" t="str">
        <f>""</f>
        <v/>
      </c>
      <c r="FG180" t="str">
        <f>""</f>
        <v/>
      </c>
      <c r="FH180" t="str">
        <f>""</f>
        <v/>
      </c>
      <c r="FI180" t="str">
        <f>""</f>
        <v/>
      </c>
      <c r="FJ180" t="str">
        <f>""</f>
        <v/>
      </c>
      <c r="FK180" t="str">
        <f>""</f>
        <v/>
      </c>
      <c r="FL180" t="str">
        <f>""</f>
        <v/>
      </c>
      <c r="FM180" t="str">
        <f>""</f>
        <v/>
      </c>
      <c r="FN180" t="str">
        <f>""</f>
        <v/>
      </c>
      <c r="FO180" t="str">
        <f>""</f>
        <v/>
      </c>
      <c r="FP180" t="str">
        <f>""</f>
        <v/>
      </c>
      <c r="FQ180" t="str">
        <f>""</f>
        <v/>
      </c>
      <c r="FR180" t="str">
        <f>""</f>
        <v/>
      </c>
      <c r="FS180" t="str">
        <f>""</f>
        <v/>
      </c>
      <c r="FT180" t="str">
        <f>""</f>
        <v/>
      </c>
      <c r="FU180" t="str">
        <f>""</f>
        <v/>
      </c>
      <c r="FV180" t="str">
        <f>""</f>
        <v/>
      </c>
      <c r="FW180" t="str">
        <f>""</f>
        <v/>
      </c>
      <c r="FX180" t="str">
        <f>""</f>
        <v/>
      </c>
      <c r="FY180" t="str">
        <f>""</f>
        <v/>
      </c>
      <c r="FZ180" t="str">
        <f>""</f>
        <v/>
      </c>
      <c r="GA180" t="str">
        <f>""</f>
        <v/>
      </c>
      <c r="GB180" t="str">
        <f>""</f>
        <v/>
      </c>
      <c r="GC180" t="str">
        <f>""</f>
        <v/>
      </c>
      <c r="GD180" t="str">
        <f>""</f>
        <v/>
      </c>
      <c r="GE180" t="str">
        <f>""</f>
        <v/>
      </c>
      <c r="GF180" t="str">
        <f>""</f>
        <v/>
      </c>
      <c r="GG180" t="str">
        <f>""</f>
        <v/>
      </c>
      <c r="GH180" t="str">
        <f>""</f>
        <v/>
      </c>
      <c r="GI180" t="str">
        <f>""</f>
        <v/>
      </c>
      <c r="GJ180" t="str">
        <f>""</f>
        <v/>
      </c>
      <c r="GK180" t="str">
        <f>""</f>
        <v/>
      </c>
      <c r="GL180" t="str">
        <f>""</f>
        <v/>
      </c>
      <c r="GM180" t="str">
        <f>""</f>
        <v/>
      </c>
      <c r="GN180" t="str">
        <f>""</f>
        <v/>
      </c>
      <c r="GO180" t="str">
        <f>""</f>
        <v/>
      </c>
      <c r="GP180" t="str">
        <f>""</f>
        <v/>
      </c>
      <c r="GQ180" t="str">
        <f>""</f>
        <v/>
      </c>
      <c r="GR180" t="str">
        <f>""</f>
        <v/>
      </c>
      <c r="GS180" t="str">
        <f>""</f>
        <v/>
      </c>
      <c r="GT180" t="str">
        <f>""</f>
        <v/>
      </c>
      <c r="GU180" t="str">
        <f>""</f>
        <v/>
      </c>
      <c r="GV180" t="str">
        <f>""</f>
        <v/>
      </c>
      <c r="GW180" t="str">
        <f>""</f>
        <v/>
      </c>
      <c r="GX180" t="str">
        <f>""</f>
        <v/>
      </c>
      <c r="GY180" t="str">
        <f>""</f>
        <v/>
      </c>
      <c r="GZ180" t="str">
        <f>""</f>
        <v/>
      </c>
      <c r="HA180" t="str">
        <f>""</f>
        <v/>
      </c>
      <c r="HB180" t="str">
        <f>""</f>
        <v/>
      </c>
      <c r="HC180" t="str">
        <f>""</f>
        <v/>
      </c>
      <c r="HD180" t="str">
        <f>""</f>
        <v/>
      </c>
      <c r="HE180" t="str">
        <f>""</f>
        <v/>
      </c>
      <c r="HF180" t="str">
        <f>""</f>
        <v/>
      </c>
      <c r="HG180" t="str">
        <f>""</f>
        <v/>
      </c>
      <c r="HH180" t="str">
        <f>""</f>
        <v/>
      </c>
      <c r="HI180" t="str">
        <f>""</f>
        <v/>
      </c>
      <c r="HJ180" t="str">
        <f>""</f>
        <v/>
      </c>
      <c r="HK180" t="str">
        <f>""</f>
        <v/>
      </c>
      <c r="HL180" t="str">
        <f>""</f>
        <v/>
      </c>
      <c r="HM180" t="str">
        <f>""</f>
        <v/>
      </c>
      <c r="HN180" t="str">
        <f>""</f>
        <v/>
      </c>
      <c r="HO180" t="str">
        <f>""</f>
        <v/>
      </c>
      <c r="HP180" t="str">
        <f>""</f>
        <v/>
      </c>
      <c r="HQ180" t="str">
        <f>""</f>
        <v/>
      </c>
      <c r="HR180" t="str">
        <f>""</f>
        <v/>
      </c>
      <c r="HS180" t="str">
        <f>""</f>
        <v/>
      </c>
      <c r="HT180" t="str">
        <f>""</f>
        <v/>
      </c>
      <c r="HU180" t="str">
        <f>""</f>
        <v/>
      </c>
      <c r="HV180" t="str">
        <f>""</f>
        <v/>
      </c>
      <c r="HW180" t="str">
        <f>""</f>
        <v/>
      </c>
      <c r="HX180" t="str">
        <f>""</f>
        <v/>
      </c>
      <c r="HY180" t="str">
        <f>""</f>
        <v/>
      </c>
      <c r="HZ180" t="str">
        <f>""</f>
        <v/>
      </c>
      <c r="IA180" t="str">
        <f>""</f>
        <v/>
      </c>
      <c r="IB180" t="str">
        <f>""</f>
        <v/>
      </c>
      <c r="IC180" t="str">
        <f>""</f>
        <v/>
      </c>
      <c r="ID180" t="str">
        <f>""</f>
        <v/>
      </c>
      <c r="IE180" t="str">
        <f>""</f>
        <v/>
      </c>
      <c r="IF180" t="str">
        <f>""</f>
        <v/>
      </c>
      <c r="IG180" t="str">
        <f>""</f>
        <v/>
      </c>
      <c r="IH180" t="str">
        <f>""</f>
        <v/>
      </c>
      <c r="II180" t="str">
        <f>""</f>
        <v/>
      </c>
      <c r="IJ180" t="str">
        <f>""</f>
        <v/>
      </c>
      <c r="IK180" t="str">
        <f>""</f>
        <v/>
      </c>
      <c r="IL180" t="str">
        <f>""</f>
        <v/>
      </c>
      <c r="IM180" t="str">
        <f>""</f>
        <v/>
      </c>
      <c r="IN180" t="str">
        <f>""</f>
        <v/>
      </c>
      <c r="IO180" t="str">
        <f>""</f>
        <v/>
      </c>
      <c r="IP180" t="str">
        <f>""</f>
        <v/>
      </c>
      <c r="IQ180" t="str">
        <f>""</f>
        <v/>
      </c>
      <c r="IR180" t="str">
        <f>""</f>
        <v/>
      </c>
      <c r="IS180" t="str">
        <f>""</f>
        <v/>
      </c>
      <c r="IT180" t="str">
        <f>""</f>
        <v/>
      </c>
      <c r="IU180" t="str">
        <f>""</f>
        <v/>
      </c>
      <c r="IV180" t="str">
        <f>""</f>
        <v/>
      </c>
      <c r="IW180" t="str">
        <f>""</f>
        <v/>
      </c>
      <c r="IX180" t="str">
        <f>""</f>
        <v/>
      </c>
      <c r="IY180" t="str">
        <f>""</f>
        <v/>
      </c>
      <c r="IZ180" t="str">
        <f>""</f>
        <v/>
      </c>
      <c r="JA180" t="str">
        <f>""</f>
        <v/>
      </c>
      <c r="JB180" t="str">
        <f>""</f>
        <v/>
      </c>
      <c r="JC180" t="str">
        <f>""</f>
        <v/>
      </c>
      <c r="JD180" t="str">
        <f>""</f>
        <v/>
      </c>
      <c r="JE180" t="str">
        <f>""</f>
        <v/>
      </c>
      <c r="JF180" t="str">
        <f>""</f>
        <v/>
      </c>
      <c r="JG180" t="str">
        <f>""</f>
        <v/>
      </c>
      <c r="JH180" t="str">
        <f>""</f>
        <v/>
      </c>
      <c r="JI180" t="str">
        <f>""</f>
        <v/>
      </c>
      <c r="JJ180" t="str">
        <f>""</f>
        <v/>
      </c>
      <c r="JK180" t="str">
        <f>""</f>
        <v/>
      </c>
    </row>
    <row r="181" spans="1:271" x14ac:dyDescent="0.3">
      <c r="A181" t="str">
        <f>""</f>
        <v/>
      </c>
      <c r="B181" t="str">
        <f>""</f>
        <v/>
      </c>
      <c r="C181" t="str">
        <f>""</f>
        <v/>
      </c>
      <c r="D181" t="str">
        <f>""</f>
        <v/>
      </c>
      <c r="E181" t="str">
        <f>""</f>
        <v/>
      </c>
      <c r="F181" t="str">
        <f>""</f>
        <v/>
      </c>
      <c r="G181" t="str">
        <f>""</f>
        <v/>
      </c>
      <c r="H181" t="str">
        <f>""</f>
        <v/>
      </c>
      <c r="I181" t="str">
        <f>""</f>
        <v/>
      </c>
      <c r="J181" t="str">
        <f>""</f>
        <v/>
      </c>
      <c r="K181" t="str">
        <f>""</f>
        <v/>
      </c>
      <c r="L181" t="str">
        <f>""</f>
        <v/>
      </c>
      <c r="M181" t="str">
        <f>""</f>
        <v/>
      </c>
      <c r="N181" t="str">
        <f>""</f>
        <v/>
      </c>
      <c r="O181" t="str">
        <f>""</f>
        <v/>
      </c>
      <c r="P181" t="str">
        <f>""</f>
        <v/>
      </c>
      <c r="Q181" t="str">
        <f>""</f>
        <v/>
      </c>
      <c r="R181" t="str">
        <f>""</f>
        <v/>
      </c>
      <c r="S181" t="str">
        <f>""</f>
        <v/>
      </c>
      <c r="T181" t="str">
        <f>""</f>
        <v/>
      </c>
      <c r="U181" t="str">
        <f>""</f>
        <v/>
      </c>
      <c r="V181" t="str">
        <f>""</f>
        <v/>
      </c>
      <c r="W181" t="str">
        <f>""</f>
        <v/>
      </c>
      <c r="X181" t="str">
        <f>""</f>
        <v/>
      </c>
      <c r="Y181" t="str">
        <f>""</f>
        <v/>
      </c>
      <c r="Z181" t="str">
        <f>""</f>
        <v/>
      </c>
      <c r="AA181" t="str">
        <f>""</f>
        <v/>
      </c>
      <c r="AB181" t="str">
        <f>""</f>
        <v/>
      </c>
      <c r="AC181" t="str">
        <f>""</f>
        <v/>
      </c>
      <c r="AD181" t="str">
        <f>""</f>
        <v/>
      </c>
      <c r="AE181" t="str">
        <f>""</f>
        <v/>
      </c>
      <c r="AF181" t="str">
        <f>""</f>
        <v/>
      </c>
      <c r="AG181" t="str">
        <f>""</f>
        <v/>
      </c>
      <c r="AH181" t="str">
        <f>""</f>
        <v/>
      </c>
      <c r="AI181" t="str">
        <f>""</f>
        <v/>
      </c>
      <c r="AJ181" t="str">
        <f>""</f>
        <v/>
      </c>
      <c r="AK181" t="str">
        <f>""</f>
        <v/>
      </c>
      <c r="AL181" t="str">
        <f>""</f>
        <v/>
      </c>
      <c r="AM181" t="str">
        <f>""</f>
        <v/>
      </c>
      <c r="AN181" t="str">
        <f>""</f>
        <v/>
      </c>
      <c r="AO181" t="str">
        <f>""</f>
        <v/>
      </c>
      <c r="AP181" t="str">
        <f>""</f>
        <v/>
      </c>
      <c r="AQ181" t="str">
        <f>""</f>
        <v/>
      </c>
      <c r="AR181" t="str">
        <f>""</f>
        <v/>
      </c>
      <c r="AS181" t="str">
        <f>""</f>
        <v/>
      </c>
      <c r="AT181" t="str">
        <f>""</f>
        <v/>
      </c>
      <c r="AU181" t="str">
        <f>""</f>
        <v/>
      </c>
      <c r="AV181" t="str">
        <f>""</f>
        <v/>
      </c>
      <c r="AW181" t="str">
        <f>""</f>
        <v/>
      </c>
      <c r="AX181" t="str">
        <f>""</f>
        <v/>
      </c>
      <c r="AY181" t="str">
        <f>""</f>
        <v/>
      </c>
      <c r="AZ181" t="str">
        <f>""</f>
        <v/>
      </c>
      <c r="BA181" t="str">
        <f>""</f>
        <v/>
      </c>
      <c r="BB181" t="str">
        <f>""</f>
        <v/>
      </c>
      <c r="BC181" t="str">
        <f>""</f>
        <v/>
      </c>
      <c r="BD181" t="str">
        <f>""</f>
        <v/>
      </c>
      <c r="BE181" t="str">
        <f>""</f>
        <v/>
      </c>
      <c r="BF181" t="str">
        <f>""</f>
        <v/>
      </c>
      <c r="BG181" t="str">
        <f>""</f>
        <v/>
      </c>
      <c r="BH181" t="str">
        <f>""</f>
        <v/>
      </c>
      <c r="BI181" t="str">
        <f>""</f>
        <v/>
      </c>
      <c r="BJ181" t="str">
        <f>""</f>
        <v/>
      </c>
      <c r="BK181" t="str">
        <f>""</f>
        <v/>
      </c>
      <c r="BL181" t="str">
        <f>""</f>
        <v/>
      </c>
      <c r="BM181" t="str">
        <f>""</f>
        <v/>
      </c>
      <c r="BN181" t="str">
        <f>""</f>
        <v/>
      </c>
      <c r="BO181" t="str">
        <f>""</f>
        <v/>
      </c>
      <c r="BP181" t="str">
        <f>""</f>
        <v/>
      </c>
      <c r="BQ181" t="str">
        <f>""</f>
        <v/>
      </c>
      <c r="BR181" t="str">
        <f>""</f>
        <v/>
      </c>
      <c r="BS181" t="str">
        <f>""</f>
        <v/>
      </c>
      <c r="BT181" t="str">
        <f>""</f>
        <v/>
      </c>
      <c r="BU181" t="str">
        <f>""</f>
        <v/>
      </c>
      <c r="BV181" t="str">
        <f>""</f>
        <v/>
      </c>
      <c r="BW181" t="str">
        <f>""</f>
        <v/>
      </c>
      <c r="BX181" t="str">
        <f>""</f>
        <v/>
      </c>
      <c r="BY181" t="str">
        <f>""</f>
        <v/>
      </c>
      <c r="BZ181" t="str">
        <f>""</f>
        <v/>
      </c>
      <c r="CA181" t="str">
        <f>""</f>
        <v/>
      </c>
      <c r="CB181" t="str">
        <f>""</f>
        <v/>
      </c>
      <c r="CC181" t="str">
        <f>""</f>
        <v/>
      </c>
      <c r="CD181" t="str">
        <f>""</f>
        <v/>
      </c>
      <c r="CE181" t="str">
        <f>""</f>
        <v/>
      </c>
      <c r="CF181" t="str">
        <f>""</f>
        <v/>
      </c>
      <c r="CG181" t="str">
        <f>""</f>
        <v/>
      </c>
      <c r="CH181" t="str">
        <f>""</f>
        <v/>
      </c>
      <c r="CI181" t="str">
        <f>""</f>
        <v/>
      </c>
      <c r="CJ181" t="str">
        <f>""</f>
        <v/>
      </c>
      <c r="CK181" t="str">
        <f>""</f>
        <v/>
      </c>
      <c r="CL181" t="str">
        <f>""</f>
        <v/>
      </c>
      <c r="CM181" t="str">
        <f>""</f>
        <v/>
      </c>
      <c r="CN181" t="str">
        <f>""</f>
        <v/>
      </c>
      <c r="CO181" t="str">
        <f>""</f>
        <v/>
      </c>
      <c r="CP181" t="str">
        <f>""</f>
        <v/>
      </c>
      <c r="CQ181" t="str">
        <f>"(0.102)"</f>
        <v>(0.102)</v>
      </c>
      <c r="CR181" t="str">
        <f>"(0.0808)"</f>
        <v>(0.0808)</v>
      </c>
      <c r="CS181" t="str">
        <f>"(0.0447)"</f>
        <v>(0.0447)</v>
      </c>
      <c r="CT181" t="str">
        <f>""</f>
        <v/>
      </c>
      <c r="CU181" t="str">
        <f>""</f>
        <v/>
      </c>
      <c r="CV181" t="str">
        <f>""</f>
        <v/>
      </c>
      <c r="CW181" t="str">
        <f>""</f>
        <v/>
      </c>
      <c r="CX181" t="str">
        <f>""</f>
        <v/>
      </c>
      <c r="CY181" t="str">
        <f>""</f>
        <v/>
      </c>
      <c r="CZ181" t="str">
        <f>""</f>
        <v/>
      </c>
      <c r="DA181" t="str">
        <f>""</f>
        <v/>
      </c>
      <c r="DB181" t="str">
        <f>""</f>
        <v/>
      </c>
      <c r="DC181" t="str">
        <f>""</f>
        <v/>
      </c>
      <c r="DD181" t="str">
        <f>""</f>
        <v/>
      </c>
      <c r="DE181" t="str">
        <f>""</f>
        <v/>
      </c>
      <c r="DF181" t="str">
        <f>""</f>
        <v/>
      </c>
      <c r="DG181" t="str">
        <f>""</f>
        <v/>
      </c>
      <c r="DH181" t="str">
        <f>""</f>
        <v/>
      </c>
      <c r="DI181" t="str">
        <f>""</f>
        <v/>
      </c>
      <c r="DJ181" t="str">
        <f>""</f>
        <v/>
      </c>
      <c r="DK181" t="str">
        <f>""</f>
        <v/>
      </c>
      <c r="DL181" t="str">
        <f>""</f>
        <v/>
      </c>
      <c r="DM181" t="str">
        <f>""</f>
        <v/>
      </c>
      <c r="DN181" t="str">
        <f>""</f>
        <v/>
      </c>
      <c r="DO181" t="str">
        <f>""</f>
        <v/>
      </c>
      <c r="DP181" t="str">
        <f>""</f>
        <v/>
      </c>
      <c r="DQ181" t="str">
        <f>""</f>
        <v/>
      </c>
      <c r="DR181" t="str">
        <f>""</f>
        <v/>
      </c>
      <c r="DS181" t="str">
        <f>""</f>
        <v/>
      </c>
      <c r="DT181" t="str">
        <f>""</f>
        <v/>
      </c>
      <c r="DU181" t="str">
        <f>""</f>
        <v/>
      </c>
      <c r="DV181" t="str">
        <f>""</f>
        <v/>
      </c>
      <c r="DW181" t="str">
        <f>""</f>
        <v/>
      </c>
      <c r="DX181" t="str">
        <f>""</f>
        <v/>
      </c>
      <c r="DY181" t="str">
        <f>""</f>
        <v/>
      </c>
      <c r="DZ181" t="str">
        <f>""</f>
        <v/>
      </c>
      <c r="EA181" t="str">
        <f>""</f>
        <v/>
      </c>
      <c r="EB181" t="str">
        <f>""</f>
        <v/>
      </c>
      <c r="EC181" t="str">
        <f>""</f>
        <v/>
      </c>
      <c r="ED181" t="str">
        <f>""</f>
        <v/>
      </c>
      <c r="EE181" t="str">
        <f>""</f>
        <v/>
      </c>
      <c r="EF181" t="str">
        <f>""</f>
        <v/>
      </c>
      <c r="EG181" t="str">
        <f>""</f>
        <v/>
      </c>
      <c r="EH181" t="str">
        <f>""</f>
        <v/>
      </c>
      <c r="EI181" t="str">
        <f>""</f>
        <v/>
      </c>
      <c r="EJ181" t="str">
        <f>""</f>
        <v/>
      </c>
      <c r="EK181" t="str">
        <f>""</f>
        <v/>
      </c>
      <c r="EL181" t="str">
        <f>""</f>
        <v/>
      </c>
      <c r="EM181" t="str">
        <f>""</f>
        <v/>
      </c>
      <c r="EN181" t="str">
        <f>""</f>
        <v/>
      </c>
      <c r="EO181" t="str">
        <f>""</f>
        <v/>
      </c>
      <c r="EP181" t="str">
        <f>""</f>
        <v/>
      </c>
      <c r="EQ181" t="str">
        <f>""</f>
        <v/>
      </c>
      <c r="ER181" t="str">
        <f>""</f>
        <v/>
      </c>
      <c r="ES181" t="str">
        <f>""</f>
        <v/>
      </c>
      <c r="ET181" t="str">
        <f>""</f>
        <v/>
      </c>
      <c r="EU181" t="str">
        <f>""</f>
        <v/>
      </c>
      <c r="EV181" t="str">
        <f>""</f>
        <v/>
      </c>
      <c r="EW181" t="str">
        <f>""</f>
        <v/>
      </c>
      <c r="EX181" t="str">
        <f>""</f>
        <v/>
      </c>
      <c r="EY181" t="str">
        <f>""</f>
        <v/>
      </c>
      <c r="EZ181" t="str">
        <f>""</f>
        <v/>
      </c>
      <c r="FA181" t="str">
        <f>""</f>
        <v/>
      </c>
      <c r="FB181" t="str">
        <f>""</f>
        <v/>
      </c>
      <c r="FC181" t="str">
        <f>""</f>
        <v/>
      </c>
      <c r="FD181" t="str">
        <f>""</f>
        <v/>
      </c>
      <c r="FE181" t="str">
        <f>""</f>
        <v/>
      </c>
      <c r="FF181" t="str">
        <f>""</f>
        <v/>
      </c>
      <c r="FG181" t="str">
        <f>""</f>
        <v/>
      </c>
      <c r="FH181" t="str">
        <f>""</f>
        <v/>
      </c>
      <c r="FI181" t="str">
        <f>""</f>
        <v/>
      </c>
      <c r="FJ181" t="str">
        <f>""</f>
        <v/>
      </c>
      <c r="FK181" t="str">
        <f>""</f>
        <v/>
      </c>
      <c r="FL181" t="str">
        <f>""</f>
        <v/>
      </c>
      <c r="FM181" t="str">
        <f>""</f>
        <v/>
      </c>
      <c r="FN181" t="str">
        <f>""</f>
        <v/>
      </c>
      <c r="FO181" t="str">
        <f>""</f>
        <v/>
      </c>
      <c r="FP181" t="str">
        <f>""</f>
        <v/>
      </c>
      <c r="FQ181" t="str">
        <f>""</f>
        <v/>
      </c>
      <c r="FR181" t="str">
        <f>""</f>
        <v/>
      </c>
      <c r="FS181" t="str">
        <f>""</f>
        <v/>
      </c>
      <c r="FT181" t="str">
        <f>""</f>
        <v/>
      </c>
      <c r="FU181" t="str">
        <f>""</f>
        <v/>
      </c>
      <c r="FV181" t="str">
        <f>""</f>
        <v/>
      </c>
      <c r="FW181" t="str">
        <f>""</f>
        <v/>
      </c>
      <c r="FX181" t="str">
        <f>""</f>
        <v/>
      </c>
      <c r="FY181" t="str">
        <f>""</f>
        <v/>
      </c>
      <c r="FZ181" t="str">
        <f>""</f>
        <v/>
      </c>
      <c r="GA181" t="str">
        <f>""</f>
        <v/>
      </c>
      <c r="GB181" t="str">
        <f>""</f>
        <v/>
      </c>
      <c r="GC181" t="str">
        <f>""</f>
        <v/>
      </c>
      <c r="GD181" t="str">
        <f>""</f>
        <v/>
      </c>
      <c r="GE181" t="str">
        <f>""</f>
        <v/>
      </c>
      <c r="GF181" t="str">
        <f>""</f>
        <v/>
      </c>
      <c r="GG181" t="str">
        <f>""</f>
        <v/>
      </c>
      <c r="GH181" t="str">
        <f>""</f>
        <v/>
      </c>
      <c r="GI181" t="str">
        <f>""</f>
        <v/>
      </c>
      <c r="GJ181" t="str">
        <f>""</f>
        <v/>
      </c>
      <c r="GK181" t="str">
        <f>""</f>
        <v/>
      </c>
      <c r="GL181" t="str">
        <f>""</f>
        <v/>
      </c>
      <c r="GM181" t="str">
        <f>""</f>
        <v/>
      </c>
      <c r="GN181" t="str">
        <f>""</f>
        <v/>
      </c>
      <c r="GO181" t="str">
        <f>""</f>
        <v/>
      </c>
      <c r="GP181" t="str">
        <f>""</f>
        <v/>
      </c>
      <c r="GQ181" t="str">
        <f>""</f>
        <v/>
      </c>
      <c r="GR181" t="str">
        <f>""</f>
        <v/>
      </c>
      <c r="GS181" t="str">
        <f>""</f>
        <v/>
      </c>
      <c r="GT181" t="str">
        <f>""</f>
        <v/>
      </c>
      <c r="GU181" t="str">
        <f>""</f>
        <v/>
      </c>
      <c r="GV181" t="str">
        <f>""</f>
        <v/>
      </c>
      <c r="GW181" t="str">
        <f>""</f>
        <v/>
      </c>
      <c r="GX181" t="str">
        <f>""</f>
        <v/>
      </c>
      <c r="GY181" t="str">
        <f>""</f>
        <v/>
      </c>
      <c r="GZ181" t="str">
        <f>""</f>
        <v/>
      </c>
      <c r="HA181" t="str">
        <f>""</f>
        <v/>
      </c>
      <c r="HB181" t="str">
        <f>""</f>
        <v/>
      </c>
      <c r="HC181" t="str">
        <f>""</f>
        <v/>
      </c>
      <c r="HD181" t="str">
        <f>""</f>
        <v/>
      </c>
      <c r="HE181" t="str">
        <f>""</f>
        <v/>
      </c>
      <c r="HF181" t="str">
        <f>""</f>
        <v/>
      </c>
      <c r="HG181" t="str">
        <f>""</f>
        <v/>
      </c>
      <c r="HH181" t="str">
        <f>""</f>
        <v/>
      </c>
      <c r="HI181" t="str">
        <f>""</f>
        <v/>
      </c>
      <c r="HJ181" t="str">
        <f>""</f>
        <v/>
      </c>
      <c r="HK181" t="str">
        <f>""</f>
        <v/>
      </c>
      <c r="HL181" t="str">
        <f>""</f>
        <v/>
      </c>
      <c r="HM181" t="str">
        <f>""</f>
        <v/>
      </c>
      <c r="HN181" t="str">
        <f>""</f>
        <v/>
      </c>
      <c r="HO181" t="str">
        <f>""</f>
        <v/>
      </c>
      <c r="HP181" t="str">
        <f>""</f>
        <v/>
      </c>
      <c r="HQ181" t="str">
        <f>""</f>
        <v/>
      </c>
      <c r="HR181" t="str">
        <f>""</f>
        <v/>
      </c>
      <c r="HS181" t="str">
        <f>""</f>
        <v/>
      </c>
      <c r="HT181" t="str">
        <f>""</f>
        <v/>
      </c>
      <c r="HU181" t="str">
        <f>""</f>
        <v/>
      </c>
      <c r="HV181" t="str">
        <f>""</f>
        <v/>
      </c>
      <c r="HW181" t="str">
        <f>""</f>
        <v/>
      </c>
      <c r="HX181" t="str">
        <f>""</f>
        <v/>
      </c>
      <c r="HY181" t="str">
        <f>""</f>
        <v/>
      </c>
      <c r="HZ181" t="str">
        <f>""</f>
        <v/>
      </c>
      <c r="IA181" t="str">
        <f>""</f>
        <v/>
      </c>
      <c r="IB181" t="str">
        <f>""</f>
        <v/>
      </c>
      <c r="IC181" t="str">
        <f>""</f>
        <v/>
      </c>
      <c r="ID181" t="str">
        <f>""</f>
        <v/>
      </c>
      <c r="IE181" t="str">
        <f>""</f>
        <v/>
      </c>
      <c r="IF181" t="str">
        <f>""</f>
        <v/>
      </c>
      <c r="IG181" t="str">
        <f>""</f>
        <v/>
      </c>
      <c r="IH181" t="str">
        <f>""</f>
        <v/>
      </c>
      <c r="II181" t="str">
        <f>""</f>
        <v/>
      </c>
      <c r="IJ181" t="str">
        <f>""</f>
        <v/>
      </c>
      <c r="IK181" t="str">
        <f>""</f>
        <v/>
      </c>
      <c r="IL181" t="str">
        <f>""</f>
        <v/>
      </c>
      <c r="IM181" t="str">
        <f>""</f>
        <v/>
      </c>
      <c r="IN181" t="str">
        <f>""</f>
        <v/>
      </c>
      <c r="IO181" t="str">
        <f>""</f>
        <v/>
      </c>
      <c r="IP181" t="str">
        <f>""</f>
        <v/>
      </c>
      <c r="IQ181" t="str">
        <f>""</f>
        <v/>
      </c>
      <c r="IR181" t="str">
        <f>""</f>
        <v/>
      </c>
      <c r="IS181" t="str">
        <f>""</f>
        <v/>
      </c>
      <c r="IT181" t="str">
        <f>""</f>
        <v/>
      </c>
      <c r="IU181" t="str">
        <f>""</f>
        <v/>
      </c>
      <c r="IV181" t="str">
        <f>""</f>
        <v/>
      </c>
      <c r="IW181" t="str">
        <f>""</f>
        <v/>
      </c>
      <c r="IX181" t="str">
        <f>""</f>
        <v/>
      </c>
      <c r="IY181" t="str">
        <f>""</f>
        <v/>
      </c>
      <c r="IZ181" t="str">
        <f>""</f>
        <v/>
      </c>
      <c r="JA181" t="str">
        <f>""</f>
        <v/>
      </c>
      <c r="JB181" t="str">
        <f>""</f>
        <v/>
      </c>
      <c r="JC181" t="str">
        <f>""</f>
        <v/>
      </c>
      <c r="JD181" t="str">
        <f>""</f>
        <v/>
      </c>
      <c r="JE181" t="str">
        <f>""</f>
        <v/>
      </c>
      <c r="JF181" t="str">
        <f>""</f>
        <v/>
      </c>
      <c r="JG181" t="str">
        <f>""</f>
        <v/>
      </c>
      <c r="JH181" t="str">
        <f>""</f>
        <v/>
      </c>
      <c r="JI181" t="str">
        <f>""</f>
        <v/>
      </c>
      <c r="JJ181" t="str">
        <f>""</f>
        <v/>
      </c>
      <c r="JK181" t="str">
        <f>""</f>
        <v/>
      </c>
    </row>
    <row r="183" spans="1:271" x14ac:dyDescent="0.3">
      <c r="A183" t="str">
        <f>"c.zMETAB3#c.PM3"</f>
        <v>c.zMETAB3#c.PM3</v>
      </c>
      <c r="B183" t="str">
        <f>""</f>
        <v/>
      </c>
      <c r="C183" t="str">
        <f>""</f>
        <v/>
      </c>
      <c r="D183" t="str">
        <f>""</f>
        <v/>
      </c>
      <c r="E183" t="str">
        <f>""</f>
        <v/>
      </c>
      <c r="F183" t="str">
        <f>""</f>
        <v/>
      </c>
      <c r="G183" t="str">
        <f>""</f>
        <v/>
      </c>
      <c r="H183" t="str">
        <f>""</f>
        <v/>
      </c>
      <c r="I183" t="str">
        <f>""</f>
        <v/>
      </c>
      <c r="J183" t="str">
        <f>""</f>
        <v/>
      </c>
      <c r="K183" t="str">
        <f>""</f>
        <v/>
      </c>
      <c r="L183" t="str">
        <f>""</f>
        <v/>
      </c>
      <c r="M183" t="str">
        <f>""</f>
        <v/>
      </c>
      <c r="N183" t="str">
        <f>""</f>
        <v/>
      </c>
      <c r="O183" t="str">
        <f>""</f>
        <v/>
      </c>
      <c r="P183" t="str">
        <f>""</f>
        <v/>
      </c>
      <c r="Q183" t="str">
        <f>""</f>
        <v/>
      </c>
      <c r="R183" t="str">
        <f>""</f>
        <v/>
      </c>
      <c r="S183" t="str">
        <f>""</f>
        <v/>
      </c>
      <c r="T183" t="str">
        <f>""</f>
        <v/>
      </c>
      <c r="U183" t="str">
        <f>""</f>
        <v/>
      </c>
      <c r="V183" t="str">
        <f>""</f>
        <v/>
      </c>
      <c r="W183" t="str">
        <f>""</f>
        <v/>
      </c>
      <c r="X183" t="str">
        <f>""</f>
        <v/>
      </c>
      <c r="Y183" t="str">
        <f>""</f>
        <v/>
      </c>
      <c r="Z183" t="str">
        <f>""</f>
        <v/>
      </c>
      <c r="AA183" t="str">
        <f>""</f>
        <v/>
      </c>
      <c r="AB183" t="str">
        <f>""</f>
        <v/>
      </c>
      <c r="AC183" t="str">
        <f>""</f>
        <v/>
      </c>
      <c r="AD183" t="str">
        <f>""</f>
        <v/>
      </c>
      <c r="AE183" t="str">
        <f>""</f>
        <v/>
      </c>
      <c r="AF183" t="str">
        <f>""</f>
        <v/>
      </c>
      <c r="AG183" t="str">
        <f>""</f>
        <v/>
      </c>
      <c r="AH183" t="str">
        <f>""</f>
        <v/>
      </c>
      <c r="AI183" t="str">
        <f>""</f>
        <v/>
      </c>
      <c r="AJ183" t="str">
        <f>""</f>
        <v/>
      </c>
      <c r="AK183" t="str">
        <f>""</f>
        <v/>
      </c>
      <c r="AL183" t="str">
        <f>""</f>
        <v/>
      </c>
      <c r="AM183" t="str">
        <f>""</f>
        <v/>
      </c>
      <c r="AN183" t="str">
        <f>""</f>
        <v/>
      </c>
      <c r="AO183" t="str">
        <f>""</f>
        <v/>
      </c>
      <c r="AP183" t="str">
        <f>""</f>
        <v/>
      </c>
      <c r="AQ183" t="str">
        <f>""</f>
        <v/>
      </c>
      <c r="AR183" t="str">
        <f>""</f>
        <v/>
      </c>
      <c r="AS183" t="str">
        <f>""</f>
        <v/>
      </c>
      <c r="AT183" t="str">
        <f>""</f>
        <v/>
      </c>
      <c r="AU183" t="str">
        <f>""</f>
        <v/>
      </c>
      <c r="AV183" t="str">
        <f>""</f>
        <v/>
      </c>
      <c r="AW183" t="str">
        <f>""</f>
        <v/>
      </c>
      <c r="AX183" t="str">
        <f>""</f>
        <v/>
      </c>
      <c r="AY183" t="str">
        <f>""</f>
        <v/>
      </c>
      <c r="AZ183" t="str">
        <f>""</f>
        <v/>
      </c>
      <c r="BA183" t="str">
        <f>""</f>
        <v/>
      </c>
      <c r="BB183" t="str">
        <f>""</f>
        <v/>
      </c>
      <c r="BC183" t="str">
        <f>""</f>
        <v/>
      </c>
      <c r="BD183" t="str">
        <f>""</f>
        <v/>
      </c>
      <c r="BE183" t="str">
        <f>""</f>
        <v/>
      </c>
      <c r="BF183" t="str">
        <f>""</f>
        <v/>
      </c>
      <c r="BG183" t="str">
        <f>""</f>
        <v/>
      </c>
      <c r="BH183" t="str">
        <f>""</f>
        <v/>
      </c>
      <c r="BI183" t="str">
        <f>""</f>
        <v/>
      </c>
      <c r="BJ183" t="str">
        <f>""</f>
        <v/>
      </c>
      <c r="BK183" t="str">
        <f>""</f>
        <v/>
      </c>
      <c r="BL183" t="str">
        <f>""</f>
        <v/>
      </c>
      <c r="BM183" t="str">
        <f>""</f>
        <v/>
      </c>
      <c r="BN183" t="str">
        <f>""</f>
        <v/>
      </c>
      <c r="BO183" t="str">
        <f>""</f>
        <v/>
      </c>
      <c r="BP183" t="str">
        <f>""</f>
        <v/>
      </c>
      <c r="BQ183" t="str">
        <f>""</f>
        <v/>
      </c>
      <c r="BR183" t="str">
        <f>""</f>
        <v/>
      </c>
      <c r="BS183" t="str">
        <f>""</f>
        <v/>
      </c>
      <c r="BT183" t="str">
        <f>""</f>
        <v/>
      </c>
      <c r="BU183" t="str">
        <f>""</f>
        <v/>
      </c>
      <c r="BV183" t="str">
        <f>""</f>
        <v/>
      </c>
      <c r="BW183" t="str">
        <f>""</f>
        <v/>
      </c>
      <c r="BX183" t="str">
        <f>""</f>
        <v/>
      </c>
      <c r="BY183" t="str">
        <f>""</f>
        <v/>
      </c>
      <c r="BZ183" t="str">
        <f>""</f>
        <v/>
      </c>
      <c r="CA183" t="str">
        <f>""</f>
        <v/>
      </c>
      <c r="CB183" t="str">
        <f>""</f>
        <v/>
      </c>
      <c r="CC183" t="str">
        <f>""</f>
        <v/>
      </c>
      <c r="CD183" t="str">
        <f>""</f>
        <v/>
      </c>
      <c r="CE183" t="str">
        <f>""</f>
        <v/>
      </c>
      <c r="CF183" t="str">
        <f>""</f>
        <v/>
      </c>
      <c r="CG183" t="str">
        <f>""</f>
        <v/>
      </c>
      <c r="CH183" t="str">
        <f>""</f>
        <v/>
      </c>
      <c r="CI183" t="str">
        <f>""</f>
        <v/>
      </c>
      <c r="CJ183" t="str">
        <f>""</f>
        <v/>
      </c>
      <c r="CK183" t="str">
        <f>""</f>
        <v/>
      </c>
      <c r="CL183" t="str">
        <f>""</f>
        <v/>
      </c>
      <c r="CM183" t="str">
        <f>""</f>
        <v/>
      </c>
      <c r="CN183" t="str">
        <f>""</f>
        <v/>
      </c>
      <c r="CO183" t="str">
        <f>""</f>
        <v/>
      </c>
      <c r="CP183" t="str">
        <f>""</f>
        <v/>
      </c>
      <c r="CQ183" t="str">
        <f>""</f>
        <v/>
      </c>
      <c r="CR183" t="str">
        <f>""</f>
        <v/>
      </c>
      <c r="CS183" t="str">
        <f>""</f>
        <v/>
      </c>
      <c r="CT183" t="str">
        <f>"0.110"</f>
        <v>0.110</v>
      </c>
      <c r="CU183" t="str">
        <f>"0.0164"</f>
        <v>0.0164</v>
      </c>
      <c r="CV183" t="str">
        <f>"-0.0406"</f>
        <v>-0.0406</v>
      </c>
      <c r="CW183" t="str">
        <f>""</f>
        <v/>
      </c>
      <c r="CX183" t="str">
        <f>""</f>
        <v/>
      </c>
      <c r="CY183" t="str">
        <f>""</f>
        <v/>
      </c>
      <c r="CZ183" t="str">
        <f>""</f>
        <v/>
      </c>
      <c r="DA183" t="str">
        <f>""</f>
        <v/>
      </c>
      <c r="DB183" t="str">
        <f>""</f>
        <v/>
      </c>
      <c r="DC183" t="str">
        <f>""</f>
        <v/>
      </c>
      <c r="DD183" t="str">
        <f>""</f>
        <v/>
      </c>
      <c r="DE183" t="str">
        <f>""</f>
        <v/>
      </c>
      <c r="DF183" t="str">
        <f>""</f>
        <v/>
      </c>
      <c r="DG183" t="str">
        <f>""</f>
        <v/>
      </c>
      <c r="DH183" t="str">
        <f>""</f>
        <v/>
      </c>
      <c r="DI183" t="str">
        <f>""</f>
        <v/>
      </c>
      <c r="DJ183" t="str">
        <f>""</f>
        <v/>
      </c>
      <c r="DK183" t="str">
        <f>""</f>
        <v/>
      </c>
      <c r="DL183" t="str">
        <f>""</f>
        <v/>
      </c>
      <c r="DM183" t="str">
        <f>""</f>
        <v/>
      </c>
      <c r="DN183" t="str">
        <f>""</f>
        <v/>
      </c>
      <c r="DO183" t="str">
        <f>""</f>
        <v/>
      </c>
      <c r="DP183" t="str">
        <f>""</f>
        <v/>
      </c>
      <c r="DQ183" t="str">
        <f>""</f>
        <v/>
      </c>
      <c r="DR183" t="str">
        <f>""</f>
        <v/>
      </c>
      <c r="DS183" t="str">
        <f>""</f>
        <v/>
      </c>
      <c r="DT183" t="str">
        <f>""</f>
        <v/>
      </c>
      <c r="DU183" t="str">
        <f>""</f>
        <v/>
      </c>
      <c r="DV183" t="str">
        <f>""</f>
        <v/>
      </c>
      <c r="DW183" t="str">
        <f>""</f>
        <v/>
      </c>
      <c r="DX183" t="str">
        <f>""</f>
        <v/>
      </c>
      <c r="DY183" t="str">
        <f>""</f>
        <v/>
      </c>
      <c r="DZ183" t="str">
        <f>""</f>
        <v/>
      </c>
      <c r="EA183" t="str">
        <f>""</f>
        <v/>
      </c>
      <c r="EB183" t="str">
        <f>""</f>
        <v/>
      </c>
      <c r="EC183" t="str">
        <f>""</f>
        <v/>
      </c>
      <c r="ED183" t="str">
        <f>""</f>
        <v/>
      </c>
      <c r="EE183" t="str">
        <f>""</f>
        <v/>
      </c>
      <c r="EF183" t="str">
        <f>""</f>
        <v/>
      </c>
      <c r="EG183" t="str">
        <f>""</f>
        <v/>
      </c>
      <c r="EH183" t="str">
        <f>""</f>
        <v/>
      </c>
      <c r="EI183" t="str">
        <f>""</f>
        <v/>
      </c>
      <c r="EJ183" t="str">
        <f>""</f>
        <v/>
      </c>
      <c r="EK183" t="str">
        <f>""</f>
        <v/>
      </c>
      <c r="EL183" t="str">
        <f>""</f>
        <v/>
      </c>
      <c r="EM183" t="str">
        <f>""</f>
        <v/>
      </c>
      <c r="EN183" t="str">
        <f>""</f>
        <v/>
      </c>
      <c r="EO183" t="str">
        <f>""</f>
        <v/>
      </c>
      <c r="EP183" t="str">
        <f>""</f>
        <v/>
      </c>
      <c r="EQ183" t="str">
        <f>""</f>
        <v/>
      </c>
      <c r="ER183" t="str">
        <f>""</f>
        <v/>
      </c>
      <c r="ES183" t="str">
        <f>""</f>
        <v/>
      </c>
      <c r="ET183" t="str">
        <f>""</f>
        <v/>
      </c>
      <c r="EU183" t="str">
        <f>""</f>
        <v/>
      </c>
      <c r="EV183" t="str">
        <f>""</f>
        <v/>
      </c>
      <c r="EW183" t="str">
        <f>""</f>
        <v/>
      </c>
      <c r="EX183" t="str">
        <f>""</f>
        <v/>
      </c>
      <c r="EY183" t="str">
        <f>""</f>
        <v/>
      </c>
      <c r="EZ183" t="str">
        <f>""</f>
        <v/>
      </c>
      <c r="FA183" t="str">
        <f>""</f>
        <v/>
      </c>
      <c r="FB183" t="str">
        <f>""</f>
        <v/>
      </c>
      <c r="FC183" t="str">
        <f>""</f>
        <v/>
      </c>
      <c r="FD183" t="str">
        <f>""</f>
        <v/>
      </c>
      <c r="FE183" t="str">
        <f>""</f>
        <v/>
      </c>
      <c r="FF183" t="str">
        <f>""</f>
        <v/>
      </c>
      <c r="FG183" t="str">
        <f>""</f>
        <v/>
      </c>
      <c r="FH183" t="str">
        <f>""</f>
        <v/>
      </c>
      <c r="FI183" t="str">
        <f>""</f>
        <v/>
      </c>
      <c r="FJ183" t="str">
        <f>""</f>
        <v/>
      </c>
      <c r="FK183" t="str">
        <f>""</f>
        <v/>
      </c>
      <c r="FL183" t="str">
        <f>""</f>
        <v/>
      </c>
      <c r="FM183" t="str">
        <f>""</f>
        <v/>
      </c>
      <c r="FN183" t="str">
        <f>""</f>
        <v/>
      </c>
      <c r="FO183" t="str">
        <f>""</f>
        <v/>
      </c>
      <c r="FP183" t="str">
        <f>""</f>
        <v/>
      </c>
      <c r="FQ183" t="str">
        <f>""</f>
        <v/>
      </c>
      <c r="FR183" t="str">
        <f>""</f>
        <v/>
      </c>
      <c r="FS183" t="str">
        <f>""</f>
        <v/>
      </c>
      <c r="FT183" t="str">
        <f>""</f>
        <v/>
      </c>
      <c r="FU183" t="str">
        <f>""</f>
        <v/>
      </c>
      <c r="FV183" t="str">
        <f>""</f>
        <v/>
      </c>
      <c r="FW183" t="str">
        <f>""</f>
        <v/>
      </c>
      <c r="FX183" t="str">
        <f>""</f>
        <v/>
      </c>
      <c r="FY183" t="str">
        <f>""</f>
        <v/>
      </c>
      <c r="FZ183" t="str">
        <f>""</f>
        <v/>
      </c>
      <c r="GA183" t="str">
        <f>""</f>
        <v/>
      </c>
      <c r="GB183" t="str">
        <f>""</f>
        <v/>
      </c>
      <c r="GC183" t="str">
        <f>""</f>
        <v/>
      </c>
      <c r="GD183" t="str">
        <f>""</f>
        <v/>
      </c>
      <c r="GE183" t="str">
        <f>""</f>
        <v/>
      </c>
      <c r="GF183" t="str">
        <f>""</f>
        <v/>
      </c>
      <c r="GG183" t="str">
        <f>""</f>
        <v/>
      </c>
      <c r="GH183" t="str">
        <f>""</f>
        <v/>
      </c>
      <c r="GI183" t="str">
        <f>""</f>
        <v/>
      </c>
      <c r="GJ183" t="str">
        <f>""</f>
        <v/>
      </c>
      <c r="GK183" t="str">
        <f>""</f>
        <v/>
      </c>
      <c r="GL183" t="str">
        <f>""</f>
        <v/>
      </c>
      <c r="GM183" t="str">
        <f>""</f>
        <v/>
      </c>
      <c r="GN183" t="str">
        <f>""</f>
        <v/>
      </c>
      <c r="GO183" t="str">
        <f>""</f>
        <v/>
      </c>
      <c r="GP183" t="str">
        <f>""</f>
        <v/>
      </c>
      <c r="GQ183" t="str">
        <f>""</f>
        <v/>
      </c>
      <c r="GR183" t="str">
        <f>""</f>
        <v/>
      </c>
      <c r="GS183" t="str">
        <f>""</f>
        <v/>
      </c>
      <c r="GT183" t="str">
        <f>""</f>
        <v/>
      </c>
      <c r="GU183" t="str">
        <f>""</f>
        <v/>
      </c>
      <c r="GV183" t="str">
        <f>""</f>
        <v/>
      </c>
      <c r="GW183" t="str">
        <f>""</f>
        <v/>
      </c>
      <c r="GX183" t="str">
        <f>""</f>
        <v/>
      </c>
      <c r="GY183" t="str">
        <f>""</f>
        <v/>
      </c>
      <c r="GZ183" t="str">
        <f>""</f>
        <v/>
      </c>
      <c r="HA183" t="str">
        <f>""</f>
        <v/>
      </c>
      <c r="HB183" t="str">
        <f>""</f>
        <v/>
      </c>
      <c r="HC183" t="str">
        <f>""</f>
        <v/>
      </c>
      <c r="HD183" t="str">
        <f>""</f>
        <v/>
      </c>
      <c r="HE183" t="str">
        <f>""</f>
        <v/>
      </c>
      <c r="HF183" t="str">
        <f>""</f>
        <v/>
      </c>
      <c r="HG183" t="str">
        <f>""</f>
        <v/>
      </c>
      <c r="HH183" t="str">
        <f>""</f>
        <v/>
      </c>
      <c r="HI183" t="str">
        <f>""</f>
        <v/>
      </c>
      <c r="HJ183" t="str">
        <f>""</f>
        <v/>
      </c>
      <c r="HK183" t="str">
        <f>""</f>
        <v/>
      </c>
      <c r="HL183" t="str">
        <f>""</f>
        <v/>
      </c>
      <c r="HM183" t="str">
        <f>""</f>
        <v/>
      </c>
      <c r="HN183" t="str">
        <f>""</f>
        <v/>
      </c>
      <c r="HO183" t="str">
        <f>""</f>
        <v/>
      </c>
      <c r="HP183" t="str">
        <f>""</f>
        <v/>
      </c>
      <c r="HQ183" t="str">
        <f>""</f>
        <v/>
      </c>
      <c r="HR183" t="str">
        <f>""</f>
        <v/>
      </c>
      <c r="HS183" t="str">
        <f>""</f>
        <v/>
      </c>
      <c r="HT183" t="str">
        <f>""</f>
        <v/>
      </c>
      <c r="HU183" t="str">
        <f>""</f>
        <v/>
      </c>
      <c r="HV183" t="str">
        <f>""</f>
        <v/>
      </c>
      <c r="HW183" t="str">
        <f>""</f>
        <v/>
      </c>
      <c r="HX183" t="str">
        <f>""</f>
        <v/>
      </c>
      <c r="HY183" t="str">
        <f>""</f>
        <v/>
      </c>
      <c r="HZ183" t="str">
        <f>""</f>
        <v/>
      </c>
      <c r="IA183" t="str">
        <f>""</f>
        <v/>
      </c>
      <c r="IB183" t="str">
        <f>""</f>
        <v/>
      </c>
      <c r="IC183" t="str">
        <f>""</f>
        <v/>
      </c>
      <c r="ID183" t="str">
        <f>""</f>
        <v/>
      </c>
      <c r="IE183" t="str">
        <f>""</f>
        <v/>
      </c>
      <c r="IF183" t="str">
        <f>""</f>
        <v/>
      </c>
      <c r="IG183" t="str">
        <f>""</f>
        <v/>
      </c>
      <c r="IH183" t="str">
        <f>""</f>
        <v/>
      </c>
      <c r="II183" t="str">
        <f>""</f>
        <v/>
      </c>
      <c r="IJ183" t="str">
        <f>""</f>
        <v/>
      </c>
      <c r="IK183" t="str">
        <f>""</f>
        <v/>
      </c>
      <c r="IL183" t="str">
        <f>""</f>
        <v/>
      </c>
      <c r="IM183" t="str">
        <f>""</f>
        <v/>
      </c>
      <c r="IN183" t="str">
        <f>""</f>
        <v/>
      </c>
      <c r="IO183" t="str">
        <f>""</f>
        <v/>
      </c>
      <c r="IP183" t="str">
        <f>""</f>
        <v/>
      </c>
      <c r="IQ183" t="str">
        <f>""</f>
        <v/>
      </c>
      <c r="IR183" t="str">
        <f>""</f>
        <v/>
      </c>
      <c r="IS183" t="str">
        <f>""</f>
        <v/>
      </c>
      <c r="IT183" t="str">
        <f>""</f>
        <v/>
      </c>
      <c r="IU183" t="str">
        <f>""</f>
        <v/>
      </c>
      <c r="IV183" t="str">
        <f>""</f>
        <v/>
      </c>
      <c r="IW183" t="str">
        <f>""</f>
        <v/>
      </c>
      <c r="IX183" t="str">
        <f>""</f>
        <v/>
      </c>
      <c r="IY183" t="str">
        <f>""</f>
        <v/>
      </c>
      <c r="IZ183" t="str">
        <f>""</f>
        <v/>
      </c>
      <c r="JA183" t="str">
        <f>""</f>
        <v/>
      </c>
      <c r="JB183" t="str">
        <f>""</f>
        <v/>
      </c>
      <c r="JC183" t="str">
        <f>""</f>
        <v/>
      </c>
      <c r="JD183" t="str">
        <f>""</f>
        <v/>
      </c>
      <c r="JE183" t="str">
        <f>""</f>
        <v/>
      </c>
      <c r="JF183" t="str">
        <f>""</f>
        <v/>
      </c>
      <c r="JG183" t="str">
        <f>""</f>
        <v/>
      </c>
      <c r="JH183" t="str">
        <f>""</f>
        <v/>
      </c>
      <c r="JI183" t="str">
        <f>""</f>
        <v/>
      </c>
      <c r="JJ183" t="str">
        <f>""</f>
        <v/>
      </c>
      <c r="JK183" t="str">
        <f>""</f>
        <v/>
      </c>
    </row>
    <row r="184" spans="1:271" x14ac:dyDescent="0.3">
      <c r="A184" t="str">
        <f>""</f>
        <v/>
      </c>
      <c r="B184" t="str">
        <f>""</f>
        <v/>
      </c>
      <c r="C184" t="str">
        <f>""</f>
        <v/>
      </c>
      <c r="D184" t="str">
        <f>""</f>
        <v/>
      </c>
      <c r="E184" t="str">
        <f>""</f>
        <v/>
      </c>
      <c r="F184" t="str">
        <f>""</f>
        <v/>
      </c>
      <c r="G184" t="str">
        <f>""</f>
        <v/>
      </c>
      <c r="H184" t="str">
        <f>""</f>
        <v/>
      </c>
      <c r="I184" t="str">
        <f>""</f>
        <v/>
      </c>
      <c r="J184" t="str">
        <f>""</f>
        <v/>
      </c>
      <c r="K184" t="str">
        <f>""</f>
        <v/>
      </c>
      <c r="L184" t="str">
        <f>""</f>
        <v/>
      </c>
      <c r="M184" t="str">
        <f>""</f>
        <v/>
      </c>
      <c r="N184" t="str">
        <f>""</f>
        <v/>
      </c>
      <c r="O184" t="str">
        <f>""</f>
        <v/>
      </c>
      <c r="P184" t="str">
        <f>""</f>
        <v/>
      </c>
      <c r="Q184" t="str">
        <f>""</f>
        <v/>
      </c>
      <c r="R184" t="str">
        <f>""</f>
        <v/>
      </c>
      <c r="S184" t="str">
        <f>""</f>
        <v/>
      </c>
      <c r="T184" t="str">
        <f>""</f>
        <v/>
      </c>
      <c r="U184" t="str">
        <f>""</f>
        <v/>
      </c>
      <c r="V184" t="str">
        <f>""</f>
        <v/>
      </c>
      <c r="W184" t="str">
        <f>""</f>
        <v/>
      </c>
      <c r="X184" t="str">
        <f>""</f>
        <v/>
      </c>
      <c r="Y184" t="str">
        <f>""</f>
        <v/>
      </c>
      <c r="Z184" t="str">
        <f>""</f>
        <v/>
      </c>
      <c r="AA184" t="str">
        <f>""</f>
        <v/>
      </c>
      <c r="AB184" t="str">
        <f>""</f>
        <v/>
      </c>
      <c r="AC184" t="str">
        <f>""</f>
        <v/>
      </c>
      <c r="AD184" t="str">
        <f>""</f>
        <v/>
      </c>
      <c r="AE184" t="str">
        <f>""</f>
        <v/>
      </c>
      <c r="AF184" t="str">
        <f>""</f>
        <v/>
      </c>
      <c r="AG184" t="str">
        <f>""</f>
        <v/>
      </c>
      <c r="AH184" t="str">
        <f>""</f>
        <v/>
      </c>
      <c r="AI184" t="str">
        <f>""</f>
        <v/>
      </c>
      <c r="AJ184" t="str">
        <f>""</f>
        <v/>
      </c>
      <c r="AK184" t="str">
        <f>""</f>
        <v/>
      </c>
      <c r="AL184" t="str">
        <f>""</f>
        <v/>
      </c>
      <c r="AM184" t="str">
        <f>""</f>
        <v/>
      </c>
      <c r="AN184" t="str">
        <f>""</f>
        <v/>
      </c>
      <c r="AO184" t="str">
        <f>""</f>
        <v/>
      </c>
      <c r="AP184" t="str">
        <f>""</f>
        <v/>
      </c>
      <c r="AQ184" t="str">
        <f>""</f>
        <v/>
      </c>
      <c r="AR184" t="str">
        <f>""</f>
        <v/>
      </c>
      <c r="AS184" t="str">
        <f>""</f>
        <v/>
      </c>
      <c r="AT184" t="str">
        <f>""</f>
        <v/>
      </c>
      <c r="AU184" t="str">
        <f>""</f>
        <v/>
      </c>
      <c r="AV184" t="str">
        <f>""</f>
        <v/>
      </c>
      <c r="AW184" t="str">
        <f>""</f>
        <v/>
      </c>
      <c r="AX184" t="str">
        <f>""</f>
        <v/>
      </c>
      <c r="AY184" t="str">
        <f>""</f>
        <v/>
      </c>
      <c r="AZ184" t="str">
        <f>""</f>
        <v/>
      </c>
      <c r="BA184" t="str">
        <f>""</f>
        <v/>
      </c>
      <c r="BB184" t="str">
        <f>""</f>
        <v/>
      </c>
      <c r="BC184" t="str">
        <f>""</f>
        <v/>
      </c>
      <c r="BD184" t="str">
        <f>""</f>
        <v/>
      </c>
      <c r="BE184" t="str">
        <f>""</f>
        <v/>
      </c>
      <c r="BF184" t="str">
        <f>""</f>
        <v/>
      </c>
      <c r="BG184" t="str">
        <f>""</f>
        <v/>
      </c>
      <c r="BH184" t="str">
        <f>""</f>
        <v/>
      </c>
      <c r="BI184" t="str">
        <f>""</f>
        <v/>
      </c>
      <c r="BJ184" t="str">
        <f>""</f>
        <v/>
      </c>
      <c r="BK184" t="str">
        <f>""</f>
        <v/>
      </c>
      <c r="BL184" t="str">
        <f>""</f>
        <v/>
      </c>
      <c r="BM184" t="str">
        <f>""</f>
        <v/>
      </c>
      <c r="BN184" t="str">
        <f>""</f>
        <v/>
      </c>
      <c r="BO184" t="str">
        <f>""</f>
        <v/>
      </c>
      <c r="BP184" t="str">
        <f>""</f>
        <v/>
      </c>
      <c r="BQ184" t="str">
        <f>""</f>
        <v/>
      </c>
      <c r="BR184" t="str">
        <f>""</f>
        <v/>
      </c>
      <c r="BS184" t="str">
        <f>""</f>
        <v/>
      </c>
      <c r="BT184" t="str">
        <f>""</f>
        <v/>
      </c>
      <c r="BU184" t="str">
        <f>""</f>
        <v/>
      </c>
      <c r="BV184" t="str">
        <f>""</f>
        <v/>
      </c>
      <c r="BW184" t="str">
        <f>""</f>
        <v/>
      </c>
      <c r="BX184" t="str">
        <f>""</f>
        <v/>
      </c>
      <c r="BY184" t="str">
        <f>""</f>
        <v/>
      </c>
      <c r="BZ184" t="str">
        <f>""</f>
        <v/>
      </c>
      <c r="CA184" t="str">
        <f>""</f>
        <v/>
      </c>
      <c r="CB184" t="str">
        <f>""</f>
        <v/>
      </c>
      <c r="CC184" t="str">
        <f>""</f>
        <v/>
      </c>
      <c r="CD184" t="str">
        <f>""</f>
        <v/>
      </c>
      <c r="CE184" t="str">
        <f>""</f>
        <v/>
      </c>
      <c r="CF184" t="str">
        <f>""</f>
        <v/>
      </c>
      <c r="CG184" t="str">
        <f>""</f>
        <v/>
      </c>
      <c r="CH184" t="str">
        <f>""</f>
        <v/>
      </c>
      <c r="CI184" t="str">
        <f>""</f>
        <v/>
      </c>
      <c r="CJ184" t="str">
        <f>""</f>
        <v/>
      </c>
      <c r="CK184" t="str">
        <f>""</f>
        <v/>
      </c>
      <c r="CL184" t="str">
        <f>""</f>
        <v/>
      </c>
      <c r="CM184" t="str">
        <f>""</f>
        <v/>
      </c>
      <c r="CN184" t="str">
        <f>""</f>
        <v/>
      </c>
      <c r="CO184" t="str">
        <f>""</f>
        <v/>
      </c>
      <c r="CP184" t="str">
        <f>""</f>
        <v/>
      </c>
      <c r="CQ184" t="str">
        <f>""</f>
        <v/>
      </c>
      <c r="CR184" t="str">
        <f>""</f>
        <v/>
      </c>
      <c r="CS184" t="str">
        <f>""</f>
        <v/>
      </c>
      <c r="CT184" t="str">
        <f>"(0.107)"</f>
        <v>(0.107)</v>
      </c>
      <c r="CU184" t="str">
        <f>"(0.0831)"</f>
        <v>(0.0831)</v>
      </c>
      <c r="CV184" t="str">
        <f>"(0.0414)"</f>
        <v>(0.0414)</v>
      </c>
      <c r="CW184" t="str">
        <f>""</f>
        <v/>
      </c>
      <c r="CX184" t="str">
        <f>""</f>
        <v/>
      </c>
      <c r="CY184" t="str">
        <f>""</f>
        <v/>
      </c>
      <c r="CZ184" t="str">
        <f>""</f>
        <v/>
      </c>
      <c r="DA184" t="str">
        <f>""</f>
        <v/>
      </c>
      <c r="DB184" t="str">
        <f>""</f>
        <v/>
      </c>
      <c r="DC184" t="str">
        <f>""</f>
        <v/>
      </c>
      <c r="DD184" t="str">
        <f>""</f>
        <v/>
      </c>
      <c r="DE184" t="str">
        <f>""</f>
        <v/>
      </c>
      <c r="DF184" t="str">
        <f>""</f>
        <v/>
      </c>
      <c r="DG184" t="str">
        <f>""</f>
        <v/>
      </c>
      <c r="DH184" t="str">
        <f>""</f>
        <v/>
      </c>
      <c r="DI184" t="str">
        <f>""</f>
        <v/>
      </c>
      <c r="DJ184" t="str">
        <f>""</f>
        <v/>
      </c>
      <c r="DK184" t="str">
        <f>""</f>
        <v/>
      </c>
      <c r="DL184" t="str">
        <f>""</f>
        <v/>
      </c>
      <c r="DM184" t="str">
        <f>""</f>
        <v/>
      </c>
      <c r="DN184" t="str">
        <f>""</f>
        <v/>
      </c>
      <c r="DO184" t="str">
        <f>""</f>
        <v/>
      </c>
      <c r="DP184" t="str">
        <f>""</f>
        <v/>
      </c>
      <c r="DQ184" t="str">
        <f>""</f>
        <v/>
      </c>
      <c r="DR184" t="str">
        <f>""</f>
        <v/>
      </c>
      <c r="DS184" t="str">
        <f>""</f>
        <v/>
      </c>
      <c r="DT184" t="str">
        <f>""</f>
        <v/>
      </c>
      <c r="DU184" t="str">
        <f>""</f>
        <v/>
      </c>
      <c r="DV184" t="str">
        <f>""</f>
        <v/>
      </c>
      <c r="DW184" t="str">
        <f>""</f>
        <v/>
      </c>
      <c r="DX184" t="str">
        <f>""</f>
        <v/>
      </c>
      <c r="DY184" t="str">
        <f>""</f>
        <v/>
      </c>
      <c r="DZ184" t="str">
        <f>""</f>
        <v/>
      </c>
      <c r="EA184" t="str">
        <f>""</f>
        <v/>
      </c>
      <c r="EB184" t="str">
        <f>""</f>
        <v/>
      </c>
      <c r="EC184" t="str">
        <f>""</f>
        <v/>
      </c>
      <c r="ED184" t="str">
        <f>""</f>
        <v/>
      </c>
      <c r="EE184" t="str">
        <f>""</f>
        <v/>
      </c>
      <c r="EF184" t="str">
        <f>""</f>
        <v/>
      </c>
      <c r="EG184" t="str">
        <f>""</f>
        <v/>
      </c>
      <c r="EH184" t="str">
        <f>""</f>
        <v/>
      </c>
      <c r="EI184" t="str">
        <f>""</f>
        <v/>
      </c>
      <c r="EJ184" t="str">
        <f>""</f>
        <v/>
      </c>
      <c r="EK184" t="str">
        <f>""</f>
        <v/>
      </c>
      <c r="EL184" t="str">
        <f>""</f>
        <v/>
      </c>
      <c r="EM184" t="str">
        <f>""</f>
        <v/>
      </c>
      <c r="EN184" t="str">
        <f>""</f>
        <v/>
      </c>
      <c r="EO184" t="str">
        <f>""</f>
        <v/>
      </c>
      <c r="EP184" t="str">
        <f>""</f>
        <v/>
      </c>
      <c r="EQ184" t="str">
        <f>""</f>
        <v/>
      </c>
      <c r="ER184" t="str">
        <f>""</f>
        <v/>
      </c>
      <c r="ES184" t="str">
        <f>""</f>
        <v/>
      </c>
      <c r="ET184" t="str">
        <f>""</f>
        <v/>
      </c>
      <c r="EU184" t="str">
        <f>""</f>
        <v/>
      </c>
      <c r="EV184" t="str">
        <f>""</f>
        <v/>
      </c>
      <c r="EW184" t="str">
        <f>""</f>
        <v/>
      </c>
      <c r="EX184" t="str">
        <f>""</f>
        <v/>
      </c>
      <c r="EY184" t="str">
        <f>""</f>
        <v/>
      </c>
      <c r="EZ184" t="str">
        <f>""</f>
        <v/>
      </c>
      <c r="FA184" t="str">
        <f>""</f>
        <v/>
      </c>
      <c r="FB184" t="str">
        <f>""</f>
        <v/>
      </c>
      <c r="FC184" t="str">
        <f>""</f>
        <v/>
      </c>
      <c r="FD184" t="str">
        <f>""</f>
        <v/>
      </c>
      <c r="FE184" t="str">
        <f>""</f>
        <v/>
      </c>
      <c r="FF184" t="str">
        <f>""</f>
        <v/>
      </c>
      <c r="FG184" t="str">
        <f>""</f>
        <v/>
      </c>
      <c r="FH184" t="str">
        <f>""</f>
        <v/>
      </c>
      <c r="FI184" t="str">
        <f>""</f>
        <v/>
      </c>
      <c r="FJ184" t="str">
        <f>""</f>
        <v/>
      </c>
      <c r="FK184" t="str">
        <f>""</f>
        <v/>
      </c>
      <c r="FL184" t="str">
        <f>""</f>
        <v/>
      </c>
      <c r="FM184" t="str">
        <f>""</f>
        <v/>
      </c>
      <c r="FN184" t="str">
        <f>""</f>
        <v/>
      </c>
      <c r="FO184" t="str">
        <f>""</f>
        <v/>
      </c>
      <c r="FP184" t="str">
        <f>""</f>
        <v/>
      </c>
      <c r="FQ184" t="str">
        <f>""</f>
        <v/>
      </c>
      <c r="FR184" t="str">
        <f>""</f>
        <v/>
      </c>
      <c r="FS184" t="str">
        <f>""</f>
        <v/>
      </c>
      <c r="FT184" t="str">
        <f>""</f>
        <v/>
      </c>
      <c r="FU184" t="str">
        <f>""</f>
        <v/>
      </c>
      <c r="FV184" t="str">
        <f>""</f>
        <v/>
      </c>
      <c r="FW184" t="str">
        <f>""</f>
        <v/>
      </c>
      <c r="FX184" t="str">
        <f>""</f>
        <v/>
      </c>
      <c r="FY184" t="str">
        <f>""</f>
        <v/>
      </c>
      <c r="FZ184" t="str">
        <f>""</f>
        <v/>
      </c>
      <c r="GA184" t="str">
        <f>""</f>
        <v/>
      </c>
      <c r="GB184" t="str">
        <f>""</f>
        <v/>
      </c>
      <c r="GC184" t="str">
        <f>""</f>
        <v/>
      </c>
      <c r="GD184" t="str">
        <f>""</f>
        <v/>
      </c>
      <c r="GE184" t="str">
        <f>""</f>
        <v/>
      </c>
      <c r="GF184" t="str">
        <f>""</f>
        <v/>
      </c>
      <c r="GG184" t="str">
        <f>""</f>
        <v/>
      </c>
      <c r="GH184" t="str">
        <f>""</f>
        <v/>
      </c>
      <c r="GI184" t="str">
        <f>""</f>
        <v/>
      </c>
      <c r="GJ184" t="str">
        <f>""</f>
        <v/>
      </c>
      <c r="GK184" t="str">
        <f>""</f>
        <v/>
      </c>
      <c r="GL184" t="str">
        <f>""</f>
        <v/>
      </c>
      <c r="GM184" t="str">
        <f>""</f>
        <v/>
      </c>
      <c r="GN184" t="str">
        <f>""</f>
        <v/>
      </c>
      <c r="GO184" t="str">
        <f>""</f>
        <v/>
      </c>
      <c r="GP184" t="str">
        <f>""</f>
        <v/>
      </c>
      <c r="GQ184" t="str">
        <f>""</f>
        <v/>
      </c>
      <c r="GR184" t="str">
        <f>""</f>
        <v/>
      </c>
      <c r="GS184" t="str">
        <f>""</f>
        <v/>
      </c>
      <c r="GT184" t="str">
        <f>""</f>
        <v/>
      </c>
      <c r="GU184" t="str">
        <f>""</f>
        <v/>
      </c>
      <c r="GV184" t="str">
        <f>""</f>
        <v/>
      </c>
      <c r="GW184" t="str">
        <f>""</f>
        <v/>
      </c>
      <c r="GX184" t="str">
        <f>""</f>
        <v/>
      </c>
      <c r="GY184" t="str">
        <f>""</f>
        <v/>
      </c>
      <c r="GZ184" t="str">
        <f>""</f>
        <v/>
      </c>
      <c r="HA184" t="str">
        <f>""</f>
        <v/>
      </c>
      <c r="HB184" t="str">
        <f>""</f>
        <v/>
      </c>
      <c r="HC184" t="str">
        <f>""</f>
        <v/>
      </c>
      <c r="HD184" t="str">
        <f>""</f>
        <v/>
      </c>
      <c r="HE184" t="str">
        <f>""</f>
        <v/>
      </c>
      <c r="HF184" t="str">
        <f>""</f>
        <v/>
      </c>
      <c r="HG184" t="str">
        <f>""</f>
        <v/>
      </c>
      <c r="HH184" t="str">
        <f>""</f>
        <v/>
      </c>
      <c r="HI184" t="str">
        <f>""</f>
        <v/>
      </c>
      <c r="HJ184" t="str">
        <f>""</f>
        <v/>
      </c>
      <c r="HK184" t="str">
        <f>""</f>
        <v/>
      </c>
      <c r="HL184" t="str">
        <f>""</f>
        <v/>
      </c>
      <c r="HM184" t="str">
        <f>""</f>
        <v/>
      </c>
      <c r="HN184" t="str">
        <f>""</f>
        <v/>
      </c>
      <c r="HO184" t="str">
        <f>""</f>
        <v/>
      </c>
      <c r="HP184" t="str">
        <f>""</f>
        <v/>
      </c>
      <c r="HQ184" t="str">
        <f>""</f>
        <v/>
      </c>
      <c r="HR184" t="str">
        <f>""</f>
        <v/>
      </c>
      <c r="HS184" t="str">
        <f>""</f>
        <v/>
      </c>
      <c r="HT184" t="str">
        <f>""</f>
        <v/>
      </c>
      <c r="HU184" t="str">
        <f>""</f>
        <v/>
      </c>
      <c r="HV184" t="str">
        <f>""</f>
        <v/>
      </c>
      <c r="HW184" t="str">
        <f>""</f>
        <v/>
      </c>
      <c r="HX184" t="str">
        <f>""</f>
        <v/>
      </c>
      <c r="HY184" t="str">
        <f>""</f>
        <v/>
      </c>
      <c r="HZ184" t="str">
        <f>""</f>
        <v/>
      </c>
      <c r="IA184" t="str">
        <f>""</f>
        <v/>
      </c>
      <c r="IB184" t="str">
        <f>""</f>
        <v/>
      </c>
      <c r="IC184" t="str">
        <f>""</f>
        <v/>
      </c>
      <c r="ID184" t="str">
        <f>""</f>
        <v/>
      </c>
      <c r="IE184" t="str">
        <f>""</f>
        <v/>
      </c>
      <c r="IF184" t="str">
        <f>""</f>
        <v/>
      </c>
      <c r="IG184" t="str">
        <f>""</f>
        <v/>
      </c>
      <c r="IH184" t="str">
        <f>""</f>
        <v/>
      </c>
      <c r="II184" t="str">
        <f>""</f>
        <v/>
      </c>
      <c r="IJ184" t="str">
        <f>""</f>
        <v/>
      </c>
      <c r="IK184" t="str">
        <f>""</f>
        <v/>
      </c>
      <c r="IL184" t="str">
        <f>""</f>
        <v/>
      </c>
      <c r="IM184" t="str">
        <f>""</f>
        <v/>
      </c>
      <c r="IN184" t="str">
        <f>""</f>
        <v/>
      </c>
      <c r="IO184" t="str">
        <f>""</f>
        <v/>
      </c>
      <c r="IP184" t="str">
        <f>""</f>
        <v/>
      </c>
      <c r="IQ184" t="str">
        <f>""</f>
        <v/>
      </c>
      <c r="IR184" t="str">
        <f>""</f>
        <v/>
      </c>
      <c r="IS184" t="str">
        <f>""</f>
        <v/>
      </c>
      <c r="IT184" t="str">
        <f>""</f>
        <v/>
      </c>
      <c r="IU184" t="str">
        <f>""</f>
        <v/>
      </c>
      <c r="IV184" t="str">
        <f>""</f>
        <v/>
      </c>
      <c r="IW184" t="str">
        <f>""</f>
        <v/>
      </c>
      <c r="IX184" t="str">
        <f>""</f>
        <v/>
      </c>
      <c r="IY184" t="str">
        <f>""</f>
        <v/>
      </c>
      <c r="IZ184" t="str">
        <f>""</f>
        <v/>
      </c>
      <c r="JA184" t="str">
        <f>""</f>
        <v/>
      </c>
      <c r="JB184" t="str">
        <f>""</f>
        <v/>
      </c>
      <c r="JC184" t="str">
        <f>""</f>
        <v/>
      </c>
      <c r="JD184" t="str">
        <f>""</f>
        <v/>
      </c>
      <c r="JE184" t="str">
        <f>""</f>
        <v/>
      </c>
      <c r="JF184" t="str">
        <f>""</f>
        <v/>
      </c>
      <c r="JG184" t="str">
        <f>""</f>
        <v/>
      </c>
      <c r="JH184" t="str">
        <f>""</f>
        <v/>
      </c>
      <c r="JI184" t="str">
        <f>""</f>
        <v/>
      </c>
      <c r="JJ184" t="str">
        <f>""</f>
        <v/>
      </c>
      <c r="JK184" t="str">
        <f>""</f>
        <v/>
      </c>
    </row>
    <row r="186" spans="1:271" x14ac:dyDescent="0.3">
      <c r="A186" t="str">
        <f>"c.zMETAB4#c.PM3"</f>
        <v>c.zMETAB4#c.PM3</v>
      </c>
      <c r="B186" t="str">
        <f>""</f>
        <v/>
      </c>
      <c r="C186" t="str">
        <f>""</f>
        <v/>
      </c>
      <c r="D186" t="str">
        <f>""</f>
        <v/>
      </c>
      <c r="E186" t="str">
        <f>""</f>
        <v/>
      </c>
      <c r="F186" t="str">
        <f>""</f>
        <v/>
      </c>
      <c r="G186" t="str">
        <f>""</f>
        <v/>
      </c>
      <c r="H186" t="str">
        <f>""</f>
        <v/>
      </c>
      <c r="I186" t="str">
        <f>""</f>
        <v/>
      </c>
      <c r="J186" t="str">
        <f>""</f>
        <v/>
      </c>
      <c r="K186" t="str">
        <f>""</f>
        <v/>
      </c>
      <c r="L186" t="str">
        <f>""</f>
        <v/>
      </c>
      <c r="M186" t="str">
        <f>""</f>
        <v/>
      </c>
      <c r="N186" t="str">
        <f>""</f>
        <v/>
      </c>
      <c r="O186" t="str">
        <f>""</f>
        <v/>
      </c>
      <c r="P186" t="str">
        <f>""</f>
        <v/>
      </c>
      <c r="Q186" t="str">
        <f>""</f>
        <v/>
      </c>
      <c r="R186" t="str">
        <f>""</f>
        <v/>
      </c>
      <c r="S186" t="str">
        <f>""</f>
        <v/>
      </c>
      <c r="T186" t="str">
        <f>""</f>
        <v/>
      </c>
      <c r="U186" t="str">
        <f>""</f>
        <v/>
      </c>
      <c r="V186" t="str">
        <f>""</f>
        <v/>
      </c>
      <c r="W186" t="str">
        <f>""</f>
        <v/>
      </c>
      <c r="X186" t="str">
        <f>""</f>
        <v/>
      </c>
      <c r="Y186" t="str">
        <f>""</f>
        <v/>
      </c>
      <c r="Z186" t="str">
        <f>""</f>
        <v/>
      </c>
      <c r="AA186" t="str">
        <f>""</f>
        <v/>
      </c>
      <c r="AB186" t="str">
        <f>""</f>
        <v/>
      </c>
      <c r="AC186" t="str">
        <f>""</f>
        <v/>
      </c>
      <c r="AD186" t="str">
        <f>""</f>
        <v/>
      </c>
      <c r="AE186" t="str">
        <f>""</f>
        <v/>
      </c>
      <c r="AF186" t="str">
        <f>""</f>
        <v/>
      </c>
      <c r="AG186" t="str">
        <f>""</f>
        <v/>
      </c>
      <c r="AH186" t="str">
        <f>""</f>
        <v/>
      </c>
      <c r="AI186" t="str">
        <f>""</f>
        <v/>
      </c>
      <c r="AJ186" t="str">
        <f>""</f>
        <v/>
      </c>
      <c r="AK186" t="str">
        <f>""</f>
        <v/>
      </c>
      <c r="AL186" t="str">
        <f>""</f>
        <v/>
      </c>
      <c r="AM186" t="str">
        <f>""</f>
        <v/>
      </c>
      <c r="AN186" t="str">
        <f>""</f>
        <v/>
      </c>
      <c r="AO186" t="str">
        <f>""</f>
        <v/>
      </c>
      <c r="AP186" t="str">
        <f>""</f>
        <v/>
      </c>
      <c r="AQ186" t="str">
        <f>""</f>
        <v/>
      </c>
      <c r="AR186" t="str">
        <f>""</f>
        <v/>
      </c>
      <c r="AS186" t="str">
        <f>""</f>
        <v/>
      </c>
      <c r="AT186" t="str">
        <f>""</f>
        <v/>
      </c>
      <c r="AU186" t="str">
        <f>""</f>
        <v/>
      </c>
      <c r="AV186" t="str">
        <f>""</f>
        <v/>
      </c>
      <c r="AW186" t="str">
        <f>""</f>
        <v/>
      </c>
      <c r="AX186" t="str">
        <f>""</f>
        <v/>
      </c>
      <c r="AY186" t="str">
        <f>""</f>
        <v/>
      </c>
      <c r="AZ186" t="str">
        <f>""</f>
        <v/>
      </c>
      <c r="BA186" t="str">
        <f>""</f>
        <v/>
      </c>
      <c r="BB186" t="str">
        <f>""</f>
        <v/>
      </c>
      <c r="BC186" t="str">
        <f>""</f>
        <v/>
      </c>
      <c r="BD186" t="str">
        <f>""</f>
        <v/>
      </c>
      <c r="BE186" t="str">
        <f>""</f>
        <v/>
      </c>
      <c r="BF186" t="str">
        <f>""</f>
        <v/>
      </c>
      <c r="BG186" t="str">
        <f>""</f>
        <v/>
      </c>
      <c r="BH186" t="str">
        <f>""</f>
        <v/>
      </c>
      <c r="BI186" t="str">
        <f>""</f>
        <v/>
      </c>
      <c r="BJ186" t="str">
        <f>""</f>
        <v/>
      </c>
      <c r="BK186" t="str">
        <f>""</f>
        <v/>
      </c>
      <c r="BL186" t="str">
        <f>""</f>
        <v/>
      </c>
      <c r="BM186" t="str">
        <f>""</f>
        <v/>
      </c>
      <c r="BN186" t="str">
        <f>""</f>
        <v/>
      </c>
      <c r="BO186" t="str">
        <f>""</f>
        <v/>
      </c>
      <c r="BP186" t="str">
        <f>""</f>
        <v/>
      </c>
      <c r="BQ186" t="str">
        <f>""</f>
        <v/>
      </c>
      <c r="BR186" t="str">
        <f>""</f>
        <v/>
      </c>
      <c r="BS186" t="str">
        <f>""</f>
        <v/>
      </c>
      <c r="BT186" t="str">
        <f>""</f>
        <v/>
      </c>
      <c r="BU186" t="str">
        <f>""</f>
        <v/>
      </c>
      <c r="BV186" t="str">
        <f>""</f>
        <v/>
      </c>
      <c r="BW186" t="str">
        <f>""</f>
        <v/>
      </c>
      <c r="BX186" t="str">
        <f>""</f>
        <v/>
      </c>
      <c r="BY186" t="str">
        <f>""</f>
        <v/>
      </c>
      <c r="BZ186" t="str">
        <f>""</f>
        <v/>
      </c>
      <c r="CA186" t="str">
        <f>""</f>
        <v/>
      </c>
      <c r="CB186" t="str">
        <f>""</f>
        <v/>
      </c>
      <c r="CC186" t="str">
        <f>""</f>
        <v/>
      </c>
      <c r="CD186" t="str">
        <f>""</f>
        <v/>
      </c>
      <c r="CE186" t="str">
        <f>""</f>
        <v/>
      </c>
      <c r="CF186" t="str">
        <f>""</f>
        <v/>
      </c>
      <c r="CG186" t="str">
        <f>""</f>
        <v/>
      </c>
      <c r="CH186" t="str">
        <f>""</f>
        <v/>
      </c>
      <c r="CI186" t="str">
        <f>""</f>
        <v/>
      </c>
      <c r="CJ186" t="str">
        <f>""</f>
        <v/>
      </c>
      <c r="CK186" t="str">
        <f>""</f>
        <v/>
      </c>
      <c r="CL186" t="str">
        <f>""</f>
        <v/>
      </c>
      <c r="CM186" t="str">
        <f>""</f>
        <v/>
      </c>
      <c r="CN186" t="str">
        <f>""</f>
        <v/>
      </c>
      <c r="CO186" t="str">
        <f>""</f>
        <v/>
      </c>
      <c r="CP186" t="str">
        <f>""</f>
        <v/>
      </c>
      <c r="CQ186" t="str">
        <f>""</f>
        <v/>
      </c>
      <c r="CR186" t="str">
        <f>""</f>
        <v/>
      </c>
      <c r="CS186" t="str">
        <f>""</f>
        <v/>
      </c>
      <c r="CT186" t="str">
        <f>""</f>
        <v/>
      </c>
      <c r="CU186" t="str">
        <f>""</f>
        <v/>
      </c>
      <c r="CV186" t="str">
        <f>""</f>
        <v/>
      </c>
      <c r="CW186" t="str">
        <f>"-0.196"</f>
        <v>-0.196</v>
      </c>
      <c r="CX186" t="str">
        <f>"-0.0559"</f>
        <v>-0.0559</v>
      </c>
      <c r="CY186" t="str">
        <f>"0.0414"</f>
        <v>0.0414</v>
      </c>
      <c r="CZ186" t="str">
        <f>""</f>
        <v/>
      </c>
      <c r="DA186" t="str">
        <f>""</f>
        <v/>
      </c>
      <c r="DB186" t="str">
        <f>""</f>
        <v/>
      </c>
      <c r="DC186" t="str">
        <f>""</f>
        <v/>
      </c>
      <c r="DD186" t="str">
        <f>""</f>
        <v/>
      </c>
      <c r="DE186" t="str">
        <f>""</f>
        <v/>
      </c>
      <c r="DF186" t="str">
        <f>""</f>
        <v/>
      </c>
      <c r="DG186" t="str">
        <f>""</f>
        <v/>
      </c>
      <c r="DH186" t="str">
        <f>""</f>
        <v/>
      </c>
      <c r="DI186" t="str">
        <f>""</f>
        <v/>
      </c>
      <c r="DJ186" t="str">
        <f>""</f>
        <v/>
      </c>
      <c r="DK186" t="str">
        <f>""</f>
        <v/>
      </c>
      <c r="DL186" t="str">
        <f>""</f>
        <v/>
      </c>
      <c r="DM186" t="str">
        <f>""</f>
        <v/>
      </c>
      <c r="DN186" t="str">
        <f>""</f>
        <v/>
      </c>
      <c r="DO186" t="str">
        <f>""</f>
        <v/>
      </c>
      <c r="DP186" t="str">
        <f>""</f>
        <v/>
      </c>
      <c r="DQ186" t="str">
        <f>""</f>
        <v/>
      </c>
      <c r="DR186" t="str">
        <f>""</f>
        <v/>
      </c>
      <c r="DS186" t="str">
        <f>""</f>
        <v/>
      </c>
      <c r="DT186" t="str">
        <f>""</f>
        <v/>
      </c>
      <c r="DU186" t="str">
        <f>""</f>
        <v/>
      </c>
      <c r="DV186" t="str">
        <f>""</f>
        <v/>
      </c>
      <c r="DW186" t="str">
        <f>""</f>
        <v/>
      </c>
      <c r="DX186" t="str">
        <f>""</f>
        <v/>
      </c>
      <c r="DY186" t="str">
        <f>""</f>
        <v/>
      </c>
      <c r="DZ186" t="str">
        <f>""</f>
        <v/>
      </c>
      <c r="EA186" t="str">
        <f>""</f>
        <v/>
      </c>
      <c r="EB186" t="str">
        <f>""</f>
        <v/>
      </c>
      <c r="EC186" t="str">
        <f>""</f>
        <v/>
      </c>
      <c r="ED186" t="str">
        <f>""</f>
        <v/>
      </c>
      <c r="EE186" t="str">
        <f>""</f>
        <v/>
      </c>
      <c r="EF186" t="str">
        <f>""</f>
        <v/>
      </c>
      <c r="EG186" t="str">
        <f>""</f>
        <v/>
      </c>
      <c r="EH186" t="str">
        <f>""</f>
        <v/>
      </c>
      <c r="EI186" t="str">
        <f>""</f>
        <v/>
      </c>
      <c r="EJ186" t="str">
        <f>""</f>
        <v/>
      </c>
      <c r="EK186" t="str">
        <f>""</f>
        <v/>
      </c>
      <c r="EL186" t="str">
        <f>""</f>
        <v/>
      </c>
      <c r="EM186" t="str">
        <f>""</f>
        <v/>
      </c>
      <c r="EN186" t="str">
        <f>""</f>
        <v/>
      </c>
      <c r="EO186" t="str">
        <f>""</f>
        <v/>
      </c>
      <c r="EP186" t="str">
        <f>""</f>
        <v/>
      </c>
      <c r="EQ186" t="str">
        <f>""</f>
        <v/>
      </c>
      <c r="ER186" t="str">
        <f>""</f>
        <v/>
      </c>
      <c r="ES186" t="str">
        <f>""</f>
        <v/>
      </c>
      <c r="ET186" t="str">
        <f>""</f>
        <v/>
      </c>
      <c r="EU186" t="str">
        <f>""</f>
        <v/>
      </c>
      <c r="EV186" t="str">
        <f>""</f>
        <v/>
      </c>
      <c r="EW186" t="str">
        <f>""</f>
        <v/>
      </c>
      <c r="EX186" t="str">
        <f>""</f>
        <v/>
      </c>
      <c r="EY186" t="str">
        <f>""</f>
        <v/>
      </c>
      <c r="EZ186" t="str">
        <f>""</f>
        <v/>
      </c>
      <c r="FA186" t="str">
        <f>""</f>
        <v/>
      </c>
      <c r="FB186" t="str">
        <f>""</f>
        <v/>
      </c>
      <c r="FC186" t="str">
        <f>""</f>
        <v/>
      </c>
      <c r="FD186" t="str">
        <f>""</f>
        <v/>
      </c>
      <c r="FE186" t="str">
        <f>""</f>
        <v/>
      </c>
      <c r="FF186" t="str">
        <f>""</f>
        <v/>
      </c>
      <c r="FG186" t="str">
        <f>""</f>
        <v/>
      </c>
      <c r="FH186" t="str">
        <f>""</f>
        <v/>
      </c>
      <c r="FI186" t="str">
        <f>""</f>
        <v/>
      </c>
      <c r="FJ186" t="str">
        <f>""</f>
        <v/>
      </c>
      <c r="FK186" t="str">
        <f>""</f>
        <v/>
      </c>
      <c r="FL186" t="str">
        <f>""</f>
        <v/>
      </c>
      <c r="FM186" t="str">
        <f>""</f>
        <v/>
      </c>
      <c r="FN186" t="str">
        <f>""</f>
        <v/>
      </c>
      <c r="FO186" t="str">
        <f>""</f>
        <v/>
      </c>
      <c r="FP186" t="str">
        <f>""</f>
        <v/>
      </c>
      <c r="FQ186" t="str">
        <f>""</f>
        <v/>
      </c>
      <c r="FR186" t="str">
        <f>""</f>
        <v/>
      </c>
      <c r="FS186" t="str">
        <f>""</f>
        <v/>
      </c>
      <c r="FT186" t="str">
        <f>""</f>
        <v/>
      </c>
      <c r="FU186" t="str">
        <f>""</f>
        <v/>
      </c>
      <c r="FV186" t="str">
        <f>""</f>
        <v/>
      </c>
      <c r="FW186" t="str">
        <f>""</f>
        <v/>
      </c>
      <c r="FX186" t="str">
        <f>""</f>
        <v/>
      </c>
      <c r="FY186" t="str">
        <f>""</f>
        <v/>
      </c>
      <c r="FZ186" t="str">
        <f>""</f>
        <v/>
      </c>
      <c r="GA186" t="str">
        <f>""</f>
        <v/>
      </c>
      <c r="GB186" t="str">
        <f>""</f>
        <v/>
      </c>
      <c r="GC186" t="str">
        <f>""</f>
        <v/>
      </c>
      <c r="GD186" t="str">
        <f>""</f>
        <v/>
      </c>
      <c r="GE186" t="str">
        <f>""</f>
        <v/>
      </c>
      <c r="GF186" t="str">
        <f>""</f>
        <v/>
      </c>
      <c r="GG186" t="str">
        <f>""</f>
        <v/>
      </c>
      <c r="GH186" t="str">
        <f>""</f>
        <v/>
      </c>
      <c r="GI186" t="str">
        <f>""</f>
        <v/>
      </c>
      <c r="GJ186" t="str">
        <f>""</f>
        <v/>
      </c>
      <c r="GK186" t="str">
        <f>""</f>
        <v/>
      </c>
      <c r="GL186" t="str">
        <f>""</f>
        <v/>
      </c>
      <c r="GM186" t="str">
        <f>""</f>
        <v/>
      </c>
      <c r="GN186" t="str">
        <f>""</f>
        <v/>
      </c>
      <c r="GO186" t="str">
        <f>""</f>
        <v/>
      </c>
      <c r="GP186" t="str">
        <f>""</f>
        <v/>
      </c>
      <c r="GQ186" t="str">
        <f>""</f>
        <v/>
      </c>
      <c r="GR186" t="str">
        <f>""</f>
        <v/>
      </c>
      <c r="GS186" t="str">
        <f>""</f>
        <v/>
      </c>
      <c r="GT186" t="str">
        <f>""</f>
        <v/>
      </c>
      <c r="GU186" t="str">
        <f>""</f>
        <v/>
      </c>
      <c r="GV186" t="str">
        <f>""</f>
        <v/>
      </c>
      <c r="GW186" t="str">
        <f>""</f>
        <v/>
      </c>
      <c r="GX186" t="str">
        <f>""</f>
        <v/>
      </c>
      <c r="GY186" t="str">
        <f>""</f>
        <v/>
      </c>
      <c r="GZ186" t="str">
        <f>""</f>
        <v/>
      </c>
      <c r="HA186" t="str">
        <f>""</f>
        <v/>
      </c>
      <c r="HB186" t="str">
        <f>""</f>
        <v/>
      </c>
      <c r="HC186" t="str">
        <f>""</f>
        <v/>
      </c>
      <c r="HD186" t="str">
        <f>""</f>
        <v/>
      </c>
      <c r="HE186" t="str">
        <f>""</f>
        <v/>
      </c>
      <c r="HF186" t="str">
        <f>""</f>
        <v/>
      </c>
      <c r="HG186" t="str">
        <f>""</f>
        <v/>
      </c>
      <c r="HH186" t="str">
        <f>""</f>
        <v/>
      </c>
      <c r="HI186" t="str">
        <f>""</f>
        <v/>
      </c>
      <c r="HJ186" t="str">
        <f>""</f>
        <v/>
      </c>
      <c r="HK186" t="str">
        <f>""</f>
        <v/>
      </c>
      <c r="HL186" t="str">
        <f>""</f>
        <v/>
      </c>
      <c r="HM186" t="str">
        <f>""</f>
        <v/>
      </c>
      <c r="HN186" t="str">
        <f>""</f>
        <v/>
      </c>
      <c r="HO186" t="str">
        <f>""</f>
        <v/>
      </c>
      <c r="HP186" t="str">
        <f>""</f>
        <v/>
      </c>
      <c r="HQ186" t="str">
        <f>""</f>
        <v/>
      </c>
      <c r="HR186" t="str">
        <f>""</f>
        <v/>
      </c>
      <c r="HS186" t="str">
        <f>""</f>
        <v/>
      </c>
      <c r="HT186" t="str">
        <f>""</f>
        <v/>
      </c>
      <c r="HU186" t="str">
        <f>""</f>
        <v/>
      </c>
      <c r="HV186" t="str">
        <f>""</f>
        <v/>
      </c>
      <c r="HW186" t="str">
        <f>""</f>
        <v/>
      </c>
      <c r="HX186" t="str">
        <f>""</f>
        <v/>
      </c>
      <c r="HY186" t="str">
        <f>""</f>
        <v/>
      </c>
      <c r="HZ186" t="str">
        <f>""</f>
        <v/>
      </c>
      <c r="IA186" t="str">
        <f>""</f>
        <v/>
      </c>
      <c r="IB186" t="str">
        <f>""</f>
        <v/>
      </c>
      <c r="IC186" t="str">
        <f>""</f>
        <v/>
      </c>
      <c r="ID186" t="str">
        <f>""</f>
        <v/>
      </c>
      <c r="IE186" t="str">
        <f>""</f>
        <v/>
      </c>
      <c r="IF186" t="str">
        <f>""</f>
        <v/>
      </c>
      <c r="IG186" t="str">
        <f>""</f>
        <v/>
      </c>
      <c r="IH186" t="str">
        <f>""</f>
        <v/>
      </c>
      <c r="II186" t="str">
        <f>""</f>
        <v/>
      </c>
      <c r="IJ186" t="str">
        <f>""</f>
        <v/>
      </c>
      <c r="IK186" t="str">
        <f>""</f>
        <v/>
      </c>
      <c r="IL186" t="str">
        <f>""</f>
        <v/>
      </c>
      <c r="IM186" t="str">
        <f>""</f>
        <v/>
      </c>
      <c r="IN186" t="str">
        <f>""</f>
        <v/>
      </c>
      <c r="IO186" t="str">
        <f>""</f>
        <v/>
      </c>
      <c r="IP186" t="str">
        <f>""</f>
        <v/>
      </c>
      <c r="IQ186" t="str">
        <f>""</f>
        <v/>
      </c>
      <c r="IR186" t="str">
        <f>""</f>
        <v/>
      </c>
      <c r="IS186" t="str">
        <f>""</f>
        <v/>
      </c>
      <c r="IT186" t="str">
        <f>""</f>
        <v/>
      </c>
      <c r="IU186" t="str">
        <f>""</f>
        <v/>
      </c>
      <c r="IV186" t="str">
        <f>""</f>
        <v/>
      </c>
      <c r="IW186" t="str">
        <f>""</f>
        <v/>
      </c>
      <c r="IX186" t="str">
        <f>""</f>
        <v/>
      </c>
      <c r="IY186" t="str">
        <f>""</f>
        <v/>
      </c>
      <c r="IZ186" t="str">
        <f>""</f>
        <v/>
      </c>
      <c r="JA186" t="str">
        <f>""</f>
        <v/>
      </c>
      <c r="JB186" t="str">
        <f>""</f>
        <v/>
      </c>
      <c r="JC186" t="str">
        <f>""</f>
        <v/>
      </c>
      <c r="JD186" t="str">
        <f>""</f>
        <v/>
      </c>
      <c r="JE186" t="str">
        <f>""</f>
        <v/>
      </c>
      <c r="JF186" t="str">
        <f>""</f>
        <v/>
      </c>
      <c r="JG186" t="str">
        <f>""</f>
        <v/>
      </c>
      <c r="JH186" t="str">
        <f>""</f>
        <v/>
      </c>
      <c r="JI186" t="str">
        <f>""</f>
        <v/>
      </c>
      <c r="JJ186" t="str">
        <f>""</f>
        <v/>
      </c>
      <c r="JK186" t="str">
        <f>""</f>
        <v/>
      </c>
    </row>
    <row r="187" spans="1:271" x14ac:dyDescent="0.3">
      <c r="A187" t="str">
        <f>""</f>
        <v/>
      </c>
      <c r="B187" t="str">
        <f>""</f>
        <v/>
      </c>
      <c r="C187" t="str">
        <f>""</f>
        <v/>
      </c>
      <c r="D187" t="str">
        <f>""</f>
        <v/>
      </c>
      <c r="E187" t="str">
        <f>""</f>
        <v/>
      </c>
      <c r="F187" t="str">
        <f>""</f>
        <v/>
      </c>
      <c r="G187" t="str">
        <f>""</f>
        <v/>
      </c>
      <c r="H187" t="str">
        <f>""</f>
        <v/>
      </c>
      <c r="I187" t="str">
        <f>""</f>
        <v/>
      </c>
      <c r="J187" t="str">
        <f>""</f>
        <v/>
      </c>
      <c r="K187" t="str">
        <f>""</f>
        <v/>
      </c>
      <c r="L187" t="str">
        <f>""</f>
        <v/>
      </c>
      <c r="M187" t="str">
        <f>""</f>
        <v/>
      </c>
      <c r="N187" t="str">
        <f>""</f>
        <v/>
      </c>
      <c r="O187" t="str">
        <f>""</f>
        <v/>
      </c>
      <c r="P187" t="str">
        <f>""</f>
        <v/>
      </c>
      <c r="Q187" t="str">
        <f>""</f>
        <v/>
      </c>
      <c r="R187" t="str">
        <f>""</f>
        <v/>
      </c>
      <c r="S187" t="str">
        <f>""</f>
        <v/>
      </c>
      <c r="T187" t="str">
        <f>""</f>
        <v/>
      </c>
      <c r="U187" t="str">
        <f>""</f>
        <v/>
      </c>
      <c r="V187" t="str">
        <f>""</f>
        <v/>
      </c>
      <c r="W187" t="str">
        <f>""</f>
        <v/>
      </c>
      <c r="X187" t="str">
        <f>""</f>
        <v/>
      </c>
      <c r="Y187" t="str">
        <f>""</f>
        <v/>
      </c>
      <c r="Z187" t="str">
        <f>""</f>
        <v/>
      </c>
      <c r="AA187" t="str">
        <f>""</f>
        <v/>
      </c>
      <c r="AB187" t="str">
        <f>""</f>
        <v/>
      </c>
      <c r="AC187" t="str">
        <f>""</f>
        <v/>
      </c>
      <c r="AD187" t="str">
        <f>""</f>
        <v/>
      </c>
      <c r="AE187" t="str">
        <f>""</f>
        <v/>
      </c>
      <c r="AF187" t="str">
        <f>""</f>
        <v/>
      </c>
      <c r="AG187" t="str">
        <f>""</f>
        <v/>
      </c>
      <c r="AH187" t="str">
        <f>""</f>
        <v/>
      </c>
      <c r="AI187" t="str">
        <f>""</f>
        <v/>
      </c>
      <c r="AJ187" t="str">
        <f>""</f>
        <v/>
      </c>
      <c r="AK187" t="str">
        <f>""</f>
        <v/>
      </c>
      <c r="AL187" t="str">
        <f>""</f>
        <v/>
      </c>
      <c r="AM187" t="str">
        <f>""</f>
        <v/>
      </c>
      <c r="AN187" t="str">
        <f>""</f>
        <v/>
      </c>
      <c r="AO187" t="str">
        <f>""</f>
        <v/>
      </c>
      <c r="AP187" t="str">
        <f>""</f>
        <v/>
      </c>
      <c r="AQ187" t="str">
        <f>""</f>
        <v/>
      </c>
      <c r="AR187" t="str">
        <f>""</f>
        <v/>
      </c>
      <c r="AS187" t="str">
        <f>""</f>
        <v/>
      </c>
      <c r="AT187" t="str">
        <f>""</f>
        <v/>
      </c>
      <c r="AU187" t="str">
        <f>""</f>
        <v/>
      </c>
      <c r="AV187" t="str">
        <f>""</f>
        <v/>
      </c>
      <c r="AW187" t="str">
        <f>""</f>
        <v/>
      </c>
      <c r="AX187" t="str">
        <f>""</f>
        <v/>
      </c>
      <c r="AY187" t="str">
        <f>""</f>
        <v/>
      </c>
      <c r="AZ187" t="str">
        <f>""</f>
        <v/>
      </c>
      <c r="BA187" t="str">
        <f>""</f>
        <v/>
      </c>
      <c r="BB187" t="str">
        <f>""</f>
        <v/>
      </c>
      <c r="BC187" t="str">
        <f>""</f>
        <v/>
      </c>
      <c r="BD187" t="str">
        <f>""</f>
        <v/>
      </c>
      <c r="BE187" t="str">
        <f>""</f>
        <v/>
      </c>
      <c r="BF187" t="str">
        <f>""</f>
        <v/>
      </c>
      <c r="BG187" t="str">
        <f>""</f>
        <v/>
      </c>
      <c r="BH187" t="str">
        <f>""</f>
        <v/>
      </c>
      <c r="BI187" t="str">
        <f>""</f>
        <v/>
      </c>
      <c r="BJ187" t="str">
        <f>""</f>
        <v/>
      </c>
      <c r="BK187" t="str">
        <f>""</f>
        <v/>
      </c>
      <c r="BL187" t="str">
        <f>""</f>
        <v/>
      </c>
      <c r="BM187" t="str">
        <f>""</f>
        <v/>
      </c>
      <c r="BN187" t="str">
        <f>""</f>
        <v/>
      </c>
      <c r="BO187" t="str">
        <f>""</f>
        <v/>
      </c>
      <c r="BP187" t="str">
        <f>""</f>
        <v/>
      </c>
      <c r="BQ187" t="str">
        <f>""</f>
        <v/>
      </c>
      <c r="BR187" t="str">
        <f>""</f>
        <v/>
      </c>
      <c r="BS187" t="str">
        <f>""</f>
        <v/>
      </c>
      <c r="BT187" t="str">
        <f>""</f>
        <v/>
      </c>
      <c r="BU187" t="str">
        <f>""</f>
        <v/>
      </c>
      <c r="BV187" t="str">
        <f>""</f>
        <v/>
      </c>
      <c r="BW187" t="str">
        <f>""</f>
        <v/>
      </c>
      <c r="BX187" t="str">
        <f>""</f>
        <v/>
      </c>
      <c r="BY187" t="str">
        <f>""</f>
        <v/>
      </c>
      <c r="BZ187" t="str">
        <f>""</f>
        <v/>
      </c>
      <c r="CA187" t="str">
        <f>""</f>
        <v/>
      </c>
      <c r="CB187" t="str">
        <f>""</f>
        <v/>
      </c>
      <c r="CC187" t="str">
        <f>""</f>
        <v/>
      </c>
      <c r="CD187" t="str">
        <f>""</f>
        <v/>
      </c>
      <c r="CE187" t="str">
        <f>""</f>
        <v/>
      </c>
      <c r="CF187" t="str">
        <f>""</f>
        <v/>
      </c>
      <c r="CG187" t="str">
        <f>""</f>
        <v/>
      </c>
      <c r="CH187" t="str">
        <f>""</f>
        <v/>
      </c>
      <c r="CI187" t="str">
        <f>""</f>
        <v/>
      </c>
      <c r="CJ187" t="str">
        <f>""</f>
        <v/>
      </c>
      <c r="CK187" t="str">
        <f>""</f>
        <v/>
      </c>
      <c r="CL187" t="str">
        <f>""</f>
        <v/>
      </c>
      <c r="CM187" t="str">
        <f>""</f>
        <v/>
      </c>
      <c r="CN187" t="str">
        <f>""</f>
        <v/>
      </c>
      <c r="CO187" t="str">
        <f>""</f>
        <v/>
      </c>
      <c r="CP187" t="str">
        <f>""</f>
        <v/>
      </c>
      <c r="CQ187" t="str">
        <f>""</f>
        <v/>
      </c>
      <c r="CR187" t="str">
        <f>""</f>
        <v/>
      </c>
      <c r="CS187" t="str">
        <f>""</f>
        <v/>
      </c>
      <c r="CT187" t="str">
        <f>""</f>
        <v/>
      </c>
      <c r="CU187" t="str">
        <f>""</f>
        <v/>
      </c>
      <c r="CV187" t="str">
        <f>""</f>
        <v/>
      </c>
      <c r="CW187" t="str">
        <f>"(0.103)"</f>
        <v>(0.103)</v>
      </c>
      <c r="CX187" t="str">
        <f>"(0.0812)"</f>
        <v>(0.0812)</v>
      </c>
      <c r="CY187" t="str">
        <f>"(0.0437)"</f>
        <v>(0.0437)</v>
      </c>
      <c r="CZ187" t="str">
        <f>""</f>
        <v/>
      </c>
      <c r="DA187" t="str">
        <f>""</f>
        <v/>
      </c>
      <c r="DB187" t="str">
        <f>""</f>
        <v/>
      </c>
      <c r="DC187" t="str">
        <f>""</f>
        <v/>
      </c>
      <c r="DD187" t="str">
        <f>""</f>
        <v/>
      </c>
      <c r="DE187" t="str">
        <f>""</f>
        <v/>
      </c>
      <c r="DF187" t="str">
        <f>""</f>
        <v/>
      </c>
      <c r="DG187" t="str">
        <f>""</f>
        <v/>
      </c>
      <c r="DH187" t="str">
        <f>""</f>
        <v/>
      </c>
      <c r="DI187" t="str">
        <f>""</f>
        <v/>
      </c>
      <c r="DJ187" t="str">
        <f>""</f>
        <v/>
      </c>
      <c r="DK187" t="str">
        <f>""</f>
        <v/>
      </c>
      <c r="DL187" t="str">
        <f>""</f>
        <v/>
      </c>
      <c r="DM187" t="str">
        <f>""</f>
        <v/>
      </c>
      <c r="DN187" t="str">
        <f>""</f>
        <v/>
      </c>
      <c r="DO187" t="str">
        <f>""</f>
        <v/>
      </c>
      <c r="DP187" t="str">
        <f>""</f>
        <v/>
      </c>
      <c r="DQ187" t="str">
        <f>""</f>
        <v/>
      </c>
      <c r="DR187" t="str">
        <f>""</f>
        <v/>
      </c>
      <c r="DS187" t="str">
        <f>""</f>
        <v/>
      </c>
      <c r="DT187" t="str">
        <f>""</f>
        <v/>
      </c>
      <c r="DU187" t="str">
        <f>""</f>
        <v/>
      </c>
      <c r="DV187" t="str">
        <f>""</f>
        <v/>
      </c>
      <c r="DW187" t="str">
        <f>""</f>
        <v/>
      </c>
      <c r="DX187" t="str">
        <f>""</f>
        <v/>
      </c>
      <c r="DY187" t="str">
        <f>""</f>
        <v/>
      </c>
      <c r="DZ187" t="str">
        <f>""</f>
        <v/>
      </c>
      <c r="EA187" t="str">
        <f>""</f>
        <v/>
      </c>
      <c r="EB187" t="str">
        <f>""</f>
        <v/>
      </c>
      <c r="EC187" t="str">
        <f>""</f>
        <v/>
      </c>
      <c r="ED187" t="str">
        <f>""</f>
        <v/>
      </c>
      <c r="EE187" t="str">
        <f>""</f>
        <v/>
      </c>
      <c r="EF187" t="str">
        <f>""</f>
        <v/>
      </c>
      <c r="EG187" t="str">
        <f>""</f>
        <v/>
      </c>
      <c r="EH187" t="str">
        <f>""</f>
        <v/>
      </c>
      <c r="EI187" t="str">
        <f>""</f>
        <v/>
      </c>
      <c r="EJ187" t="str">
        <f>""</f>
        <v/>
      </c>
      <c r="EK187" t="str">
        <f>""</f>
        <v/>
      </c>
      <c r="EL187" t="str">
        <f>""</f>
        <v/>
      </c>
      <c r="EM187" t="str">
        <f>""</f>
        <v/>
      </c>
      <c r="EN187" t="str">
        <f>""</f>
        <v/>
      </c>
      <c r="EO187" t="str">
        <f>""</f>
        <v/>
      </c>
      <c r="EP187" t="str">
        <f>""</f>
        <v/>
      </c>
      <c r="EQ187" t="str">
        <f>""</f>
        <v/>
      </c>
      <c r="ER187" t="str">
        <f>""</f>
        <v/>
      </c>
      <c r="ES187" t="str">
        <f>""</f>
        <v/>
      </c>
      <c r="ET187" t="str">
        <f>""</f>
        <v/>
      </c>
      <c r="EU187" t="str">
        <f>""</f>
        <v/>
      </c>
      <c r="EV187" t="str">
        <f>""</f>
        <v/>
      </c>
      <c r="EW187" t="str">
        <f>""</f>
        <v/>
      </c>
      <c r="EX187" t="str">
        <f>""</f>
        <v/>
      </c>
      <c r="EY187" t="str">
        <f>""</f>
        <v/>
      </c>
      <c r="EZ187" t="str">
        <f>""</f>
        <v/>
      </c>
      <c r="FA187" t="str">
        <f>""</f>
        <v/>
      </c>
      <c r="FB187" t="str">
        <f>""</f>
        <v/>
      </c>
      <c r="FC187" t="str">
        <f>""</f>
        <v/>
      </c>
      <c r="FD187" t="str">
        <f>""</f>
        <v/>
      </c>
      <c r="FE187" t="str">
        <f>""</f>
        <v/>
      </c>
      <c r="FF187" t="str">
        <f>""</f>
        <v/>
      </c>
      <c r="FG187" t="str">
        <f>""</f>
        <v/>
      </c>
      <c r="FH187" t="str">
        <f>""</f>
        <v/>
      </c>
      <c r="FI187" t="str">
        <f>""</f>
        <v/>
      </c>
      <c r="FJ187" t="str">
        <f>""</f>
        <v/>
      </c>
      <c r="FK187" t="str">
        <f>""</f>
        <v/>
      </c>
      <c r="FL187" t="str">
        <f>""</f>
        <v/>
      </c>
      <c r="FM187" t="str">
        <f>""</f>
        <v/>
      </c>
      <c r="FN187" t="str">
        <f>""</f>
        <v/>
      </c>
      <c r="FO187" t="str">
        <f>""</f>
        <v/>
      </c>
      <c r="FP187" t="str">
        <f>""</f>
        <v/>
      </c>
      <c r="FQ187" t="str">
        <f>""</f>
        <v/>
      </c>
      <c r="FR187" t="str">
        <f>""</f>
        <v/>
      </c>
      <c r="FS187" t="str">
        <f>""</f>
        <v/>
      </c>
      <c r="FT187" t="str">
        <f>""</f>
        <v/>
      </c>
      <c r="FU187" t="str">
        <f>""</f>
        <v/>
      </c>
      <c r="FV187" t="str">
        <f>""</f>
        <v/>
      </c>
      <c r="FW187" t="str">
        <f>""</f>
        <v/>
      </c>
      <c r="FX187" t="str">
        <f>""</f>
        <v/>
      </c>
      <c r="FY187" t="str">
        <f>""</f>
        <v/>
      </c>
      <c r="FZ187" t="str">
        <f>""</f>
        <v/>
      </c>
      <c r="GA187" t="str">
        <f>""</f>
        <v/>
      </c>
      <c r="GB187" t="str">
        <f>""</f>
        <v/>
      </c>
      <c r="GC187" t="str">
        <f>""</f>
        <v/>
      </c>
      <c r="GD187" t="str">
        <f>""</f>
        <v/>
      </c>
      <c r="GE187" t="str">
        <f>""</f>
        <v/>
      </c>
      <c r="GF187" t="str">
        <f>""</f>
        <v/>
      </c>
      <c r="GG187" t="str">
        <f>""</f>
        <v/>
      </c>
      <c r="GH187" t="str">
        <f>""</f>
        <v/>
      </c>
      <c r="GI187" t="str">
        <f>""</f>
        <v/>
      </c>
      <c r="GJ187" t="str">
        <f>""</f>
        <v/>
      </c>
      <c r="GK187" t="str">
        <f>""</f>
        <v/>
      </c>
      <c r="GL187" t="str">
        <f>""</f>
        <v/>
      </c>
      <c r="GM187" t="str">
        <f>""</f>
        <v/>
      </c>
      <c r="GN187" t="str">
        <f>""</f>
        <v/>
      </c>
      <c r="GO187" t="str">
        <f>""</f>
        <v/>
      </c>
      <c r="GP187" t="str">
        <f>""</f>
        <v/>
      </c>
      <c r="GQ187" t="str">
        <f>""</f>
        <v/>
      </c>
      <c r="GR187" t="str">
        <f>""</f>
        <v/>
      </c>
      <c r="GS187" t="str">
        <f>""</f>
        <v/>
      </c>
      <c r="GT187" t="str">
        <f>""</f>
        <v/>
      </c>
      <c r="GU187" t="str">
        <f>""</f>
        <v/>
      </c>
      <c r="GV187" t="str">
        <f>""</f>
        <v/>
      </c>
      <c r="GW187" t="str">
        <f>""</f>
        <v/>
      </c>
      <c r="GX187" t="str">
        <f>""</f>
        <v/>
      </c>
      <c r="GY187" t="str">
        <f>""</f>
        <v/>
      </c>
      <c r="GZ187" t="str">
        <f>""</f>
        <v/>
      </c>
      <c r="HA187" t="str">
        <f>""</f>
        <v/>
      </c>
      <c r="HB187" t="str">
        <f>""</f>
        <v/>
      </c>
      <c r="HC187" t="str">
        <f>""</f>
        <v/>
      </c>
      <c r="HD187" t="str">
        <f>""</f>
        <v/>
      </c>
      <c r="HE187" t="str">
        <f>""</f>
        <v/>
      </c>
      <c r="HF187" t="str">
        <f>""</f>
        <v/>
      </c>
      <c r="HG187" t="str">
        <f>""</f>
        <v/>
      </c>
      <c r="HH187" t="str">
        <f>""</f>
        <v/>
      </c>
      <c r="HI187" t="str">
        <f>""</f>
        <v/>
      </c>
      <c r="HJ187" t="str">
        <f>""</f>
        <v/>
      </c>
      <c r="HK187" t="str">
        <f>""</f>
        <v/>
      </c>
      <c r="HL187" t="str">
        <f>""</f>
        <v/>
      </c>
      <c r="HM187" t="str">
        <f>""</f>
        <v/>
      </c>
      <c r="HN187" t="str">
        <f>""</f>
        <v/>
      </c>
      <c r="HO187" t="str">
        <f>""</f>
        <v/>
      </c>
      <c r="HP187" t="str">
        <f>""</f>
        <v/>
      </c>
      <c r="HQ187" t="str">
        <f>""</f>
        <v/>
      </c>
      <c r="HR187" t="str">
        <f>""</f>
        <v/>
      </c>
      <c r="HS187" t="str">
        <f>""</f>
        <v/>
      </c>
      <c r="HT187" t="str">
        <f>""</f>
        <v/>
      </c>
      <c r="HU187" t="str">
        <f>""</f>
        <v/>
      </c>
      <c r="HV187" t="str">
        <f>""</f>
        <v/>
      </c>
      <c r="HW187" t="str">
        <f>""</f>
        <v/>
      </c>
      <c r="HX187" t="str">
        <f>""</f>
        <v/>
      </c>
      <c r="HY187" t="str">
        <f>""</f>
        <v/>
      </c>
      <c r="HZ187" t="str">
        <f>""</f>
        <v/>
      </c>
      <c r="IA187" t="str">
        <f>""</f>
        <v/>
      </c>
      <c r="IB187" t="str">
        <f>""</f>
        <v/>
      </c>
      <c r="IC187" t="str">
        <f>""</f>
        <v/>
      </c>
      <c r="ID187" t="str">
        <f>""</f>
        <v/>
      </c>
      <c r="IE187" t="str">
        <f>""</f>
        <v/>
      </c>
      <c r="IF187" t="str">
        <f>""</f>
        <v/>
      </c>
      <c r="IG187" t="str">
        <f>""</f>
        <v/>
      </c>
      <c r="IH187" t="str">
        <f>""</f>
        <v/>
      </c>
      <c r="II187" t="str">
        <f>""</f>
        <v/>
      </c>
      <c r="IJ187" t="str">
        <f>""</f>
        <v/>
      </c>
      <c r="IK187" t="str">
        <f>""</f>
        <v/>
      </c>
      <c r="IL187" t="str">
        <f>""</f>
        <v/>
      </c>
      <c r="IM187" t="str">
        <f>""</f>
        <v/>
      </c>
      <c r="IN187" t="str">
        <f>""</f>
        <v/>
      </c>
      <c r="IO187" t="str">
        <f>""</f>
        <v/>
      </c>
      <c r="IP187" t="str">
        <f>""</f>
        <v/>
      </c>
      <c r="IQ187" t="str">
        <f>""</f>
        <v/>
      </c>
      <c r="IR187" t="str">
        <f>""</f>
        <v/>
      </c>
      <c r="IS187" t="str">
        <f>""</f>
        <v/>
      </c>
      <c r="IT187" t="str">
        <f>""</f>
        <v/>
      </c>
      <c r="IU187" t="str">
        <f>""</f>
        <v/>
      </c>
      <c r="IV187" t="str">
        <f>""</f>
        <v/>
      </c>
      <c r="IW187" t="str">
        <f>""</f>
        <v/>
      </c>
      <c r="IX187" t="str">
        <f>""</f>
        <v/>
      </c>
      <c r="IY187" t="str">
        <f>""</f>
        <v/>
      </c>
      <c r="IZ187" t="str">
        <f>""</f>
        <v/>
      </c>
      <c r="JA187" t="str">
        <f>""</f>
        <v/>
      </c>
      <c r="JB187" t="str">
        <f>""</f>
        <v/>
      </c>
      <c r="JC187" t="str">
        <f>""</f>
        <v/>
      </c>
      <c r="JD187" t="str">
        <f>""</f>
        <v/>
      </c>
      <c r="JE187" t="str">
        <f>""</f>
        <v/>
      </c>
      <c r="JF187" t="str">
        <f>""</f>
        <v/>
      </c>
      <c r="JG187" t="str">
        <f>""</f>
        <v/>
      </c>
      <c r="JH187" t="str">
        <f>""</f>
        <v/>
      </c>
      <c r="JI187" t="str">
        <f>""</f>
        <v/>
      </c>
      <c r="JJ187" t="str">
        <f>""</f>
        <v/>
      </c>
      <c r="JK187" t="str">
        <f>""</f>
        <v/>
      </c>
    </row>
    <row r="189" spans="1:271" x14ac:dyDescent="0.3">
      <c r="A189" t="str">
        <f>"c.zMETAB5#c.PM3"</f>
        <v>c.zMETAB5#c.PM3</v>
      </c>
      <c r="B189" t="str">
        <f>""</f>
        <v/>
      </c>
      <c r="C189" t="str">
        <f>""</f>
        <v/>
      </c>
      <c r="D189" t="str">
        <f>""</f>
        <v/>
      </c>
      <c r="E189" t="str">
        <f>""</f>
        <v/>
      </c>
      <c r="F189" t="str">
        <f>""</f>
        <v/>
      </c>
      <c r="G189" t="str">
        <f>""</f>
        <v/>
      </c>
      <c r="H189" t="str">
        <f>""</f>
        <v/>
      </c>
      <c r="I189" t="str">
        <f>""</f>
        <v/>
      </c>
      <c r="J189" t="str">
        <f>""</f>
        <v/>
      </c>
      <c r="K189" t="str">
        <f>""</f>
        <v/>
      </c>
      <c r="L189" t="str">
        <f>""</f>
        <v/>
      </c>
      <c r="M189" t="str">
        <f>""</f>
        <v/>
      </c>
      <c r="N189" t="str">
        <f>""</f>
        <v/>
      </c>
      <c r="O189" t="str">
        <f>""</f>
        <v/>
      </c>
      <c r="P189" t="str">
        <f>""</f>
        <v/>
      </c>
      <c r="Q189" t="str">
        <f>""</f>
        <v/>
      </c>
      <c r="R189" t="str">
        <f>""</f>
        <v/>
      </c>
      <c r="S189" t="str">
        <f>""</f>
        <v/>
      </c>
      <c r="T189" t="str">
        <f>""</f>
        <v/>
      </c>
      <c r="U189" t="str">
        <f>""</f>
        <v/>
      </c>
      <c r="V189" t="str">
        <f>""</f>
        <v/>
      </c>
      <c r="W189" t="str">
        <f>""</f>
        <v/>
      </c>
      <c r="X189" t="str">
        <f>""</f>
        <v/>
      </c>
      <c r="Y189" t="str">
        <f>""</f>
        <v/>
      </c>
      <c r="Z189" t="str">
        <f>""</f>
        <v/>
      </c>
      <c r="AA189" t="str">
        <f>""</f>
        <v/>
      </c>
      <c r="AB189" t="str">
        <f>""</f>
        <v/>
      </c>
      <c r="AC189" t="str">
        <f>""</f>
        <v/>
      </c>
      <c r="AD189" t="str">
        <f>""</f>
        <v/>
      </c>
      <c r="AE189" t="str">
        <f>""</f>
        <v/>
      </c>
      <c r="AF189" t="str">
        <f>""</f>
        <v/>
      </c>
      <c r="AG189" t="str">
        <f>""</f>
        <v/>
      </c>
      <c r="AH189" t="str">
        <f>""</f>
        <v/>
      </c>
      <c r="AI189" t="str">
        <f>""</f>
        <v/>
      </c>
      <c r="AJ189" t="str">
        <f>""</f>
        <v/>
      </c>
      <c r="AK189" t="str">
        <f>""</f>
        <v/>
      </c>
      <c r="AL189" t="str">
        <f>""</f>
        <v/>
      </c>
      <c r="AM189" t="str">
        <f>""</f>
        <v/>
      </c>
      <c r="AN189" t="str">
        <f>""</f>
        <v/>
      </c>
      <c r="AO189" t="str">
        <f>""</f>
        <v/>
      </c>
      <c r="AP189" t="str">
        <f>""</f>
        <v/>
      </c>
      <c r="AQ189" t="str">
        <f>""</f>
        <v/>
      </c>
      <c r="AR189" t="str">
        <f>""</f>
        <v/>
      </c>
      <c r="AS189" t="str">
        <f>""</f>
        <v/>
      </c>
      <c r="AT189" t="str">
        <f>""</f>
        <v/>
      </c>
      <c r="AU189" t="str">
        <f>""</f>
        <v/>
      </c>
      <c r="AV189" t="str">
        <f>""</f>
        <v/>
      </c>
      <c r="AW189" t="str">
        <f>""</f>
        <v/>
      </c>
      <c r="AX189" t="str">
        <f>""</f>
        <v/>
      </c>
      <c r="AY189" t="str">
        <f>""</f>
        <v/>
      </c>
      <c r="AZ189" t="str">
        <f>""</f>
        <v/>
      </c>
      <c r="BA189" t="str">
        <f>""</f>
        <v/>
      </c>
      <c r="BB189" t="str">
        <f>""</f>
        <v/>
      </c>
      <c r="BC189" t="str">
        <f>""</f>
        <v/>
      </c>
      <c r="BD189" t="str">
        <f>""</f>
        <v/>
      </c>
      <c r="BE189" t="str">
        <f>""</f>
        <v/>
      </c>
      <c r="BF189" t="str">
        <f>""</f>
        <v/>
      </c>
      <c r="BG189" t="str">
        <f>""</f>
        <v/>
      </c>
      <c r="BH189" t="str">
        <f>""</f>
        <v/>
      </c>
      <c r="BI189" t="str">
        <f>""</f>
        <v/>
      </c>
      <c r="BJ189" t="str">
        <f>""</f>
        <v/>
      </c>
      <c r="BK189" t="str">
        <f>""</f>
        <v/>
      </c>
      <c r="BL189" t="str">
        <f>""</f>
        <v/>
      </c>
      <c r="BM189" t="str">
        <f>""</f>
        <v/>
      </c>
      <c r="BN189" t="str">
        <f>""</f>
        <v/>
      </c>
      <c r="BO189" t="str">
        <f>""</f>
        <v/>
      </c>
      <c r="BP189" t="str">
        <f>""</f>
        <v/>
      </c>
      <c r="BQ189" t="str">
        <f>""</f>
        <v/>
      </c>
      <c r="BR189" t="str">
        <f>""</f>
        <v/>
      </c>
      <c r="BS189" t="str">
        <f>""</f>
        <v/>
      </c>
      <c r="BT189" t="str">
        <f>""</f>
        <v/>
      </c>
      <c r="BU189" t="str">
        <f>""</f>
        <v/>
      </c>
      <c r="BV189" t="str">
        <f>""</f>
        <v/>
      </c>
      <c r="BW189" t="str">
        <f>""</f>
        <v/>
      </c>
      <c r="BX189" t="str">
        <f>""</f>
        <v/>
      </c>
      <c r="BY189" t="str">
        <f>""</f>
        <v/>
      </c>
      <c r="BZ189" t="str">
        <f>""</f>
        <v/>
      </c>
      <c r="CA189" t="str">
        <f>""</f>
        <v/>
      </c>
      <c r="CB189" t="str">
        <f>""</f>
        <v/>
      </c>
      <c r="CC189" t="str">
        <f>""</f>
        <v/>
      </c>
      <c r="CD189" t="str">
        <f>""</f>
        <v/>
      </c>
      <c r="CE189" t="str">
        <f>""</f>
        <v/>
      </c>
      <c r="CF189" t="str">
        <f>""</f>
        <v/>
      </c>
      <c r="CG189" t="str">
        <f>""</f>
        <v/>
      </c>
      <c r="CH189" t="str">
        <f>""</f>
        <v/>
      </c>
      <c r="CI189" t="str">
        <f>""</f>
        <v/>
      </c>
      <c r="CJ189" t="str">
        <f>""</f>
        <v/>
      </c>
      <c r="CK189" t="str">
        <f>""</f>
        <v/>
      </c>
      <c r="CL189" t="str">
        <f>""</f>
        <v/>
      </c>
      <c r="CM189" t="str">
        <f>""</f>
        <v/>
      </c>
      <c r="CN189" t="str">
        <f>""</f>
        <v/>
      </c>
      <c r="CO189" t="str">
        <f>""</f>
        <v/>
      </c>
      <c r="CP189" t="str">
        <f>""</f>
        <v/>
      </c>
      <c r="CQ189" t="str">
        <f>""</f>
        <v/>
      </c>
      <c r="CR189" t="str">
        <f>""</f>
        <v/>
      </c>
      <c r="CS189" t="str">
        <f>""</f>
        <v/>
      </c>
      <c r="CT189" t="str">
        <f>""</f>
        <v/>
      </c>
      <c r="CU189" t="str">
        <f>""</f>
        <v/>
      </c>
      <c r="CV189" t="str">
        <f>""</f>
        <v/>
      </c>
      <c r="CW189" t="str">
        <f>""</f>
        <v/>
      </c>
      <c r="CX189" t="str">
        <f>""</f>
        <v/>
      </c>
      <c r="CY189" t="str">
        <f>""</f>
        <v/>
      </c>
      <c r="CZ189" t="str">
        <f>"-0.209*"</f>
        <v>-0.209*</v>
      </c>
      <c r="DA189" t="str">
        <f>"-0.00853"</f>
        <v>-0.00853</v>
      </c>
      <c r="DB189" t="str">
        <f>"0.0166"</f>
        <v>0.0166</v>
      </c>
      <c r="DC189" t="str">
        <f>""</f>
        <v/>
      </c>
      <c r="DD189" t="str">
        <f>""</f>
        <v/>
      </c>
      <c r="DE189" t="str">
        <f>""</f>
        <v/>
      </c>
      <c r="DF189" t="str">
        <f>""</f>
        <v/>
      </c>
      <c r="DG189" t="str">
        <f>""</f>
        <v/>
      </c>
      <c r="DH189" t="str">
        <f>""</f>
        <v/>
      </c>
      <c r="DI189" t="str">
        <f>""</f>
        <v/>
      </c>
      <c r="DJ189" t="str">
        <f>""</f>
        <v/>
      </c>
      <c r="DK189" t="str">
        <f>""</f>
        <v/>
      </c>
      <c r="DL189" t="str">
        <f>""</f>
        <v/>
      </c>
      <c r="DM189" t="str">
        <f>""</f>
        <v/>
      </c>
      <c r="DN189" t="str">
        <f>""</f>
        <v/>
      </c>
      <c r="DO189" t="str">
        <f>""</f>
        <v/>
      </c>
      <c r="DP189" t="str">
        <f>""</f>
        <v/>
      </c>
      <c r="DQ189" t="str">
        <f>""</f>
        <v/>
      </c>
      <c r="DR189" t="str">
        <f>""</f>
        <v/>
      </c>
      <c r="DS189" t="str">
        <f>""</f>
        <v/>
      </c>
      <c r="DT189" t="str">
        <f>""</f>
        <v/>
      </c>
      <c r="DU189" t="str">
        <f>""</f>
        <v/>
      </c>
      <c r="DV189" t="str">
        <f>""</f>
        <v/>
      </c>
      <c r="DW189" t="str">
        <f>""</f>
        <v/>
      </c>
      <c r="DX189" t="str">
        <f>""</f>
        <v/>
      </c>
      <c r="DY189" t="str">
        <f>""</f>
        <v/>
      </c>
      <c r="DZ189" t="str">
        <f>""</f>
        <v/>
      </c>
      <c r="EA189" t="str">
        <f>""</f>
        <v/>
      </c>
      <c r="EB189" t="str">
        <f>""</f>
        <v/>
      </c>
      <c r="EC189" t="str">
        <f>""</f>
        <v/>
      </c>
      <c r="ED189" t="str">
        <f>""</f>
        <v/>
      </c>
      <c r="EE189" t="str">
        <f>""</f>
        <v/>
      </c>
      <c r="EF189" t="str">
        <f>""</f>
        <v/>
      </c>
      <c r="EG189" t="str">
        <f>""</f>
        <v/>
      </c>
      <c r="EH189" t="str">
        <f>""</f>
        <v/>
      </c>
      <c r="EI189" t="str">
        <f>""</f>
        <v/>
      </c>
      <c r="EJ189" t="str">
        <f>""</f>
        <v/>
      </c>
      <c r="EK189" t="str">
        <f>""</f>
        <v/>
      </c>
      <c r="EL189" t="str">
        <f>""</f>
        <v/>
      </c>
      <c r="EM189" t="str">
        <f>""</f>
        <v/>
      </c>
      <c r="EN189" t="str">
        <f>""</f>
        <v/>
      </c>
      <c r="EO189" t="str">
        <f>""</f>
        <v/>
      </c>
      <c r="EP189" t="str">
        <f>""</f>
        <v/>
      </c>
      <c r="EQ189" t="str">
        <f>""</f>
        <v/>
      </c>
      <c r="ER189" t="str">
        <f>""</f>
        <v/>
      </c>
      <c r="ES189" t="str">
        <f>""</f>
        <v/>
      </c>
      <c r="ET189" t="str">
        <f>""</f>
        <v/>
      </c>
      <c r="EU189" t="str">
        <f>""</f>
        <v/>
      </c>
      <c r="EV189" t="str">
        <f>""</f>
        <v/>
      </c>
      <c r="EW189" t="str">
        <f>""</f>
        <v/>
      </c>
      <c r="EX189" t="str">
        <f>""</f>
        <v/>
      </c>
      <c r="EY189" t="str">
        <f>""</f>
        <v/>
      </c>
      <c r="EZ189" t="str">
        <f>""</f>
        <v/>
      </c>
      <c r="FA189" t="str">
        <f>""</f>
        <v/>
      </c>
      <c r="FB189" t="str">
        <f>""</f>
        <v/>
      </c>
      <c r="FC189" t="str">
        <f>""</f>
        <v/>
      </c>
      <c r="FD189" t="str">
        <f>""</f>
        <v/>
      </c>
      <c r="FE189" t="str">
        <f>""</f>
        <v/>
      </c>
      <c r="FF189" t="str">
        <f>""</f>
        <v/>
      </c>
      <c r="FG189" t="str">
        <f>""</f>
        <v/>
      </c>
      <c r="FH189" t="str">
        <f>""</f>
        <v/>
      </c>
      <c r="FI189" t="str">
        <f>""</f>
        <v/>
      </c>
      <c r="FJ189" t="str">
        <f>""</f>
        <v/>
      </c>
      <c r="FK189" t="str">
        <f>""</f>
        <v/>
      </c>
      <c r="FL189" t="str">
        <f>""</f>
        <v/>
      </c>
      <c r="FM189" t="str">
        <f>""</f>
        <v/>
      </c>
      <c r="FN189" t="str">
        <f>""</f>
        <v/>
      </c>
      <c r="FO189" t="str">
        <f>""</f>
        <v/>
      </c>
      <c r="FP189" t="str">
        <f>""</f>
        <v/>
      </c>
      <c r="FQ189" t="str">
        <f>""</f>
        <v/>
      </c>
      <c r="FR189" t="str">
        <f>""</f>
        <v/>
      </c>
      <c r="FS189" t="str">
        <f>""</f>
        <v/>
      </c>
      <c r="FT189" t="str">
        <f>""</f>
        <v/>
      </c>
      <c r="FU189" t="str">
        <f>""</f>
        <v/>
      </c>
      <c r="FV189" t="str">
        <f>""</f>
        <v/>
      </c>
      <c r="FW189" t="str">
        <f>""</f>
        <v/>
      </c>
      <c r="FX189" t="str">
        <f>""</f>
        <v/>
      </c>
      <c r="FY189" t="str">
        <f>""</f>
        <v/>
      </c>
      <c r="FZ189" t="str">
        <f>""</f>
        <v/>
      </c>
      <c r="GA189" t="str">
        <f>""</f>
        <v/>
      </c>
      <c r="GB189" t="str">
        <f>""</f>
        <v/>
      </c>
      <c r="GC189" t="str">
        <f>""</f>
        <v/>
      </c>
      <c r="GD189" t="str">
        <f>""</f>
        <v/>
      </c>
      <c r="GE189" t="str">
        <f>""</f>
        <v/>
      </c>
      <c r="GF189" t="str">
        <f>""</f>
        <v/>
      </c>
      <c r="GG189" t="str">
        <f>""</f>
        <v/>
      </c>
      <c r="GH189" t="str">
        <f>""</f>
        <v/>
      </c>
      <c r="GI189" t="str">
        <f>""</f>
        <v/>
      </c>
      <c r="GJ189" t="str">
        <f>""</f>
        <v/>
      </c>
      <c r="GK189" t="str">
        <f>""</f>
        <v/>
      </c>
      <c r="GL189" t="str">
        <f>""</f>
        <v/>
      </c>
      <c r="GM189" t="str">
        <f>""</f>
        <v/>
      </c>
      <c r="GN189" t="str">
        <f>""</f>
        <v/>
      </c>
      <c r="GO189" t="str">
        <f>""</f>
        <v/>
      </c>
      <c r="GP189" t="str">
        <f>""</f>
        <v/>
      </c>
      <c r="GQ189" t="str">
        <f>""</f>
        <v/>
      </c>
      <c r="GR189" t="str">
        <f>""</f>
        <v/>
      </c>
      <c r="GS189" t="str">
        <f>""</f>
        <v/>
      </c>
      <c r="GT189" t="str">
        <f>""</f>
        <v/>
      </c>
      <c r="GU189" t="str">
        <f>""</f>
        <v/>
      </c>
      <c r="GV189" t="str">
        <f>""</f>
        <v/>
      </c>
      <c r="GW189" t="str">
        <f>""</f>
        <v/>
      </c>
      <c r="GX189" t="str">
        <f>""</f>
        <v/>
      </c>
      <c r="GY189" t="str">
        <f>""</f>
        <v/>
      </c>
      <c r="GZ189" t="str">
        <f>""</f>
        <v/>
      </c>
      <c r="HA189" t="str">
        <f>""</f>
        <v/>
      </c>
      <c r="HB189" t="str">
        <f>""</f>
        <v/>
      </c>
      <c r="HC189" t="str">
        <f>""</f>
        <v/>
      </c>
      <c r="HD189" t="str">
        <f>""</f>
        <v/>
      </c>
      <c r="HE189" t="str">
        <f>""</f>
        <v/>
      </c>
      <c r="HF189" t="str">
        <f>""</f>
        <v/>
      </c>
      <c r="HG189" t="str">
        <f>""</f>
        <v/>
      </c>
      <c r="HH189" t="str">
        <f>""</f>
        <v/>
      </c>
      <c r="HI189" t="str">
        <f>""</f>
        <v/>
      </c>
      <c r="HJ189" t="str">
        <f>""</f>
        <v/>
      </c>
      <c r="HK189" t="str">
        <f>""</f>
        <v/>
      </c>
      <c r="HL189" t="str">
        <f>""</f>
        <v/>
      </c>
      <c r="HM189" t="str">
        <f>""</f>
        <v/>
      </c>
      <c r="HN189" t="str">
        <f>""</f>
        <v/>
      </c>
      <c r="HO189" t="str">
        <f>""</f>
        <v/>
      </c>
      <c r="HP189" t="str">
        <f>""</f>
        <v/>
      </c>
      <c r="HQ189" t="str">
        <f>""</f>
        <v/>
      </c>
      <c r="HR189" t="str">
        <f>""</f>
        <v/>
      </c>
      <c r="HS189" t="str">
        <f>""</f>
        <v/>
      </c>
      <c r="HT189" t="str">
        <f>""</f>
        <v/>
      </c>
      <c r="HU189" t="str">
        <f>""</f>
        <v/>
      </c>
      <c r="HV189" t="str">
        <f>""</f>
        <v/>
      </c>
      <c r="HW189" t="str">
        <f>""</f>
        <v/>
      </c>
      <c r="HX189" t="str">
        <f>""</f>
        <v/>
      </c>
      <c r="HY189" t="str">
        <f>""</f>
        <v/>
      </c>
      <c r="HZ189" t="str">
        <f>""</f>
        <v/>
      </c>
      <c r="IA189" t="str">
        <f>""</f>
        <v/>
      </c>
      <c r="IB189" t="str">
        <f>""</f>
        <v/>
      </c>
      <c r="IC189" t="str">
        <f>""</f>
        <v/>
      </c>
      <c r="ID189" t="str">
        <f>""</f>
        <v/>
      </c>
      <c r="IE189" t="str">
        <f>""</f>
        <v/>
      </c>
      <c r="IF189" t="str">
        <f>""</f>
        <v/>
      </c>
      <c r="IG189" t="str">
        <f>""</f>
        <v/>
      </c>
      <c r="IH189" t="str">
        <f>""</f>
        <v/>
      </c>
      <c r="II189" t="str">
        <f>""</f>
        <v/>
      </c>
      <c r="IJ189" t="str">
        <f>""</f>
        <v/>
      </c>
      <c r="IK189" t="str">
        <f>""</f>
        <v/>
      </c>
      <c r="IL189" t="str">
        <f>""</f>
        <v/>
      </c>
      <c r="IM189" t="str">
        <f>""</f>
        <v/>
      </c>
      <c r="IN189" t="str">
        <f>""</f>
        <v/>
      </c>
      <c r="IO189" t="str">
        <f>""</f>
        <v/>
      </c>
      <c r="IP189" t="str">
        <f>""</f>
        <v/>
      </c>
      <c r="IQ189" t="str">
        <f>""</f>
        <v/>
      </c>
      <c r="IR189" t="str">
        <f>""</f>
        <v/>
      </c>
      <c r="IS189" t="str">
        <f>""</f>
        <v/>
      </c>
      <c r="IT189" t="str">
        <f>""</f>
        <v/>
      </c>
      <c r="IU189" t="str">
        <f>""</f>
        <v/>
      </c>
      <c r="IV189" t="str">
        <f>""</f>
        <v/>
      </c>
      <c r="IW189" t="str">
        <f>""</f>
        <v/>
      </c>
      <c r="IX189" t="str">
        <f>""</f>
        <v/>
      </c>
      <c r="IY189" t="str">
        <f>""</f>
        <v/>
      </c>
      <c r="IZ189" t="str">
        <f>""</f>
        <v/>
      </c>
      <c r="JA189" t="str">
        <f>""</f>
        <v/>
      </c>
      <c r="JB189" t="str">
        <f>""</f>
        <v/>
      </c>
      <c r="JC189" t="str">
        <f>""</f>
        <v/>
      </c>
      <c r="JD189" t="str">
        <f>""</f>
        <v/>
      </c>
      <c r="JE189" t="str">
        <f>""</f>
        <v/>
      </c>
      <c r="JF189" t="str">
        <f>""</f>
        <v/>
      </c>
      <c r="JG189" t="str">
        <f>""</f>
        <v/>
      </c>
      <c r="JH189" t="str">
        <f>""</f>
        <v/>
      </c>
      <c r="JI189" t="str">
        <f>""</f>
        <v/>
      </c>
      <c r="JJ189" t="str">
        <f>""</f>
        <v/>
      </c>
      <c r="JK189" t="str">
        <f>""</f>
        <v/>
      </c>
    </row>
    <row r="190" spans="1:271" x14ac:dyDescent="0.3">
      <c r="A190" t="str">
        <f>""</f>
        <v/>
      </c>
      <c r="B190" t="str">
        <f>""</f>
        <v/>
      </c>
      <c r="C190" t="str">
        <f>""</f>
        <v/>
      </c>
      <c r="D190" t="str">
        <f>""</f>
        <v/>
      </c>
      <c r="E190" t="str">
        <f>""</f>
        <v/>
      </c>
      <c r="F190" t="str">
        <f>""</f>
        <v/>
      </c>
      <c r="G190" t="str">
        <f>""</f>
        <v/>
      </c>
      <c r="H190" t="str">
        <f>""</f>
        <v/>
      </c>
      <c r="I190" t="str">
        <f>""</f>
        <v/>
      </c>
      <c r="J190" t="str">
        <f>""</f>
        <v/>
      </c>
      <c r="K190" t="str">
        <f>""</f>
        <v/>
      </c>
      <c r="L190" t="str">
        <f>""</f>
        <v/>
      </c>
      <c r="M190" t="str">
        <f>""</f>
        <v/>
      </c>
      <c r="N190" t="str">
        <f>""</f>
        <v/>
      </c>
      <c r="O190" t="str">
        <f>""</f>
        <v/>
      </c>
      <c r="P190" t="str">
        <f>""</f>
        <v/>
      </c>
      <c r="Q190" t="str">
        <f>""</f>
        <v/>
      </c>
      <c r="R190" t="str">
        <f>""</f>
        <v/>
      </c>
      <c r="S190" t="str">
        <f>""</f>
        <v/>
      </c>
      <c r="T190" t="str">
        <f>""</f>
        <v/>
      </c>
      <c r="U190" t="str">
        <f>""</f>
        <v/>
      </c>
      <c r="V190" t="str">
        <f>""</f>
        <v/>
      </c>
      <c r="W190" t="str">
        <f>""</f>
        <v/>
      </c>
      <c r="X190" t="str">
        <f>""</f>
        <v/>
      </c>
      <c r="Y190" t="str">
        <f>""</f>
        <v/>
      </c>
      <c r="Z190" t="str">
        <f>""</f>
        <v/>
      </c>
      <c r="AA190" t="str">
        <f>""</f>
        <v/>
      </c>
      <c r="AB190" t="str">
        <f>""</f>
        <v/>
      </c>
      <c r="AC190" t="str">
        <f>""</f>
        <v/>
      </c>
      <c r="AD190" t="str">
        <f>""</f>
        <v/>
      </c>
      <c r="AE190" t="str">
        <f>""</f>
        <v/>
      </c>
      <c r="AF190" t="str">
        <f>""</f>
        <v/>
      </c>
      <c r="AG190" t="str">
        <f>""</f>
        <v/>
      </c>
      <c r="AH190" t="str">
        <f>""</f>
        <v/>
      </c>
      <c r="AI190" t="str">
        <f>""</f>
        <v/>
      </c>
      <c r="AJ190" t="str">
        <f>""</f>
        <v/>
      </c>
      <c r="AK190" t="str">
        <f>""</f>
        <v/>
      </c>
      <c r="AL190" t="str">
        <f>""</f>
        <v/>
      </c>
      <c r="AM190" t="str">
        <f>""</f>
        <v/>
      </c>
      <c r="AN190" t="str">
        <f>""</f>
        <v/>
      </c>
      <c r="AO190" t="str">
        <f>""</f>
        <v/>
      </c>
      <c r="AP190" t="str">
        <f>""</f>
        <v/>
      </c>
      <c r="AQ190" t="str">
        <f>""</f>
        <v/>
      </c>
      <c r="AR190" t="str">
        <f>""</f>
        <v/>
      </c>
      <c r="AS190" t="str">
        <f>""</f>
        <v/>
      </c>
      <c r="AT190" t="str">
        <f>""</f>
        <v/>
      </c>
      <c r="AU190" t="str">
        <f>""</f>
        <v/>
      </c>
      <c r="AV190" t="str">
        <f>""</f>
        <v/>
      </c>
      <c r="AW190" t="str">
        <f>""</f>
        <v/>
      </c>
      <c r="AX190" t="str">
        <f>""</f>
        <v/>
      </c>
      <c r="AY190" t="str">
        <f>""</f>
        <v/>
      </c>
      <c r="AZ190" t="str">
        <f>""</f>
        <v/>
      </c>
      <c r="BA190" t="str">
        <f>""</f>
        <v/>
      </c>
      <c r="BB190" t="str">
        <f>""</f>
        <v/>
      </c>
      <c r="BC190" t="str">
        <f>""</f>
        <v/>
      </c>
      <c r="BD190" t="str">
        <f>""</f>
        <v/>
      </c>
      <c r="BE190" t="str">
        <f>""</f>
        <v/>
      </c>
      <c r="BF190" t="str">
        <f>""</f>
        <v/>
      </c>
      <c r="BG190" t="str">
        <f>""</f>
        <v/>
      </c>
      <c r="BH190" t="str">
        <f>""</f>
        <v/>
      </c>
      <c r="BI190" t="str">
        <f>""</f>
        <v/>
      </c>
      <c r="BJ190" t="str">
        <f>""</f>
        <v/>
      </c>
      <c r="BK190" t="str">
        <f>""</f>
        <v/>
      </c>
      <c r="BL190" t="str">
        <f>""</f>
        <v/>
      </c>
      <c r="BM190" t="str">
        <f>""</f>
        <v/>
      </c>
      <c r="BN190" t="str">
        <f>""</f>
        <v/>
      </c>
      <c r="BO190" t="str">
        <f>""</f>
        <v/>
      </c>
      <c r="BP190" t="str">
        <f>""</f>
        <v/>
      </c>
      <c r="BQ190" t="str">
        <f>""</f>
        <v/>
      </c>
      <c r="BR190" t="str">
        <f>""</f>
        <v/>
      </c>
      <c r="BS190" t="str">
        <f>""</f>
        <v/>
      </c>
      <c r="BT190" t="str">
        <f>""</f>
        <v/>
      </c>
      <c r="BU190" t="str">
        <f>""</f>
        <v/>
      </c>
      <c r="BV190" t="str">
        <f>""</f>
        <v/>
      </c>
      <c r="BW190" t="str">
        <f>""</f>
        <v/>
      </c>
      <c r="BX190" t="str">
        <f>""</f>
        <v/>
      </c>
      <c r="BY190" t="str">
        <f>""</f>
        <v/>
      </c>
      <c r="BZ190" t="str">
        <f>""</f>
        <v/>
      </c>
      <c r="CA190" t="str">
        <f>""</f>
        <v/>
      </c>
      <c r="CB190" t="str">
        <f>""</f>
        <v/>
      </c>
      <c r="CC190" t="str">
        <f>""</f>
        <v/>
      </c>
      <c r="CD190" t="str">
        <f>""</f>
        <v/>
      </c>
      <c r="CE190" t="str">
        <f>""</f>
        <v/>
      </c>
      <c r="CF190" t="str">
        <f>""</f>
        <v/>
      </c>
      <c r="CG190" t="str">
        <f>""</f>
        <v/>
      </c>
      <c r="CH190" t="str">
        <f>""</f>
        <v/>
      </c>
      <c r="CI190" t="str">
        <f>""</f>
        <v/>
      </c>
      <c r="CJ190" t="str">
        <f>""</f>
        <v/>
      </c>
      <c r="CK190" t="str">
        <f>""</f>
        <v/>
      </c>
      <c r="CL190" t="str">
        <f>""</f>
        <v/>
      </c>
      <c r="CM190" t="str">
        <f>""</f>
        <v/>
      </c>
      <c r="CN190" t="str">
        <f>""</f>
        <v/>
      </c>
      <c r="CO190" t="str">
        <f>""</f>
        <v/>
      </c>
      <c r="CP190" t="str">
        <f>""</f>
        <v/>
      </c>
      <c r="CQ190" t="str">
        <f>""</f>
        <v/>
      </c>
      <c r="CR190" t="str">
        <f>""</f>
        <v/>
      </c>
      <c r="CS190" t="str">
        <f>""</f>
        <v/>
      </c>
      <c r="CT190" t="str">
        <f>""</f>
        <v/>
      </c>
      <c r="CU190" t="str">
        <f>""</f>
        <v/>
      </c>
      <c r="CV190" t="str">
        <f>""</f>
        <v/>
      </c>
      <c r="CW190" t="str">
        <f>""</f>
        <v/>
      </c>
      <c r="CX190" t="str">
        <f>""</f>
        <v/>
      </c>
      <c r="CY190" t="str">
        <f>""</f>
        <v/>
      </c>
      <c r="CZ190" t="str">
        <f>"(0.103)"</f>
        <v>(0.103)</v>
      </c>
      <c r="DA190" t="str">
        <f>"(0.0814)"</f>
        <v>(0.0814)</v>
      </c>
      <c r="DB190" t="str">
        <f>"(0.0412)"</f>
        <v>(0.0412)</v>
      </c>
      <c r="DC190" t="str">
        <f>""</f>
        <v/>
      </c>
      <c r="DD190" t="str">
        <f>""</f>
        <v/>
      </c>
      <c r="DE190" t="str">
        <f>""</f>
        <v/>
      </c>
      <c r="DF190" t="str">
        <f>""</f>
        <v/>
      </c>
      <c r="DG190" t="str">
        <f>""</f>
        <v/>
      </c>
      <c r="DH190" t="str">
        <f>""</f>
        <v/>
      </c>
      <c r="DI190" t="str">
        <f>""</f>
        <v/>
      </c>
      <c r="DJ190" t="str">
        <f>""</f>
        <v/>
      </c>
      <c r="DK190" t="str">
        <f>""</f>
        <v/>
      </c>
      <c r="DL190" t="str">
        <f>""</f>
        <v/>
      </c>
      <c r="DM190" t="str">
        <f>""</f>
        <v/>
      </c>
      <c r="DN190" t="str">
        <f>""</f>
        <v/>
      </c>
      <c r="DO190" t="str">
        <f>""</f>
        <v/>
      </c>
      <c r="DP190" t="str">
        <f>""</f>
        <v/>
      </c>
      <c r="DQ190" t="str">
        <f>""</f>
        <v/>
      </c>
      <c r="DR190" t="str">
        <f>""</f>
        <v/>
      </c>
      <c r="DS190" t="str">
        <f>""</f>
        <v/>
      </c>
      <c r="DT190" t="str">
        <f>""</f>
        <v/>
      </c>
      <c r="DU190" t="str">
        <f>""</f>
        <v/>
      </c>
      <c r="DV190" t="str">
        <f>""</f>
        <v/>
      </c>
      <c r="DW190" t="str">
        <f>""</f>
        <v/>
      </c>
      <c r="DX190" t="str">
        <f>""</f>
        <v/>
      </c>
      <c r="DY190" t="str">
        <f>""</f>
        <v/>
      </c>
      <c r="DZ190" t="str">
        <f>""</f>
        <v/>
      </c>
      <c r="EA190" t="str">
        <f>""</f>
        <v/>
      </c>
      <c r="EB190" t="str">
        <f>""</f>
        <v/>
      </c>
      <c r="EC190" t="str">
        <f>""</f>
        <v/>
      </c>
      <c r="ED190" t="str">
        <f>""</f>
        <v/>
      </c>
      <c r="EE190" t="str">
        <f>""</f>
        <v/>
      </c>
      <c r="EF190" t="str">
        <f>""</f>
        <v/>
      </c>
      <c r="EG190" t="str">
        <f>""</f>
        <v/>
      </c>
      <c r="EH190" t="str">
        <f>""</f>
        <v/>
      </c>
      <c r="EI190" t="str">
        <f>""</f>
        <v/>
      </c>
      <c r="EJ190" t="str">
        <f>""</f>
        <v/>
      </c>
      <c r="EK190" t="str">
        <f>""</f>
        <v/>
      </c>
      <c r="EL190" t="str">
        <f>""</f>
        <v/>
      </c>
      <c r="EM190" t="str">
        <f>""</f>
        <v/>
      </c>
      <c r="EN190" t="str">
        <f>""</f>
        <v/>
      </c>
      <c r="EO190" t="str">
        <f>""</f>
        <v/>
      </c>
      <c r="EP190" t="str">
        <f>""</f>
        <v/>
      </c>
      <c r="EQ190" t="str">
        <f>""</f>
        <v/>
      </c>
      <c r="ER190" t="str">
        <f>""</f>
        <v/>
      </c>
      <c r="ES190" t="str">
        <f>""</f>
        <v/>
      </c>
      <c r="ET190" t="str">
        <f>""</f>
        <v/>
      </c>
      <c r="EU190" t="str">
        <f>""</f>
        <v/>
      </c>
      <c r="EV190" t="str">
        <f>""</f>
        <v/>
      </c>
      <c r="EW190" t="str">
        <f>""</f>
        <v/>
      </c>
      <c r="EX190" t="str">
        <f>""</f>
        <v/>
      </c>
      <c r="EY190" t="str">
        <f>""</f>
        <v/>
      </c>
      <c r="EZ190" t="str">
        <f>""</f>
        <v/>
      </c>
      <c r="FA190" t="str">
        <f>""</f>
        <v/>
      </c>
      <c r="FB190" t="str">
        <f>""</f>
        <v/>
      </c>
      <c r="FC190" t="str">
        <f>""</f>
        <v/>
      </c>
      <c r="FD190" t="str">
        <f>""</f>
        <v/>
      </c>
      <c r="FE190" t="str">
        <f>""</f>
        <v/>
      </c>
      <c r="FF190" t="str">
        <f>""</f>
        <v/>
      </c>
      <c r="FG190" t="str">
        <f>""</f>
        <v/>
      </c>
      <c r="FH190" t="str">
        <f>""</f>
        <v/>
      </c>
      <c r="FI190" t="str">
        <f>""</f>
        <v/>
      </c>
      <c r="FJ190" t="str">
        <f>""</f>
        <v/>
      </c>
      <c r="FK190" t="str">
        <f>""</f>
        <v/>
      </c>
      <c r="FL190" t="str">
        <f>""</f>
        <v/>
      </c>
      <c r="FM190" t="str">
        <f>""</f>
        <v/>
      </c>
      <c r="FN190" t="str">
        <f>""</f>
        <v/>
      </c>
      <c r="FO190" t="str">
        <f>""</f>
        <v/>
      </c>
      <c r="FP190" t="str">
        <f>""</f>
        <v/>
      </c>
      <c r="FQ190" t="str">
        <f>""</f>
        <v/>
      </c>
      <c r="FR190" t="str">
        <f>""</f>
        <v/>
      </c>
      <c r="FS190" t="str">
        <f>""</f>
        <v/>
      </c>
      <c r="FT190" t="str">
        <f>""</f>
        <v/>
      </c>
      <c r="FU190" t="str">
        <f>""</f>
        <v/>
      </c>
      <c r="FV190" t="str">
        <f>""</f>
        <v/>
      </c>
      <c r="FW190" t="str">
        <f>""</f>
        <v/>
      </c>
      <c r="FX190" t="str">
        <f>""</f>
        <v/>
      </c>
      <c r="FY190" t="str">
        <f>""</f>
        <v/>
      </c>
      <c r="FZ190" t="str">
        <f>""</f>
        <v/>
      </c>
      <c r="GA190" t="str">
        <f>""</f>
        <v/>
      </c>
      <c r="GB190" t="str">
        <f>""</f>
        <v/>
      </c>
      <c r="GC190" t="str">
        <f>""</f>
        <v/>
      </c>
      <c r="GD190" t="str">
        <f>""</f>
        <v/>
      </c>
      <c r="GE190" t="str">
        <f>""</f>
        <v/>
      </c>
      <c r="GF190" t="str">
        <f>""</f>
        <v/>
      </c>
      <c r="GG190" t="str">
        <f>""</f>
        <v/>
      </c>
      <c r="GH190" t="str">
        <f>""</f>
        <v/>
      </c>
      <c r="GI190" t="str">
        <f>""</f>
        <v/>
      </c>
      <c r="GJ190" t="str">
        <f>""</f>
        <v/>
      </c>
      <c r="GK190" t="str">
        <f>""</f>
        <v/>
      </c>
      <c r="GL190" t="str">
        <f>""</f>
        <v/>
      </c>
      <c r="GM190" t="str">
        <f>""</f>
        <v/>
      </c>
      <c r="GN190" t="str">
        <f>""</f>
        <v/>
      </c>
      <c r="GO190" t="str">
        <f>""</f>
        <v/>
      </c>
      <c r="GP190" t="str">
        <f>""</f>
        <v/>
      </c>
      <c r="GQ190" t="str">
        <f>""</f>
        <v/>
      </c>
      <c r="GR190" t="str">
        <f>""</f>
        <v/>
      </c>
      <c r="GS190" t="str">
        <f>""</f>
        <v/>
      </c>
      <c r="GT190" t="str">
        <f>""</f>
        <v/>
      </c>
      <c r="GU190" t="str">
        <f>""</f>
        <v/>
      </c>
      <c r="GV190" t="str">
        <f>""</f>
        <v/>
      </c>
      <c r="GW190" t="str">
        <f>""</f>
        <v/>
      </c>
      <c r="GX190" t="str">
        <f>""</f>
        <v/>
      </c>
      <c r="GY190" t="str">
        <f>""</f>
        <v/>
      </c>
      <c r="GZ190" t="str">
        <f>""</f>
        <v/>
      </c>
      <c r="HA190" t="str">
        <f>""</f>
        <v/>
      </c>
      <c r="HB190" t="str">
        <f>""</f>
        <v/>
      </c>
      <c r="HC190" t="str">
        <f>""</f>
        <v/>
      </c>
      <c r="HD190" t="str">
        <f>""</f>
        <v/>
      </c>
      <c r="HE190" t="str">
        <f>""</f>
        <v/>
      </c>
      <c r="HF190" t="str">
        <f>""</f>
        <v/>
      </c>
      <c r="HG190" t="str">
        <f>""</f>
        <v/>
      </c>
      <c r="HH190" t="str">
        <f>""</f>
        <v/>
      </c>
      <c r="HI190" t="str">
        <f>""</f>
        <v/>
      </c>
      <c r="HJ190" t="str">
        <f>""</f>
        <v/>
      </c>
      <c r="HK190" t="str">
        <f>""</f>
        <v/>
      </c>
      <c r="HL190" t="str">
        <f>""</f>
        <v/>
      </c>
      <c r="HM190" t="str">
        <f>""</f>
        <v/>
      </c>
      <c r="HN190" t="str">
        <f>""</f>
        <v/>
      </c>
      <c r="HO190" t="str">
        <f>""</f>
        <v/>
      </c>
      <c r="HP190" t="str">
        <f>""</f>
        <v/>
      </c>
      <c r="HQ190" t="str">
        <f>""</f>
        <v/>
      </c>
      <c r="HR190" t="str">
        <f>""</f>
        <v/>
      </c>
      <c r="HS190" t="str">
        <f>""</f>
        <v/>
      </c>
      <c r="HT190" t="str">
        <f>""</f>
        <v/>
      </c>
      <c r="HU190" t="str">
        <f>""</f>
        <v/>
      </c>
      <c r="HV190" t="str">
        <f>""</f>
        <v/>
      </c>
      <c r="HW190" t="str">
        <f>""</f>
        <v/>
      </c>
      <c r="HX190" t="str">
        <f>""</f>
        <v/>
      </c>
      <c r="HY190" t="str">
        <f>""</f>
        <v/>
      </c>
      <c r="HZ190" t="str">
        <f>""</f>
        <v/>
      </c>
      <c r="IA190" t="str">
        <f>""</f>
        <v/>
      </c>
      <c r="IB190" t="str">
        <f>""</f>
        <v/>
      </c>
      <c r="IC190" t="str">
        <f>""</f>
        <v/>
      </c>
      <c r="ID190" t="str">
        <f>""</f>
        <v/>
      </c>
      <c r="IE190" t="str">
        <f>""</f>
        <v/>
      </c>
      <c r="IF190" t="str">
        <f>""</f>
        <v/>
      </c>
      <c r="IG190" t="str">
        <f>""</f>
        <v/>
      </c>
      <c r="IH190" t="str">
        <f>""</f>
        <v/>
      </c>
      <c r="II190" t="str">
        <f>""</f>
        <v/>
      </c>
      <c r="IJ190" t="str">
        <f>""</f>
        <v/>
      </c>
      <c r="IK190" t="str">
        <f>""</f>
        <v/>
      </c>
      <c r="IL190" t="str">
        <f>""</f>
        <v/>
      </c>
      <c r="IM190" t="str">
        <f>""</f>
        <v/>
      </c>
      <c r="IN190" t="str">
        <f>""</f>
        <v/>
      </c>
      <c r="IO190" t="str">
        <f>""</f>
        <v/>
      </c>
      <c r="IP190" t="str">
        <f>""</f>
        <v/>
      </c>
      <c r="IQ190" t="str">
        <f>""</f>
        <v/>
      </c>
      <c r="IR190" t="str">
        <f>""</f>
        <v/>
      </c>
      <c r="IS190" t="str">
        <f>""</f>
        <v/>
      </c>
      <c r="IT190" t="str">
        <f>""</f>
        <v/>
      </c>
      <c r="IU190" t="str">
        <f>""</f>
        <v/>
      </c>
      <c r="IV190" t="str">
        <f>""</f>
        <v/>
      </c>
      <c r="IW190" t="str">
        <f>""</f>
        <v/>
      </c>
      <c r="IX190" t="str">
        <f>""</f>
        <v/>
      </c>
      <c r="IY190" t="str">
        <f>""</f>
        <v/>
      </c>
      <c r="IZ190" t="str">
        <f>""</f>
        <v/>
      </c>
      <c r="JA190" t="str">
        <f>""</f>
        <v/>
      </c>
      <c r="JB190" t="str">
        <f>""</f>
        <v/>
      </c>
      <c r="JC190" t="str">
        <f>""</f>
        <v/>
      </c>
      <c r="JD190" t="str">
        <f>""</f>
        <v/>
      </c>
      <c r="JE190" t="str">
        <f>""</f>
        <v/>
      </c>
      <c r="JF190" t="str">
        <f>""</f>
        <v/>
      </c>
      <c r="JG190" t="str">
        <f>""</f>
        <v/>
      </c>
      <c r="JH190" t="str">
        <f>""</f>
        <v/>
      </c>
      <c r="JI190" t="str">
        <f>""</f>
        <v/>
      </c>
      <c r="JJ190" t="str">
        <f>""</f>
        <v/>
      </c>
      <c r="JK190" t="str">
        <f>""</f>
        <v/>
      </c>
    </row>
    <row r="192" spans="1:271" x14ac:dyDescent="0.3">
      <c r="A192" t="str">
        <f>"c.zMETAB6#c.PM3"</f>
        <v>c.zMETAB6#c.PM3</v>
      </c>
      <c r="B192" t="str">
        <f>""</f>
        <v/>
      </c>
      <c r="C192" t="str">
        <f>""</f>
        <v/>
      </c>
      <c r="D192" t="str">
        <f>""</f>
        <v/>
      </c>
      <c r="E192" t="str">
        <f>""</f>
        <v/>
      </c>
      <c r="F192" t="str">
        <f>""</f>
        <v/>
      </c>
      <c r="G192" t="str">
        <f>""</f>
        <v/>
      </c>
      <c r="H192" t="str">
        <f>""</f>
        <v/>
      </c>
      <c r="I192" t="str">
        <f>""</f>
        <v/>
      </c>
      <c r="J192" t="str">
        <f>""</f>
        <v/>
      </c>
      <c r="K192" t="str">
        <f>""</f>
        <v/>
      </c>
      <c r="L192" t="str">
        <f>""</f>
        <v/>
      </c>
      <c r="M192" t="str">
        <f>""</f>
        <v/>
      </c>
      <c r="N192" t="str">
        <f>""</f>
        <v/>
      </c>
      <c r="O192" t="str">
        <f>""</f>
        <v/>
      </c>
      <c r="P192" t="str">
        <f>""</f>
        <v/>
      </c>
      <c r="Q192" t="str">
        <f>""</f>
        <v/>
      </c>
      <c r="R192" t="str">
        <f>""</f>
        <v/>
      </c>
      <c r="S192" t="str">
        <f>""</f>
        <v/>
      </c>
      <c r="T192" t="str">
        <f>""</f>
        <v/>
      </c>
      <c r="U192" t="str">
        <f>""</f>
        <v/>
      </c>
      <c r="V192" t="str">
        <f>""</f>
        <v/>
      </c>
      <c r="W192" t="str">
        <f>""</f>
        <v/>
      </c>
      <c r="X192" t="str">
        <f>""</f>
        <v/>
      </c>
      <c r="Y192" t="str">
        <f>""</f>
        <v/>
      </c>
      <c r="Z192" t="str">
        <f>""</f>
        <v/>
      </c>
      <c r="AA192" t="str">
        <f>""</f>
        <v/>
      </c>
      <c r="AB192" t="str">
        <f>""</f>
        <v/>
      </c>
      <c r="AC192" t="str">
        <f>""</f>
        <v/>
      </c>
      <c r="AD192" t="str">
        <f>""</f>
        <v/>
      </c>
      <c r="AE192" t="str">
        <f>""</f>
        <v/>
      </c>
      <c r="AF192" t="str">
        <f>""</f>
        <v/>
      </c>
      <c r="AG192" t="str">
        <f>""</f>
        <v/>
      </c>
      <c r="AH192" t="str">
        <f>""</f>
        <v/>
      </c>
      <c r="AI192" t="str">
        <f>""</f>
        <v/>
      </c>
      <c r="AJ192" t="str">
        <f>""</f>
        <v/>
      </c>
      <c r="AK192" t="str">
        <f>""</f>
        <v/>
      </c>
      <c r="AL192" t="str">
        <f>""</f>
        <v/>
      </c>
      <c r="AM192" t="str">
        <f>""</f>
        <v/>
      </c>
      <c r="AN192" t="str">
        <f>""</f>
        <v/>
      </c>
      <c r="AO192" t="str">
        <f>""</f>
        <v/>
      </c>
      <c r="AP192" t="str">
        <f>""</f>
        <v/>
      </c>
      <c r="AQ192" t="str">
        <f>""</f>
        <v/>
      </c>
      <c r="AR192" t="str">
        <f>""</f>
        <v/>
      </c>
      <c r="AS192" t="str">
        <f>""</f>
        <v/>
      </c>
      <c r="AT192" t="str">
        <f>""</f>
        <v/>
      </c>
      <c r="AU192" t="str">
        <f>""</f>
        <v/>
      </c>
      <c r="AV192" t="str">
        <f>""</f>
        <v/>
      </c>
      <c r="AW192" t="str">
        <f>""</f>
        <v/>
      </c>
      <c r="AX192" t="str">
        <f>""</f>
        <v/>
      </c>
      <c r="AY192" t="str">
        <f>""</f>
        <v/>
      </c>
      <c r="AZ192" t="str">
        <f>""</f>
        <v/>
      </c>
      <c r="BA192" t="str">
        <f>""</f>
        <v/>
      </c>
      <c r="BB192" t="str">
        <f>""</f>
        <v/>
      </c>
      <c r="BC192" t="str">
        <f>""</f>
        <v/>
      </c>
      <c r="BD192" t="str">
        <f>""</f>
        <v/>
      </c>
      <c r="BE192" t="str">
        <f>""</f>
        <v/>
      </c>
      <c r="BF192" t="str">
        <f>""</f>
        <v/>
      </c>
      <c r="BG192" t="str">
        <f>""</f>
        <v/>
      </c>
      <c r="BH192" t="str">
        <f>""</f>
        <v/>
      </c>
      <c r="BI192" t="str">
        <f>""</f>
        <v/>
      </c>
      <c r="BJ192" t="str">
        <f>""</f>
        <v/>
      </c>
      <c r="BK192" t="str">
        <f>""</f>
        <v/>
      </c>
      <c r="BL192" t="str">
        <f>""</f>
        <v/>
      </c>
      <c r="BM192" t="str">
        <f>""</f>
        <v/>
      </c>
      <c r="BN192" t="str">
        <f>""</f>
        <v/>
      </c>
      <c r="BO192" t="str">
        <f>""</f>
        <v/>
      </c>
      <c r="BP192" t="str">
        <f>""</f>
        <v/>
      </c>
      <c r="BQ192" t="str">
        <f>""</f>
        <v/>
      </c>
      <c r="BR192" t="str">
        <f>""</f>
        <v/>
      </c>
      <c r="BS192" t="str">
        <f>""</f>
        <v/>
      </c>
      <c r="BT192" t="str">
        <f>""</f>
        <v/>
      </c>
      <c r="BU192" t="str">
        <f>""</f>
        <v/>
      </c>
      <c r="BV192" t="str">
        <f>""</f>
        <v/>
      </c>
      <c r="BW192" t="str">
        <f>""</f>
        <v/>
      </c>
      <c r="BX192" t="str">
        <f>""</f>
        <v/>
      </c>
      <c r="BY192" t="str">
        <f>""</f>
        <v/>
      </c>
      <c r="BZ192" t="str">
        <f>""</f>
        <v/>
      </c>
      <c r="CA192" t="str">
        <f>""</f>
        <v/>
      </c>
      <c r="CB192" t="str">
        <f>""</f>
        <v/>
      </c>
      <c r="CC192" t="str">
        <f>""</f>
        <v/>
      </c>
      <c r="CD192" t="str">
        <f>""</f>
        <v/>
      </c>
      <c r="CE192" t="str">
        <f>""</f>
        <v/>
      </c>
      <c r="CF192" t="str">
        <f>""</f>
        <v/>
      </c>
      <c r="CG192" t="str">
        <f>""</f>
        <v/>
      </c>
      <c r="CH192" t="str">
        <f>""</f>
        <v/>
      </c>
      <c r="CI192" t="str">
        <f>""</f>
        <v/>
      </c>
      <c r="CJ192" t="str">
        <f>""</f>
        <v/>
      </c>
      <c r="CK192" t="str">
        <f>""</f>
        <v/>
      </c>
      <c r="CL192" t="str">
        <f>""</f>
        <v/>
      </c>
      <c r="CM192" t="str">
        <f>""</f>
        <v/>
      </c>
      <c r="CN192" t="str">
        <f>""</f>
        <v/>
      </c>
      <c r="CO192" t="str">
        <f>""</f>
        <v/>
      </c>
      <c r="CP192" t="str">
        <f>""</f>
        <v/>
      </c>
      <c r="CQ192" t="str">
        <f>""</f>
        <v/>
      </c>
      <c r="CR192" t="str">
        <f>""</f>
        <v/>
      </c>
      <c r="CS192" t="str">
        <f>""</f>
        <v/>
      </c>
      <c r="CT192" t="str">
        <f>""</f>
        <v/>
      </c>
      <c r="CU192" t="str">
        <f>""</f>
        <v/>
      </c>
      <c r="CV192" t="str">
        <f>""</f>
        <v/>
      </c>
      <c r="CW192" t="str">
        <f>""</f>
        <v/>
      </c>
      <c r="CX192" t="str">
        <f>""</f>
        <v/>
      </c>
      <c r="CY192" t="str">
        <f>""</f>
        <v/>
      </c>
      <c r="CZ192" t="str">
        <f>""</f>
        <v/>
      </c>
      <c r="DA192" t="str">
        <f>""</f>
        <v/>
      </c>
      <c r="DB192" t="str">
        <f>""</f>
        <v/>
      </c>
      <c r="DC192" t="str">
        <f>"-0.0235"</f>
        <v>-0.0235</v>
      </c>
      <c r="DD192" t="str">
        <f>"-0.0800"</f>
        <v>-0.0800</v>
      </c>
      <c r="DE192" t="str">
        <f>"-0.0388"</f>
        <v>-0.0388</v>
      </c>
      <c r="DF192" t="str">
        <f>""</f>
        <v/>
      </c>
      <c r="DG192" t="str">
        <f>""</f>
        <v/>
      </c>
      <c r="DH192" t="str">
        <f>""</f>
        <v/>
      </c>
      <c r="DI192" t="str">
        <f>""</f>
        <v/>
      </c>
      <c r="DJ192" t="str">
        <f>""</f>
        <v/>
      </c>
      <c r="DK192" t="str">
        <f>""</f>
        <v/>
      </c>
      <c r="DL192" t="str">
        <f>""</f>
        <v/>
      </c>
      <c r="DM192" t="str">
        <f>""</f>
        <v/>
      </c>
      <c r="DN192" t="str">
        <f>""</f>
        <v/>
      </c>
      <c r="DO192" t="str">
        <f>""</f>
        <v/>
      </c>
      <c r="DP192" t="str">
        <f>""</f>
        <v/>
      </c>
      <c r="DQ192" t="str">
        <f>""</f>
        <v/>
      </c>
      <c r="DR192" t="str">
        <f>""</f>
        <v/>
      </c>
      <c r="DS192" t="str">
        <f>""</f>
        <v/>
      </c>
      <c r="DT192" t="str">
        <f>""</f>
        <v/>
      </c>
      <c r="DU192" t="str">
        <f>""</f>
        <v/>
      </c>
      <c r="DV192" t="str">
        <f>""</f>
        <v/>
      </c>
      <c r="DW192" t="str">
        <f>""</f>
        <v/>
      </c>
      <c r="DX192" t="str">
        <f>""</f>
        <v/>
      </c>
      <c r="DY192" t="str">
        <f>""</f>
        <v/>
      </c>
      <c r="DZ192" t="str">
        <f>""</f>
        <v/>
      </c>
      <c r="EA192" t="str">
        <f>""</f>
        <v/>
      </c>
      <c r="EB192" t="str">
        <f>""</f>
        <v/>
      </c>
      <c r="EC192" t="str">
        <f>""</f>
        <v/>
      </c>
      <c r="ED192" t="str">
        <f>""</f>
        <v/>
      </c>
      <c r="EE192" t="str">
        <f>""</f>
        <v/>
      </c>
      <c r="EF192" t="str">
        <f>""</f>
        <v/>
      </c>
      <c r="EG192" t="str">
        <f>""</f>
        <v/>
      </c>
      <c r="EH192" t="str">
        <f>""</f>
        <v/>
      </c>
      <c r="EI192" t="str">
        <f>""</f>
        <v/>
      </c>
      <c r="EJ192" t="str">
        <f>""</f>
        <v/>
      </c>
      <c r="EK192" t="str">
        <f>""</f>
        <v/>
      </c>
      <c r="EL192" t="str">
        <f>""</f>
        <v/>
      </c>
      <c r="EM192" t="str">
        <f>""</f>
        <v/>
      </c>
      <c r="EN192" t="str">
        <f>""</f>
        <v/>
      </c>
      <c r="EO192" t="str">
        <f>""</f>
        <v/>
      </c>
      <c r="EP192" t="str">
        <f>""</f>
        <v/>
      </c>
      <c r="EQ192" t="str">
        <f>""</f>
        <v/>
      </c>
      <c r="ER192" t="str">
        <f>""</f>
        <v/>
      </c>
      <c r="ES192" t="str">
        <f>""</f>
        <v/>
      </c>
      <c r="ET192" t="str">
        <f>""</f>
        <v/>
      </c>
      <c r="EU192" t="str">
        <f>""</f>
        <v/>
      </c>
      <c r="EV192" t="str">
        <f>""</f>
        <v/>
      </c>
      <c r="EW192" t="str">
        <f>""</f>
        <v/>
      </c>
      <c r="EX192" t="str">
        <f>""</f>
        <v/>
      </c>
      <c r="EY192" t="str">
        <f>""</f>
        <v/>
      </c>
      <c r="EZ192" t="str">
        <f>""</f>
        <v/>
      </c>
      <c r="FA192" t="str">
        <f>""</f>
        <v/>
      </c>
      <c r="FB192" t="str">
        <f>""</f>
        <v/>
      </c>
      <c r="FC192" t="str">
        <f>""</f>
        <v/>
      </c>
      <c r="FD192" t="str">
        <f>""</f>
        <v/>
      </c>
      <c r="FE192" t="str">
        <f>""</f>
        <v/>
      </c>
      <c r="FF192" t="str">
        <f>""</f>
        <v/>
      </c>
      <c r="FG192" t="str">
        <f>""</f>
        <v/>
      </c>
      <c r="FH192" t="str">
        <f>""</f>
        <v/>
      </c>
      <c r="FI192" t="str">
        <f>""</f>
        <v/>
      </c>
      <c r="FJ192" t="str">
        <f>""</f>
        <v/>
      </c>
      <c r="FK192" t="str">
        <f>""</f>
        <v/>
      </c>
      <c r="FL192" t="str">
        <f>""</f>
        <v/>
      </c>
      <c r="FM192" t="str">
        <f>""</f>
        <v/>
      </c>
      <c r="FN192" t="str">
        <f>""</f>
        <v/>
      </c>
      <c r="FO192" t="str">
        <f>""</f>
        <v/>
      </c>
      <c r="FP192" t="str">
        <f>""</f>
        <v/>
      </c>
      <c r="FQ192" t="str">
        <f>""</f>
        <v/>
      </c>
      <c r="FR192" t="str">
        <f>""</f>
        <v/>
      </c>
      <c r="FS192" t="str">
        <f>""</f>
        <v/>
      </c>
      <c r="FT192" t="str">
        <f>""</f>
        <v/>
      </c>
      <c r="FU192" t="str">
        <f>""</f>
        <v/>
      </c>
      <c r="FV192" t="str">
        <f>""</f>
        <v/>
      </c>
      <c r="FW192" t="str">
        <f>""</f>
        <v/>
      </c>
      <c r="FX192" t="str">
        <f>""</f>
        <v/>
      </c>
      <c r="FY192" t="str">
        <f>""</f>
        <v/>
      </c>
      <c r="FZ192" t="str">
        <f>""</f>
        <v/>
      </c>
      <c r="GA192" t="str">
        <f>""</f>
        <v/>
      </c>
      <c r="GB192" t="str">
        <f>""</f>
        <v/>
      </c>
      <c r="GC192" t="str">
        <f>""</f>
        <v/>
      </c>
      <c r="GD192" t="str">
        <f>""</f>
        <v/>
      </c>
      <c r="GE192" t="str">
        <f>""</f>
        <v/>
      </c>
      <c r="GF192" t="str">
        <f>""</f>
        <v/>
      </c>
      <c r="GG192" t="str">
        <f>""</f>
        <v/>
      </c>
      <c r="GH192" t="str">
        <f>""</f>
        <v/>
      </c>
      <c r="GI192" t="str">
        <f>""</f>
        <v/>
      </c>
      <c r="GJ192" t="str">
        <f>""</f>
        <v/>
      </c>
      <c r="GK192" t="str">
        <f>""</f>
        <v/>
      </c>
      <c r="GL192" t="str">
        <f>""</f>
        <v/>
      </c>
      <c r="GM192" t="str">
        <f>""</f>
        <v/>
      </c>
      <c r="GN192" t="str">
        <f>""</f>
        <v/>
      </c>
      <c r="GO192" t="str">
        <f>""</f>
        <v/>
      </c>
      <c r="GP192" t="str">
        <f>""</f>
        <v/>
      </c>
      <c r="GQ192" t="str">
        <f>""</f>
        <v/>
      </c>
      <c r="GR192" t="str">
        <f>""</f>
        <v/>
      </c>
      <c r="GS192" t="str">
        <f>""</f>
        <v/>
      </c>
      <c r="GT192" t="str">
        <f>""</f>
        <v/>
      </c>
      <c r="GU192" t="str">
        <f>""</f>
        <v/>
      </c>
      <c r="GV192" t="str">
        <f>""</f>
        <v/>
      </c>
      <c r="GW192" t="str">
        <f>""</f>
        <v/>
      </c>
      <c r="GX192" t="str">
        <f>""</f>
        <v/>
      </c>
      <c r="GY192" t="str">
        <f>""</f>
        <v/>
      </c>
      <c r="GZ192" t="str">
        <f>""</f>
        <v/>
      </c>
      <c r="HA192" t="str">
        <f>""</f>
        <v/>
      </c>
      <c r="HB192" t="str">
        <f>""</f>
        <v/>
      </c>
      <c r="HC192" t="str">
        <f>""</f>
        <v/>
      </c>
      <c r="HD192" t="str">
        <f>""</f>
        <v/>
      </c>
      <c r="HE192" t="str">
        <f>""</f>
        <v/>
      </c>
      <c r="HF192" t="str">
        <f>""</f>
        <v/>
      </c>
      <c r="HG192" t="str">
        <f>""</f>
        <v/>
      </c>
      <c r="HH192" t="str">
        <f>""</f>
        <v/>
      </c>
      <c r="HI192" t="str">
        <f>""</f>
        <v/>
      </c>
      <c r="HJ192" t="str">
        <f>""</f>
        <v/>
      </c>
      <c r="HK192" t="str">
        <f>""</f>
        <v/>
      </c>
      <c r="HL192" t="str">
        <f>""</f>
        <v/>
      </c>
      <c r="HM192" t="str">
        <f>""</f>
        <v/>
      </c>
      <c r="HN192" t="str">
        <f>""</f>
        <v/>
      </c>
      <c r="HO192" t="str">
        <f>""</f>
        <v/>
      </c>
      <c r="HP192" t="str">
        <f>""</f>
        <v/>
      </c>
      <c r="HQ192" t="str">
        <f>""</f>
        <v/>
      </c>
      <c r="HR192" t="str">
        <f>""</f>
        <v/>
      </c>
      <c r="HS192" t="str">
        <f>""</f>
        <v/>
      </c>
      <c r="HT192" t="str">
        <f>""</f>
        <v/>
      </c>
      <c r="HU192" t="str">
        <f>""</f>
        <v/>
      </c>
      <c r="HV192" t="str">
        <f>""</f>
        <v/>
      </c>
      <c r="HW192" t="str">
        <f>""</f>
        <v/>
      </c>
      <c r="HX192" t="str">
        <f>""</f>
        <v/>
      </c>
      <c r="HY192" t="str">
        <f>""</f>
        <v/>
      </c>
      <c r="HZ192" t="str">
        <f>""</f>
        <v/>
      </c>
      <c r="IA192" t="str">
        <f>""</f>
        <v/>
      </c>
      <c r="IB192" t="str">
        <f>""</f>
        <v/>
      </c>
      <c r="IC192" t="str">
        <f>""</f>
        <v/>
      </c>
      <c r="ID192" t="str">
        <f>""</f>
        <v/>
      </c>
      <c r="IE192" t="str">
        <f>""</f>
        <v/>
      </c>
      <c r="IF192" t="str">
        <f>""</f>
        <v/>
      </c>
      <c r="IG192" t="str">
        <f>""</f>
        <v/>
      </c>
      <c r="IH192" t="str">
        <f>""</f>
        <v/>
      </c>
      <c r="II192" t="str">
        <f>""</f>
        <v/>
      </c>
      <c r="IJ192" t="str">
        <f>""</f>
        <v/>
      </c>
      <c r="IK192" t="str">
        <f>""</f>
        <v/>
      </c>
      <c r="IL192" t="str">
        <f>""</f>
        <v/>
      </c>
      <c r="IM192" t="str">
        <f>""</f>
        <v/>
      </c>
      <c r="IN192" t="str">
        <f>""</f>
        <v/>
      </c>
      <c r="IO192" t="str">
        <f>""</f>
        <v/>
      </c>
      <c r="IP192" t="str">
        <f>""</f>
        <v/>
      </c>
      <c r="IQ192" t="str">
        <f>""</f>
        <v/>
      </c>
      <c r="IR192" t="str">
        <f>""</f>
        <v/>
      </c>
      <c r="IS192" t="str">
        <f>""</f>
        <v/>
      </c>
      <c r="IT192" t="str">
        <f>""</f>
        <v/>
      </c>
      <c r="IU192" t="str">
        <f>""</f>
        <v/>
      </c>
      <c r="IV192" t="str">
        <f>""</f>
        <v/>
      </c>
      <c r="IW192" t="str">
        <f>""</f>
        <v/>
      </c>
      <c r="IX192" t="str">
        <f>""</f>
        <v/>
      </c>
      <c r="IY192" t="str">
        <f>""</f>
        <v/>
      </c>
      <c r="IZ192" t="str">
        <f>""</f>
        <v/>
      </c>
      <c r="JA192" t="str">
        <f>""</f>
        <v/>
      </c>
      <c r="JB192" t="str">
        <f>""</f>
        <v/>
      </c>
      <c r="JC192" t="str">
        <f>""</f>
        <v/>
      </c>
      <c r="JD192" t="str">
        <f>""</f>
        <v/>
      </c>
      <c r="JE192" t="str">
        <f>""</f>
        <v/>
      </c>
      <c r="JF192" t="str">
        <f>""</f>
        <v/>
      </c>
      <c r="JG192" t="str">
        <f>""</f>
        <v/>
      </c>
      <c r="JH192" t="str">
        <f>""</f>
        <v/>
      </c>
      <c r="JI192" t="str">
        <f>""</f>
        <v/>
      </c>
      <c r="JJ192" t="str">
        <f>""</f>
        <v/>
      </c>
      <c r="JK192" t="str">
        <f>""</f>
        <v/>
      </c>
    </row>
    <row r="193" spans="1:271" x14ac:dyDescent="0.3">
      <c r="A193" t="str">
        <f>""</f>
        <v/>
      </c>
      <c r="B193" t="str">
        <f>""</f>
        <v/>
      </c>
      <c r="C193" t="str">
        <f>""</f>
        <v/>
      </c>
      <c r="D193" t="str">
        <f>""</f>
        <v/>
      </c>
      <c r="E193" t="str">
        <f>""</f>
        <v/>
      </c>
      <c r="F193" t="str">
        <f>""</f>
        <v/>
      </c>
      <c r="G193" t="str">
        <f>""</f>
        <v/>
      </c>
      <c r="H193" t="str">
        <f>""</f>
        <v/>
      </c>
      <c r="I193" t="str">
        <f>""</f>
        <v/>
      </c>
      <c r="J193" t="str">
        <f>""</f>
        <v/>
      </c>
      <c r="K193" t="str">
        <f>""</f>
        <v/>
      </c>
      <c r="L193" t="str">
        <f>""</f>
        <v/>
      </c>
      <c r="M193" t="str">
        <f>""</f>
        <v/>
      </c>
      <c r="N193" t="str">
        <f>""</f>
        <v/>
      </c>
      <c r="O193" t="str">
        <f>""</f>
        <v/>
      </c>
      <c r="P193" t="str">
        <f>""</f>
        <v/>
      </c>
      <c r="Q193" t="str">
        <f>""</f>
        <v/>
      </c>
      <c r="R193" t="str">
        <f>""</f>
        <v/>
      </c>
      <c r="S193" t="str">
        <f>""</f>
        <v/>
      </c>
      <c r="T193" t="str">
        <f>""</f>
        <v/>
      </c>
      <c r="U193" t="str">
        <f>""</f>
        <v/>
      </c>
      <c r="V193" t="str">
        <f>""</f>
        <v/>
      </c>
      <c r="W193" t="str">
        <f>""</f>
        <v/>
      </c>
      <c r="X193" t="str">
        <f>""</f>
        <v/>
      </c>
      <c r="Y193" t="str">
        <f>""</f>
        <v/>
      </c>
      <c r="Z193" t="str">
        <f>""</f>
        <v/>
      </c>
      <c r="AA193" t="str">
        <f>""</f>
        <v/>
      </c>
      <c r="AB193" t="str">
        <f>""</f>
        <v/>
      </c>
      <c r="AC193" t="str">
        <f>""</f>
        <v/>
      </c>
      <c r="AD193" t="str">
        <f>""</f>
        <v/>
      </c>
      <c r="AE193" t="str">
        <f>""</f>
        <v/>
      </c>
      <c r="AF193" t="str">
        <f>""</f>
        <v/>
      </c>
      <c r="AG193" t="str">
        <f>""</f>
        <v/>
      </c>
      <c r="AH193" t="str">
        <f>""</f>
        <v/>
      </c>
      <c r="AI193" t="str">
        <f>""</f>
        <v/>
      </c>
      <c r="AJ193" t="str">
        <f>""</f>
        <v/>
      </c>
      <c r="AK193" t="str">
        <f>""</f>
        <v/>
      </c>
      <c r="AL193" t="str">
        <f>""</f>
        <v/>
      </c>
      <c r="AM193" t="str">
        <f>""</f>
        <v/>
      </c>
      <c r="AN193" t="str">
        <f>""</f>
        <v/>
      </c>
      <c r="AO193" t="str">
        <f>""</f>
        <v/>
      </c>
      <c r="AP193" t="str">
        <f>""</f>
        <v/>
      </c>
      <c r="AQ193" t="str">
        <f>""</f>
        <v/>
      </c>
      <c r="AR193" t="str">
        <f>""</f>
        <v/>
      </c>
      <c r="AS193" t="str">
        <f>""</f>
        <v/>
      </c>
      <c r="AT193" t="str">
        <f>""</f>
        <v/>
      </c>
      <c r="AU193" t="str">
        <f>""</f>
        <v/>
      </c>
      <c r="AV193" t="str">
        <f>""</f>
        <v/>
      </c>
      <c r="AW193" t="str">
        <f>""</f>
        <v/>
      </c>
      <c r="AX193" t="str">
        <f>""</f>
        <v/>
      </c>
      <c r="AY193" t="str">
        <f>""</f>
        <v/>
      </c>
      <c r="AZ193" t="str">
        <f>""</f>
        <v/>
      </c>
      <c r="BA193" t="str">
        <f>""</f>
        <v/>
      </c>
      <c r="BB193" t="str">
        <f>""</f>
        <v/>
      </c>
      <c r="BC193" t="str">
        <f>""</f>
        <v/>
      </c>
      <c r="BD193" t="str">
        <f>""</f>
        <v/>
      </c>
      <c r="BE193" t="str">
        <f>""</f>
        <v/>
      </c>
      <c r="BF193" t="str">
        <f>""</f>
        <v/>
      </c>
      <c r="BG193" t="str">
        <f>""</f>
        <v/>
      </c>
      <c r="BH193" t="str">
        <f>""</f>
        <v/>
      </c>
      <c r="BI193" t="str">
        <f>""</f>
        <v/>
      </c>
      <c r="BJ193" t="str">
        <f>""</f>
        <v/>
      </c>
      <c r="BK193" t="str">
        <f>""</f>
        <v/>
      </c>
      <c r="BL193" t="str">
        <f>""</f>
        <v/>
      </c>
      <c r="BM193" t="str">
        <f>""</f>
        <v/>
      </c>
      <c r="BN193" t="str">
        <f>""</f>
        <v/>
      </c>
      <c r="BO193" t="str">
        <f>""</f>
        <v/>
      </c>
      <c r="BP193" t="str">
        <f>""</f>
        <v/>
      </c>
      <c r="BQ193" t="str">
        <f>""</f>
        <v/>
      </c>
      <c r="BR193" t="str">
        <f>""</f>
        <v/>
      </c>
      <c r="BS193" t="str">
        <f>""</f>
        <v/>
      </c>
      <c r="BT193" t="str">
        <f>""</f>
        <v/>
      </c>
      <c r="BU193" t="str">
        <f>""</f>
        <v/>
      </c>
      <c r="BV193" t="str">
        <f>""</f>
        <v/>
      </c>
      <c r="BW193" t="str">
        <f>""</f>
        <v/>
      </c>
      <c r="BX193" t="str">
        <f>""</f>
        <v/>
      </c>
      <c r="BY193" t="str">
        <f>""</f>
        <v/>
      </c>
      <c r="BZ193" t="str">
        <f>""</f>
        <v/>
      </c>
      <c r="CA193" t="str">
        <f>""</f>
        <v/>
      </c>
      <c r="CB193" t="str">
        <f>""</f>
        <v/>
      </c>
      <c r="CC193" t="str">
        <f>""</f>
        <v/>
      </c>
      <c r="CD193" t="str">
        <f>""</f>
        <v/>
      </c>
      <c r="CE193" t="str">
        <f>""</f>
        <v/>
      </c>
      <c r="CF193" t="str">
        <f>""</f>
        <v/>
      </c>
      <c r="CG193" t="str">
        <f>""</f>
        <v/>
      </c>
      <c r="CH193" t="str">
        <f>""</f>
        <v/>
      </c>
      <c r="CI193" t="str">
        <f>""</f>
        <v/>
      </c>
      <c r="CJ193" t="str">
        <f>""</f>
        <v/>
      </c>
      <c r="CK193" t="str">
        <f>""</f>
        <v/>
      </c>
      <c r="CL193" t="str">
        <f>""</f>
        <v/>
      </c>
      <c r="CM193" t="str">
        <f>""</f>
        <v/>
      </c>
      <c r="CN193" t="str">
        <f>""</f>
        <v/>
      </c>
      <c r="CO193" t="str">
        <f>""</f>
        <v/>
      </c>
      <c r="CP193" t="str">
        <f>""</f>
        <v/>
      </c>
      <c r="CQ193" t="str">
        <f>""</f>
        <v/>
      </c>
      <c r="CR193" t="str">
        <f>""</f>
        <v/>
      </c>
      <c r="CS193" t="str">
        <f>""</f>
        <v/>
      </c>
      <c r="CT193" t="str">
        <f>""</f>
        <v/>
      </c>
      <c r="CU193" t="str">
        <f>""</f>
        <v/>
      </c>
      <c r="CV193" t="str">
        <f>""</f>
        <v/>
      </c>
      <c r="CW193" t="str">
        <f>""</f>
        <v/>
      </c>
      <c r="CX193" t="str">
        <f>""</f>
        <v/>
      </c>
      <c r="CY193" t="str">
        <f>""</f>
        <v/>
      </c>
      <c r="CZ193" t="str">
        <f>""</f>
        <v/>
      </c>
      <c r="DA193" t="str">
        <f>""</f>
        <v/>
      </c>
      <c r="DB193" t="str">
        <f>""</f>
        <v/>
      </c>
      <c r="DC193" t="str">
        <f>"(0.103)"</f>
        <v>(0.103)</v>
      </c>
      <c r="DD193" t="str">
        <f>"(0.0814)"</f>
        <v>(0.0814)</v>
      </c>
      <c r="DE193" t="str">
        <f>"(0.0436)"</f>
        <v>(0.0436)</v>
      </c>
      <c r="DF193" t="str">
        <f>""</f>
        <v/>
      </c>
      <c r="DG193" t="str">
        <f>""</f>
        <v/>
      </c>
      <c r="DH193" t="str">
        <f>""</f>
        <v/>
      </c>
      <c r="DI193" t="str">
        <f>""</f>
        <v/>
      </c>
      <c r="DJ193" t="str">
        <f>""</f>
        <v/>
      </c>
      <c r="DK193" t="str">
        <f>""</f>
        <v/>
      </c>
      <c r="DL193" t="str">
        <f>""</f>
        <v/>
      </c>
      <c r="DM193" t="str">
        <f>""</f>
        <v/>
      </c>
      <c r="DN193" t="str">
        <f>""</f>
        <v/>
      </c>
      <c r="DO193" t="str">
        <f>""</f>
        <v/>
      </c>
      <c r="DP193" t="str">
        <f>""</f>
        <v/>
      </c>
      <c r="DQ193" t="str">
        <f>""</f>
        <v/>
      </c>
      <c r="DR193" t="str">
        <f>""</f>
        <v/>
      </c>
      <c r="DS193" t="str">
        <f>""</f>
        <v/>
      </c>
      <c r="DT193" t="str">
        <f>""</f>
        <v/>
      </c>
      <c r="DU193" t="str">
        <f>""</f>
        <v/>
      </c>
      <c r="DV193" t="str">
        <f>""</f>
        <v/>
      </c>
      <c r="DW193" t="str">
        <f>""</f>
        <v/>
      </c>
      <c r="DX193" t="str">
        <f>""</f>
        <v/>
      </c>
      <c r="DY193" t="str">
        <f>""</f>
        <v/>
      </c>
      <c r="DZ193" t="str">
        <f>""</f>
        <v/>
      </c>
      <c r="EA193" t="str">
        <f>""</f>
        <v/>
      </c>
      <c r="EB193" t="str">
        <f>""</f>
        <v/>
      </c>
      <c r="EC193" t="str">
        <f>""</f>
        <v/>
      </c>
      <c r="ED193" t="str">
        <f>""</f>
        <v/>
      </c>
      <c r="EE193" t="str">
        <f>""</f>
        <v/>
      </c>
      <c r="EF193" t="str">
        <f>""</f>
        <v/>
      </c>
      <c r="EG193" t="str">
        <f>""</f>
        <v/>
      </c>
      <c r="EH193" t="str">
        <f>""</f>
        <v/>
      </c>
      <c r="EI193" t="str">
        <f>""</f>
        <v/>
      </c>
      <c r="EJ193" t="str">
        <f>""</f>
        <v/>
      </c>
      <c r="EK193" t="str">
        <f>""</f>
        <v/>
      </c>
      <c r="EL193" t="str">
        <f>""</f>
        <v/>
      </c>
      <c r="EM193" t="str">
        <f>""</f>
        <v/>
      </c>
      <c r="EN193" t="str">
        <f>""</f>
        <v/>
      </c>
      <c r="EO193" t="str">
        <f>""</f>
        <v/>
      </c>
      <c r="EP193" t="str">
        <f>""</f>
        <v/>
      </c>
      <c r="EQ193" t="str">
        <f>""</f>
        <v/>
      </c>
      <c r="ER193" t="str">
        <f>""</f>
        <v/>
      </c>
      <c r="ES193" t="str">
        <f>""</f>
        <v/>
      </c>
      <c r="ET193" t="str">
        <f>""</f>
        <v/>
      </c>
      <c r="EU193" t="str">
        <f>""</f>
        <v/>
      </c>
      <c r="EV193" t="str">
        <f>""</f>
        <v/>
      </c>
      <c r="EW193" t="str">
        <f>""</f>
        <v/>
      </c>
      <c r="EX193" t="str">
        <f>""</f>
        <v/>
      </c>
      <c r="EY193" t="str">
        <f>""</f>
        <v/>
      </c>
      <c r="EZ193" t="str">
        <f>""</f>
        <v/>
      </c>
      <c r="FA193" t="str">
        <f>""</f>
        <v/>
      </c>
      <c r="FB193" t="str">
        <f>""</f>
        <v/>
      </c>
      <c r="FC193" t="str">
        <f>""</f>
        <v/>
      </c>
      <c r="FD193" t="str">
        <f>""</f>
        <v/>
      </c>
      <c r="FE193" t="str">
        <f>""</f>
        <v/>
      </c>
      <c r="FF193" t="str">
        <f>""</f>
        <v/>
      </c>
      <c r="FG193" t="str">
        <f>""</f>
        <v/>
      </c>
      <c r="FH193" t="str">
        <f>""</f>
        <v/>
      </c>
      <c r="FI193" t="str">
        <f>""</f>
        <v/>
      </c>
      <c r="FJ193" t="str">
        <f>""</f>
        <v/>
      </c>
      <c r="FK193" t="str">
        <f>""</f>
        <v/>
      </c>
      <c r="FL193" t="str">
        <f>""</f>
        <v/>
      </c>
      <c r="FM193" t="str">
        <f>""</f>
        <v/>
      </c>
      <c r="FN193" t="str">
        <f>""</f>
        <v/>
      </c>
      <c r="FO193" t="str">
        <f>""</f>
        <v/>
      </c>
      <c r="FP193" t="str">
        <f>""</f>
        <v/>
      </c>
      <c r="FQ193" t="str">
        <f>""</f>
        <v/>
      </c>
      <c r="FR193" t="str">
        <f>""</f>
        <v/>
      </c>
      <c r="FS193" t="str">
        <f>""</f>
        <v/>
      </c>
      <c r="FT193" t="str">
        <f>""</f>
        <v/>
      </c>
      <c r="FU193" t="str">
        <f>""</f>
        <v/>
      </c>
      <c r="FV193" t="str">
        <f>""</f>
        <v/>
      </c>
      <c r="FW193" t="str">
        <f>""</f>
        <v/>
      </c>
      <c r="FX193" t="str">
        <f>""</f>
        <v/>
      </c>
      <c r="FY193" t="str">
        <f>""</f>
        <v/>
      </c>
      <c r="FZ193" t="str">
        <f>""</f>
        <v/>
      </c>
      <c r="GA193" t="str">
        <f>""</f>
        <v/>
      </c>
      <c r="GB193" t="str">
        <f>""</f>
        <v/>
      </c>
      <c r="GC193" t="str">
        <f>""</f>
        <v/>
      </c>
      <c r="GD193" t="str">
        <f>""</f>
        <v/>
      </c>
      <c r="GE193" t="str">
        <f>""</f>
        <v/>
      </c>
      <c r="GF193" t="str">
        <f>""</f>
        <v/>
      </c>
      <c r="GG193" t="str">
        <f>""</f>
        <v/>
      </c>
      <c r="GH193" t="str">
        <f>""</f>
        <v/>
      </c>
      <c r="GI193" t="str">
        <f>""</f>
        <v/>
      </c>
      <c r="GJ193" t="str">
        <f>""</f>
        <v/>
      </c>
      <c r="GK193" t="str">
        <f>""</f>
        <v/>
      </c>
      <c r="GL193" t="str">
        <f>""</f>
        <v/>
      </c>
      <c r="GM193" t="str">
        <f>""</f>
        <v/>
      </c>
      <c r="GN193" t="str">
        <f>""</f>
        <v/>
      </c>
      <c r="GO193" t="str">
        <f>""</f>
        <v/>
      </c>
      <c r="GP193" t="str">
        <f>""</f>
        <v/>
      </c>
      <c r="GQ193" t="str">
        <f>""</f>
        <v/>
      </c>
      <c r="GR193" t="str">
        <f>""</f>
        <v/>
      </c>
      <c r="GS193" t="str">
        <f>""</f>
        <v/>
      </c>
      <c r="GT193" t="str">
        <f>""</f>
        <v/>
      </c>
      <c r="GU193" t="str">
        <f>""</f>
        <v/>
      </c>
      <c r="GV193" t="str">
        <f>""</f>
        <v/>
      </c>
      <c r="GW193" t="str">
        <f>""</f>
        <v/>
      </c>
      <c r="GX193" t="str">
        <f>""</f>
        <v/>
      </c>
      <c r="GY193" t="str">
        <f>""</f>
        <v/>
      </c>
      <c r="GZ193" t="str">
        <f>""</f>
        <v/>
      </c>
      <c r="HA193" t="str">
        <f>""</f>
        <v/>
      </c>
      <c r="HB193" t="str">
        <f>""</f>
        <v/>
      </c>
      <c r="HC193" t="str">
        <f>""</f>
        <v/>
      </c>
      <c r="HD193" t="str">
        <f>""</f>
        <v/>
      </c>
      <c r="HE193" t="str">
        <f>""</f>
        <v/>
      </c>
      <c r="HF193" t="str">
        <f>""</f>
        <v/>
      </c>
      <c r="HG193" t="str">
        <f>""</f>
        <v/>
      </c>
      <c r="HH193" t="str">
        <f>""</f>
        <v/>
      </c>
      <c r="HI193" t="str">
        <f>""</f>
        <v/>
      </c>
      <c r="HJ193" t="str">
        <f>""</f>
        <v/>
      </c>
      <c r="HK193" t="str">
        <f>""</f>
        <v/>
      </c>
      <c r="HL193" t="str">
        <f>""</f>
        <v/>
      </c>
      <c r="HM193" t="str">
        <f>""</f>
        <v/>
      </c>
      <c r="HN193" t="str">
        <f>""</f>
        <v/>
      </c>
      <c r="HO193" t="str">
        <f>""</f>
        <v/>
      </c>
      <c r="HP193" t="str">
        <f>""</f>
        <v/>
      </c>
      <c r="HQ193" t="str">
        <f>""</f>
        <v/>
      </c>
      <c r="HR193" t="str">
        <f>""</f>
        <v/>
      </c>
      <c r="HS193" t="str">
        <f>""</f>
        <v/>
      </c>
      <c r="HT193" t="str">
        <f>""</f>
        <v/>
      </c>
      <c r="HU193" t="str">
        <f>""</f>
        <v/>
      </c>
      <c r="HV193" t="str">
        <f>""</f>
        <v/>
      </c>
      <c r="HW193" t="str">
        <f>""</f>
        <v/>
      </c>
      <c r="HX193" t="str">
        <f>""</f>
        <v/>
      </c>
      <c r="HY193" t="str">
        <f>""</f>
        <v/>
      </c>
      <c r="HZ193" t="str">
        <f>""</f>
        <v/>
      </c>
      <c r="IA193" t="str">
        <f>""</f>
        <v/>
      </c>
      <c r="IB193" t="str">
        <f>""</f>
        <v/>
      </c>
      <c r="IC193" t="str">
        <f>""</f>
        <v/>
      </c>
      <c r="ID193" t="str">
        <f>""</f>
        <v/>
      </c>
      <c r="IE193" t="str">
        <f>""</f>
        <v/>
      </c>
      <c r="IF193" t="str">
        <f>""</f>
        <v/>
      </c>
      <c r="IG193" t="str">
        <f>""</f>
        <v/>
      </c>
      <c r="IH193" t="str">
        <f>""</f>
        <v/>
      </c>
      <c r="II193" t="str">
        <f>""</f>
        <v/>
      </c>
      <c r="IJ193" t="str">
        <f>""</f>
        <v/>
      </c>
      <c r="IK193" t="str">
        <f>""</f>
        <v/>
      </c>
      <c r="IL193" t="str">
        <f>""</f>
        <v/>
      </c>
      <c r="IM193" t="str">
        <f>""</f>
        <v/>
      </c>
      <c r="IN193" t="str">
        <f>""</f>
        <v/>
      </c>
      <c r="IO193" t="str">
        <f>""</f>
        <v/>
      </c>
      <c r="IP193" t="str">
        <f>""</f>
        <v/>
      </c>
      <c r="IQ193" t="str">
        <f>""</f>
        <v/>
      </c>
      <c r="IR193" t="str">
        <f>""</f>
        <v/>
      </c>
      <c r="IS193" t="str">
        <f>""</f>
        <v/>
      </c>
      <c r="IT193" t="str">
        <f>""</f>
        <v/>
      </c>
      <c r="IU193" t="str">
        <f>""</f>
        <v/>
      </c>
      <c r="IV193" t="str">
        <f>""</f>
        <v/>
      </c>
      <c r="IW193" t="str">
        <f>""</f>
        <v/>
      </c>
      <c r="IX193" t="str">
        <f>""</f>
        <v/>
      </c>
      <c r="IY193" t="str">
        <f>""</f>
        <v/>
      </c>
      <c r="IZ193" t="str">
        <f>""</f>
        <v/>
      </c>
      <c r="JA193" t="str">
        <f>""</f>
        <v/>
      </c>
      <c r="JB193" t="str">
        <f>""</f>
        <v/>
      </c>
      <c r="JC193" t="str">
        <f>""</f>
        <v/>
      </c>
      <c r="JD193" t="str">
        <f>""</f>
        <v/>
      </c>
      <c r="JE193" t="str">
        <f>""</f>
        <v/>
      </c>
      <c r="JF193" t="str">
        <f>""</f>
        <v/>
      </c>
      <c r="JG193" t="str">
        <f>""</f>
        <v/>
      </c>
      <c r="JH193" t="str">
        <f>""</f>
        <v/>
      </c>
      <c r="JI193" t="str">
        <f>""</f>
        <v/>
      </c>
      <c r="JJ193" t="str">
        <f>""</f>
        <v/>
      </c>
      <c r="JK193" t="str">
        <f>""</f>
        <v/>
      </c>
    </row>
    <row r="195" spans="1:271" x14ac:dyDescent="0.3">
      <c r="A195" t="str">
        <f>"c.zMETAB7#c.PM3"</f>
        <v>c.zMETAB7#c.PM3</v>
      </c>
      <c r="B195" t="str">
        <f>""</f>
        <v/>
      </c>
      <c r="C195" t="str">
        <f>""</f>
        <v/>
      </c>
      <c r="D195" t="str">
        <f>""</f>
        <v/>
      </c>
      <c r="E195" t="str">
        <f>""</f>
        <v/>
      </c>
      <c r="F195" t="str">
        <f>""</f>
        <v/>
      </c>
      <c r="G195" t="str">
        <f>""</f>
        <v/>
      </c>
      <c r="H195" t="str">
        <f>""</f>
        <v/>
      </c>
      <c r="I195" t="str">
        <f>""</f>
        <v/>
      </c>
      <c r="J195" t="str">
        <f>""</f>
        <v/>
      </c>
      <c r="K195" t="str">
        <f>""</f>
        <v/>
      </c>
      <c r="L195" t="str">
        <f>""</f>
        <v/>
      </c>
      <c r="M195" t="str">
        <f>""</f>
        <v/>
      </c>
      <c r="N195" t="str">
        <f>""</f>
        <v/>
      </c>
      <c r="O195" t="str">
        <f>""</f>
        <v/>
      </c>
      <c r="P195" t="str">
        <f>""</f>
        <v/>
      </c>
      <c r="Q195" t="str">
        <f>""</f>
        <v/>
      </c>
      <c r="R195" t="str">
        <f>""</f>
        <v/>
      </c>
      <c r="S195" t="str">
        <f>""</f>
        <v/>
      </c>
      <c r="T195" t="str">
        <f>""</f>
        <v/>
      </c>
      <c r="U195" t="str">
        <f>""</f>
        <v/>
      </c>
      <c r="V195" t="str">
        <f>""</f>
        <v/>
      </c>
      <c r="W195" t="str">
        <f>""</f>
        <v/>
      </c>
      <c r="X195" t="str">
        <f>""</f>
        <v/>
      </c>
      <c r="Y195" t="str">
        <f>""</f>
        <v/>
      </c>
      <c r="Z195" t="str">
        <f>""</f>
        <v/>
      </c>
      <c r="AA195" t="str">
        <f>""</f>
        <v/>
      </c>
      <c r="AB195" t="str">
        <f>""</f>
        <v/>
      </c>
      <c r="AC195" t="str">
        <f>""</f>
        <v/>
      </c>
      <c r="AD195" t="str">
        <f>""</f>
        <v/>
      </c>
      <c r="AE195" t="str">
        <f>""</f>
        <v/>
      </c>
      <c r="AF195" t="str">
        <f>""</f>
        <v/>
      </c>
      <c r="AG195" t="str">
        <f>""</f>
        <v/>
      </c>
      <c r="AH195" t="str">
        <f>""</f>
        <v/>
      </c>
      <c r="AI195" t="str">
        <f>""</f>
        <v/>
      </c>
      <c r="AJ195" t="str">
        <f>""</f>
        <v/>
      </c>
      <c r="AK195" t="str">
        <f>""</f>
        <v/>
      </c>
      <c r="AL195" t="str">
        <f>""</f>
        <v/>
      </c>
      <c r="AM195" t="str">
        <f>""</f>
        <v/>
      </c>
      <c r="AN195" t="str">
        <f>""</f>
        <v/>
      </c>
      <c r="AO195" t="str">
        <f>""</f>
        <v/>
      </c>
      <c r="AP195" t="str">
        <f>""</f>
        <v/>
      </c>
      <c r="AQ195" t="str">
        <f>""</f>
        <v/>
      </c>
      <c r="AR195" t="str">
        <f>""</f>
        <v/>
      </c>
      <c r="AS195" t="str">
        <f>""</f>
        <v/>
      </c>
      <c r="AT195" t="str">
        <f>""</f>
        <v/>
      </c>
      <c r="AU195" t="str">
        <f>""</f>
        <v/>
      </c>
      <c r="AV195" t="str">
        <f>""</f>
        <v/>
      </c>
      <c r="AW195" t="str">
        <f>""</f>
        <v/>
      </c>
      <c r="AX195" t="str">
        <f>""</f>
        <v/>
      </c>
      <c r="AY195" t="str">
        <f>""</f>
        <v/>
      </c>
      <c r="AZ195" t="str">
        <f>""</f>
        <v/>
      </c>
      <c r="BA195" t="str">
        <f>""</f>
        <v/>
      </c>
      <c r="BB195" t="str">
        <f>""</f>
        <v/>
      </c>
      <c r="BC195" t="str">
        <f>""</f>
        <v/>
      </c>
      <c r="BD195" t="str">
        <f>""</f>
        <v/>
      </c>
      <c r="BE195" t="str">
        <f>""</f>
        <v/>
      </c>
      <c r="BF195" t="str">
        <f>""</f>
        <v/>
      </c>
      <c r="BG195" t="str">
        <f>""</f>
        <v/>
      </c>
      <c r="BH195" t="str">
        <f>""</f>
        <v/>
      </c>
      <c r="BI195" t="str">
        <f>""</f>
        <v/>
      </c>
      <c r="BJ195" t="str">
        <f>""</f>
        <v/>
      </c>
      <c r="BK195" t="str">
        <f>""</f>
        <v/>
      </c>
      <c r="BL195" t="str">
        <f>""</f>
        <v/>
      </c>
      <c r="BM195" t="str">
        <f>""</f>
        <v/>
      </c>
      <c r="BN195" t="str">
        <f>""</f>
        <v/>
      </c>
      <c r="BO195" t="str">
        <f>""</f>
        <v/>
      </c>
      <c r="BP195" t="str">
        <f>""</f>
        <v/>
      </c>
      <c r="BQ195" t="str">
        <f>""</f>
        <v/>
      </c>
      <c r="BR195" t="str">
        <f>""</f>
        <v/>
      </c>
      <c r="BS195" t="str">
        <f>""</f>
        <v/>
      </c>
      <c r="BT195" t="str">
        <f>""</f>
        <v/>
      </c>
      <c r="BU195" t="str">
        <f>""</f>
        <v/>
      </c>
      <c r="BV195" t="str">
        <f>""</f>
        <v/>
      </c>
      <c r="BW195" t="str">
        <f>""</f>
        <v/>
      </c>
      <c r="BX195" t="str">
        <f>""</f>
        <v/>
      </c>
      <c r="BY195" t="str">
        <f>""</f>
        <v/>
      </c>
      <c r="BZ195" t="str">
        <f>""</f>
        <v/>
      </c>
      <c r="CA195" t="str">
        <f>""</f>
        <v/>
      </c>
      <c r="CB195" t="str">
        <f>""</f>
        <v/>
      </c>
      <c r="CC195" t="str">
        <f>""</f>
        <v/>
      </c>
      <c r="CD195" t="str">
        <f>""</f>
        <v/>
      </c>
      <c r="CE195" t="str">
        <f>""</f>
        <v/>
      </c>
      <c r="CF195" t="str">
        <f>""</f>
        <v/>
      </c>
      <c r="CG195" t="str">
        <f>""</f>
        <v/>
      </c>
      <c r="CH195" t="str">
        <f>""</f>
        <v/>
      </c>
      <c r="CI195" t="str">
        <f>""</f>
        <v/>
      </c>
      <c r="CJ195" t="str">
        <f>""</f>
        <v/>
      </c>
      <c r="CK195" t="str">
        <f>""</f>
        <v/>
      </c>
      <c r="CL195" t="str">
        <f>""</f>
        <v/>
      </c>
      <c r="CM195" t="str">
        <f>""</f>
        <v/>
      </c>
      <c r="CN195" t="str">
        <f>""</f>
        <v/>
      </c>
      <c r="CO195" t="str">
        <f>""</f>
        <v/>
      </c>
      <c r="CP195" t="str">
        <f>""</f>
        <v/>
      </c>
      <c r="CQ195" t="str">
        <f>""</f>
        <v/>
      </c>
      <c r="CR195" t="str">
        <f>""</f>
        <v/>
      </c>
      <c r="CS195" t="str">
        <f>""</f>
        <v/>
      </c>
      <c r="CT195" t="str">
        <f>""</f>
        <v/>
      </c>
      <c r="CU195" t="str">
        <f>""</f>
        <v/>
      </c>
      <c r="CV195" t="str">
        <f>""</f>
        <v/>
      </c>
      <c r="CW195" t="str">
        <f>""</f>
        <v/>
      </c>
      <c r="CX195" t="str">
        <f>""</f>
        <v/>
      </c>
      <c r="CY195" t="str">
        <f>""</f>
        <v/>
      </c>
      <c r="CZ195" t="str">
        <f>""</f>
        <v/>
      </c>
      <c r="DA195" t="str">
        <f>""</f>
        <v/>
      </c>
      <c r="DB195" t="str">
        <f>""</f>
        <v/>
      </c>
      <c r="DC195" t="str">
        <f>""</f>
        <v/>
      </c>
      <c r="DD195" t="str">
        <f>""</f>
        <v/>
      </c>
      <c r="DE195" t="str">
        <f>""</f>
        <v/>
      </c>
      <c r="DF195" t="str">
        <f>"-0.104"</f>
        <v>-0.104</v>
      </c>
      <c r="DG195" t="str">
        <f>"-0.0995"</f>
        <v>-0.0995</v>
      </c>
      <c r="DH195" t="str">
        <f>"0.0136"</f>
        <v>0.0136</v>
      </c>
      <c r="DI195" t="str">
        <f>""</f>
        <v/>
      </c>
      <c r="DJ195" t="str">
        <f>""</f>
        <v/>
      </c>
      <c r="DK195" t="str">
        <f>""</f>
        <v/>
      </c>
      <c r="DL195" t="str">
        <f>""</f>
        <v/>
      </c>
      <c r="DM195" t="str">
        <f>""</f>
        <v/>
      </c>
      <c r="DN195" t="str">
        <f>""</f>
        <v/>
      </c>
      <c r="DO195" t="str">
        <f>""</f>
        <v/>
      </c>
      <c r="DP195" t="str">
        <f>""</f>
        <v/>
      </c>
      <c r="DQ195" t="str">
        <f>""</f>
        <v/>
      </c>
      <c r="DR195" t="str">
        <f>""</f>
        <v/>
      </c>
      <c r="DS195" t="str">
        <f>""</f>
        <v/>
      </c>
      <c r="DT195" t="str">
        <f>""</f>
        <v/>
      </c>
      <c r="DU195" t="str">
        <f>""</f>
        <v/>
      </c>
      <c r="DV195" t="str">
        <f>""</f>
        <v/>
      </c>
      <c r="DW195" t="str">
        <f>""</f>
        <v/>
      </c>
      <c r="DX195" t="str">
        <f>""</f>
        <v/>
      </c>
      <c r="DY195" t="str">
        <f>""</f>
        <v/>
      </c>
      <c r="DZ195" t="str">
        <f>""</f>
        <v/>
      </c>
      <c r="EA195" t="str">
        <f>""</f>
        <v/>
      </c>
      <c r="EB195" t="str">
        <f>""</f>
        <v/>
      </c>
      <c r="EC195" t="str">
        <f>""</f>
        <v/>
      </c>
      <c r="ED195" t="str">
        <f>""</f>
        <v/>
      </c>
      <c r="EE195" t="str">
        <f>""</f>
        <v/>
      </c>
      <c r="EF195" t="str">
        <f>""</f>
        <v/>
      </c>
      <c r="EG195" t="str">
        <f>""</f>
        <v/>
      </c>
      <c r="EH195" t="str">
        <f>""</f>
        <v/>
      </c>
      <c r="EI195" t="str">
        <f>""</f>
        <v/>
      </c>
      <c r="EJ195" t="str">
        <f>""</f>
        <v/>
      </c>
      <c r="EK195" t="str">
        <f>""</f>
        <v/>
      </c>
      <c r="EL195" t="str">
        <f>""</f>
        <v/>
      </c>
      <c r="EM195" t="str">
        <f>""</f>
        <v/>
      </c>
      <c r="EN195" t="str">
        <f>""</f>
        <v/>
      </c>
      <c r="EO195" t="str">
        <f>""</f>
        <v/>
      </c>
      <c r="EP195" t="str">
        <f>""</f>
        <v/>
      </c>
      <c r="EQ195" t="str">
        <f>""</f>
        <v/>
      </c>
      <c r="ER195" t="str">
        <f>""</f>
        <v/>
      </c>
      <c r="ES195" t="str">
        <f>""</f>
        <v/>
      </c>
      <c r="ET195" t="str">
        <f>""</f>
        <v/>
      </c>
      <c r="EU195" t="str">
        <f>""</f>
        <v/>
      </c>
      <c r="EV195" t="str">
        <f>""</f>
        <v/>
      </c>
      <c r="EW195" t="str">
        <f>""</f>
        <v/>
      </c>
      <c r="EX195" t="str">
        <f>""</f>
        <v/>
      </c>
      <c r="EY195" t="str">
        <f>""</f>
        <v/>
      </c>
      <c r="EZ195" t="str">
        <f>""</f>
        <v/>
      </c>
      <c r="FA195" t="str">
        <f>""</f>
        <v/>
      </c>
      <c r="FB195" t="str">
        <f>""</f>
        <v/>
      </c>
      <c r="FC195" t="str">
        <f>""</f>
        <v/>
      </c>
      <c r="FD195" t="str">
        <f>""</f>
        <v/>
      </c>
      <c r="FE195" t="str">
        <f>""</f>
        <v/>
      </c>
      <c r="FF195" t="str">
        <f>""</f>
        <v/>
      </c>
      <c r="FG195" t="str">
        <f>""</f>
        <v/>
      </c>
      <c r="FH195" t="str">
        <f>""</f>
        <v/>
      </c>
      <c r="FI195" t="str">
        <f>""</f>
        <v/>
      </c>
      <c r="FJ195" t="str">
        <f>""</f>
        <v/>
      </c>
      <c r="FK195" t="str">
        <f>""</f>
        <v/>
      </c>
      <c r="FL195" t="str">
        <f>""</f>
        <v/>
      </c>
      <c r="FM195" t="str">
        <f>""</f>
        <v/>
      </c>
      <c r="FN195" t="str">
        <f>""</f>
        <v/>
      </c>
      <c r="FO195" t="str">
        <f>""</f>
        <v/>
      </c>
      <c r="FP195" t="str">
        <f>""</f>
        <v/>
      </c>
      <c r="FQ195" t="str">
        <f>""</f>
        <v/>
      </c>
      <c r="FR195" t="str">
        <f>""</f>
        <v/>
      </c>
      <c r="FS195" t="str">
        <f>""</f>
        <v/>
      </c>
      <c r="FT195" t="str">
        <f>""</f>
        <v/>
      </c>
      <c r="FU195" t="str">
        <f>""</f>
        <v/>
      </c>
      <c r="FV195" t="str">
        <f>""</f>
        <v/>
      </c>
      <c r="FW195" t="str">
        <f>""</f>
        <v/>
      </c>
      <c r="FX195" t="str">
        <f>""</f>
        <v/>
      </c>
      <c r="FY195" t="str">
        <f>""</f>
        <v/>
      </c>
      <c r="FZ195" t="str">
        <f>""</f>
        <v/>
      </c>
      <c r="GA195" t="str">
        <f>""</f>
        <v/>
      </c>
      <c r="GB195" t="str">
        <f>""</f>
        <v/>
      </c>
      <c r="GC195" t="str">
        <f>""</f>
        <v/>
      </c>
      <c r="GD195" t="str">
        <f>""</f>
        <v/>
      </c>
      <c r="GE195" t="str">
        <f>""</f>
        <v/>
      </c>
      <c r="GF195" t="str">
        <f>""</f>
        <v/>
      </c>
      <c r="GG195" t="str">
        <f>""</f>
        <v/>
      </c>
      <c r="GH195" t="str">
        <f>""</f>
        <v/>
      </c>
      <c r="GI195" t="str">
        <f>""</f>
        <v/>
      </c>
      <c r="GJ195" t="str">
        <f>""</f>
        <v/>
      </c>
      <c r="GK195" t="str">
        <f>""</f>
        <v/>
      </c>
      <c r="GL195" t="str">
        <f>""</f>
        <v/>
      </c>
      <c r="GM195" t="str">
        <f>""</f>
        <v/>
      </c>
      <c r="GN195" t="str">
        <f>""</f>
        <v/>
      </c>
      <c r="GO195" t="str">
        <f>""</f>
        <v/>
      </c>
      <c r="GP195" t="str">
        <f>""</f>
        <v/>
      </c>
      <c r="GQ195" t="str">
        <f>""</f>
        <v/>
      </c>
      <c r="GR195" t="str">
        <f>""</f>
        <v/>
      </c>
      <c r="GS195" t="str">
        <f>""</f>
        <v/>
      </c>
      <c r="GT195" t="str">
        <f>""</f>
        <v/>
      </c>
      <c r="GU195" t="str">
        <f>""</f>
        <v/>
      </c>
      <c r="GV195" t="str">
        <f>""</f>
        <v/>
      </c>
      <c r="GW195" t="str">
        <f>""</f>
        <v/>
      </c>
      <c r="GX195" t="str">
        <f>""</f>
        <v/>
      </c>
      <c r="GY195" t="str">
        <f>""</f>
        <v/>
      </c>
      <c r="GZ195" t="str">
        <f>""</f>
        <v/>
      </c>
      <c r="HA195" t="str">
        <f>""</f>
        <v/>
      </c>
      <c r="HB195" t="str">
        <f>""</f>
        <v/>
      </c>
      <c r="HC195" t="str">
        <f>""</f>
        <v/>
      </c>
      <c r="HD195" t="str">
        <f>""</f>
        <v/>
      </c>
      <c r="HE195" t="str">
        <f>""</f>
        <v/>
      </c>
      <c r="HF195" t="str">
        <f>""</f>
        <v/>
      </c>
      <c r="HG195" t="str">
        <f>""</f>
        <v/>
      </c>
      <c r="HH195" t="str">
        <f>""</f>
        <v/>
      </c>
      <c r="HI195" t="str">
        <f>""</f>
        <v/>
      </c>
      <c r="HJ195" t="str">
        <f>""</f>
        <v/>
      </c>
      <c r="HK195" t="str">
        <f>""</f>
        <v/>
      </c>
      <c r="HL195" t="str">
        <f>""</f>
        <v/>
      </c>
      <c r="HM195" t="str">
        <f>""</f>
        <v/>
      </c>
      <c r="HN195" t="str">
        <f>""</f>
        <v/>
      </c>
      <c r="HO195" t="str">
        <f>""</f>
        <v/>
      </c>
      <c r="HP195" t="str">
        <f>""</f>
        <v/>
      </c>
      <c r="HQ195" t="str">
        <f>""</f>
        <v/>
      </c>
      <c r="HR195" t="str">
        <f>""</f>
        <v/>
      </c>
      <c r="HS195" t="str">
        <f>""</f>
        <v/>
      </c>
      <c r="HT195" t="str">
        <f>""</f>
        <v/>
      </c>
      <c r="HU195" t="str">
        <f>""</f>
        <v/>
      </c>
      <c r="HV195" t="str">
        <f>""</f>
        <v/>
      </c>
      <c r="HW195" t="str">
        <f>""</f>
        <v/>
      </c>
      <c r="HX195" t="str">
        <f>""</f>
        <v/>
      </c>
      <c r="HY195" t="str">
        <f>""</f>
        <v/>
      </c>
      <c r="HZ195" t="str">
        <f>""</f>
        <v/>
      </c>
      <c r="IA195" t="str">
        <f>""</f>
        <v/>
      </c>
      <c r="IB195" t="str">
        <f>""</f>
        <v/>
      </c>
      <c r="IC195" t="str">
        <f>""</f>
        <v/>
      </c>
      <c r="ID195" t="str">
        <f>""</f>
        <v/>
      </c>
      <c r="IE195" t="str">
        <f>""</f>
        <v/>
      </c>
      <c r="IF195" t="str">
        <f>""</f>
        <v/>
      </c>
      <c r="IG195" t="str">
        <f>""</f>
        <v/>
      </c>
      <c r="IH195" t="str">
        <f>""</f>
        <v/>
      </c>
      <c r="II195" t="str">
        <f>""</f>
        <v/>
      </c>
      <c r="IJ195" t="str">
        <f>""</f>
        <v/>
      </c>
      <c r="IK195" t="str">
        <f>""</f>
        <v/>
      </c>
      <c r="IL195" t="str">
        <f>""</f>
        <v/>
      </c>
      <c r="IM195" t="str">
        <f>""</f>
        <v/>
      </c>
      <c r="IN195" t="str">
        <f>""</f>
        <v/>
      </c>
      <c r="IO195" t="str">
        <f>""</f>
        <v/>
      </c>
      <c r="IP195" t="str">
        <f>""</f>
        <v/>
      </c>
      <c r="IQ195" t="str">
        <f>""</f>
        <v/>
      </c>
      <c r="IR195" t="str">
        <f>""</f>
        <v/>
      </c>
      <c r="IS195" t="str">
        <f>""</f>
        <v/>
      </c>
      <c r="IT195" t="str">
        <f>""</f>
        <v/>
      </c>
      <c r="IU195" t="str">
        <f>""</f>
        <v/>
      </c>
      <c r="IV195" t="str">
        <f>""</f>
        <v/>
      </c>
      <c r="IW195" t="str">
        <f>""</f>
        <v/>
      </c>
      <c r="IX195" t="str">
        <f>""</f>
        <v/>
      </c>
      <c r="IY195" t="str">
        <f>""</f>
        <v/>
      </c>
      <c r="IZ195" t="str">
        <f>""</f>
        <v/>
      </c>
      <c r="JA195" t="str">
        <f>""</f>
        <v/>
      </c>
      <c r="JB195" t="str">
        <f>""</f>
        <v/>
      </c>
      <c r="JC195" t="str">
        <f>""</f>
        <v/>
      </c>
      <c r="JD195" t="str">
        <f>""</f>
        <v/>
      </c>
      <c r="JE195" t="str">
        <f>""</f>
        <v/>
      </c>
      <c r="JF195" t="str">
        <f>""</f>
        <v/>
      </c>
      <c r="JG195" t="str">
        <f>""</f>
        <v/>
      </c>
      <c r="JH195" t="str">
        <f>""</f>
        <v/>
      </c>
      <c r="JI195" t="str">
        <f>""</f>
        <v/>
      </c>
      <c r="JJ195" t="str">
        <f>""</f>
        <v/>
      </c>
      <c r="JK195" t="str">
        <f>""</f>
        <v/>
      </c>
    </row>
    <row r="196" spans="1:271" x14ac:dyDescent="0.3">
      <c r="A196" t="str">
        <f>""</f>
        <v/>
      </c>
      <c r="B196" t="str">
        <f>""</f>
        <v/>
      </c>
      <c r="C196" t="str">
        <f>""</f>
        <v/>
      </c>
      <c r="D196" t="str">
        <f>""</f>
        <v/>
      </c>
      <c r="E196" t="str">
        <f>""</f>
        <v/>
      </c>
      <c r="F196" t="str">
        <f>""</f>
        <v/>
      </c>
      <c r="G196" t="str">
        <f>""</f>
        <v/>
      </c>
      <c r="H196" t="str">
        <f>""</f>
        <v/>
      </c>
      <c r="I196" t="str">
        <f>""</f>
        <v/>
      </c>
      <c r="J196" t="str">
        <f>""</f>
        <v/>
      </c>
      <c r="K196" t="str">
        <f>""</f>
        <v/>
      </c>
      <c r="L196" t="str">
        <f>""</f>
        <v/>
      </c>
      <c r="M196" t="str">
        <f>""</f>
        <v/>
      </c>
      <c r="N196" t="str">
        <f>""</f>
        <v/>
      </c>
      <c r="O196" t="str">
        <f>""</f>
        <v/>
      </c>
      <c r="P196" t="str">
        <f>""</f>
        <v/>
      </c>
      <c r="Q196" t="str">
        <f>""</f>
        <v/>
      </c>
      <c r="R196" t="str">
        <f>""</f>
        <v/>
      </c>
      <c r="S196" t="str">
        <f>""</f>
        <v/>
      </c>
      <c r="T196" t="str">
        <f>""</f>
        <v/>
      </c>
      <c r="U196" t="str">
        <f>""</f>
        <v/>
      </c>
      <c r="V196" t="str">
        <f>""</f>
        <v/>
      </c>
      <c r="W196" t="str">
        <f>""</f>
        <v/>
      </c>
      <c r="X196" t="str">
        <f>""</f>
        <v/>
      </c>
      <c r="Y196" t="str">
        <f>""</f>
        <v/>
      </c>
      <c r="Z196" t="str">
        <f>""</f>
        <v/>
      </c>
      <c r="AA196" t="str">
        <f>""</f>
        <v/>
      </c>
      <c r="AB196" t="str">
        <f>""</f>
        <v/>
      </c>
      <c r="AC196" t="str">
        <f>""</f>
        <v/>
      </c>
      <c r="AD196" t="str">
        <f>""</f>
        <v/>
      </c>
      <c r="AE196" t="str">
        <f>""</f>
        <v/>
      </c>
      <c r="AF196" t="str">
        <f>""</f>
        <v/>
      </c>
      <c r="AG196" t="str">
        <f>""</f>
        <v/>
      </c>
      <c r="AH196" t="str">
        <f>""</f>
        <v/>
      </c>
      <c r="AI196" t="str">
        <f>""</f>
        <v/>
      </c>
      <c r="AJ196" t="str">
        <f>""</f>
        <v/>
      </c>
      <c r="AK196" t="str">
        <f>""</f>
        <v/>
      </c>
      <c r="AL196" t="str">
        <f>""</f>
        <v/>
      </c>
      <c r="AM196" t="str">
        <f>""</f>
        <v/>
      </c>
      <c r="AN196" t="str">
        <f>""</f>
        <v/>
      </c>
      <c r="AO196" t="str">
        <f>""</f>
        <v/>
      </c>
      <c r="AP196" t="str">
        <f>""</f>
        <v/>
      </c>
      <c r="AQ196" t="str">
        <f>""</f>
        <v/>
      </c>
      <c r="AR196" t="str">
        <f>""</f>
        <v/>
      </c>
      <c r="AS196" t="str">
        <f>""</f>
        <v/>
      </c>
      <c r="AT196" t="str">
        <f>""</f>
        <v/>
      </c>
      <c r="AU196" t="str">
        <f>""</f>
        <v/>
      </c>
      <c r="AV196" t="str">
        <f>""</f>
        <v/>
      </c>
      <c r="AW196" t="str">
        <f>""</f>
        <v/>
      </c>
      <c r="AX196" t="str">
        <f>""</f>
        <v/>
      </c>
      <c r="AY196" t="str">
        <f>""</f>
        <v/>
      </c>
      <c r="AZ196" t="str">
        <f>""</f>
        <v/>
      </c>
      <c r="BA196" t="str">
        <f>""</f>
        <v/>
      </c>
      <c r="BB196" t="str">
        <f>""</f>
        <v/>
      </c>
      <c r="BC196" t="str">
        <f>""</f>
        <v/>
      </c>
      <c r="BD196" t="str">
        <f>""</f>
        <v/>
      </c>
      <c r="BE196" t="str">
        <f>""</f>
        <v/>
      </c>
      <c r="BF196" t="str">
        <f>""</f>
        <v/>
      </c>
      <c r="BG196" t="str">
        <f>""</f>
        <v/>
      </c>
      <c r="BH196" t="str">
        <f>""</f>
        <v/>
      </c>
      <c r="BI196" t="str">
        <f>""</f>
        <v/>
      </c>
      <c r="BJ196" t="str">
        <f>""</f>
        <v/>
      </c>
      <c r="BK196" t="str">
        <f>""</f>
        <v/>
      </c>
      <c r="BL196" t="str">
        <f>""</f>
        <v/>
      </c>
      <c r="BM196" t="str">
        <f>""</f>
        <v/>
      </c>
      <c r="BN196" t="str">
        <f>""</f>
        <v/>
      </c>
      <c r="BO196" t="str">
        <f>""</f>
        <v/>
      </c>
      <c r="BP196" t="str">
        <f>""</f>
        <v/>
      </c>
      <c r="BQ196" t="str">
        <f>""</f>
        <v/>
      </c>
      <c r="BR196" t="str">
        <f>""</f>
        <v/>
      </c>
      <c r="BS196" t="str">
        <f>""</f>
        <v/>
      </c>
      <c r="BT196" t="str">
        <f>""</f>
        <v/>
      </c>
      <c r="BU196" t="str">
        <f>""</f>
        <v/>
      </c>
      <c r="BV196" t="str">
        <f>""</f>
        <v/>
      </c>
      <c r="BW196" t="str">
        <f>""</f>
        <v/>
      </c>
      <c r="BX196" t="str">
        <f>""</f>
        <v/>
      </c>
      <c r="BY196" t="str">
        <f>""</f>
        <v/>
      </c>
      <c r="BZ196" t="str">
        <f>""</f>
        <v/>
      </c>
      <c r="CA196" t="str">
        <f>""</f>
        <v/>
      </c>
      <c r="CB196" t="str">
        <f>""</f>
        <v/>
      </c>
      <c r="CC196" t="str">
        <f>""</f>
        <v/>
      </c>
      <c r="CD196" t="str">
        <f>""</f>
        <v/>
      </c>
      <c r="CE196" t="str">
        <f>""</f>
        <v/>
      </c>
      <c r="CF196" t="str">
        <f>""</f>
        <v/>
      </c>
      <c r="CG196" t="str">
        <f>""</f>
        <v/>
      </c>
      <c r="CH196" t="str">
        <f>""</f>
        <v/>
      </c>
      <c r="CI196" t="str">
        <f>""</f>
        <v/>
      </c>
      <c r="CJ196" t="str">
        <f>""</f>
        <v/>
      </c>
      <c r="CK196" t="str">
        <f>""</f>
        <v/>
      </c>
      <c r="CL196" t="str">
        <f>""</f>
        <v/>
      </c>
      <c r="CM196" t="str">
        <f>""</f>
        <v/>
      </c>
      <c r="CN196" t="str">
        <f>""</f>
        <v/>
      </c>
      <c r="CO196" t="str">
        <f>""</f>
        <v/>
      </c>
      <c r="CP196" t="str">
        <f>""</f>
        <v/>
      </c>
      <c r="CQ196" t="str">
        <f>""</f>
        <v/>
      </c>
      <c r="CR196" t="str">
        <f>""</f>
        <v/>
      </c>
      <c r="CS196" t="str">
        <f>""</f>
        <v/>
      </c>
      <c r="CT196" t="str">
        <f>""</f>
        <v/>
      </c>
      <c r="CU196" t="str">
        <f>""</f>
        <v/>
      </c>
      <c r="CV196" t="str">
        <f>""</f>
        <v/>
      </c>
      <c r="CW196" t="str">
        <f>""</f>
        <v/>
      </c>
      <c r="CX196" t="str">
        <f>""</f>
        <v/>
      </c>
      <c r="CY196" t="str">
        <f>""</f>
        <v/>
      </c>
      <c r="CZ196" t="str">
        <f>""</f>
        <v/>
      </c>
      <c r="DA196" t="str">
        <f>""</f>
        <v/>
      </c>
      <c r="DB196" t="str">
        <f>""</f>
        <v/>
      </c>
      <c r="DC196" t="str">
        <f>""</f>
        <v/>
      </c>
      <c r="DD196" t="str">
        <f>""</f>
        <v/>
      </c>
      <c r="DE196" t="str">
        <f>""</f>
        <v/>
      </c>
      <c r="DF196" t="str">
        <f>"(0.104)"</f>
        <v>(0.104)</v>
      </c>
      <c r="DG196" t="str">
        <f>"(0.0828)"</f>
        <v>(0.0828)</v>
      </c>
      <c r="DH196" t="str">
        <f>"(0.0454)"</f>
        <v>(0.0454)</v>
      </c>
      <c r="DI196" t="str">
        <f>""</f>
        <v/>
      </c>
      <c r="DJ196" t="str">
        <f>""</f>
        <v/>
      </c>
      <c r="DK196" t="str">
        <f>""</f>
        <v/>
      </c>
      <c r="DL196" t="str">
        <f>""</f>
        <v/>
      </c>
      <c r="DM196" t="str">
        <f>""</f>
        <v/>
      </c>
      <c r="DN196" t="str">
        <f>""</f>
        <v/>
      </c>
      <c r="DO196" t="str">
        <f>""</f>
        <v/>
      </c>
      <c r="DP196" t="str">
        <f>""</f>
        <v/>
      </c>
      <c r="DQ196" t="str">
        <f>""</f>
        <v/>
      </c>
      <c r="DR196" t="str">
        <f>""</f>
        <v/>
      </c>
      <c r="DS196" t="str">
        <f>""</f>
        <v/>
      </c>
      <c r="DT196" t="str">
        <f>""</f>
        <v/>
      </c>
      <c r="DU196" t="str">
        <f>""</f>
        <v/>
      </c>
      <c r="DV196" t="str">
        <f>""</f>
        <v/>
      </c>
      <c r="DW196" t="str">
        <f>""</f>
        <v/>
      </c>
      <c r="DX196" t="str">
        <f>""</f>
        <v/>
      </c>
      <c r="DY196" t="str">
        <f>""</f>
        <v/>
      </c>
      <c r="DZ196" t="str">
        <f>""</f>
        <v/>
      </c>
      <c r="EA196" t="str">
        <f>""</f>
        <v/>
      </c>
      <c r="EB196" t="str">
        <f>""</f>
        <v/>
      </c>
      <c r="EC196" t="str">
        <f>""</f>
        <v/>
      </c>
      <c r="ED196" t="str">
        <f>""</f>
        <v/>
      </c>
      <c r="EE196" t="str">
        <f>""</f>
        <v/>
      </c>
      <c r="EF196" t="str">
        <f>""</f>
        <v/>
      </c>
      <c r="EG196" t="str">
        <f>""</f>
        <v/>
      </c>
      <c r="EH196" t="str">
        <f>""</f>
        <v/>
      </c>
      <c r="EI196" t="str">
        <f>""</f>
        <v/>
      </c>
      <c r="EJ196" t="str">
        <f>""</f>
        <v/>
      </c>
      <c r="EK196" t="str">
        <f>""</f>
        <v/>
      </c>
      <c r="EL196" t="str">
        <f>""</f>
        <v/>
      </c>
      <c r="EM196" t="str">
        <f>""</f>
        <v/>
      </c>
      <c r="EN196" t="str">
        <f>""</f>
        <v/>
      </c>
      <c r="EO196" t="str">
        <f>""</f>
        <v/>
      </c>
      <c r="EP196" t="str">
        <f>""</f>
        <v/>
      </c>
      <c r="EQ196" t="str">
        <f>""</f>
        <v/>
      </c>
      <c r="ER196" t="str">
        <f>""</f>
        <v/>
      </c>
      <c r="ES196" t="str">
        <f>""</f>
        <v/>
      </c>
      <c r="ET196" t="str">
        <f>""</f>
        <v/>
      </c>
      <c r="EU196" t="str">
        <f>""</f>
        <v/>
      </c>
      <c r="EV196" t="str">
        <f>""</f>
        <v/>
      </c>
      <c r="EW196" t="str">
        <f>""</f>
        <v/>
      </c>
      <c r="EX196" t="str">
        <f>""</f>
        <v/>
      </c>
      <c r="EY196" t="str">
        <f>""</f>
        <v/>
      </c>
      <c r="EZ196" t="str">
        <f>""</f>
        <v/>
      </c>
      <c r="FA196" t="str">
        <f>""</f>
        <v/>
      </c>
      <c r="FB196" t="str">
        <f>""</f>
        <v/>
      </c>
      <c r="FC196" t="str">
        <f>""</f>
        <v/>
      </c>
      <c r="FD196" t="str">
        <f>""</f>
        <v/>
      </c>
      <c r="FE196" t="str">
        <f>""</f>
        <v/>
      </c>
      <c r="FF196" t="str">
        <f>""</f>
        <v/>
      </c>
      <c r="FG196" t="str">
        <f>""</f>
        <v/>
      </c>
      <c r="FH196" t="str">
        <f>""</f>
        <v/>
      </c>
      <c r="FI196" t="str">
        <f>""</f>
        <v/>
      </c>
      <c r="FJ196" t="str">
        <f>""</f>
        <v/>
      </c>
      <c r="FK196" t="str">
        <f>""</f>
        <v/>
      </c>
      <c r="FL196" t="str">
        <f>""</f>
        <v/>
      </c>
      <c r="FM196" t="str">
        <f>""</f>
        <v/>
      </c>
      <c r="FN196" t="str">
        <f>""</f>
        <v/>
      </c>
      <c r="FO196" t="str">
        <f>""</f>
        <v/>
      </c>
      <c r="FP196" t="str">
        <f>""</f>
        <v/>
      </c>
      <c r="FQ196" t="str">
        <f>""</f>
        <v/>
      </c>
      <c r="FR196" t="str">
        <f>""</f>
        <v/>
      </c>
      <c r="FS196" t="str">
        <f>""</f>
        <v/>
      </c>
      <c r="FT196" t="str">
        <f>""</f>
        <v/>
      </c>
      <c r="FU196" t="str">
        <f>""</f>
        <v/>
      </c>
      <c r="FV196" t="str">
        <f>""</f>
        <v/>
      </c>
      <c r="FW196" t="str">
        <f>""</f>
        <v/>
      </c>
      <c r="FX196" t="str">
        <f>""</f>
        <v/>
      </c>
      <c r="FY196" t="str">
        <f>""</f>
        <v/>
      </c>
      <c r="FZ196" t="str">
        <f>""</f>
        <v/>
      </c>
      <c r="GA196" t="str">
        <f>""</f>
        <v/>
      </c>
      <c r="GB196" t="str">
        <f>""</f>
        <v/>
      </c>
      <c r="GC196" t="str">
        <f>""</f>
        <v/>
      </c>
      <c r="GD196" t="str">
        <f>""</f>
        <v/>
      </c>
      <c r="GE196" t="str">
        <f>""</f>
        <v/>
      </c>
      <c r="GF196" t="str">
        <f>""</f>
        <v/>
      </c>
      <c r="GG196" t="str">
        <f>""</f>
        <v/>
      </c>
      <c r="GH196" t="str">
        <f>""</f>
        <v/>
      </c>
      <c r="GI196" t="str">
        <f>""</f>
        <v/>
      </c>
      <c r="GJ196" t="str">
        <f>""</f>
        <v/>
      </c>
      <c r="GK196" t="str">
        <f>""</f>
        <v/>
      </c>
      <c r="GL196" t="str">
        <f>""</f>
        <v/>
      </c>
      <c r="GM196" t="str">
        <f>""</f>
        <v/>
      </c>
      <c r="GN196" t="str">
        <f>""</f>
        <v/>
      </c>
      <c r="GO196" t="str">
        <f>""</f>
        <v/>
      </c>
      <c r="GP196" t="str">
        <f>""</f>
        <v/>
      </c>
      <c r="GQ196" t="str">
        <f>""</f>
        <v/>
      </c>
      <c r="GR196" t="str">
        <f>""</f>
        <v/>
      </c>
      <c r="GS196" t="str">
        <f>""</f>
        <v/>
      </c>
      <c r="GT196" t="str">
        <f>""</f>
        <v/>
      </c>
      <c r="GU196" t="str">
        <f>""</f>
        <v/>
      </c>
      <c r="GV196" t="str">
        <f>""</f>
        <v/>
      </c>
      <c r="GW196" t="str">
        <f>""</f>
        <v/>
      </c>
      <c r="GX196" t="str">
        <f>""</f>
        <v/>
      </c>
      <c r="GY196" t="str">
        <f>""</f>
        <v/>
      </c>
      <c r="GZ196" t="str">
        <f>""</f>
        <v/>
      </c>
      <c r="HA196" t="str">
        <f>""</f>
        <v/>
      </c>
      <c r="HB196" t="str">
        <f>""</f>
        <v/>
      </c>
      <c r="HC196" t="str">
        <f>""</f>
        <v/>
      </c>
      <c r="HD196" t="str">
        <f>""</f>
        <v/>
      </c>
      <c r="HE196" t="str">
        <f>""</f>
        <v/>
      </c>
      <c r="HF196" t="str">
        <f>""</f>
        <v/>
      </c>
      <c r="HG196" t="str">
        <f>""</f>
        <v/>
      </c>
      <c r="HH196" t="str">
        <f>""</f>
        <v/>
      </c>
      <c r="HI196" t="str">
        <f>""</f>
        <v/>
      </c>
      <c r="HJ196" t="str">
        <f>""</f>
        <v/>
      </c>
      <c r="HK196" t="str">
        <f>""</f>
        <v/>
      </c>
      <c r="HL196" t="str">
        <f>""</f>
        <v/>
      </c>
      <c r="HM196" t="str">
        <f>""</f>
        <v/>
      </c>
      <c r="HN196" t="str">
        <f>""</f>
        <v/>
      </c>
      <c r="HO196" t="str">
        <f>""</f>
        <v/>
      </c>
      <c r="HP196" t="str">
        <f>""</f>
        <v/>
      </c>
      <c r="HQ196" t="str">
        <f>""</f>
        <v/>
      </c>
      <c r="HR196" t="str">
        <f>""</f>
        <v/>
      </c>
      <c r="HS196" t="str">
        <f>""</f>
        <v/>
      </c>
      <c r="HT196" t="str">
        <f>""</f>
        <v/>
      </c>
      <c r="HU196" t="str">
        <f>""</f>
        <v/>
      </c>
      <c r="HV196" t="str">
        <f>""</f>
        <v/>
      </c>
      <c r="HW196" t="str">
        <f>""</f>
        <v/>
      </c>
      <c r="HX196" t="str">
        <f>""</f>
        <v/>
      </c>
      <c r="HY196" t="str">
        <f>""</f>
        <v/>
      </c>
      <c r="HZ196" t="str">
        <f>""</f>
        <v/>
      </c>
      <c r="IA196" t="str">
        <f>""</f>
        <v/>
      </c>
      <c r="IB196" t="str">
        <f>""</f>
        <v/>
      </c>
      <c r="IC196" t="str">
        <f>""</f>
        <v/>
      </c>
      <c r="ID196" t="str">
        <f>""</f>
        <v/>
      </c>
      <c r="IE196" t="str">
        <f>""</f>
        <v/>
      </c>
      <c r="IF196" t="str">
        <f>""</f>
        <v/>
      </c>
      <c r="IG196" t="str">
        <f>""</f>
        <v/>
      </c>
      <c r="IH196" t="str">
        <f>""</f>
        <v/>
      </c>
      <c r="II196" t="str">
        <f>""</f>
        <v/>
      </c>
      <c r="IJ196" t="str">
        <f>""</f>
        <v/>
      </c>
      <c r="IK196" t="str">
        <f>""</f>
        <v/>
      </c>
      <c r="IL196" t="str">
        <f>""</f>
        <v/>
      </c>
      <c r="IM196" t="str">
        <f>""</f>
        <v/>
      </c>
      <c r="IN196" t="str">
        <f>""</f>
        <v/>
      </c>
      <c r="IO196" t="str">
        <f>""</f>
        <v/>
      </c>
      <c r="IP196" t="str">
        <f>""</f>
        <v/>
      </c>
      <c r="IQ196" t="str">
        <f>""</f>
        <v/>
      </c>
      <c r="IR196" t="str">
        <f>""</f>
        <v/>
      </c>
      <c r="IS196" t="str">
        <f>""</f>
        <v/>
      </c>
      <c r="IT196" t="str">
        <f>""</f>
        <v/>
      </c>
      <c r="IU196" t="str">
        <f>""</f>
        <v/>
      </c>
      <c r="IV196" t="str">
        <f>""</f>
        <v/>
      </c>
      <c r="IW196" t="str">
        <f>""</f>
        <v/>
      </c>
      <c r="IX196" t="str">
        <f>""</f>
        <v/>
      </c>
      <c r="IY196" t="str">
        <f>""</f>
        <v/>
      </c>
      <c r="IZ196" t="str">
        <f>""</f>
        <v/>
      </c>
      <c r="JA196" t="str">
        <f>""</f>
        <v/>
      </c>
      <c r="JB196" t="str">
        <f>""</f>
        <v/>
      </c>
      <c r="JC196" t="str">
        <f>""</f>
        <v/>
      </c>
      <c r="JD196" t="str">
        <f>""</f>
        <v/>
      </c>
      <c r="JE196" t="str">
        <f>""</f>
        <v/>
      </c>
      <c r="JF196" t="str">
        <f>""</f>
        <v/>
      </c>
      <c r="JG196" t="str">
        <f>""</f>
        <v/>
      </c>
      <c r="JH196" t="str">
        <f>""</f>
        <v/>
      </c>
      <c r="JI196" t="str">
        <f>""</f>
        <v/>
      </c>
      <c r="JJ196" t="str">
        <f>""</f>
        <v/>
      </c>
      <c r="JK196" t="str">
        <f>""</f>
        <v/>
      </c>
    </row>
    <row r="198" spans="1:271" x14ac:dyDescent="0.3">
      <c r="A198" t="str">
        <f>"c.zMETAB8#c.PM3"</f>
        <v>c.zMETAB8#c.PM3</v>
      </c>
      <c r="B198" t="str">
        <f>""</f>
        <v/>
      </c>
      <c r="C198" t="str">
        <f>""</f>
        <v/>
      </c>
      <c r="D198" t="str">
        <f>""</f>
        <v/>
      </c>
      <c r="E198" t="str">
        <f>""</f>
        <v/>
      </c>
      <c r="F198" t="str">
        <f>""</f>
        <v/>
      </c>
      <c r="G198" t="str">
        <f>""</f>
        <v/>
      </c>
      <c r="H198" t="str">
        <f>""</f>
        <v/>
      </c>
      <c r="I198" t="str">
        <f>""</f>
        <v/>
      </c>
      <c r="J198" t="str">
        <f>""</f>
        <v/>
      </c>
      <c r="K198" t="str">
        <f>""</f>
        <v/>
      </c>
      <c r="L198" t="str">
        <f>""</f>
        <v/>
      </c>
      <c r="M198" t="str">
        <f>""</f>
        <v/>
      </c>
      <c r="N198" t="str">
        <f>""</f>
        <v/>
      </c>
      <c r="O198" t="str">
        <f>""</f>
        <v/>
      </c>
      <c r="P198" t="str">
        <f>""</f>
        <v/>
      </c>
      <c r="Q198" t="str">
        <f>""</f>
        <v/>
      </c>
      <c r="R198" t="str">
        <f>""</f>
        <v/>
      </c>
      <c r="S198" t="str">
        <f>""</f>
        <v/>
      </c>
      <c r="T198" t="str">
        <f>""</f>
        <v/>
      </c>
      <c r="U198" t="str">
        <f>""</f>
        <v/>
      </c>
      <c r="V198" t="str">
        <f>""</f>
        <v/>
      </c>
      <c r="W198" t="str">
        <f>""</f>
        <v/>
      </c>
      <c r="X198" t="str">
        <f>""</f>
        <v/>
      </c>
      <c r="Y198" t="str">
        <f>""</f>
        <v/>
      </c>
      <c r="Z198" t="str">
        <f>""</f>
        <v/>
      </c>
      <c r="AA198" t="str">
        <f>""</f>
        <v/>
      </c>
      <c r="AB198" t="str">
        <f>""</f>
        <v/>
      </c>
      <c r="AC198" t="str">
        <f>""</f>
        <v/>
      </c>
      <c r="AD198" t="str">
        <f>""</f>
        <v/>
      </c>
      <c r="AE198" t="str">
        <f>""</f>
        <v/>
      </c>
      <c r="AF198" t="str">
        <f>""</f>
        <v/>
      </c>
      <c r="AG198" t="str">
        <f>""</f>
        <v/>
      </c>
      <c r="AH198" t="str">
        <f>""</f>
        <v/>
      </c>
      <c r="AI198" t="str">
        <f>""</f>
        <v/>
      </c>
      <c r="AJ198" t="str">
        <f>""</f>
        <v/>
      </c>
      <c r="AK198" t="str">
        <f>""</f>
        <v/>
      </c>
      <c r="AL198" t="str">
        <f>""</f>
        <v/>
      </c>
      <c r="AM198" t="str">
        <f>""</f>
        <v/>
      </c>
      <c r="AN198" t="str">
        <f>""</f>
        <v/>
      </c>
      <c r="AO198" t="str">
        <f>""</f>
        <v/>
      </c>
      <c r="AP198" t="str">
        <f>""</f>
        <v/>
      </c>
      <c r="AQ198" t="str">
        <f>""</f>
        <v/>
      </c>
      <c r="AR198" t="str">
        <f>""</f>
        <v/>
      </c>
      <c r="AS198" t="str">
        <f>""</f>
        <v/>
      </c>
      <c r="AT198" t="str">
        <f>""</f>
        <v/>
      </c>
      <c r="AU198" t="str">
        <f>""</f>
        <v/>
      </c>
      <c r="AV198" t="str">
        <f>""</f>
        <v/>
      </c>
      <c r="AW198" t="str">
        <f>""</f>
        <v/>
      </c>
      <c r="AX198" t="str">
        <f>""</f>
        <v/>
      </c>
      <c r="AY198" t="str">
        <f>""</f>
        <v/>
      </c>
      <c r="AZ198" t="str">
        <f>""</f>
        <v/>
      </c>
      <c r="BA198" t="str">
        <f>""</f>
        <v/>
      </c>
      <c r="BB198" t="str">
        <f>""</f>
        <v/>
      </c>
      <c r="BC198" t="str">
        <f>""</f>
        <v/>
      </c>
      <c r="BD198" t="str">
        <f>""</f>
        <v/>
      </c>
      <c r="BE198" t="str">
        <f>""</f>
        <v/>
      </c>
      <c r="BF198" t="str">
        <f>""</f>
        <v/>
      </c>
      <c r="BG198" t="str">
        <f>""</f>
        <v/>
      </c>
      <c r="BH198" t="str">
        <f>""</f>
        <v/>
      </c>
      <c r="BI198" t="str">
        <f>""</f>
        <v/>
      </c>
      <c r="BJ198" t="str">
        <f>""</f>
        <v/>
      </c>
      <c r="BK198" t="str">
        <f>""</f>
        <v/>
      </c>
      <c r="BL198" t="str">
        <f>""</f>
        <v/>
      </c>
      <c r="BM198" t="str">
        <f>""</f>
        <v/>
      </c>
      <c r="BN198" t="str">
        <f>""</f>
        <v/>
      </c>
      <c r="BO198" t="str">
        <f>""</f>
        <v/>
      </c>
      <c r="BP198" t="str">
        <f>""</f>
        <v/>
      </c>
      <c r="BQ198" t="str">
        <f>""</f>
        <v/>
      </c>
      <c r="BR198" t="str">
        <f>""</f>
        <v/>
      </c>
      <c r="BS198" t="str">
        <f>""</f>
        <v/>
      </c>
      <c r="BT198" t="str">
        <f>""</f>
        <v/>
      </c>
      <c r="BU198" t="str">
        <f>""</f>
        <v/>
      </c>
      <c r="BV198" t="str">
        <f>""</f>
        <v/>
      </c>
      <c r="BW198" t="str">
        <f>""</f>
        <v/>
      </c>
      <c r="BX198" t="str">
        <f>""</f>
        <v/>
      </c>
      <c r="BY198" t="str">
        <f>""</f>
        <v/>
      </c>
      <c r="BZ198" t="str">
        <f>""</f>
        <v/>
      </c>
      <c r="CA198" t="str">
        <f>""</f>
        <v/>
      </c>
      <c r="CB198" t="str">
        <f>""</f>
        <v/>
      </c>
      <c r="CC198" t="str">
        <f>""</f>
        <v/>
      </c>
      <c r="CD198" t="str">
        <f>""</f>
        <v/>
      </c>
      <c r="CE198" t="str">
        <f>""</f>
        <v/>
      </c>
      <c r="CF198" t="str">
        <f>""</f>
        <v/>
      </c>
      <c r="CG198" t="str">
        <f>""</f>
        <v/>
      </c>
      <c r="CH198" t="str">
        <f>""</f>
        <v/>
      </c>
      <c r="CI198" t="str">
        <f>""</f>
        <v/>
      </c>
      <c r="CJ198" t="str">
        <f>""</f>
        <v/>
      </c>
      <c r="CK198" t="str">
        <f>""</f>
        <v/>
      </c>
      <c r="CL198" t="str">
        <f>""</f>
        <v/>
      </c>
      <c r="CM198" t="str">
        <f>""</f>
        <v/>
      </c>
      <c r="CN198" t="str">
        <f>""</f>
        <v/>
      </c>
      <c r="CO198" t="str">
        <f>""</f>
        <v/>
      </c>
      <c r="CP198" t="str">
        <f>""</f>
        <v/>
      </c>
      <c r="CQ198" t="str">
        <f>""</f>
        <v/>
      </c>
      <c r="CR198" t="str">
        <f>""</f>
        <v/>
      </c>
      <c r="CS198" t="str">
        <f>""</f>
        <v/>
      </c>
      <c r="CT198" t="str">
        <f>""</f>
        <v/>
      </c>
      <c r="CU198" t="str">
        <f>""</f>
        <v/>
      </c>
      <c r="CV198" t="str">
        <f>""</f>
        <v/>
      </c>
      <c r="CW198" t="str">
        <f>""</f>
        <v/>
      </c>
      <c r="CX198" t="str">
        <f>""</f>
        <v/>
      </c>
      <c r="CY198" t="str">
        <f>""</f>
        <v/>
      </c>
      <c r="CZ198" t="str">
        <f>""</f>
        <v/>
      </c>
      <c r="DA198" t="str">
        <f>""</f>
        <v/>
      </c>
      <c r="DB198" t="str">
        <f>""</f>
        <v/>
      </c>
      <c r="DC198" t="str">
        <f>""</f>
        <v/>
      </c>
      <c r="DD198" t="str">
        <f>""</f>
        <v/>
      </c>
      <c r="DE198" t="str">
        <f>""</f>
        <v/>
      </c>
      <c r="DF198" t="str">
        <f>""</f>
        <v/>
      </c>
      <c r="DG198" t="str">
        <f>""</f>
        <v/>
      </c>
      <c r="DH198" t="str">
        <f>""</f>
        <v/>
      </c>
      <c r="DI198" t="str">
        <f>"-0.0178"</f>
        <v>-0.0178</v>
      </c>
      <c r="DJ198" t="str">
        <f>"0.102"</f>
        <v>0.102</v>
      </c>
      <c r="DK198" t="str">
        <f>"0.0511"</f>
        <v>0.0511</v>
      </c>
      <c r="DL198" t="str">
        <f>""</f>
        <v/>
      </c>
      <c r="DM198" t="str">
        <f>""</f>
        <v/>
      </c>
      <c r="DN198" t="str">
        <f>""</f>
        <v/>
      </c>
      <c r="DO198" t="str">
        <f>""</f>
        <v/>
      </c>
      <c r="DP198" t="str">
        <f>""</f>
        <v/>
      </c>
      <c r="DQ198" t="str">
        <f>""</f>
        <v/>
      </c>
      <c r="DR198" t="str">
        <f>""</f>
        <v/>
      </c>
      <c r="DS198" t="str">
        <f>""</f>
        <v/>
      </c>
      <c r="DT198" t="str">
        <f>""</f>
        <v/>
      </c>
      <c r="DU198" t="str">
        <f>""</f>
        <v/>
      </c>
      <c r="DV198" t="str">
        <f>""</f>
        <v/>
      </c>
      <c r="DW198" t="str">
        <f>""</f>
        <v/>
      </c>
      <c r="DX198" t="str">
        <f>""</f>
        <v/>
      </c>
      <c r="DY198" t="str">
        <f>""</f>
        <v/>
      </c>
      <c r="DZ198" t="str">
        <f>""</f>
        <v/>
      </c>
      <c r="EA198" t="str">
        <f>""</f>
        <v/>
      </c>
      <c r="EB198" t="str">
        <f>""</f>
        <v/>
      </c>
      <c r="EC198" t="str">
        <f>""</f>
        <v/>
      </c>
      <c r="ED198" t="str">
        <f>""</f>
        <v/>
      </c>
      <c r="EE198" t="str">
        <f>""</f>
        <v/>
      </c>
      <c r="EF198" t="str">
        <f>""</f>
        <v/>
      </c>
      <c r="EG198" t="str">
        <f>""</f>
        <v/>
      </c>
      <c r="EH198" t="str">
        <f>""</f>
        <v/>
      </c>
      <c r="EI198" t="str">
        <f>""</f>
        <v/>
      </c>
      <c r="EJ198" t="str">
        <f>""</f>
        <v/>
      </c>
      <c r="EK198" t="str">
        <f>""</f>
        <v/>
      </c>
      <c r="EL198" t="str">
        <f>""</f>
        <v/>
      </c>
      <c r="EM198" t="str">
        <f>""</f>
        <v/>
      </c>
      <c r="EN198" t="str">
        <f>""</f>
        <v/>
      </c>
      <c r="EO198" t="str">
        <f>""</f>
        <v/>
      </c>
      <c r="EP198" t="str">
        <f>""</f>
        <v/>
      </c>
      <c r="EQ198" t="str">
        <f>""</f>
        <v/>
      </c>
      <c r="ER198" t="str">
        <f>""</f>
        <v/>
      </c>
      <c r="ES198" t="str">
        <f>""</f>
        <v/>
      </c>
      <c r="ET198" t="str">
        <f>""</f>
        <v/>
      </c>
      <c r="EU198" t="str">
        <f>""</f>
        <v/>
      </c>
      <c r="EV198" t="str">
        <f>""</f>
        <v/>
      </c>
      <c r="EW198" t="str">
        <f>""</f>
        <v/>
      </c>
      <c r="EX198" t="str">
        <f>""</f>
        <v/>
      </c>
      <c r="EY198" t="str">
        <f>""</f>
        <v/>
      </c>
      <c r="EZ198" t="str">
        <f>""</f>
        <v/>
      </c>
      <c r="FA198" t="str">
        <f>""</f>
        <v/>
      </c>
      <c r="FB198" t="str">
        <f>""</f>
        <v/>
      </c>
      <c r="FC198" t="str">
        <f>""</f>
        <v/>
      </c>
      <c r="FD198" t="str">
        <f>""</f>
        <v/>
      </c>
      <c r="FE198" t="str">
        <f>""</f>
        <v/>
      </c>
      <c r="FF198" t="str">
        <f>""</f>
        <v/>
      </c>
      <c r="FG198" t="str">
        <f>""</f>
        <v/>
      </c>
      <c r="FH198" t="str">
        <f>""</f>
        <v/>
      </c>
      <c r="FI198" t="str">
        <f>""</f>
        <v/>
      </c>
      <c r="FJ198" t="str">
        <f>""</f>
        <v/>
      </c>
      <c r="FK198" t="str">
        <f>""</f>
        <v/>
      </c>
      <c r="FL198" t="str">
        <f>""</f>
        <v/>
      </c>
      <c r="FM198" t="str">
        <f>""</f>
        <v/>
      </c>
      <c r="FN198" t="str">
        <f>""</f>
        <v/>
      </c>
      <c r="FO198" t="str">
        <f>""</f>
        <v/>
      </c>
      <c r="FP198" t="str">
        <f>""</f>
        <v/>
      </c>
      <c r="FQ198" t="str">
        <f>""</f>
        <v/>
      </c>
      <c r="FR198" t="str">
        <f>""</f>
        <v/>
      </c>
      <c r="FS198" t="str">
        <f>""</f>
        <v/>
      </c>
      <c r="FT198" t="str">
        <f>""</f>
        <v/>
      </c>
      <c r="FU198" t="str">
        <f>""</f>
        <v/>
      </c>
      <c r="FV198" t="str">
        <f>""</f>
        <v/>
      </c>
      <c r="FW198" t="str">
        <f>""</f>
        <v/>
      </c>
      <c r="FX198" t="str">
        <f>""</f>
        <v/>
      </c>
      <c r="FY198" t="str">
        <f>""</f>
        <v/>
      </c>
      <c r="FZ198" t="str">
        <f>""</f>
        <v/>
      </c>
      <c r="GA198" t="str">
        <f>""</f>
        <v/>
      </c>
      <c r="GB198" t="str">
        <f>""</f>
        <v/>
      </c>
      <c r="GC198" t="str">
        <f>""</f>
        <v/>
      </c>
      <c r="GD198" t="str">
        <f>""</f>
        <v/>
      </c>
      <c r="GE198" t="str">
        <f>""</f>
        <v/>
      </c>
      <c r="GF198" t="str">
        <f>""</f>
        <v/>
      </c>
      <c r="GG198" t="str">
        <f>""</f>
        <v/>
      </c>
      <c r="GH198" t="str">
        <f>""</f>
        <v/>
      </c>
      <c r="GI198" t="str">
        <f>""</f>
        <v/>
      </c>
      <c r="GJ198" t="str">
        <f>""</f>
        <v/>
      </c>
      <c r="GK198" t="str">
        <f>""</f>
        <v/>
      </c>
      <c r="GL198" t="str">
        <f>""</f>
        <v/>
      </c>
      <c r="GM198" t="str">
        <f>""</f>
        <v/>
      </c>
      <c r="GN198" t="str">
        <f>""</f>
        <v/>
      </c>
      <c r="GO198" t="str">
        <f>""</f>
        <v/>
      </c>
      <c r="GP198" t="str">
        <f>""</f>
        <v/>
      </c>
      <c r="GQ198" t="str">
        <f>""</f>
        <v/>
      </c>
      <c r="GR198" t="str">
        <f>""</f>
        <v/>
      </c>
      <c r="GS198" t="str">
        <f>""</f>
        <v/>
      </c>
      <c r="GT198" t="str">
        <f>""</f>
        <v/>
      </c>
      <c r="GU198" t="str">
        <f>""</f>
        <v/>
      </c>
      <c r="GV198" t="str">
        <f>""</f>
        <v/>
      </c>
      <c r="GW198" t="str">
        <f>""</f>
        <v/>
      </c>
      <c r="GX198" t="str">
        <f>""</f>
        <v/>
      </c>
      <c r="GY198" t="str">
        <f>""</f>
        <v/>
      </c>
      <c r="GZ198" t="str">
        <f>""</f>
        <v/>
      </c>
      <c r="HA198" t="str">
        <f>""</f>
        <v/>
      </c>
      <c r="HB198" t="str">
        <f>""</f>
        <v/>
      </c>
      <c r="HC198" t="str">
        <f>""</f>
        <v/>
      </c>
      <c r="HD198" t="str">
        <f>""</f>
        <v/>
      </c>
      <c r="HE198" t="str">
        <f>""</f>
        <v/>
      </c>
      <c r="HF198" t="str">
        <f>""</f>
        <v/>
      </c>
      <c r="HG198" t="str">
        <f>""</f>
        <v/>
      </c>
      <c r="HH198" t="str">
        <f>""</f>
        <v/>
      </c>
      <c r="HI198" t="str">
        <f>""</f>
        <v/>
      </c>
      <c r="HJ198" t="str">
        <f>""</f>
        <v/>
      </c>
      <c r="HK198" t="str">
        <f>""</f>
        <v/>
      </c>
      <c r="HL198" t="str">
        <f>""</f>
        <v/>
      </c>
      <c r="HM198" t="str">
        <f>""</f>
        <v/>
      </c>
      <c r="HN198" t="str">
        <f>""</f>
        <v/>
      </c>
      <c r="HO198" t="str">
        <f>""</f>
        <v/>
      </c>
      <c r="HP198" t="str">
        <f>""</f>
        <v/>
      </c>
      <c r="HQ198" t="str">
        <f>""</f>
        <v/>
      </c>
      <c r="HR198" t="str">
        <f>""</f>
        <v/>
      </c>
      <c r="HS198" t="str">
        <f>""</f>
        <v/>
      </c>
      <c r="HT198" t="str">
        <f>""</f>
        <v/>
      </c>
      <c r="HU198" t="str">
        <f>""</f>
        <v/>
      </c>
      <c r="HV198" t="str">
        <f>""</f>
        <v/>
      </c>
      <c r="HW198" t="str">
        <f>""</f>
        <v/>
      </c>
      <c r="HX198" t="str">
        <f>""</f>
        <v/>
      </c>
      <c r="HY198" t="str">
        <f>""</f>
        <v/>
      </c>
      <c r="HZ198" t="str">
        <f>""</f>
        <v/>
      </c>
      <c r="IA198" t="str">
        <f>""</f>
        <v/>
      </c>
      <c r="IB198" t="str">
        <f>""</f>
        <v/>
      </c>
      <c r="IC198" t="str">
        <f>""</f>
        <v/>
      </c>
      <c r="ID198" t="str">
        <f>""</f>
        <v/>
      </c>
      <c r="IE198" t="str">
        <f>""</f>
        <v/>
      </c>
      <c r="IF198" t="str">
        <f>""</f>
        <v/>
      </c>
      <c r="IG198" t="str">
        <f>""</f>
        <v/>
      </c>
      <c r="IH198" t="str">
        <f>""</f>
        <v/>
      </c>
      <c r="II198" t="str">
        <f>""</f>
        <v/>
      </c>
      <c r="IJ198" t="str">
        <f>""</f>
        <v/>
      </c>
      <c r="IK198" t="str">
        <f>""</f>
        <v/>
      </c>
      <c r="IL198" t="str">
        <f>""</f>
        <v/>
      </c>
      <c r="IM198" t="str">
        <f>""</f>
        <v/>
      </c>
      <c r="IN198" t="str">
        <f>""</f>
        <v/>
      </c>
      <c r="IO198" t="str">
        <f>""</f>
        <v/>
      </c>
      <c r="IP198" t="str">
        <f>""</f>
        <v/>
      </c>
      <c r="IQ198" t="str">
        <f>""</f>
        <v/>
      </c>
      <c r="IR198" t="str">
        <f>""</f>
        <v/>
      </c>
      <c r="IS198" t="str">
        <f>""</f>
        <v/>
      </c>
      <c r="IT198" t="str">
        <f>""</f>
        <v/>
      </c>
      <c r="IU198" t="str">
        <f>""</f>
        <v/>
      </c>
      <c r="IV198" t="str">
        <f>""</f>
        <v/>
      </c>
      <c r="IW198" t="str">
        <f>""</f>
        <v/>
      </c>
      <c r="IX198" t="str">
        <f>""</f>
        <v/>
      </c>
      <c r="IY198" t="str">
        <f>""</f>
        <v/>
      </c>
      <c r="IZ198" t="str">
        <f>""</f>
        <v/>
      </c>
      <c r="JA198" t="str">
        <f>""</f>
        <v/>
      </c>
      <c r="JB198" t="str">
        <f>""</f>
        <v/>
      </c>
      <c r="JC198" t="str">
        <f>""</f>
        <v/>
      </c>
      <c r="JD198" t="str">
        <f>""</f>
        <v/>
      </c>
      <c r="JE198" t="str">
        <f>""</f>
        <v/>
      </c>
      <c r="JF198" t="str">
        <f>""</f>
        <v/>
      </c>
      <c r="JG198" t="str">
        <f>""</f>
        <v/>
      </c>
      <c r="JH198" t="str">
        <f>""</f>
        <v/>
      </c>
      <c r="JI198" t="str">
        <f>""</f>
        <v/>
      </c>
      <c r="JJ198" t="str">
        <f>""</f>
        <v/>
      </c>
      <c r="JK198" t="str">
        <f>""</f>
        <v/>
      </c>
    </row>
    <row r="199" spans="1:271" x14ac:dyDescent="0.3">
      <c r="A199" t="str">
        <f>""</f>
        <v/>
      </c>
      <c r="B199" t="str">
        <f>""</f>
        <v/>
      </c>
      <c r="C199" t="str">
        <f>""</f>
        <v/>
      </c>
      <c r="D199" t="str">
        <f>""</f>
        <v/>
      </c>
      <c r="E199" t="str">
        <f>""</f>
        <v/>
      </c>
      <c r="F199" t="str">
        <f>""</f>
        <v/>
      </c>
      <c r="G199" t="str">
        <f>""</f>
        <v/>
      </c>
      <c r="H199" t="str">
        <f>""</f>
        <v/>
      </c>
      <c r="I199" t="str">
        <f>""</f>
        <v/>
      </c>
      <c r="J199" t="str">
        <f>""</f>
        <v/>
      </c>
      <c r="K199" t="str">
        <f>""</f>
        <v/>
      </c>
      <c r="L199" t="str">
        <f>""</f>
        <v/>
      </c>
      <c r="M199" t="str">
        <f>""</f>
        <v/>
      </c>
      <c r="N199" t="str">
        <f>""</f>
        <v/>
      </c>
      <c r="O199" t="str">
        <f>""</f>
        <v/>
      </c>
      <c r="P199" t="str">
        <f>""</f>
        <v/>
      </c>
      <c r="Q199" t="str">
        <f>""</f>
        <v/>
      </c>
      <c r="R199" t="str">
        <f>""</f>
        <v/>
      </c>
      <c r="S199" t="str">
        <f>""</f>
        <v/>
      </c>
      <c r="T199" t="str">
        <f>""</f>
        <v/>
      </c>
      <c r="U199" t="str">
        <f>""</f>
        <v/>
      </c>
      <c r="V199" t="str">
        <f>""</f>
        <v/>
      </c>
      <c r="W199" t="str">
        <f>""</f>
        <v/>
      </c>
      <c r="X199" t="str">
        <f>""</f>
        <v/>
      </c>
      <c r="Y199" t="str">
        <f>""</f>
        <v/>
      </c>
      <c r="Z199" t="str">
        <f>""</f>
        <v/>
      </c>
      <c r="AA199" t="str">
        <f>""</f>
        <v/>
      </c>
      <c r="AB199" t="str">
        <f>""</f>
        <v/>
      </c>
      <c r="AC199" t="str">
        <f>""</f>
        <v/>
      </c>
      <c r="AD199" t="str">
        <f>""</f>
        <v/>
      </c>
      <c r="AE199" t="str">
        <f>""</f>
        <v/>
      </c>
      <c r="AF199" t="str">
        <f>""</f>
        <v/>
      </c>
      <c r="AG199" t="str">
        <f>""</f>
        <v/>
      </c>
      <c r="AH199" t="str">
        <f>""</f>
        <v/>
      </c>
      <c r="AI199" t="str">
        <f>""</f>
        <v/>
      </c>
      <c r="AJ199" t="str">
        <f>""</f>
        <v/>
      </c>
      <c r="AK199" t="str">
        <f>""</f>
        <v/>
      </c>
      <c r="AL199" t="str">
        <f>""</f>
        <v/>
      </c>
      <c r="AM199" t="str">
        <f>""</f>
        <v/>
      </c>
      <c r="AN199" t="str">
        <f>""</f>
        <v/>
      </c>
      <c r="AO199" t="str">
        <f>""</f>
        <v/>
      </c>
      <c r="AP199" t="str">
        <f>""</f>
        <v/>
      </c>
      <c r="AQ199" t="str">
        <f>""</f>
        <v/>
      </c>
      <c r="AR199" t="str">
        <f>""</f>
        <v/>
      </c>
      <c r="AS199" t="str">
        <f>""</f>
        <v/>
      </c>
      <c r="AT199" t="str">
        <f>""</f>
        <v/>
      </c>
      <c r="AU199" t="str">
        <f>""</f>
        <v/>
      </c>
      <c r="AV199" t="str">
        <f>""</f>
        <v/>
      </c>
      <c r="AW199" t="str">
        <f>""</f>
        <v/>
      </c>
      <c r="AX199" t="str">
        <f>""</f>
        <v/>
      </c>
      <c r="AY199" t="str">
        <f>""</f>
        <v/>
      </c>
      <c r="AZ199" t="str">
        <f>""</f>
        <v/>
      </c>
      <c r="BA199" t="str">
        <f>""</f>
        <v/>
      </c>
      <c r="BB199" t="str">
        <f>""</f>
        <v/>
      </c>
      <c r="BC199" t="str">
        <f>""</f>
        <v/>
      </c>
      <c r="BD199" t="str">
        <f>""</f>
        <v/>
      </c>
      <c r="BE199" t="str">
        <f>""</f>
        <v/>
      </c>
      <c r="BF199" t="str">
        <f>""</f>
        <v/>
      </c>
      <c r="BG199" t="str">
        <f>""</f>
        <v/>
      </c>
      <c r="BH199" t="str">
        <f>""</f>
        <v/>
      </c>
      <c r="BI199" t="str">
        <f>""</f>
        <v/>
      </c>
      <c r="BJ199" t="str">
        <f>""</f>
        <v/>
      </c>
      <c r="BK199" t="str">
        <f>""</f>
        <v/>
      </c>
      <c r="BL199" t="str">
        <f>""</f>
        <v/>
      </c>
      <c r="BM199" t="str">
        <f>""</f>
        <v/>
      </c>
      <c r="BN199" t="str">
        <f>""</f>
        <v/>
      </c>
      <c r="BO199" t="str">
        <f>""</f>
        <v/>
      </c>
      <c r="BP199" t="str">
        <f>""</f>
        <v/>
      </c>
      <c r="BQ199" t="str">
        <f>""</f>
        <v/>
      </c>
      <c r="BR199" t="str">
        <f>""</f>
        <v/>
      </c>
      <c r="BS199" t="str">
        <f>""</f>
        <v/>
      </c>
      <c r="BT199" t="str">
        <f>""</f>
        <v/>
      </c>
      <c r="BU199" t="str">
        <f>""</f>
        <v/>
      </c>
      <c r="BV199" t="str">
        <f>""</f>
        <v/>
      </c>
      <c r="BW199" t="str">
        <f>""</f>
        <v/>
      </c>
      <c r="BX199" t="str">
        <f>""</f>
        <v/>
      </c>
      <c r="BY199" t="str">
        <f>""</f>
        <v/>
      </c>
      <c r="BZ199" t="str">
        <f>""</f>
        <v/>
      </c>
      <c r="CA199" t="str">
        <f>""</f>
        <v/>
      </c>
      <c r="CB199" t="str">
        <f>""</f>
        <v/>
      </c>
      <c r="CC199" t="str">
        <f>""</f>
        <v/>
      </c>
      <c r="CD199" t="str">
        <f>""</f>
        <v/>
      </c>
      <c r="CE199" t="str">
        <f>""</f>
        <v/>
      </c>
      <c r="CF199" t="str">
        <f>""</f>
        <v/>
      </c>
      <c r="CG199" t="str">
        <f>""</f>
        <v/>
      </c>
      <c r="CH199" t="str">
        <f>""</f>
        <v/>
      </c>
      <c r="CI199" t="str">
        <f>""</f>
        <v/>
      </c>
      <c r="CJ199" t="str">
        <f>""</f>
        <v/>
      </c>
      <c r="CK199" t="str">
        <f>""</f>
        <v/>
      </c>
      <c r="CL199" t="str">
        <f>""</f>
        <v/>
      </c>
      <c r="CM199" t="str">
        <f>""</f>
        <v/>
      </c>
      <c r="CN199" t="str">
        <f>""</f>
        <v/>
      </c>
      <c r="CO199" t="str">
        <f>""</f>
        <v/>
      </c>
      <c r="CP199" t="str">
        <f>""</f>
        <v/>
      </c>
      <c r="CQ199" t="str">
        <f>""</f>
        <v/>
      </c>
      <c r="CR199" t="str">
        <f>""</f>
        <v/>
      </c>
      <c r="CS199" t="str">
        <f>""</f>
        <v/>
      </c>
      <c r="CT199" t="str">
        <f>""</f>
        <v/>
      </c>
      <c r="CU199" t="str">
        <f>""</f>
        <v/>
      </c>
      <c r="CV199" t="str">
        <f>""</f>
        <v/>
      </c>
      <c r="CW199" t="str">
        <f>""</f>
        <v/>
      </c>
      <c r="CX199" t="str">
        <f>""</f>
        <v/>
      </c>
      <c r="CY199" t="str">
        <f>""</f>
        <v/>
      </c>
      <c r="CZ199" t="str">
        <f>""</f>
        <v/>
      </c>
      <c r="DA199" t="str">
        <f>""</f>
        <v/>
      </c>
      <c r="DB199" t="str">
        <f>""</f>
        <v/>
      </c>
      <c r="DC199" t="str">
        <f>""</f>
        <v/>
      </c>
      <c r="DD199" t="str">
        <f>""</f>
        <v/>
      </c>
      <c r="DE199" t="str">
        <f>""</f>
        <v/>
      </c>
      <c r="DF199" t="str">
        <f>""</f>
        <v/>
      </c>
      <c r="DG199" t="str">
        <f>""</f>
        <v/>
      </c>
      <c r="DH199" t="str">
        <f>""</f>
        <v/>
      </c>
      <c r="DI199" t="str">
        <f>"(0.108)"</f>
        <v>(0.108)</v>
      </c>
      <c r="DJ199" t="str">
        <f>"(0.0860)"</f>
        <v>(0.0860)</v>
      </c>
      <c r="DK199" t="str">
        <f>"(0.0452)"</f>
        <v>(0.0452)</v>
      </c>
      <c r="DL199" t="str">
        <f>""</f>
        <v/>
      </c>
      <c r="DM199" t="str">
        <f>""</f>
        <v/>
      </c>
      <c r="DN199" t="str">
        <f>""</f>
        <v/>
      </c>
      <c r="DO199" t="str">
        <f>""</f>
        <v/>
      </c>
      <c r="DP199" t="str">
        <f>""</f>
        <v/>
      </c>
      <c r="DQ199" t="str">
        <f>""</f>
        <v/>
      </c>
      <c r="DR199" t="str">
        <f>""</f>
        <v/>
      </c>
      <c r="DS199" t="str">
        <f>""</f>
        <v/>
      </c>
      <c r="DT199" t="str">
        <f>""</f>
        <v/>
      </c>
      <c r="DU199" t="str">
        <f>""</f>
        <v/>
      </c>
      <c r="DV199" t="str">
        <f>""</f>
        <v/>
      </c>
      <c r="DW199" t="str">
        <f>""</f>
        <v/>
      </c>
      <c r="DX199" t="str">
        <f>""</f>
        <v/>
      </c>
      <c r="DY199" t="str">
        <f>""</f>
        <v/>
      </c>
      <c r="DZ199" t="str">
        <f>""</f>
        <v/>
      </c>
      <c r="EA199" t="str">
        <f>""</f>
        <v/>
      </c>
      <c r="EB199" t="str">
        <f>""</f>
        <v/>
      </c>
      <c r="EC199" t="str">
        <f>""</f>
        <v/>
      </c>
      <c r="ED199" t="str">
        <f>""</f>
        <v/>
      </c>
      <c r="EE199" t="str">
        <f>""</f>
        <v/>
      </c>
      <c r="EF199" t="str">
        <f>""</f>
        <v/>
      </c>
      <c r="EG199" t="str">
        <f>""</f>
        <v/>
      </c>
      <c r="EH199" t="str">
        <f>""</f>
        <v/>
      </c>
      <c r="EI199" t="str">
        <f>""</f>
        <v/>
      </c>
      <c r="EJ199" t="str">
        <f>""</f>
        <v/>
      </c>
      <c r="EK199" t="str">
        <f>""</f>
        <v/>
      </c>
      <c r="EL199" t="str">
        <f>""</f>
        <v/>
      </c>
      <c r="EM199" t="str">
        <f>""</f>
        <v/>
      </c>
      <c r="EN199" t="str">
        <f>""</f>
        <v/>
      </c>
      <c r="EO199" t="str">
        <f>""</f>
        <v/>
      </c>
      <c r="EP199" t="str">
        <f>""</f>
        <v/>
      </c>
      <c r="EQ199" t="str">
        <f>""</f>
        <v/>
      </c>
      <c r="ER199" t="str">
        <f>""</f>
        <v/>
      </c>
      <c r="ES199" t="str">
        <f>""</f>
        <v/>
      </c>
      <c r="ET199" t="str">
        <f>""</f>
        <v/>
      </c>
      <c r="EU199" t="str">
        <f>""</f>
        <v/>
      </c>
      <c r="EV199" t="str">
        <f>""</f>
        <v/>
      </c>
      <c r="EW199" t="str">
        <f>""</f>
        <v/>
      </c>
      <c r="EX199" t="str">
        <f>""</f>
        <v/>
      </c>
      <c r="EY199" t="str">
        <f>""</f>
        <v/>
      </c>
      <c r="EZ199" t="str">
        <f>""</f>
        <v/>
      </c>
      <c r="FA199" t="str">
        <f>""</f>
        <v/>
      </c>
      <c r="FB199" t="str">
        <f>""</f>
        <v/>
      </c>
      <c r="FC199" t="str">
        <f>""</f>
        <v/>
      </c>
      <c r="FD199" t="str">
        <f>""</f>
        <v/>
      </c>
      <c r="FE199" t="str">
        <f>""</f>
        <v/>
      </c>
      <c r="FF199" t="str">
        <f>""</f>
        <v/>
      </c>
      <c r="FG199" t="str">
        <f>""</f>
        <v/>
      </c>
      <c r="FH199" t="str">
        <f>""</f>
        <v/>
      </c>
      <c r="FI199" t="str">
        <f>""</f>
        <v/>
      </c>
      <c r="FJ199" t="str">
        <f>""</f>
        <v/>
      </c>
      <c r="FK199" t="str">
        <f>""</f>
        <v/>
      </c>
      <c r="FL199" t="str">
        <f>""</f>
        <v/>
      </c>
      <c r="FM199" t="str">
        <f>""</f>
        <v/>
      </c>
      <c r="FN199" t="str">
        <f>""</f>
        <v/>
      </c>
      <c r="FO199" t="str">
        <f>""</f>
        <v/>
      </c>
      <c r="FP199" t="str">
        <f>""</f>
        <v/>
      </c>
      <c r="FQ199" t="str">
        <f>""</f>
        <v/>
      </c>
      <c r="FR199" t="str">
        <f>""</f>
        <v/>
      </c>
      <c r="FS199" t="str">
        <f>""</f>
        <v/>
      </c>
      <c r="FT199" t="str">
        <f>""</f>
        <v/>
      </c>
      <c r="FU199" t="str">
        <f>""</f>
        <v/>
      </c>
      <c r="FV199" t="str">
        <f>""</f>
        <v/>
      </c>
      <c r="FW199" t="str">
        <f>""</f>
        <v/>
      </c>
      <c r="FX199" t="str">
        <f>""</f>
        <v/>
      </c>
      <c r="FY199" t="str">
        <f>""</f>
        <v/>
      </c>
      <c r="FZ199" t="str">
        <f>""</f>
        <v/>
      </c>
      <c r="GA199" t="str">
        <f>""</f>
        <v/>
      </c>
      <c r="GB199" t="str">
        <f>""</f>
        <v/>
      </c>
      <c r="GC199" t="str">
        <f>""</f>
        <v/>
      </c>
      <c r="GD199" t="str">
        <f>""</f>
        <v/>
      </c>
      <c r="GE199" t="str">
        <f>""</f>
        <v/>
      </c>
      <c r="GF199" t="str">
        <f>""</f>
        <v/>
      </c>
      <c r="GG199" t="str">
        <f>""</f>
        <v/>
      </c>
      <c r="GH199" t="str">
        <f>""</f>
        <v/>
      </c>
      <c r="GI199" t="str">
        <f>""</f>
        <v/>
      </c>
      <c r="GJ199" t="str">
        <f>""</f>
        <v/>
      </c>
      <c r="GK199" t="str">
        <f>""</f>
        <v/>
      </c>
      <c r="GL199" t="str">
        <f>""</f>
        <v/>
      </c>
      <c r="GM199" t="str">
        <f>""</f>
        <v/>
      </c>
      <c r="GN199" t="str">
        <f>""</f>
        <v/>
      </c>
      <c r="GO199" t="str">
        <f>""</f>
        <v/>
      </c>
      <c r="GP199" t="str">
        <f>""</f>
        <v/>
      </c>
      <c r="GQ199" t="str">
        <f>""</f>
        <v/>
      </c>
      <c r="GR199" t="str">
        <f>""</f>
        <v/>
      </c>
      <c r="GS199" t="str">
        <f>""</f>
        <v/>
      </c>
      <c r="GT199" t="str">
        <f>""</f>
        <v/>
      </c>
      <c r="GU199" t="str">
        <f>""</f>
        <v/>
      </c>
      <c r="GV199" t="str">
        <f>""</f>
        <v/>
      </c>
      <c r="GW199" t="str">
        <f>""</f>
        <v/>
      </c>
      <c r="GX199" t="str">
        <f>""</f>
        <v/>
      </c>
      <c r="GY199" t="str">
        <f>""</f>
        <v/>
      </c>
      <c r="GZ199" t="str">
        <f>""</f>
        <v/>
      </c>
      <c r="HA199" t="str">
        <f>""</f>
        <v/>
      </c>
      <c r="HB199" t="str">
        <f>""</f>
        <v/>
      </c>
      <c r="HC199" t="str">
        <f>""</f>
        <v/>
      </c>
      <c r="HD199" t="str">
        <f>""</f>
        <v/>
      </c>
      <c r="HE199" t="str">
        <f>""</f>
        <v/>
      </c>
      <c r="HF199" t="str">
        <f>""</f>
        <v/>
      </c>
      <c r="HG199" t="str">
        <f>""</f>
        <v/>
      </c>
      <c r="HH199" t="str">
        <f>""</f>
        <v/>
      </c>
      <c r="HI199" t="str">
        <f>""</f>
        <v/>
      </c>
      <c r="HJ199" t="str">
        <f>""</f>
        <v/>
      </c>
      <c r="HK199" t="str">
        <f>""</f>
        <v/>
      </c>
      <c r="HL199" t="str">
        <f>""</f>
        <v/>
      </c>
      <c r="HM199" t="str">
        <f>""</f>
        <v/>
      </c>
      <c r="HN199" t="str">
        <f>""</f>
        <v/>
      </c>
      <c r="HO199" t="str">
        <f>""</f>
        <v/>
      </c>
      <c r="HP199" t="str">
        <f>""</f>
        <v/>
      </c>
      <c r="HQ199" t="str">
        <f>""</f>
        <v/>
      </c>
      <c r="HR199" t="str">
        <f>""</f>
        <v/>
      </c>
      <c r="HS199" t="str">
        <f>""</f>
        <v/>
      </c>
      <c r="HT199" t="str">
        <f>""</f>
        <v/>
      </c>
      <c r="HU199" t="str">
        <f>""</f>
        <v/>
      </c>
      <c r="HV199" t="str">
        <f>""</f>
        <v/>
      </c>
      <c r="HW199" t="str">
        <f>""</f>
        <v/>
      </c>
      <c r="HX199" t="str">
        <f>""</f>
        <v/>
      </c>
      <c r="HY199" t="str">
        <f>""</f>
        <v/>
      </c>
      <c r="HZ199" t="str">
        <f>""</f>
        <v/>
      </c>
      <c r="IA199" t="str">
        <f>""</f>
        <v/>
      </c>
      <c r="IB199" t="str">
        <f>""</f>
        <v/>
      </c>
      <c r="IC199" t="str">
        <f>""</f>
        <v/>
      </c>
      <c r="ID199" t="str">
        <f>""</f>
        <v/>
      </c>
      <c r="IE199" t="str">
        <f>""</f>
        <v/>
      </c>
      <c r="IF199" t="str">
        <f>""</f>
        <v/>
      </c>
      <c r="IG199" t="str">
        <f>""</f>
        <v/>
      </c>
      <c r="IH199" t="str">
        <f>""</f>
        <v/>
      </c>
      <c r="II199" t="str">
        <f>""</f>
        <v/>
      </c>
      <c r="IJ199" t="str">
        <f>""</f>
        <v/>
      </c>
      <c r="IK199" t="str">
        <f>""</f>
        <v/>
      </c>
      <c r="IL199" t="str">
        <f>""</f>
        <v/>
      </c>
      <c r="IM199" t="str">
        <f>""</f>
        <v/>
      </c>
      <c r="IN199" t="str">
        <f>""</f>
        <v/>
      </c>
      <c r="IO199" t="str">
        <f>""</f>
        <v/>
      </c>
      <c r="IP199" t="str">
        <f>""</f>
        <v/>
      </c>
      <c r="IQ199" t="str">
        <f>""</f>
        <v/>
      </c>
      <c r="IR199" t="str">
        <f>""</f>
        <v/>
      </c>
      <c r="IS199" t="str">
        <f>""</f>
        <v/>
      </c>
      <c r="IT199" t="str">
        <f>""</f>
        <v/>
      </c>
      <c r="IU199" t="str">
        <f>""</f>
        <v/>
      </c>
      <c r="IV199" t="str">
        <f>""</f>
        <v/>
      </c>
      <c r="IW199" t="str">
        <f>""</f>
        <v/>
      </c>
      <c r="IX199" t="str">
        <f>""</f>
        <v/>
      </c>
      <c r="IY199" t="str">
        <f>""</f>
        <v/>
      </c>
      <c r="IZ199" t="str">
        <f>""</f>
        <v/>
      </c>
      <c r="JA199" t="str">
        <f>""</f>
        <v/>
      </c>
      <c r="JB199" t="str">
        <f>""</f>
        <v/>
      </c>
      <c r="JC199" t="str">
        <f>""</f>
        <v/>
      </c>
      <c r="JD199" t="str">
        <f>""</f>
        <v/>
      </c>
      <c r="JE199" t="str">
        <f>""</f>
        <v/>
      </c>
      <c r="JF199" t="str">
        <f>""</f>
        <v/>
      </c>
      <c r="JG199" t="str">
        <f>""</f>
        <v/>
      </c>
      <c r="JH199" t="str">
        <f>""</f>
        <v/>
      </c>
      <c r="JI199" t="str">
        <f>""</f>
        <v/>
      </c>
      <c r="JJ199" t="str">
        <f>""</f>
        <v/>
      </c>
      <c r="JK199" t="str">
        <f>""</f>
        <v/>
      </c>
    </row>
    <row r="201" spans="1:271" x14ac:dyDescent="0.3">
      <c r="A201" t="str">
        <f>"c.zMETAB9#c.PM3"</f>
        <v>c.zMETAB9#c.PM3</v>
      </c>
      <c r="B201" t="str">
        <f>""</f>
        <v/>
      </c>
      <c r="C201" t="str">
        <f>""</f>
        <v/>
      </c>
      <c r="D201" t="str">
        <f>""</f>
        <v/>
      </c>
      <c r="E201" t="str">
        <f>""</f>
        <v/>
      </c>
      <c r="F201" t="str">
        <f>""</f>
        <v/>
      </c>
      <c r="G201" t="str">
        <f>""</f>
        <v/>
      </c>
      <c r="H201" t="str">
        <f>""</f>
        <v/>
      </c>
      <c r="I201" t="str">
        <f>""</f>
        <v/>
      </c>
      <c r="J201" t="str">
        <f>""</f>
        <v/>
      </c>
      <c r="K201" t="str">
        <f>""</f>
        <v/>
      </c>
      <c r="L201" t="str">
        <f>""</f>
        <v/>
      </c>
      <c r="M201" t="str">
        <f>""</f>
        <v/>
      </c>
      <c r="N201" t="str">
        <f>""</f>
        <v/>
      </c>
      <c r="O201" t="str">
        <f>""</f>
        <v/>
      </c>
      <c r="P201" t="str">
        <f>""</f>
        <v/>
      </c>
      <c r="Q201" t="str">
        <f>""</f>
        <v/>
      </c>
      <c r="R201" t="str">
        <f>""</f>
        <v/>
      </c>
      <c r="S201" t="str">
        <f>""</f>
        <v/>
      </c>
      <c r="T201" t="str">
        <f>""</f>
        <v/>
      </c>
      <c r="U201" t="str">
        <f>""</f>
        <v/>
      </c>
      <c r="V201" t="str">
        <f>""</f>
        <v/>
      </c>
      <c r="W201" t="str">
        <f>""</f>
        <v/>
      </c>
      <c r="X201" t="str">
        <f>""</f>
        <v/>
      </c>
      <c r="Y201" t="str">
        <f>""</f>
        <v/>
      </c>
      <c r="Z201" t="str">
        <f>""</f>
        <v/>
      </c>
      <c r="AA201" t="str">
        <f>""</f>
        <v/>
      </c>
      <c r="AB201" t="str">
        <f>""</f>
        <v/>
      </c>
      <c r="AC201" t="str">
        <f>""</f>
        <v/>
      </c>
      <c r="AD201" t="str">
        <f>""</f>
        <v/>
      </c>
      <c r="AE201" t="str">
        <f>""</f>
        <v/>
      </c>
      <c r="AF201" t="str">
        <f>""</f>
        <v/>
      </c>
      <c r="AG201" t="str">
        <f>""</f>
        <v/>
      </c>
      <c r="AH201" t="str">
        <f>""</f>
        <v/>
      </c>
      <c r="AI201" t="str">
        <f>""</f>
        <v/>
      </c>
      <c r="AJ201" t="str">
        <f>""</f>
        <v/>
      </c>
      <c r="AK201" t="str">
        <f>""</f>
        <v/>
      </c>
      <c r="AL201" t="str">
        <f>""</f>
        <v/>
      </c>
      <c r="AM201" t="str">
        <f>""</f>
        <v/>
      </c>
      <c r="AN201" t="str">
        <f>""</f>
        <v/>
      </c>
      <c r="AO201" t="str">
        <f>""</f>
        <v/>
      </c>
      <c r="AP201" t="str">
        <f>""</f>
        <v/>
      </c>
      <c r="AQ201" t="str">
        <f>""</f>
        <v/>
      </c>
      <c r="AR201" t="str">
        <f>""</f>
        <v/>
      </c>
      <c r="AS201" t="str">
        <f>""</f>
        <v/>
      </c>
      <c r="AT201" t="str">
        <f>""</f>
        <v/>
      </c>
      <c r="AU201" t="str">
        <f>""</f>
        <v/>
      </c>
      <c r="AV201" t="str">
        <f>""</f>
        <v/>
      </c>
      <c r="AW201" t="str">
        <f>""</f>
        <v/>
      </c>
      <c r="AX201" t="str">
        <f>""</f>
        <v/>
      </c>
      <c r="AY201" t="str">
        <f>""</f>
        <v/>
      </c>
      <c r="AZ201" t="str">
        <f>""</f>
        <v/>
      </c>
      <c r="BA201" t="str">
        <f>""</f>
        <v/>
      </c>
      <c r="BB201" t="str">
        <f>""</f>
        <v/>
      </c>
      <c r="BC201" t="str">
        <f>""</f>
        <v/>
      </c>
      <c r="BD201" t="str">
        <f>""</f>
        <v/>
      </c>
      <c r="BE201" t="str">
        <f>""</f>
        <v/>
      </c>
      <c r="BF201" t="str">
        <f>""</f>
        <v/>
      </c>
      <c r="BG201" t="str">
        <f>""</f>
        <v/>
      </c>
      <c r="BH201" t="str">
        <f>""</f>
        <v/>
      </c>
      <c r="BI201" t="str">
        <f>""</f>
        <v/>
      </c>
      <c r="BJ201" t="str">
        <f>""</f>
        <v/>
      </c>
      <c r="BK201" t="str">
        <f>""</f>
        <v/>
      </c>
      <c r="BL201" t="str">
        <f>""</f>
        <v/>
      </c>
      <c r="BM201" t="str">
        <f>""</f>
        <v/>
      </c>
      <c r="BN201" t="str">
        <f>""</f>
        <v/>
      </c>
      <c r="BO201" t="str">
        <f>""</f>
        <v/>
      </c>
      <c r="BP201" t="str">
        <f>""</f>
        <v/>
      </c>
      <c r="BQ201" t="str">
        <f>""</f>
        <v/>
      </c>
      <c r="BR201" t="str">
        <f>""</f>
        <v/>
      </c>
      <c r="BS201" t="str">
        <f>""</f>
        <v/>
      </c>
      <c r="BT201" t="str">
        <f>""</f>
        <v/>
      </c>
      <c r="BU201" t="str">
        <f>""</f>
        <v/>
      </c>
      <c r="BV201" t="str">
        <f>""</f>
        <v/>
      </c>
      <c r="BW201" t="str">
        <f>""</f>
        <v/>
      </c>
      <c r="BX201" t="str">
        <f>""</f>
        <v/>
      </c>
      <c r="BY201" t="str">
        <f>""</f>
        <v/>
      </c>
      <c r="BZ201" t="str">
        <f>""</f>
        <v/>
      </c>
      <c r="CA201" t="str">
        <f>""</f>
        <v/>
      </c>
      <c r="CB201" t="str">
        <f>""</f>
        <v/>
      </c>
      <c r="CC201" t="str">
        <f>""</f>
        <v/>
      </c>
      <c r="CD201" t="str">
        <f>""</f>
        <v/>
      </c>
      <c r="CE201" t="str">
        <f>""</f>
        <v/>
      </c>
      <c r="CF201" t="str">
        <f>""</f>
        <v/>
      </c>
      <c r="CG201" t="str">
        <f>""</f>
        <v/>
      </c>
      <c r="CH201" t="str">
        <f>""</f>
        <v/>
      </c>
      <c r="CI201" t="str">
        <f>""</f>
        <v/>
      </c>
      <c r="CJ201" t="str">
        <f>""</f>
        <v/>
      </c>
      <c r="CK201" t="str">
        <f>""</f>
        <v/>
      </c>
      <c r="CL201" t="str">
        <f>""</f>
        <v/>
      </c>
      <c r="CM201" t="str">
        <f>""</f>
        <v/>
      </c>
      <c r="CN201" t="str">
        <f>""</f>
        <v/>
      </c>
      <c r="CO201" t="str">
        <f>""</f>
        <v/>
      </c>
      <c r="CP201" t="str">
        <f>""</f>
        <v/>
      </c>
      <c r="CQ201" t="str">
        <f>""</f>
        <v/>
      </c>
      <c r="CR201" t="str">
        <f>""</f>
        <v/>
      </c>
      <c r="CS201" t="str">
        <f>""</f>
        <v/>
      </c>
      <c r="CT201" t="str">
        <f>""</f>
        <v/>
      </c>
      <c r="CU201" t="str">
        <f>""</f>
        <v/>
      </c>
      <c r="CV201" t="str">
        <f>""</f>
        <v/>
      </c>
      <c r="CW201" t="str">
        <f>""</f>
        <v/>
      </c>
      <c r="CX201" t="str">
        <f>""</f>
        <v/>
      </c>
      <c r="CY201" t="str">
        <f>""</f>
        <v/>
      </c>
      <c r="CZ201" t="str">
        <f>""</f>
        <v/>
      </c>
      <c r="DA201" t="str">
        <f>""</f>
        <v/>
      </c>
      <c r="DB201" t="str">
        <f>""</f>
        <v/>
      </c>
      <c r="DC201" t="str">
        <f>""</f>
        <v/>
      </c>
      <c r="DD201" t="str">
        <f>""</f>
        <v/>
      </c>
      <c r="DE201" t="str">
        <f>""</f>
        <v/>
      </c>
      <c r="DF201" t="str">
        <f>""</f>
        <v/>
      </c>
      <c r="DG201" t="str">
        <f>""</f>
        <v/>
      </c>
      <c r="DH201" t="str">
        <f>""</f>
        <v/>
      </c>
      <c r="DI201" t="str">
        <f>""</f>
        <v/>
      </c>
      <c r="DJ201" t="str">
        <f>""</f>
        <v/>
      </c>
      <c r="DK201" t="str">
        <f>""</f>
        <v/>
      </c>
      <c r="DL201" t="str">
        <f>"0.0903"</f>
        <v>0.0903</v>
      </c>
      <c r="DM201" t="str">
        <f>"-0.0110"</f>
        <v>-0.0110</v>
      </c>
      <c r="DN201" t="str">
        <f>"-0.0207"</f>
        <v>-0.0207</v>
      </c>
      <c r="DO201" t="str">
        <f>""</f>
        <v/>
      </c>
      <c r="DP201" t="str">
        <f>""</f>
        <v/>
      </c>
      <c r="DQ201" t="str">
        <f>""</f>
        <v/>
      </c>
      <c r="DR201" t="str">
        <f>""</f>
        <v/>
      </c>
      <c r="DS201" t="str">
        <f>""</f>
        <v/>
      </c>
      <c r="DT201" t="str">
        <f>""</f>
        <v/>
      </c>
      <c r="DU201" t="str">
        <f>""</f>
        <v/>
      </c>
      <c r="DV201" t="str">
        <f>""</f>
        <v/>
      </c>
      <c r="DW201" t="str">
        <f>""</f>
        <v/>
      </c>
      <c r="DX201" t="str">
        <f>""</f>
        <v/>
      </c>
      <c r="DY201" t="str">
        <f>""</f>
        <v/>
      </c>
      <c r="DZ201" t="str">
        <f>""</f>
        <v/>
      </c>
      <c r="EA201" t="str">
        <f>""</f>
        <v/>
      </c>
      <c r="EB201" t="str">
        <f>""</f>
        <v/>
      </c>
      <c r="EC201" t="str">
        <f>""</f>
        <v/>
      </c>
      <c r="ED201" t="str">
        <f>""</f>
        <v/>
      </c>
      <c r="EE201" t="str">
        <f>""</f>
        <v/>
      </c>
      <c r="EF201" t="str">
        <f>""</f>
        <v/>
      </c>
      <c r="EG201" t="str">
        <f>""</f>
        <v/>
      </c>
      <c r="EH201" t="str">
        <f>""</f>
        <v/>
      </c>
      <c r="EI201" t="str">
        <f>""</f>
        <v/>
      </c>
      <c r="EJ201" t="str">
        <f>""</f>
        <v/>
      </c>
      <c r="EK201" t="str">
        <f>""</f>
        <v/>
      </c>
      <c r="EL201" t="str">
        <f>""</f>
        <v/>
      </c>
      <c r="EM201" t="str">
        <f>""</f>
        <v/>
      </c>
      <c r="EN201" t="str">
        <f>""</f>
        <v/>
      </c>
      <c r="EO201" t="str">
        <f>""</f>
        <v/>
      </c>
      <c r="EP201" t="str">
        <f>""</f>
        <v/>
      </c>
      <c r="EQ201" t="str">
        <f>""</f>
        <v/>
      </c>
      <c r="ER201" t="str">
        <f>""</f>
        <v/>
      </c>
      <c r="ES201" t="str">
        <f>""</f>
        <v/>
      </c>
      <c r="ET201" t="str">
        <f>""</f>
        <v/>
      </c>
      <c r="EU201" t="str">
        <f>""</f>
        <v/>
      </c>
      <c r="EV201" t="str">
        <f>""</f>
        <v/>
      </c>
      <c r="EW201" t="str">
        <f>""</f>
        <v/>
      </c>
      <c r="EX201" t="str">
        <f>""</f>
        <v/>
      </c>
      <c r="EY201" t="str">
        <f>""</f>
        <v/>
      </c>
      <c r="EZ201" t="str">
        <f>""</f>
        <v/>
      </c>
      <c r="FA201" t="str">
        <f>""</f>
        <v/>
      </c>
      <c r="FB201" t="str">
        <f>""</f>
        <v/>
      </c>
      <c r="FC201" t="str">
        <f>""</f>
        <v/>
      </c>
      <c r="FD201" t="str">
        <f>""</f>
        <v/>
      </c>
      <c r="FE201" t="str">
        <f>""</f>
        <v/>
      </c>
      <c r="FF201" t="str">
        <f>""</f>
        <v/>
      </c>
      <c r="FG201" t="str">
        <f>""</f>
        <v/>
      </c>
      <c r="FH201" t="str">
        <f>""</f>
        <v/>
      </c>
      <c r="FI201" t="str">
        <f>""</f>
        <v/>
      </c>
      <c r="FJ201" t="str">
        <f>""</f>
        <v/>
      </c>
      <c r="FK201" t="str">
        <f>""</f>
        <v/>
      </c>
      <c r="FL201" t="str">
        <f>""</f>
        <v/>
      </c>
      <c r="FM201" t="str">
        <f>""</f>
        <v/>
      </c>
      <c r="FN201" t="str">
        <f>""</f>
        <v/>
      </c>
      <c r="FO201" t="str">
        <f>""</f>
        <v/>
      </c>
      <c r="FP201" t="str">
        <f>""</f>
        <v/>
      </c>
      <c r="FQ201" t="str">
        <f>""</f>
        <v/>
      </c>
      <c r="FR201" t="str">
        <f>""</f>
        <v/>
      </c>
      <c r="FS201" t="str">
        <f>""</f>
        <v/>
      </c>
      <c r="FT201" t="str">
        <f>""</f>
        <v/>
      </c>
      <c r="FU201" t="str">
        <f>""</f>
        <v/>
      </c>
      <c r="FV201" t="str">
        <f>""</f>
        <v/>
      </c>
      <c r="FW201" t="str">
        <f>""</f>
        <v/>
      </c>
      <c r="FX201" t="str">
        <f>""</f>
        <v/>
      </c>
      <c r="FY201" t="str">
        <f>""</f>
        <v/>
      </c>
      <c r="FZ201" t="str">
        <f>""</f>
        <v/>
      </c>
      <c r="GA201" t="str">
        <f>""</f>
        <v/>
      </c>
      <c r="GB201" t="str">
        <f>""</f>
        <v/>
      </c>
      <c r="GC201" t="str">
        <f>""</f>
        <v/>
      </c>
      <c r="GD201" t="str">
        <f>""</f>
        <v/>
      </c>
      <c r="GE201" t="str">
        <f>""</f>
        <v/>
      </c>
      <c r="GF201" t="str">
        <f>""</f>
        <v/>
      </c>
      <c r="GG201" t="str">
        <f>""</f>
        <v/>
      </c>
      <c r="GH201" t="str">
        <f>""</f>
        <v/>
      </c>
      <c r="GI201" t="str">
        <f>""</f>
        <v/>
      </c>
      <c r="GJ201" t="str">
        <f>""</f>
        <v/>
      </c>
      <c r="GK201" t="str">
        <f>""</f>
        <v/>
      </c>
      <c r="GL201" t="str">
        <f>""</f>
        <v/>
      </c>
      <c r="GM201" t="str">
        <f>""</f>
        <v/>
      </c>
      <c r="GN201" t="str">
        <f>""</f>
        <v/>
      </c>
      <c r="GO201" t="str">
        <f>""</f>
        <v/>
      </c>
      <c r="GP201" t="str">
        <f>""</f>
        <v/>
      </c>
      <c r="GQ201" t="str">
        <f>""</f>
        <v/>
      </c>
      <c r="GR201" t="str">
        <f>""</f>
        <v/>
      </c>
      <c r="GS201" t="str">
        <f>""</f>
        <v/>
      </c>
      <c r="GT201" t="str">
        <f>""</f>
        <v/>
      </c>
      <c r="GU201" t="str">
        <f>""</f>
        <v/>
      </c>
      <c r="GV201" t="str">
        <f>""</f>
        <v/>
      </c>
      <c r="GW201" t="str">
        <f>""</f>
        <v/>
      </c>
      <c r="GX201" t="str">
        <f>""</f>
        <v/>
      </c>
      <c r="GY201" t="str">
        <f>""</f>
        <v/>
      </c>
      <c r="GZ201" t="str">
        <f>""</f>
        <v/>
      </c>
      <c r="HA201" t="str">
        <f>""</f>
        <v/>
      </c>
      <c r="HB201" t="str">
        <f>""</f>
        <v/>
      </c>
      <c r="HC201" t="str">
        <f>""</f>
        <v/>
      </c>
      <c r="HD201" t="str">
        <f>""</f>
        <v/>
      </c>
      <c r="HE201" t="str">
        <f>""</f>
        <v/>
      </c>
      <c r="HF201" t="str">
        <f>""</f>
        <v/>
      </c>
      <c r="HG201" t="str">
        <f>""</f>
        <v/>
      </c>
      <c r="HH201" t="str">
        <f>""</f>
        <v/>
      </c>
      <c r="HI201" t="str">
        <f>""</f>
        <v/>
      </c>
      <c r="HJ201" t="str">
        <f>""</f>
        <v/>
      </c>
      <c r="HK201" t="str">
        <f>""</f>
        <v/>
      </c>
      <c r="HL201" t="str">
        <f>""</f>
        <v/>
      </c>
      <c r="HM201" t="str">
        <f>""</f>
        <v/>
      </c>
      <c r="HN201" t="str">
        <f>""</f>
        <v/>
      </c>
      <c r="HO201" t="str">
        <f>""</f>
        <v/>
      </c>
      <c r="HP201" t="str">
        <f>""</f>
        <v/>
      </c>
      <c r="HQ201" t="str">
        <f>""</f>
        <v/>
      </c>
      <c r="HR201" t="str">
        <f>""</f>
        <v/>
      </c>
      <c r="HS201" t="str">
        <f>""</f>
        <v/>
      </c>
      <c r="HT201" t="str">
        <f>""</f>
        <v/>
      </c>
      <c r="HU201" t="str">
        <f>""</f>
        <v/>
      </c>
      <c r="HV201" t="str">
        <f>""</f>
        <v/>
      </c>
      <c r="HW201" t="str">
        <f>""</f>
        <v/>
      </c>
      <c r="HX201" t="str">
        <f>""</f>
        <v/>
      </c>
      <c r="HY201" t="str">
        <f>""</f>
        <v/>
      </c>
      <c r="HZ201" t="str">
        <f>""</f>
        <v/>
      </c>
      <c r="IA201" t="str">
        <f>""</f>
        <v/>
      </c>
      <c r="IB201" t="str">
        <f>""</f>
        <v/>
      </c>
      <c r="IC201" t="str">
        <f>""</f>
        <v/>
      </c>
      <c r="ID201" t="str">
        <f>""</f>
        <v/>
      </c>
      <c r="IE201" t="str">
        <f>""</f>
        <v/>
      </c>
      <c r="IF201" t="str">
        <f>""</f>
        <v/>
      </c>
      <c r="IG201" t="str">
        <f>""</f>
        <v/>
      </c>
      <c r="IH201" t="str">
        <f>""</f>
        <v/>
      </c>
      <c r="II201" t="str">
        <f>""</f>
        <v/>
      </c>
      <c r="IJ201" t="str">
        <f>""</f>
        <v/>
      </c>
      <c r="IK201" t="str">
        <f>""</f>
        <v/>
      </c>
      <c r="IL201" t="str">
        <f>""</f>
        <v/>
      </c>
      <c r="IM201" t="str">
        <f>""</f>
        <v/>
      </c>
      <c r="IN201" t="str">
        <f>""</f>
        <v/>
      </c>
      <c r="IO201" t="str">
        <f>""</f>
        <v/>
      </c>
      <c r="IP201" t="str">
        <f>""</f>
        <v/>
      </c>
      <c r="IQ201" t="str">
        <f>""</f>
        <v/>
      </c>
      <c r="IR201" t="str">
        <f>""</f>
        <v/>
      </c>
      <c r="IS201" t="str">
        <f>""</f>
        <v/>
      </c>
      <c r="IT201" t="str">
        <f>""</f>
        <v/>
      </c>
      <c r="IU201" t="str">
        <f>""</f>
        <v/>
      </c>
      <c r="IV201" t="str">
        <f>""</f>
        <v/>
      </c>
      <c r="IW201" t="str">
        <f>""</f>
        <v/>
      </c>
      <c r="IX201" t="str">
        <f>""</f>
        <v/>
      </c>
      <c r="IY201" t="str">
        <f>""</f>
        <v/>
      </c>
      <c r="IZ201" t="str">
        <f>""</f>
        <v/>
      </c>
      <c r="JA201" t="str">
        <f>""</f>
        <v/>
      </c>
      <c r="JB201" t="str">
        <f>""</f>
        <v/>
      </c>
      <c r="JC201" t="str">
        <f>""</f>
        <v/>
      </c>
      <c r="JD201" t="str">
        <f>""</f>
        <v/>
      </c>
      <c r="JE201" t="str">
        <f>""</f>
        <v/>
      </c>
      <c r="JF201" t="str">
        <f>""</f>
        <v/>
      </c>
      <c r="JG201" t="str">
        <f>""</f>
        <v/>
      </c>
      <c r="JH201" t="str">
        <f>""</f>
        <v/>
      </c>
      <c r="JI201" t="str">
        <f>""</f>
        <v/>
      </c>
      <c r="JJ201" t="str">
        <f>""</f>
        <v/>
      </c>
      <c r="JK201" t="str">
        <f>""</f>
        <v/>
      </c>
    </row>
    <row r="202" spans="1:271" x14ac:dyDescent="0.3">
      <c r="A202" t="str">
        <f>""</f>
        <v/>
      </c>
      <c r="B202" t="str">
        <f>""</f>
        <v/>
      </c>
      <c r="C202" t="str">
        <f>""</f>
        <v/>
      </c>
      <c r="D202" t="str">
        <f>""</f>
        <v/>
      </c>
      <c r="E202" t="str">
        <f>""</f>
        <v/>
      </c>
      <c r="F202" t="str">
        <f>""</f>
        <v/>
      </c>
      <c r="G202" t="str">
        <f>""</f>
        <v/>
      </c>
      <c r="H202" t="str">
        <f>""</f>
        <v/>
      </c>
      <c r="I202" t="str">
        <f>""</f>
        <v/>
      </c>
      <c r="J202" t="str">
        <f>""</f>
        <v/>
      </c>
      <c r="K202" t="str">
        <f>""</f>
        <v/>
      </c>
      <c r="L202" t="str">
        <f>""</f>
        <v/>
      </c>
      <c r="M202" t="str">
        <f>""</f>
        <v/>
      </c>
      <c r="N202" t="str">
        <f>""</f>
        <v/>
      </c>
      <c r="O202" t="str">
        <f>""</f>
        <v/>
      </c>
      <c r="P202" t="str">
        <f>""</f>
        <v/>
      </c>
      <c r="Q202" t="str">
        <f>""</f>
        <v/>
      </c>
      <c r="R202" t="str">
        <f>""</f>
        <v/>
      </c>
      <c r="S202" t="str">
        <f>""</f>
        <v/>
      </c>
      <c r="T202" t="str">
        <f>""</f>
        <v/>
      </c>
      <c r="U202" t="str">
        <f>""</f>
        <v/>
      </c>
      <c r="V202" t="str">
        <f>""</f>
        <v/>
      </c>
      <c r="W202" t="str">
        <f>""</f>
        <v/>
      </c>
      <c r="X202" t="str">
        <f>""</f>
        <v/>
      </c>
      <c r="Y202" t="str">
        <f>""</f>
        <v/>
      </c>
      <c r="Z202" t="str">
        <f>""</f>
        <v/>
      </c>
      <c r="AA202" t="str">
        <f>""</f>
        <v/>
      </c>
      <c r="AB202" t="str">
        <f>""</f>
        <v/>
      </c>
      <c r="AC202" t="str">
        <f>""</f>
        <v/>
      </c>
      <c r="AD202" t="str">
        <f>""</f>
        <v/>
      </c>
      <c r="AE202" t="str">
        <f>""</f>
        <v/>
      </c>
      <c r="AF202" t="str">
        <f>""</f>
        <v/>
      </c>
      <c r="AG202" t="str">
        <f>""</f>
        <v/>
      </c>
      <c r="AH202" t="str">
        <f>""</f>
        <v/>
      </c>
      <c r="AI202" t="str">
        <f>""</f>
        <v/>
      </c>
      <c r="AJ202" t="str">
        <f>""</f>
        <v/>
      </c>
      <c r="AK202" t="str">
        <f>""</f>
        <v/>
      </c>
      <c r="AL202" t="str">
        <f>""</f>
        <v/>
      </c>
      <c r="AM202" t="str">
        <f>""</f>
        <v/>
      </c>
      <c r="AN202" t="str">
        <f>""</f>
        <v/>
      </c>
      <c r="AO202" t="str">
        <f>""</f>
        <v/>
      </c>
      <c r="AP202" t="str">
        <f>""</f>
        <v/>
      </c>
      <c r="AQ202" t="str">
        <f>""</f>
        <v/>
      </c>
      <c r="AR202" t="str">
        <f>""</f>
        <v/>
      </c>
      <c r="AS202" t="str">
        <f>""</f>
        <v/>
      </c>
      <c r="AT202" t="str">
        <f>""</f>
        <v/>
      </c>
      <c r="AU202" t="str">
        <f>""</f>
        <v/>
      </c>
      <c r="AV202" t="str">
        <f>""</f>
        <v/>
      </c>
      <c r="AW202" t="str">
        <f>""</f>
        <v/>
      </c>
      <c r="AX202" t="str">
        <f>""</f>
        <v/>
      </c>
      <c r="AY202" t="str">
        <f>""</f>
        <v/>
      </c>
      <c r="AZ202" t="str">
        <f>""</f>
        <v/>
      </c>
      <c r="BA202" t="str">
        <f>""</f>
        <v/>
      </c>
      <c r="BB202" t="str">
        <f>""</f>
        <v/>
      </c>
      <c r="BC202" t="str">
        <f>""</f>
        <v/>
      </c>
      <c r="BD202" t="str">
        <f>""</f>
        <v/>
      </c>
      <c r="BE202" t="str">
        <f>""</f>
        <v/>
      </c>
      <c r="BF202" t="str">
        <f>""</f>
        <v/>
      </c>
      <c r="BG202" t="str">
        <f>""</f>
        <v/>
      </c>
      <c r="BH202" t="str">
        <f>""</f>
        <v/>
      </c>
      <c r="BI202" t="str">
        <f>""</f>
        <v/>
      </c>
      <c r="BJ202" t="str">
        <f>""</f>
        <v/>
      </c>
      <c r="BK202" t="str">
        <f>""</f>
        <v/>
      </c>
      <c r="BL202" t="str">
        <f>""</f>
        <v/>
      </c>
      <c r="BM202" t="str">
        <f>""</f>
        <v/>
      </c>
      <c r="BN202" t="str">
        <f>""</f>
        <v/>
      </c>
      <c r="BO202" t="str">
        <f>""</f>
        <v/>
      </c>
      <c r="BP202" t="str">
        <f>""</f>
        <v/>
      </c>
      <c r="BQ202" t="str">
        <f>""</f>
        <v/>
      </c>
      <c r="BR202" t="str">
        <f>""</f>
        <v/>
      </c>
      <c r="BS202" t="str">
        <f>""</f>
        <v/>
      </c>
      <c r="BT202" t="str">
        <f>""</f>
        <v/>
      </c>
      <c r="BU202" t="str">
        <f>""</f>
        <v/>
      </c>
      <c r="BV202" t="str">
        <f>""</f>
        <v/>
      </c>
      <c r="BW202" t="str">
        <f>""</f>
        <v/>
      </c>
      <c r="BX202" t="str">
        <f>""</f>
        <v/>
      </c>
      <c r="BY202" t="str">
        <f>""</f>
        <v/>
      </c>
      <c r="BZ202" t="str">
        <f>""</f>
        <v/>
      </c>
      <c r="CA202" t="str">
        <f>""</f>
        <v/>
      </c>
      <c r="CB202" t="str">
        <f>""</f>
        <v/>
      </c>
      <c r="CC202" t="str">
        <f>""</f>
        <v/>
      </c>
      <c r="CD202" t="str">
        <f>""</f>
        <v/>
      </c>
      <c r="CE202" t="str">
        <f>""</f>
        <v/>
      </c>
      <c r="CF202" t="str">
        <f>""</f>
        <v/>
      </c>
      <c r="CG202" t="str">
        <f>""</f>
        <v/>
      </c>
      <c r="CH202" t="str">
        <f>""</f>
        <v/>
      </c>
      <c r="CI202" t="str">
        <f>""</f>
        <v/>
      </c>
      <c r="CJ202" t="str">
        <f>""</f>
        <v/>
      </c>
      <c r="CK202" t="str">
        <f>""</f>
        <v/>
      </c>
      <c r="CL202" t="str">
        <f>""</f>
        <v/>
      </c>
      <c r="CM202" t="str">
        <f>""</f>
        <v/>
      </c>
      <c r="CN202" t="str">
        <f>""</f>
        <v/>
      </c>
      <c r="CO202" t="str">
        <f>""</f>
        <v/>
      </c>
      <c r="CP202" t="str">
        <f>""</f>
        <v/>
      </c>
      <c r="CQ202" t="str">
        <f>""</f>
        <v/>
      </c>
      <c r="CR202" t="str">
        <f>""</f>
        <v/>
      </c>
      <c r="CS202" t="str">
        <f>""</f>
        <v/>
      </c>
      <c r="CT202" t="str">
        <f>""</f>
        <v/>
      </c>
      <c r="CU202" t="str">
        <f>""</f>
        <v/>
      </c>
      <c r="CV202" t="str">
        <f>""</f>
        <v/>
      </c>
      <c r="CW202" t="str">
        <f>""</f>
        <v/>
      </c>
      <c r="CX202" t="str">
        <f>""</f>
        <v/>
      </c>
      <c r="CY202" t="str">
        <f>""</f>
        <v/>
      </c>
      <c r="CZ202" t="str">
        <f>""</f>
        <v/>
      </c>
      <c r="DA202" t="str">
        <f>""</f>
        <v/>
      </c>
      <c r="DB202" t="str">
        <f>""</f>
        <v/>
      </c>
      <c r="DC202" t="str">
        <f>""</f>
        <v/>
      </c>
      <c r="DD202" t="str">
        <f>""</f>
        <v/>
      </c>
      <c r="DE202" t="str">
        <f>""</f>
        <v/>
      </c>
      <c r="DF202" t="str">
        <f>""</f>
        <v/>
      </c>
      <c r="DG202" t="str">
        <f>""</f>
        <v/>
      </c>
      <c r="DH202" t="str">
        <f>""</f>
        <v/>
      </c>
      <c r="DI202" t="str">
        <f>""</f>
        <v/>
      </c>
      <c r="DJ202" t="str">
        <f>""</f>
        <v/>
      </c>
      <c r="DK202" t="str">
        <f>""</f>
        <v/>
      </c>
      <c r="DL202" t="str">
        <f>"(0.106)"</f>
        <v>(0.106)</v>
      </c>
      <c r="DM202" t="str">
        <f>"(0.0827)"</f>
        <v>(0.0827)</v>
      </c>
      <c r="DN202" t="str">
        <f>"(0.0454)"</f>
        <v>(0.0454)</v>
      </c>
      <c r="DO202" t="str">
        <f>""</f>
        <v/>
      </c>
      <c r="DP202" t="str">
        <f>""</f>
        <v/>
      </c>
      <c r="DQ202" t="str">
        <f>""</f>
        <v/>
      </c>
      <c r="DR202" t="str">
        <f>""</f>
        <v/>
      </c>
      <c r="DS202" t="str">
        <f>""</f>
        <v/>
      </c>
      <c r="DT202" t="str">
        <f>""</f>
        <v/>
      </c>
      <c r="DU202" t="str">
        <f>""</f>
        <v/>
      </c>
      <c r="DV202" t="str">
        <f>""</f>
        <v/>
      </c>
      <c r="DW202" t="str">
        <f>""</f>
        <v/>
      </c>
      <c r="DX202" t="str">
        <f>""</f>
        <v/>
      </c>
      <c r="DY202" t="str">
        <f>""</f>
        <v/>
      </c>
      <c r="DZ202" t="str">
        <f>""</f>
        <v/>
      </c>
      <c r="EA202" t="str">
        <f>""</f>
        <v/>
      </c>
      <c r="EB202" t="str">
        <f>""</f>
        <v/>
      </c>
      <c r="EC202" t="str">
        <f>""</f>
        <v/>
      </c>
      <c r="ED202" t="str">
        <f>""</f>
        <v/>
      </c>
      <c r="EE202" t="str">
        <f>""</f>
        <v/>
      </c>
      <c r="EF202" t="str">
        <f>""</f>
        <v/>
      </c>
      <c r="EG202" t="str">
        <f>""</f>
        <v/>
      </c>
      <c r="EH202" t="str">
        <f>""</f>
        <v/>
      </c>
      <c r="EI202" t="str">
        <f>""</f>
        <v/>
      </c>
      <c r="EJ202" t="str">
        <f>""</f>
        <v/>
      </c>
      <c r="EK202" t="str">
        <f>""</f>
        <v/>
      </c>
      <c r="EL202" t="str">
        <f>""</f>
        <v/>
      </c>
      <c r="EM202" t="str">
        <f>""</f>
        <v/>
      </c>
      <c r="EN202" t="str">
        <f>""</f>
        <v/>
      </c>
      <c r="EO202" t="str">
        <f>""</f>
        <v/>
      </c>
      <c r="EP202" t="str">
        <f>""</f>
        <v/>
      </c>
      <c r="EQ202" t="str">
        <f>""</f>
        <v/>
      </c>
      <c r="ER202" t="str">
        <f>""</f>
        <v/>
      </c>
      <c r="ES202" t="str">
        <f>""</f>
        <v/>
      </c>
      <c r="ET202" t="str">
        <f>""</f>
        <v/>
      </c>
      <c r="EU202" t="str">
        <f>""</f>
        <v/>
      </c>
      <c r="EV202" t="str">
        <f>""</f>
        <v/>
      </c>
      <c r="EW202" t="str">
        <f>""</f>
        <v/>
      </c>
      <c r="EX202" t="str">
        <f>""</f>
        <v/>
      </c>
      <c r="EY202" t="str">
        <f>""</f>
        <v/>
      </c>
      <c r="EZ202" t="str">
        <f>""</f>
        <v/>
      </c>
      <c r="FA202" t="str">
        <f>""</f>
        <v/>
      </c>
      <c r="FB202" t="str">
        <f>""</f>
        <v/>
      </c>
      <c r="FC202" t="str">
        <f>""</f>
        <v/>
      </c>
      <c r="FD202" t="str">
        <f>""</f>
        <v/>
      </c>
      <c r="FE202" t="str">
        <f>""</f>
        <v/>
      </c>
      <c r="FF202" t="str">
        <f>""</f>
        <v/>
      </c>
      <c r="FG202" t="str">
        <f>""</f>
        <v/>
      </c>
      <c r="FH202" t="str">
        <f>""</f>
        <v/>
      </c>
      <c r="FI202" t="str">
        <f>""</f>
        <v/>
      </c>
      <c r="FJ202" t="str">
        <f>""</f>
        <v/>
      </c>
      <c r="FK202" t="str">
        <f>""</f>
        <v/>
      </c>
      <c r="FL202" t="str">
        <f>""</f>
        <v/>
      </c>
      <c r="FM202" t="str">
        <f>""</f>
        <v/>
      </c>
      <c r="FN202" t="str">
        <f>""</f>
        <v/>
      </c>
      <c r="FO202" t="str">
        <f>""</f>
        <v/>
      </c>
      <c r="FP202" t="str">
        <f>""</f>
        <v/>
      </c>
      <c r="FQ202" t="str">
        <f>""</f>
        <v/>
      </c>
      <c r="FR202" t="str">
        <f>""</f>
        <v/>
      </c>
      <c r="FS202" t="str">
        <f>""</f>
        <v/>
      </c>
      <c r="FT202" t="str">
        <f>""</f>
        <v/>
      </c>
      <c r="FU202" t="str">
        <f>""</f>
        <v/>
      </c>
      <c r="FV202" t="str">
        <f>""</f>
        <v/>
      </c>
      <c r="FW202" t="str">
        <f>""</f>
        <v/>
      </c>
      <c r="FX202" t="str">
        <f>""</f>
        <v/>
      </c>
      <c r="FY202" t="str">
        <f>""</f>
        <v/>
      </c>
      <c r="FZ202" t="str">
        <f>""</f>
        <v/>
      </c>
      <c r="GA202" t="str">
        <f>""</f>
        <v/>
      </c>
      <c r="GB202" t="str">
        <f>""</f>
        <v/>
      </c>
      <c r="GC202" t="str">
        <f>""</f>
        <v/>
      </c>
      <c r="GD202" t="str">
        <f>""</f>
        <v/>
      </c>
      <c r="GE202" t="str">
        <f>""</f>
        <v/>
      </c>
      <c r="GF202" t="str">
        <f>""</f>
        <v/>
      </c>
      <c r="GG202" t="str">
        <f>""</f>
        <v/>
      </c>
      <c r="GH202" t="str">
        <f>""</f>
        <v/>
      </c>
      <c r="GI202" t="str">
        <f>""</f>
        <v/>
      </c>
      <c r="GJ202" t="str">
        <f>""</f>
        <v/>
      </c>
      <c r="GK202" t="str">
        <f>""</f>
        <v/>
      </c>
      <c r="GL202" t="str">
        <f>""</f>
        <v/>
      </c>
      <c r="GM202" t="str">
        <f>""</f>
        <v/>
      </c>
      <c r="GN202" t="str">
        <f>""</f>
        <v/>
      </c>
      <c r="GO202" t="str">
        <f>""</f>
        <v/>
      </c>
      <c r="GP202" t="str">
        <f>""</f>
        <v/>
      </c>
      <c r="GQ202" t="str">
        <f>""</f>
        <v/>
      </c>
      <c r="GR202" t="str">
        <f>""</f>
        <v/>
      </c>
      <c r="GS202" t="str">
        <f>""</f>
        <v/>
      </c>
      <c r="GT202" t="str">
        <f>""</f>
        <v/>
      </c>
      <c r="GU202" t="str">
        <f>""</f>
        <v/>
      </c>
      <c r="GV202" t="str">
        <f>""</f>
        <v/>
      </c>
      <c r="GW202" t="str">
        <f>""</f>
        <v/>
      </c>
      <c r="GX202" t="str">
        <f>""</f>
        <v/>
      </c>
      <c r="GY202" t="str">
        <f>""</f>
        <v/>
      </c>
      <c r="GZ202" t="str">
        <f>""</f>
        <v/>
      </c>
      <c r="HA202" t="str">
        <f>""</f>
        <v/>
      </c>
      <c r="HB202" t="str">
        <f>""</f>
        <v/>
      </c>
      <c r="HC202" t="str">
        <f>""</f>
        <v/>
      </c>
      <c r="HD202" t="str">
        <f>""</f>
        <v/>
      </c>
      <c r="HE202" t="str">
        <f>""</f>
        <v/>
      </c>
      <c r="HF202" t="str">
        <f>""</f>
        <v/>
      </c>
      <c r="HG202" t="str">
        <f>""</f>
        <v/>
      </c>
      <c r="HH202" t="str">
        <f>""</f>
        <v/>
      </c>
      <c r="HI202" t="str">
        <f>""</f>
        <v/>
      </c>
      <c r="HJ202" t="str">
        <f>""</f>
        <v/>
      </c>
      <c r="HK202" t="str">
        <f>""</f>
        <v/>
      </c>
      <c r="HL202" t="str">
        <f>""</f>
        <v/>
      </c>
      <c r="HM202" t="str">
        <f>""</f>
        <v/>
      </c>
      <c r="HN202" t="str">
        <f>""</f>
        <v/>
      </c>
      <c r="HO202" t="str">
        <f>""</f>
        <v/>
      </c>
      <c r="HP202" t="str">
        <f>""</f>
        <v/>
      </c>
      <c r="HQ202" t="str">
        <f>""</f>
        <v/>
      </c>
      <c r="HR202" t="str">
        <f>""</f>
        <v/>
      </c>
      <c r="HS202" t="str">
        <f>""</f>
        <v/>
      </c>
      <c r="HT202" t="str">
        <f>""</f>
        <v/>
      </c>
      <c r="HU202" t="str">
        <f>""</f>
        <v/>
      </c>
      <c r="HV202" t="str">
        <f>""</f>
        <v/>
      </c>
      <c r="HW202" t="str">
        <f>""</f>
        <v/>
      </c>
      <c r="HX202" t="str">
        <f>""</f>
        <v/>
      </c>
      <c r="HY202" t="str">
        <f>""</f>
        <v/>
      </c>
      <c r="HZ202" t="str">
        <f>""</f>
        <v/>
      </c>
      <c r="IA202" t="str">
        <f>""</f>
        <v/>
      </c>
      <c r="IB202" t="str">
        <f>""</f>
        <v/>
      </c>
      <c r="IC202" t="str">
        <f>""</f>
        <v/>
      </c>
      <c r="ID202" t="str">
        <f>""</f>
        <v/>
      </c>
      <c r="IE202" t="str">
        <f>""</f>
        <v/>
      </c>
      <c r="IF202" t="str">
        <f>""</f>
        <v/>
      </c>
      <c r="IG202" t="str">
        <f>""</f>
        <v/>
      </c>
      <c r="IH202" t="str">
        <f>""</f>
        <v/>
      </c>
      <c r="II202" t="str">
        <f>""</f>
        <v/>
      </c>
      <c r="IJ202" t="str">
        <f>""</f>
        <v/>
      </c>
      <c r="IK202" t="str">
        <f>""</f>
        <v/>
      </c>
      <c r="IL202" t="str">
        <f>""</f>
        <v/>
      </c>
      <c r="IM202" t="str">
        <f>""</f>
        <v/>
      </c>
      <c r="IN202" t="str">
        <f>""</f>
        <v/>
      </c>
      <c r="IO202" t="str">
        <f>""</f>
        <v/>
      </c>
      <c r="IP202" t="str">
        <f>""</f>
        <v/>
      </c>
      <c r="IQ202" t="str">
        <f>""</f>
        <v/>
      </c>
      <c r="IR202" t="str">
        <f>""</f>
        <v/>
      </c>
      <c r="IS202" t="str">
        <f>""</f>
        <v/>
      </c>
      <c r="IT202" t="str">
        <f>""</f>
        <v/>
      </c>
      <c r="IU202" t="str">
        <f>""</f>
        <v/>
      </c>
      <c r="IV202" t="str">
        <f>""</f>
        <v/>
      </c>
      <c r="IW202" t="str">
        <f>""</f>
        <v/>
      </c>
      <c r="IX202" t="str">
        <f>""</f>
        <v/>
      </c>
      <c r="IY202" t="str">
        <f>""</f>
        <v/>
      </c>
      <c r="IZ202" t="str">
        <f>""</f>
        <v/>
      </c>
      <c r="JA202" t="str">
        <f>""</f>
        <v/>
      </c>
      <c r="JB202" t="str">
        <f>""</f>
        <v/>
      </c>
      <c r="JC202" t="str">
        <f>""</f>
        <v/>
      </c>
      <c r="JD202" t="str">
        <f>""</f>
        <v/>
      </c>
      <c r="JE202" t="str">
        <f>""</f>
        <v/>
      </c>
      <c r="JF202" t="str">
        <f>""</f>
        <v/>
      </c>
      <c r="JG202" t="str">
        <f>""</f>
        <v/>
      </c>
      <c r="JH202" t="str">
        <f>""</f>
        <v/>
      </c>
      <c r="JI202" t="str">
        <f>""</f>
        <v/>
      </c>
      <c r="JJ202" t="str">
        <f>""</f>
        <v/>
      </c>
      <c r="JK202" t="str">
        <f>""</f>
        <v/>
      </c>
    </row>
    <row r="204" spans="1:271" x14ac:dyDescent="0.3">
      <c r="A204" t="str">
        <f>"c.zMETAB10#c.PM3"</f>
        <v>c.zMETAB10#c.PM3</v>
      </c>
      <c r="B204" t="str">
        <f>""</f>
        <v/>
      </c>
      <c r="C204" t="str">
        <f>""</f>
        <v/>
      </c>
      <c r="D204" t="str">
        <f>""</f>
        <v/>
      </c>
      <c r="E204" t="str">
        <f>""</f>
        <v/>
      </c>
      <c r="F204" t="str">
        <f>""</f>
        <v/>
      </c>
      <c r="G204" t="str">
        <f>""</f>
        <v/>
      </c>
      <c r="H204" t="str">
        <f>""</f>
        <v/>
      </c>
      <c r="I204" t="str">
        <f>""</f>
        <v/>
      </c>
      <c r="J204" t="str">
        <f>""</f>
        <v/>
      </c>
      <c r="K204" t="str">
        <f>""</f>
        <v/>
      </c>
      <c r="L204" t="str">
        <f>""</f>
        <v/>
      </c>
      <c r="M204" t="str">
        <f>""</f>
        <v/>
      </c>
      <c r="N204" t="str">
        <f>""</f>
        <v/>
      </c>
      <c r="O204" t="str">
        <f>""</f>
        <v/>
      </c>
      <c r="P204" t="str">
        <f>""</f>
        <v/>
      </c>
      <c r="Q204" t="str">
        <f>""</f>
        <v/>
      </c>
      <c r="R204" t="str">
        <f>""</f>
        <v/>
      </c>
      <c r="S204" t="str">
        <f>""</f>
        <v/>
      </c>
      <c r="T204" t="str">
        <f>""</f>
        <v/>
      </c>
      <c r="U204" t="str">
        <f>""</f>
        <v/>
      </c>
      <c r="V204" t="str">
        <f>""</f>
        <v/>
      </c>
      <c r="W204" t="str">
        <f>""</f>
        <v/>
      </c>
      <c r="X204" t="str">
        <f>""</f>
        <v/>
      </c>
      <c r="Y204" t="str">
        <f>""</f>
        <v/>
      </c>
      <c r="Z204" t="str">
        <f>""</f>
        <v/>
      </c>
      <c r="AA204" t="str">
        <f>""</f>
        <v/>
      </c>
      <c r="AB204" t="str">
        <f>""</f>
        <v/>
      </c>
      <c r="AC204" t="str">
        <f>""</f>
        <v/>
      </c>
      <c r="AD204" t="str">
        <f>""</f>
        <v/>
      </c>
      <c r="AE204" t="str">
        <f>""</f>
        <v/>
      </c>
      <c r="AF204" t="str">
        <f>""</f>
        <v/>
      </c>
      <c r="AG204" t="str">
        <f>""</f>
        <v/>
      </c>
      <c r="AH204" t="str">
        <f>""</f>
        <v/>
      </c>
      <c r="AI204" t="str">
        <f>""</f>
        <v/>
      </c>
      <c r="AJ204" t="str">
        <f>""</f>
        <v/>
      </c>
      <c r="AK204" t="str">
        <f>""</f>
        <v/>
      </c>
      <c r="AL204" t="str">
        <f>""</f>
        <v/>
      </c>
      <c r="AM204" t="str">
        <f>""</f>
        <v/>
      </c>
      <c r="AN204" t="str">
        <f>""</f>
        <v/>
      </c>
      <c r="AO204" t="str">
        <f>""</f>
        <v/>
      </c>
      <c r="AP204" t="str">
        <f>""</f>
        <v/>
      </c>
      <c r="AQ204" t="str">
        <f>""</f>
        <v/>
      </c>
      <c r="AR204" t="str">
        <f>""</f>
        <v/>
      </c>
      <c r="AS204" t="str">
        <f>""</f>
        <v/>
      </c>
      <c r="AT204" t="str">
        <f>""</f>
        <v/>
      </c>
      <c r="AU204" t="str">
        <f>""</f>
        <v/>
      </c>
      <c r="AV204" t="str">
        <f>""</f>
        <v/>
      </c>
      <c r="AW204" t="str">
        <f>""</f>
        <v/>
      </c>
      <c r="AX204" t="str">
        <f>""</f>
        <v/>
      </c>
      <c r="AY204" t="str">
        <f>""</f>
        <v/>
      </c>
      <c r="AZ204" t="str">
        <f>""</f>
        <v/>
      </c>
      <c r="BA204" t="str">
        <f>""</f>
        <v/>
      </c>
      <c r="BB204" t="str">
        <f>""</f>
        <v/>
      </c>
      <c r="BC204" t="str">
        <f>""</f>
        <v/>
      </c>
      <c r="BD204" t="str">
        <f>""</f>
        <v/>
      </c>
      <c r="BE204" t="str">
        <f>""</f>
        <v/>
      </c>
      <c r="BF204" t="str">
        <f>""</f>
        <v/>
      </c>
      <c r="BG204" t="str">
        <f>""</f>
        <v/>
      </c>
      <c r="BH204" t="str">
        <f>""</f>
        <v/>
      </c>
      <c r="BI204" t="str">
        <f>""</f>
        <v/>
      </c>
      <c r="BJ204" t="str">
        <f>""</f>
        <v/>
      </c>
      <c r="BK204" t="str">
        <f>""</f>
        <v/>
      </c>
      <c r="BL204" t="str">
        <f>""</f>
        <v/>
      </c>
      <c r="BM204" t="str">
        <f>""</f>
        <v/>
      </c>
      <c r="BN204" t="str">
        <f>""</f>
        <v/>
      </c>
      <c r="BO204" t="str">
        <f>""</f>
        <v/>
      </c>
      <c r="BP204" t="str">
        <f>""</f>
        <v/>
      </c>
      <c r="BQ204" t="str">
        <f>""</f>
        <v/>
      </c>
      <c r="BR204" t="str">
        <f>""</f>
        <v/>
      </c>
      <c r="BS204" t="str">
        <f>""</f>
        <v/>
      </c>
      <c r="BT204" t="str">
        <f>""</f>
        <v/>
      </c>
      <c r="BU204" t="str">
        <f>""</f>
        <v/>
      </c>
      <c r="BV204" t="str">
        <f>""</f>
        <v/>
      </c>
      <c r="BW204" t="str">
        <f>""</f>
        <v/>
      </c>
      <c r="BX204" t="str">
        <f>""</f>
        <v/>
      </c>
      <c r="BY204" t="str">
        <f>""</f>
        <v/>
      </c>
      <c r="BZ204" t="str">
        <f>""</f>
        <v/>
      </c>
      <c r="CA204" t="str">
        <f>""</f>
        <v/>
      </c>
      <c r="CB204" t="str">
        <f>""</f>
        <v/>
      </c>
      <c r="CC204" t="str">
        <f>""</f>
        <v/>
      </c>
      <c r="CD204" t="str">
        <f>""</f>
        <v/>
      </c>
      <c r="CE204" t="str">
        <f>""</f>
        <v/>
      </c>
      <c r="CF204" t="str">
        <f>""</f>
        <v/>
      </c>
      <c r="CG204" t="str">
        <f>""</f>
        <v/>
      </c>
      <c r="CH204" t="str">
        <f>""</f>
        <v/>
      </c>
      <c r="CI204" t="str">
        <f>""</f>
        <v/>
      </c>
      <c r="CJ204" t="str">
        <f>""</f>
        <v/>
      </c>
      <c r="CK204" t="str">
        <f>""</f>
        <v/>
      </c>
      <c r="CL204" t="str">
        <f>""</f>
        <v/>
      </c>
      <c r="CM204" t="str">
        <f>""</f>
        <v/>
      </c>
      <c r="CN204" t="str">
        <f>""</f>
        <v/>
      </c>
      <c r="CO204" t="str">
        <f>""</f>
        <v/>
      </c>
      <c r="CP204" t="str">
        <f>""</f>
        <v/>
      </c>
      <c r="CQ204" t="str">
        <f>""</f>
        <v/>
      </c>
      <c r="CR204" t="str">
        <f>""</f>
        <v/>
      </c>
      <c r="CS204" t="str">
        <f>""</f>
        <v/>
      </c>
      <c r="CT204" t="str">
        <f>""</f>
        <v/>
      </c>
      <c r="CU204" t="str">
        <f>""</f>
        <v/>
      </c>
      <c r="CV204" t="str">
        <f>""</f>
        <v/>
      </c>
      <c r="CW204" t="str">
        <f>""</f>
        <v/>
      </c>
      <c r="CX204" t="str">
        <f>""</f>
        <v/>
      </c>
      <c r="CY204" t="str">
        <f>""</f>
        <v/>
      </c>
      <c r="CZ204" t="str">
        <f>""</f>
        <v/>
      </c>
      <c r="DA204" t="str">
        <f>""</f>
        <v/>
      </c>
      <c r="DB204" t="str">
        <f>""</f>
        <v/>
      </c>
      <c r="DC204" t="str">
        <f>""</f>
        <v/>
      </c>
      <c r="DD204" t="str">
        <f>""</f>
        <v/>
      </c>
      <c r="DE204" t="str">
        <f>""</f>
        <v/>
      </c>
      <c r="DF204" t="str">
        <f>""</f>
        <v/>
      </c>
      <c r="DG204" t="str">
        <f>""</f>
        <v/>
      </c>
      <c r="DH204" t="str">
        <f>""</f>
        <v/>
      </c>
      <c r="DI204" t="str">
        <f>""</f>
        <v/>
      </c>
      <c r="DJ204" t="str">
        <f>""</f>
        <v/>
      </c>
      <c r="DK204" t="str">
        <f>""</f>
        <v/>
      </c>
      <c r="DL204" t="str">
        <f>""</f>
        <v/>
      </c>
      <c r="DM204" t="str">
        <f>""</f>
        <v/>
      </c>
      <c r="DN204" t="str">
        <f>""</f>
        <v/>
      </c>
      <c r="DO204" t="str">
        <f>"-0.0852"</f>
        <v>-0.0852</v>
      </c>
      <c r="DP204" t="str">
        <f>"-0.0519"</f>
        <v>-0.0519</v>
      </c>
      <c r="DQ204" t="str">
        <f>"0.0101"</f>
        <v>0.0101</v>
      </c>
      <c r="DR204" t="str">
        <f>""</f>
        <v/>
      </c>
      <c r="DS204" t="str">
        <f>""</f>
        <v/>
      </c>
      <c r="DT204" t="str">
        <f>""</f>
        <v/>
      </c>
      <c r="DU204" t="str">
        <f>""</f>
        <v/>
      </c>
      <c r="DV204" t="str">
        <f>""</f>
        <v/>
      </c>
      <c r="DW204" t="str">
        <f>""</f>
        <v/>
      </c>
      <c r="DX204" t="str">
        <f>""</f>
        <v/>
      </c>
      <c r="DY204" t="str">
        <f>""</f>
        <v/>
      </c>
      <c r="DZ204" t="str">
        <f>""</f>
        <v/>
      </c>
      <c r="EA204" t="str">
        <f>""</f>
        <v/>
      </c>
      <c r="EB204" t="str">
        <f>""</f>
        <v/>
      </c>
      <c r="EC204" t="str">
        <f>""</f>
        <v/>
      </c>
      <c r="ED204" t="str">
        <f>""</f>
        <v/>
      </c>
      <c r="EE204" t="str">
        <f>""</f>
        <v/>
      </c>
      <c r="EF204" t="str">
        <f>""</f>
        <v/>
      </c>
      <c r="EG204" t="str">
        <f>""</f>
        <v/>
      </c>
      <c r="EH204" t="str">
        <f>""</f>
        <v/>
      </c>
      <c r="EI204" t="str">
        <f>""</f>
        <v/>
      </c>
      <c r="EJ204" t="str">
        <f>""</f>
        <v/>
      </c>
      <c r="EK204" t="str">
        <f>""</f>
        <v/>
      </c>
      <c r="EL204" t="str">
        <f>""</f>
        <v/>
      </c>
      <c r="EM204" t="str">
        <f>""</f>
        <v/>
      </c>
      <c r="EN204" t="str">
        <f>""</f>
        <v/>
      </c>
      <c r="EO204" t="str">
        <f>""</f>
        <v/>
      </c>
      <c r="EP204" t="str">
        <f>""</f>
        <v/>
      </c>
      <c r="EQ204" t="str">
        <f>""</f>
        <v/>
      </c>
      <c r="ER204" t="str">
        <f>""</f>
        <v/>
      </c>
      <c r="ES204" t="str">
        <f>""</f>
        <v/>
      </c>
      <c r="ET204" t="str">
        <f>""</f>
        <v/>
      </c>
      <c r="EU204" t="str">
        <f>""</f>
        <v/>
      </c>
      <c r="EV204" t="str">
        <f>""</f>
        <v/>
      </c>
      <c r="EW204" t="str">
        <f>""</f>
        <v/>
      </c>
      <c r="EX204" t="str">
        <f>""</f>
        <v/>
      </c>
      <c r="EY204" t="str">
        <f>""</f>
        <v/>
      </c>
      <c r="EZ204" t="str">
        <f>""</f>
        <v/>
      </c>
      <c r="FA204" t="str">
        <f>""</f>
        <v/>
      </c>
      <c r="FB204" t="str">
        <f>""</f>
        <v/>
      </c>
      <c r="FC204" t="str">
        <f>""</f>
        <v/>
      </c>
      <c r="FD204" t="str">
        <f>""</f>
        <v/>
      </c>
      <c r="FE204" t="str">
        <f>""</f>
        <v/>
      </c>
      <c r="FF204" t="str">
        <f>""</f>
        <v/>
      </c>
      <c r="FG204" t="str">
        <f>""</f>
        <v/>
      </c>
      <c r="FH204" t="str">
        <f>""</f>
        <v/>
      </c>
      <c r="FI204" t="str">
        <f>""</f>
        <v/>
      </c>
      <c r="FJ204" t="str">
        <f>""</f>
        <v/>
      </c>
      <c r="FK204" t="str">
        <f>""</f>
        <v/>
      </c>
      <c r="FL204" t="str">
        <f>""</f>
        <v/>
      </c>
      <c r="FM204" t="str">
        <f>""</f>
        <v/>
      </c>
      <c r="FN204" t="str">
        <f>""</f>
        <v/>
      </c>
      <c r="FO204" t="str">
        <f>""</f>
        <v/>
      </c>
      <c r="FP204" t="str">
        <f>""</f>
        <v/>
      </c>
      <c r="FQ204" t="str">
        <f>""</f>
        <v/>
      </c>
      <c r="FR204" t="str">
        <f>""</f>
        <v/>
      </c>
      <c r="FS204" t="str">
        <f>""</f>
        <v/>
      </c>
      <c r="FT204" t="str">
        <f>""</f>
        <v/>
      </c>
      <c r="FU204" t="str">
        <f>""</f>
        <v/>
      </c>
      <c r="FV204" t="str">
        <f>""</f>
        <v/>
      </c>
      <c r="FW204" t="str">
        <f>""</f>
        <v/>
      </c>
      <c r="FX204" t="str">
        <f>""</f>
        <v/>
      </c>
      <c r="FY204" t="str">
        <f>""</f>
        <v/>
      </c>
      <c r="FZ204" t="str">
        <f>""</f>
        <v/>
      </c>
      <c r="GA204" t="str">
        <f>""</f>
        <v/>
      </c>
      <c r="GB204" t="str">
        <f>""</f>
        <v/>
      </c>
      <c r="GC204" t="str">
        <f>""</f>
        <v/>
      </c>
      <c r="GD204" t="str">
        <f>""</f>
        <v/>
      </c>
      <c r="GE204" t="str">
        <f>""</f>
        <v/>
      </c>
      <c r="GF204" t="str">
        <f>""</f>
        <v/>
      </c>
      <c r="GG204" t="str">
        <f>""</f>
        <v/>
      </c>
      <c r="GH204" t="str">
        <f>""</f>
        <v/>
      </c>
      <c r="GI204" t="str">
        <f>""</f>
        <v/>
      </c>
      <c r="GJ204" t="str">
        <f>""</f>
        <v/>
      </c>
      <c r="GK204" t="str">
        <f>""</f>
        <v/>
      </c>
      <c r="GL204" t="str">
        <f>""</f>
        <v/>
      </c>
      <c r="GM204" t="str">
        <f>""</f>
        <v/>
      </c>
      <c r="GN204" t="str">
        <f>""</f>
        <v/>
      </c>
      <c r="GO204" t="str">
        <f>""</f>
        <v/>
      </c>
      <c r="GP204" t="str">
        <f>""</f>
        <v/>
      </c>
      <c r="GQ204" t="str">
        <f>""</f>
        <v/>
      </c>
      <c r="GR204" t="str">
        <f>""</f>
        <v/>
      </c>
      <c r="GS204" t="str">
        <f>""</f>
        <v/>
      </c>
      <c r="GT204" t="str">
        <f>""</f>
        <v/>
      </c>
      <c r="GU204" t="str">
        <f>""</f>
        <v/>
      </c>
      <c r="GV204" t="str">
        <f>""</f>
        <v/>
      </c>
      <c r="GW204" t="str">
        <f>""</f>
        <v/>
      </c>
      <c r="GX204" t="str">
        <f>""</f>
        <v/>
      </c>
      <c r="GY204" t="str">
        <f>""</f>
        <v/>
      </c>
      <c r="GZ204" t="str">
        <f>""</f>
        <v/>
      </c>
      <c r="HA204" t="str">
        <f>""</f>
        <v/>
      </c>
      <c r="HB204" t="str">
        <f>""</f>
        <v/>
      </c>
      <c r="HC204" t="str">
        <f>""</f>
        <v/>
      </c>
      <c r="HD204" t="str">
        <f>""</f>
        <v/>
      </c>
      <c r="HE204" t="str">
        <f>""</f>
        <v/>
      </c>
      <c r="HF204" t="str">
        <f>""</f>
        <v/>
      </c>
      <c r="HG204" t="str">
        <f>""</f>
        <v/>
      </c>
      <c r="HH204" t="str">
        <f>""</f>
        <v/>
      </c>
      <c r="HI204" t="str">
        <f>""</f>
        <v/>
      </c>
      <c r="HJ204" t="str">
        <f>""</f>
        <v/>
      </c>
      <c r="HK204" t="str">
        <f>""</f>
        <v/>
      </c>
      <c r="HL204" t="str">
        <f>""</f>
        <v/>
      </c>
      <c r="HM204" t="str">
        <f>""</f>
        <v/>
      </c>
      <c r="HN204" t="str">
        <f>""</f>
        <v/>
      </c>
      <c r="HO204" t="str">
        <f>""</f>
        <v/>
      </c>
      <c r="HP204" t="str">
        <f>""</f>
        <v/>
      </c>
      <c r="HQ204" t="str">
        <f>""</f>
        <v/>
      </c>
      <c r="HR204" t="str">
        <f>""</f>
        <v/>
      </c>
      <c r="HS204" t="str">
        <f>""</f>
        <v/>
      </c>
      <c r="HT204" t="str">
        <f>""</f>
        <v/>
      </c>
      <c r="HU204" t="str">
        <f>""</f>
        <v/>
      </c>
      <c r="HV204" t="str">
        <f>""</f>
        <v/>
      </c>
      <c r="HW204" t="str">
        <f>""</f>
        <v/>
      </c>
      <c r="HX204" t="str">
        <f>""</f>
        <v/>
      </c>
      <c r="HY204" t="str">
        <f>""</f>
        <v/>
      </c>
      <c r="HZ204" t="str">
        <f>""</f>
        <v/>
      </c>
      <c r="IA204" t="str">
        <f>""</f>
        <v/>
      </c>
      <c r="IB204" t="str">
        <f>""</f>
        <v/>
      </c>
      <c r="IC204" t="str">
        <f>""</f>
        <v/>
      </c>
      <c r="ID204" t="str">
        <f>""</f>
        <v/>
      </c>
      <c r="IE204" t="str">
        <f>""</f>
        <v/>
      </c>
      <c r="IF204" t="str">
        <f>""</f>
        <v/>
      </c>
      <c r="IG204" t="str">
        <f>""</f>
        <v/>
      </c>
      <c r="IH204" t="str">
        <f>""</f>
        <v/>
      </c>
      <c r="II204" t="str">
        <f>""</f>
        <v/>
      </c>
      <c r="IJ204" t="str">
        <f>""</f>
        <v/>
      </c>
      <c r="IK204" t="str">
        <f>""</f>
        <v/>
      </c>
      <c r="IL204" t="str">
        <f>""</f>
        <v/>
      </c>
      <c r="IM204" t="str">
        <f>""</f>
        <v/>
      </c>
      <c r="IN204" t="str">
        <f>""</f>
        <v/>
      </c>
      <c r="IO204" t="str">
        <f>""</f>
        <v/>
      </c>
      <c r="IP204" t="str">
        <f>""</f>
        <v/>
      </c>
      <c r="IQ204" t="str">
        <f>""</f>
        <v/>
      </c>
      <c r="IR204" t="str">
        <f>""</f>
        <v/>
      </c>
      <c r="IS204" t="str">
        <f>""</f>
        <v/>
      </c>
      <c r="IT204" t="str">
        <f>""</f>
        <v/>
      </c>
      <c r="IU204" t="str">
        <f>""</f>
        <v/>
      </c>
      <c r="IV204" t="str">
        <f>""</f>
        <v/>
      </c>
      <c r="IW204" t="str">
        <f>""</f>
        <v/>
      </c>
      <c r="IX204" t="str">
        <f>""</f>
        <v/>
      </c>
      <c r="IY204" t="str">
        <f>""</f>
        <v/>
      </c>
      <c r="IZ204" t="str">
        <f>""</f>
        <v/>
      </c>
      <c r="JA204" t="str">
        <f>""</f>
        <v/>
      </c>
      <c r="JB204" t="str">
        <f>""</f>
        <v/>
      </c>
      <c r="JC204" t="str">
        <f>""</f>
        <v/>
      </c>
      <c r="JD204" t="str">
        <f>""</f>
        <v/>
      </c>
      <c r="JE204" t="str">
        <f>""</f>
        <v/>
      </c>
      <c r="JF204" t="str">
        <f>""</f>
        <v/>
      </c>
      <c r="JG204" t="str">
        <f>""</f>
        <v/>
      </c>
      <c r="JH204" t="str">
        <f>""</f>
        <v/>
      </c>
      <c r="JI204" t="str">
        <f>""</f>
        <v/>
      </c>
      <c r="JJ204" t="str">
        <f>""</f>
        <v/>
      </c>
      <c r="JK204" t="str">
        <f>""</f>
        <v/>
      </c>
    </row>
    <row r="205" spans="1:271" x14ac:dyDescent="0.3">
      <c r="A205" t="str">
        <f>""</f>
        <v/>
      </c>
      <c r="B205" t="str">
        <f>""</f>
        <v/>
      </c>
      <c r="C205" t="str">
        <f>""</f>
        <v/>
      </c>
      <c r="D205" t="str">
        <f>""</f>
        <v/>
      </c>
      <c r="E205" t="str">
        <f>""</f>
        <v/>
      </c>
      <c r="F205" t="str">
        <f>""</f>
        <v/>
      </c>
      <c r="G205" t="str">
        <f>""</f>
        <v/>
      </c>
      <c r="H205" t="str">
        <f>""</f>
        <v/>
      </c>
      <c r="I205" t="str">
        <f>""</f>
        <v/>
      </c>
      <c r="J205" t="str">
        <f>""</f>
        <v/>
      </c>
      <c r="K205" t="str">
        <f>""</f>
        <v/>
      </c>
      <c r="L205" t="str">
        <f>""</f>
        <v/>
      </c>
      <c r="M205" t="str">
        <f>""</f>
        <v/>
      </c>
      <c r="N205" t="str">
        <f>""</f>
        <v/>
      </c>
      <c r="O205" t="str">
        <f>""</f>
        <v/>
      </c>
      <c r="P205" t="str">
        <f>""</f>
        <v/>
      </c>
      <c r="Q205" t="str">
        <f>""</f>
        <v/>
      </c>
      <c r="R205" t="str">
        <f>""</f>
        <v/>
      </c>
      <c r="S205" t="str">
        <f>""</f>
        <v/>
      </c>
      <c r="T205" t="str">
        <f>""</f>
        <v/>
      </c>
      <c r="U205" t="str">
        <f>""</f>
        <v/>
      </c>
      <c r="V205" t="str">
        <f>""</f>
        <v/>
      </c>
      <c r="W205" t="str">
        <f>""</f>
        <v/>
      </c>
      <c r="X205" t="str">
        <f>""</f>
        <v/>
      </c>
      <c r="Y205" t="str">
        <f>""</f>
        <v/>
      </c>
      <c r="Z205" t="str">
        <f>""</f>
        <v/>
      </c>
      <c r="AA205" t="str">
        <f>""</f>
        <v/>
      </c>
      <c r="AB205" t="str">
        <f>""</f>
        <v/>
      </c>
      <c r="AC205" t="str">
        <f>""</f>
        <v/>
      </c>
      <c r="AD205" t="str">
        <f>""</f>
        <v/>
      </c>
      <c r="AE205" t="str">
        <f>""</f>
        <v/>
      </c>
      <c r="AF205" t="str">
        <f>""</f>
        <v/>
      </c>
      <c r="AG205" t="str">
        <f>""</f>
        <v/>
      </c>
      <c r="AH205" t="str">
        <f>""</f>
        <v/>
      </c>
      <c r="AI205" t="str">
        <f>""</f>
        <v/>
      </c>
      <c r="AJ205" t="str">
        <f>""</f>
        <v/>
      </c>
      <c r="AK205" t="str">
        <f>""</f>
        <v/>
      </c>
      <c r="AL205" t="str">
        <f>""</f>
        <v/>
      </c>
      <c r="AM205" t="str">
        <f>""</f>
        <v/>
      </c>
      <c r="AN205" t="str">
        <f>""</f>
        <v/>
      </c>
      <c r="AO205" t="str">
        <f>""</f>
        <v/>
      </c>
      <c r="AP205" t="str">
        <f>""</f>
        <v/>
      </c>
      <c r="AQ205" t="str">
        <f>""</f>
        <v/>
      </c>
      <c r="AR205" t="str">
        <f>""</f>
        <v/>
      </c>
      <c r="AS205" t="str">
        <f>""</f>
        <v/>
      </c>
      <c r="AT205" t="str">
        <f>""</f>
        <v/>
      </c>
      <c r="AU205" t="str">
        <f>""</f>
        <v/>
      </c>
      <c r="AV205" t="str">
        <f>""</f>
        <v/>
      </c>
      <c r="AW205" t="str">
        <f>""</f>
        <v/>
      </c>
      <c r="AX205" t="str">
        <f>""</f>
        <v/>
      </c>
      <c r="AY205" t="str">
        <f>""</f>
        <v/>
      </c>
      <c r="AZ205" t="str">
        <f>""</f>
        <v/>
      </c>
      <c r="BA205" t="str">
        <f>""</f>
        <v/>
      </c>
      <c r="BB205" t="str">
        <f>""</f>
        <v/>
      </c>
      <c r="BC205" t="str">
        <f>""</f>
        <v/>
      </c>
      <c r="BD205" t="str">
        <f>""</f>
        <v/>
      </c>
      <c r="BE205" t="str">
        <f>""</f>
        <v/>
      </c>
      <c r="BF205" t="str">
        <f>""</f>
        <v/>
      </c>
      <c r="BG205" t="str">
        <f>""</f>
        <v/>
      </c>
      <c r="BH205" t="str">
        <f>""</f>
        <v/>
      </c>
      <c r="BI205" t="str">
        <f>""</f>
        <v/>
      </c>
      <c r="BJ205" t="str">
        <f>""</f>
        <v/>
      </c>
      <c r="BK205" t="str">
        <f>""</f>
        <v/>
      </c>
      <c r="BL205" t="str">
        <f>""</f>
        <v/>
      </c>
      <c r="BM205" t="str">
        <f>""</f>
        <v/>
      </c>
      <c r="BN205" t="str">
        <f>""</f>
        <v/>
      </c>
      <c r="BO205" t="str">
        <f>""</f>
        <v/>
      </c>
      <c r="BP205" t="str">
        <f>""</f>
        <v/>
      </c>
      <c r="BQ205" t="str">
        <f>""</f>
        <v/>
      </c>
      <c r="BR205" t="str">
        <f>""</f>
        <v/>
      </c>
      <c r="BS205" t="str">
        <f>""</f>
        <v/>
      </c>
      <c r="BT205" t="str">
        <f>""</f>
        <v/>
      </c>
      <c r="BU205" t="str">
        <f>""</f>
        <v/>
      </c>
      <c r="BV205" t="str">
        <f>""</f>
        <v/>
      </c>
      <c r="BW205" t="str">
        <f>""</f>
        <v/>
      </c>
      <c r="BX205" t="str">
        <f>""</f>
        <v/>
      </c>
      <c r="BY205" t="str">
        <f>""</f>
        <v/>
      </c>
      <c r="BZ205" t="str">
        <f>""</f>
        <v/>
      </c>
      <c r="CA205" t="str">
        <f>""</f>
        <v/>
      </c>
      <c r="CB205" t="str">
        <f>""</f>
        <v/>
      </c>
      <c r="CC205" t="str">
        <f>""</f>
        <v/>
      </c>
      <c r="CD205" t="str">
        <f>""</f>
        <v/>
      </c>
      <c r="CE205" t="str">
        <f>""</f>
        <v/>
      </c>
      <c r="CF205" t="str">
        <f>""</f>
        <v/>
      </c>
      <c r="CG205" t="str">
        <f>""</f>
        <v/>
      </c>
      <c r="CH205" t="str">
        <f>""</f>
        <v/>
      </c>
      <c r="CI205" t="str">
        <f>""</f>
        <v/>
      </c>
      <c r="CJ205" t="str">
        <f>""</f>
        <v/>
      </c>
      <c r="CK205" t="str">
        <f>""</f>
        <v/>
      </c>
      <c r="CL205" t="str">
        <f>""</f>
        <v/>
      </c>
      <c r="CM205" t="str">
        <f>""</f>
        <v/>
      </c>
      <c r="CN205" t="str">
        <f>""</f>
        <v/>
      </c>
      <c r="CO205" t="str">
        <f>""</f>
        <v/>
      </c>
      <c r="CP205" t="str">
        <f>""</f>
        <v/>
      </c>
      <c r="CQ205" t="str">
        <f>""</f>
        <v/>
      </c>
      <c r="CR205" t="str">
        <f>""</f>
        <v/>
      </c>
      <c r="CS205" t="str">
        <f>""</f>
        <v/>
      </c>
      <c r="CT205" t="str">
        <f>""</f>
        <v/>
      </c>
      <c r="CU205" t="str">
        <f>""</f>
        <v/>
      </c>
      <c r="CV205" t="str">
        <f>""</f>
        <v/>
      </c>
      <c r="CW205" t="str">
        <f>""</f>
        <v/>
      </c>
      <c r="CX205" t="str">
        <f>""</f>
        <v/>
      </c>
      <c r="CY205" t="str">
        <f>""</f>
        <v/>
      </c>
      <c r="CZ205" t="str">
        <f>""</f>
        <v/>
      </c>
      <c r="DA205" t="str">
        <f>""</f>
        <v/>
      </c>
      <c r="DB205" t="str">
        <f>""</f>
        <v/>
      </c>
      <c r="DC205" t="str">
        <f>""</f>
        <v/>
      </c>
      <c r="DD205" t="str">
        <f>""</f>
        <v/>
      </c>
      <c r="DE205" t="str">
        <f>""</f>
        <v/>
      </c>
      <c r="DF205" t="str">
        <f>""</f>
        <v/>
      </c>
      <c r="DG205" t="str">
        <f>""</f>
        <v/>
      </c>
      <c r="DH205" t="str">
        <f>""</f>
        <v/>
      </c>
      <c r="DI205" t="str">
        <f>""</f>
        <v/>
      </c>
      <c r="DJ205" t="str">
        <f>""</f>
        <v/>
      </c>
      <c r="DK205" t="str">
        <f>""</f>
        <v/>
      </c>
      <c r="DL205" t="str">
        <f>""</f>
        <v/>
      </c>
      <c r="DM205" t="str">
        <f>""</f>
        <v/>
      </c>
      <c r="DN205" t="str">
        <f>""</f>
        <v/>
      </c>
      <c r="DO205" t="str">
        <f>"(0.102)"</f>
        <v>(0.102)</v>
      </c>
      <c r="DP205" t="str">
        <f>"(0.0828)"</f>
        <v>(0.0828)</v>
      </c>
      <c r="DQ205" t="str">
        <f>"(0.0436)"</f>
        <v>(0.0436)</v>
      </c>
      <c r="DR205" t="str">
        <f>""</f>
        <v/>
      </c>
      <c r="DS205" t="str">
        <f>""</f>
        <v/>
      </c>
      <c r="DT205" t="str">
        <f>""</f>
        <v/>
      </c>
      <c r="DU205" t="str">
        <f>""</f>
        <v/>
      </c>
      <c r="DV205" t="str">
        <f>""</f>
        <v/>
      </c>
      <c r="DW205" t="str">
        <f>""</f>
        <v/>
      </c>
      <c r="DX205" t="str">
        <f>""</f>
        <v/>
      </c>
      <c r="DY205" t="str">
        <f>""</f>
        <v/>
      </c>
      <c r="DZ205" t="str">
        <f>""</f>
        <v/>
      </c>
      <c r="EA205" t="str">
        <f>""</f>
        <v/>
      </c>
      <c r="EB205" t="str">
        <f>""</f>
        <v/>
      </c>
      <c r="EC205" t="str">
        <f>""</f>
        <v/>
      </c>
      <c r="ED205" t="str">
        <f>""</f>
        <v/>
      </c>
      <c r="EE205" t="str">
        <f>""</f>
        <v/>
      </c>
      <c r="EF205" t="str">
        <f>""</f>
        <v/>
      </c>
      <c r="EG205" t="str">
        <f>""</f>
        <v/>
      </c>
      <c r="EH205" t="str">
        <f>""</f>
        <v/>
      </c>
      <c r="EI205" t="str">
        <f>""</f>
        <v/>
      </c>
      <c r="EJ205" t="str">
        <f>""</f>
        <v/>
      </c>
      <c r="EK205" t="str">
        <f>""</f>
        <v/>
      </c>
      <c r="EL205" t="str">
        <f>""</f>
        <v/>
      </c>
      <c r="EM205" t="str">
        <f>""</f>
        <v/>
      </c>
      <c r="EN205" t="str">
        <f>""</f>
        <v/>
      </c>
      <c r="EO205" t="str">
        <f>""</f>
        <v/>
      </c>
      <c r="EP205" t="str">
        <f>""</f>
        <v/>
      </c>
      <c r="EQ205" t="str">
        <f>""</f>
        <v/>
      </c>
      <c r="ER205" t="str">
        <f>""</f>
        <v/>
      </c>
      <c r="ES205" t="str">
        <f>""</f>
        <v/>
      </c>
      <c r="ET205" t="str">
        <f>""</f>
        <v/>
      </c>
      <c r="EU205" t="str">
        <f>""</f>
        <v/>
      </c>
      <c r="EV205" t="str">
        <f>""</f>
        <v/>
      </c>
      <c r="EW205" t="str">
        <f>""</f>
        <v/>
      </c>
      <c r="EX205" t="str">
        <f>""</f>
        <v/>
      </c>
      <c r="EY205" t="str">
        <f>""</f>
        <v/>
      </c>
      <c r="EZ205" t="str">
        <f>""</f>
        <v/>
      </c>
      <c r="FA205" t="str">
        <f>""</f>
        <v/>
      </c>
      <c r="FB205" t="str">
        <f>""</f>
        <v/>
      </c>
      <c r="FC205" t="str">
        <f>""</f>
        <v/>
      </c>
      <c r="FD205" t="str">
        <f>""</f>
        <v/>
      </c>
      <c r="FE205" t="str">
        <f>""</f>
        <v/>
      </c>
      <c r="FF205" t="str">
        <f>""</f>
        <v/>
      </c>
      <c r="FG205" t="str">
        <f>""</f>
        <v/>
      </c>
      <c r="FH205" t="str">
        <f>""</f>
        <v/>
      </c>
      <c r="FI205" t="str">
        <f>""</f>
        <v/>
      </c>
      <c r="FJ205" t="str">
        <f>""</f>
        <v/>
      </c>
      <c r="FK205" t="str">
        <f>""</f>
        <v/>
      </c>
      <c r="FL205" t="str">
        <f>""</f>
        <v/>
      </c>
      <c r="FM205" t="str">
        <f>""</f>
        <v/>
      </c>
      <c r="FN205" t="str">
        <f>""</f>
        <v/>
      </c>
      <c r="FO205" t="str">
        <f>""</f>
        <v/>
      </c>
      <c r="FP205" t="str">
        <f>""</f>
        <v/>
      </c>
      <c r="FQ205" t="str">
        <f>""</f>
        <v/>
      </c>
      <c r="FR205" t="str">
        <f>""</f>
        <v/>
      </c>
      <c r="FS205" t="str">
        <f>""</f>
        <v/>
      </c>
      <c r="FT205" t="str">
        <f>""</f>
        <v/>
      </c>
      <c r="FU205" t="str">
        <f>""</f>
        <v/>
      </c>
      <c r="FV205" t="str">
        <f>""</f>
        <v/>
      </c>
      <c r="FW205" t="str">
        <f>""</f>
        <v/>
      </c>
      <c r="FX205" t="str">
        <f>""</f>
        <v/>
      </c>
      <c r="FY205" t="str">
        <f>""</f>
        <v/>
      </c>
      <c r="FZ205" t="str">
        <f>""</f>
        <v/>
      </c>
      <c r="GA205" t="str">
        <f>""</f>
        <v/>
      </c>
      <c r="GB205" t="str">
        <f>""</f>
        <v/>
      </c>
      <c r="GC205" t="str">
        <f>""</f>
        <v/>
      </c>
      <c r="GD205" t="str">
        <f>""</f>
        <v/>
      </c>
      <c r="GE205" t="str">
        <f>""</f>
        <v/>
      </c>
      <c r="GF205" t="str">
        <f>""</f>
        <v/>
      </c>
      <c r="GG205" t="str">
        <f>""</f>
        <v/>
      </c>
      <c r="GH205" t="str">
        <f>""</f>
        <v/>
      </c>
      <c r="GI205" t="str">
        <f>""</f>
        <v/>
      </c>
      <c r="GJ205" t="str">
        <f>""</f>
        <v/>
      </c>
      <c r="GK205" t="str">
        <f>""</f>
        <v/>
      </c>
      <c r="GL205" t="str">
        <f>""</f>
        <v/>
      </c>
      <c r="GM205" t="str">
        <f>""</f>
        <v/>
      </c>
      <c r="GN205" t="str">
        <f>""</f>
        <v/>
      </c>
      <c r="GO205" t="str">
        <f>""</f>
        <v/>
      </c>
      <c r="GP205" t="str">
        <f>""</f>
        <v/>
      </c>
      <c r="GQ205" t="str">
        <f>""</f>
        <v/>
      </c>
      <c r="GR205" t="str">
        <f>""</f>
        <v/>
      </c>
      <c r="GS205" t="str">
        <f>""</f>
        <v/>
      </c>
      <c r="GT205" t="str">
        <f>""</f>
        <v/>
      </c>
      <c r="GU205" t="str">
        <f>""</f>
        <v/>
      </c>
      <c r="GV205" t="str">
        <f>""</f>
        <v/>
      </c>
      <c r="GW205" t="str">
        <f>""</f>
        <v/>
      </c>
      <c r="GX205" t="str">
        <f>""</f>
        <v/>
      </c>
      <c r="GY205" t="str">
        <f>""</f>
        <v/>
      </c>
      <c r="GZ205" t="str">
        <f>""</f>
        <v/>
      </c>
      <c r="HA205" t="str">
        <f>""</f>
        <v/>
      </c>
      <c r="HB205" t="str">
        <f>""</f>
        <v/>
      </c>
      <c r="HC205" t="str">
        <f>""</f>
        <v/>
      </c>
      <c r="HD205" t="str">
        <f>""</f>
        <v/>
      </c>
      <c r="HE205" t="str">
        <f>""</f>
        <v/>
      </c>
      <c r="HF205" t="str">
        <f>""</f>
        <v/>
      </c>
      <c r="HG205" t="str">
        <f>""</f>
        <v/>
      </c>
      <c r="HH205" t="str">
        <f>""</f>
        <v/>
      </c>
      <c r="HI205" t="str">
        <f>""</f>
        <v/>
      </c>
      <c r="HJ205" t="str">
        <f>""</f>
        <v/>
      </c>
      <c r="HK205" t="str">
        <f>""</f>
        <v/>
      </c>
      <c r="HL205" t="str">
        <f>""</f>
        <v/>
      </c>
      <c r="HM205" t="str">
        <f>""</f>
        <v/>
      </c>
      <c r="HN205" t="str">
        <f>""</f>
        <v/>
      </c>
      <c r="HO205" t="str">
        <f>""</f>
        <v/>
      </c>
      <c r="HP205" t="str">
        <f>""</f>
        <v/>
      </c>
      <c r="HQ205" t="str">
        <f>""</f>
        <v/>
      </c>
      <c r="HR205" t="str">
        <f>""</f>
        <v/>
      </c>
      <c r="HS205" t="str">
        <f>""</f>
        <v/>
      </c>
      <c r="HT205" t="str">
        <f>""</f>
        <v/>
      </c>
      <c r="HU205" t="str">
        <f>""</f>
        <v/>
      </c>
      <c r="HV205" t="str">
        <f>""</f>
        <v/>
      </c>
      <c r="HW205" t="str">
        <f>""</f>
        <v/>
      </c>
      <c r="HX205" t="str">
        <f>""</f>
        <v/>
      </c>
      <c r="HY205" t="str">
        <f>""</f>
        <v/>
      </c>
      <c r="HZ205" t="str">
        <f>""</f>
        <v/>
      </c>
      <c r="IA205" t="str">
        <f>""</f>
        <v/>
      </c>
      <c r="IB205" t="str">
        <f>""</f>
        <v/>
      </c>
      <c r="IC205" t="str">
        <f>""</f>
        <v/>
      </c>
      <c r="ID205" t="str">
        <f>""</f>
        <v/>
      </c>
      <c r="IE205" t="str">
        <f>""</f>
        <v/>
      </c>
      <c r="IF205" t="str">
        <f>""</f>
        <v/>
      </c>
      <c r="IG205" t="str">
        <f>""</f>
        <v/>
      </c>
      <c r="IH205" t="str">
        <f>""</f>
        <v/>
      </c>
      <c r="II205" t="str">
        <f>""</f>
        <v/>
      </c>
      <c r="IJ205" t="str">
        <f>""</f>
        <v/>
      </c>
      <c r="IK205" t="str">
        <f>""</f>
        <v/>
      </c>
      <c r="IL205" t="str">
        <f>""</f>
        <v/>
      </c>
      <c r="IM205" t="str">
        <f>""</f>
        <v/>
      </c>
      <c r="IN205" t="str">
        <f>""</f>
        <v/>
      </c>
      <c r="IO205" t="str">
        <f>""</f>
        <v/>
      </c>
      <c r="IP205" t="str">
        <f>""</f>
        <v/>
      </c>
      <c r="IQ205" t="str">
        <f>""</f>
        <v/>
      </c>
      <c r="IR205" t="str">
        <f>""</f>
        <v/>
      </c>
      <c r="IS205" t="str">
        <f>""</f>
        <v/>
      </c>
      <c r="IT205" t="str">
        <f>""</f>
        <v/>
      </c>
      <c r="IU205" t="str">
        <f>""</f>
        <v/>
      </c>
      <c r="IV205" t="str">
        <f>""</f>
        <v/>
      </c>
      <c r="IW205" t="str">
        <f>""</f>
        <v/>
      </c>
      <c r="IX205" t="str">
        <f>""</f>
        <v/>
      </c>
      <c r="IY205" t="str">
        <f>""</f>
        <v/>
      </c>
      <c r="IZ205" t="str">
        <f>""</f>
        <v/>
      </c>
      <c r="JA205" t="str">
        <f>""</f>
        <v/>
      </c>
      <c r="JB205" t="str">
        <f>""</f>
        <v/>
      </c>
      <c r="JC205" t="str">
        <f>""</f>
        <v/>
      </c>
      <c r="JD205" t="str">
        <f>""</f>
        <v/>
      </c>
      <c r="JE205" t="str">
        <f>""</f>
        <v/>
      </c>
      <c r="JF205" t="str">
        <f>""</f>
        <v/>
      </c>
      <c r="JG205" t="str">
        <f>""</f>
        <v/>
      </c>
      <c r="JH205" t="str">
        <f>""</f>
        <v/>
      </c>
      <c r="JI205" t="str">
        <f>""</f>
        <v/>
      </c>
      <c r="JJ205" t="str">
        <f>""</f>
        <v/>
      </c>
      <c r="JK205" t="str">
        <f>""</f>
        <v/>
      </c>
    </row>
    <row r="207" spans="1:271" x14ac:dyDescent="0.3">
      <c r="A207" t="str">
        <f>"c.zMETAB11#c.PM3"</f>
        <v>c.zMETAB11#c.PM3</v>
      </c>
      <c r="B207" t="str">
        <f>""</f>
        <v/>
      </c>
      <c r="C207" t="str">
        <f>""</f>
        <v/>
      </c>
      <c r="D207" t="str">
        <f>""</f>
        <v/>
      </c>
      <c r="E207" t="str">
        <f>""</f>
        <v/>
      </c>
      <c r="F207" t="str">
        <f>""</f>
        <v/>
      </c>
      <c r="G207" t="str">
        <f>""</f>
        <v/>
      </c>
      <c r="H207" t="str">
        <f>""</f>
        <v/>
      </c>
      <c r="I207" t="str">
        <f>""</f>
        <v/>
      </c>
      <c r="J207" t="str">
        <f>""</f>
        <v/>
      </c>
      <c r="K207" t="str">
        <f>""</f>
        <v/>
      </c>
      <c r="L207" t="str">
        <f>""</f>
        <v/>
      </c>
      <c r="M207" t="str">
        <f>""</f>
        <v/>
      </c>
      <c r="N207" t="str">
        <f>""</f>
        <v/>
      </c>
      <c r="O207" t="str">
        <f>""</f>
        <v/>
      </c>
      <c r="P207" t="str">
        <f>""</f>
        <v/>
      </c>
      <c r="Q207" t="str">
        <f>""</f>
        <v/>
      </c>
      <c r="R207" t="str">
        <f>""</f>
        <v/>
      </c>
      <c r="S207" t="str">
        <f>""</f>
        <v/>
      </c>
      <c r="T207" t="str">
        <f>""</f>
        <v/>
      </c>
      <c r="U207" t="str">
        <f>""</f>
        <v/>
      </c>
      <c r="V207" t="str">
        <f>""</f>
        <v/>
      </c>
      <c r="W207" t="str">
        <f>""</f>
        <v/>
      </c>
      <c r="X207" t="str">
        <f>""</f>
        <v/>
      </c>
      <c r="Y207" t="str">
        <f>""</f>
        <v/>
      </c>
      <c r="Z207" t="str">
        <f>""</f>
        <v/>
      </c>
      <c r="AA207" t="str">
        <f>""</f>
        <v/>
      </c>
      <c r="AB207" t="str">
        <f>""</f>
        <v/>
      </c>
      <c r="AC207" t="str">
        <f>""</f>
        <v/>
      </c>
      <c r="AD207" t="str">
        <f>""</f>
        <v/>
      </c>
      <c r="AE207" t="str">
        <f>""</f>
        <v/>
      </c>
      <c r="AF207" t="str">
        <f>""</f>
        <v/>
      </c>
      <c r="AG207" t="str">
        <f>""</f>
        <v/>
      </c>
      <c r="AH207" t="str">
        <f>""</f>
        <v/>
      </c>
      <c r="AI207" t="str">
        <f>""</f>
        <v/>
      </c>
      <c r="AJ207" t="str">
        <f>""</f>
        <v/>
      </c>
      <c r="AK207" t="str">
        <f>""</f>
        <v/>
      </c>
      <c r="AL207" t="str">
        <f>""</f>
        <v/>
      </c>
      <c r="AM207" t="str">
        <f>""</f>
        <v/>
      </c>
      <c r="AN207" t="str">
        <f>""</f>
        <v/>
      </c>
      <c r="AO207" t="str">
        <f>""</f>
        <v/>
      </c>
      <c r="AP207" t="str">
        <f>""</f>
        <v/>
      </c>
      <c r="AQ207" t="str">
        <f>""</f>
        <v/>
      </c>
      <c r="AR207" t="str">
        <f>""</f>
        <v/>
      </c>
      <c r="AS207" t="str">
        <f>""</f>
        <v/>
      </c>
      <c r="AT207" t="str">
        <f>""</f>
        <v/>
      </c>
      <c r="AU207" t="str">
        <f>""</f>
        <v/>
      </c>
      <c r="AV207" t="str">
        <f>""</f>
        <v/>
      </c>
      <c r="AW207" t="str">
        <f>""</f>
        <v/>
      </c>
      <c r="AX207" t="str">
        <f>""</f>
        <v/>
      </c>
      <c r="AY207" t="str">
        <f>""</f>
        <v/>
      </c>
      <c r="AZ207" t="str">
        <f>""</f>
        <v/>
      </c>
      <c r="BA207" t="str">
        <f>""</f>
        <v/>
      </c>
      <c r="BB207" t="str">
        <f>""</f>
        <v/>
      </c>
      <c r="BC207" t="str">
        <f>""</f>
        <v/>
      </c>
      <c r="BD207" t="str">
        <f>""</f>
        <v/>
      </c>
      <c r="BE207" t="str">
        <f>""</f>
        <v/>
      </c>
      <c r="BF207" t="str">
        <f>""</f>
        <v/>
      </c>
      <c r="BG207" t="str">
        <f>""</f>
        <v/>
      </c>
      <c r="BH207" t="str">
        <f>""</f>
        <v/>
      </c>
      <c r="BI207" t="str">
        <f>""</f>
        <v/>
      </c>
      <c r="BJ207" t="str">
        <f>""</f>
        <v/>
      </c>
      <c r="BK207" t="str">
        <f>""</f>
        <v/>
      </c>
      <c r="BL207" t="str">
        <f>""</f>
        <v/>
      </c>
      <c r="BM207" t="str">
        <f>""</f>
        <v/>
      </c>
      <c r="BN207" t="str">
        <f>""</f>
        <v/>
      </c>
      <c r="BO207" t="str">
        <f>""</f>
        <v/>
      </c>
      <c r="BP207" t="str">
        <f>""</f>
        <v/>
      </c>
      <c r="BQ207" t="str">
        <f>""</f>
        <v/>
      </c>
      <c r="BR207" t="str">
        <f>""</f>
        <v/>
      </c>
      <c r="BS207" t="str">
        <f>""</f>
        <v/>
      </c>
      <c r="BT207" t="str">
        <f>""</f>
        <v/>
      </c>
      <c r="BU207" t="str">
        <f>""</f>
        <v/>
      </c>
      <c r="BV207" t="str">
        <f>""</f>
        <v/>
      </c>
      <c r="BW207" t="str">
        <f>""</f>
        <v/>
      </c>
      <c r="BX207" t="str">
        <f>""</f>
        <v/>
      </c>
      <c r="BY207" t="str">
        <f>""</f>
        <v/>
      </c>
      <c r="BZ207" t="str">
        <f>""</f>
        <v/>
      </c>
      <c r="CA207" t="str">
        <f>""</f>
        <v/>
      </c>
      <c r="CB207" t="str">
        <f>""</f>
        <v/>
      </c>
      <c r="CC207" t="str">
        <f>""</f>
        <v/>
      </c>
      <c r="CD207" t="str">
        <f>""</f>
        <v/>
      </c>
      <c r="CE207" t="str">
        <f>""</f>
        <v/>
      </c>
      <c r="CF207" t="str">
        <f>""</f>
        <v/>
      </c>
      <c r="CG207" t="str">
        <f>""</f>
        <v/>
      </c>
      <c r="CH207" t="str">
        <f>""</f>
        <v/>
      </c>
      <c r="CI207" t="str">
        <f>""</f>
        <v/>
      </c>
      <c r="CJ207" t="str">
        <f>""</f>
        <v/>
      </c>
      <c r="CK207" t="str">
        <f>""</f>
        <v/>
      </c>
      <c r="CL207" t="str">
        <f>""</f>
        <v/>
      </c>
      <c r="CM207" t="str">
        <f>""</f>
        <v/>
      </c>
      <c r="CN207" t="str">
        <f>""</f>
        <v/>
      </c>
      <c r="CO207" t="str">
        <f>""</f>
        <v/>
      </c>
      <c r="CP207" t="str">
        <f>""</f>
        <v/>
      </c>
      <c r="CQ207" t="str">
        <f>""</f>
        <v/>
      </c>
      <c r="CR207" t="str">
        <f>""</f>
        <v/>
      </c>
      <c r="CS207" t="str">
        <f>""</f>
        <v/>
      </c>
      <c r="CT207" t="str">
        <f>""</f>
        <v/>
      </c>
      <c r="CU207" t="str">
        <f>""</f>
        <v/>
      </c>
      <c r="CV207" t="str">
        <f>""</f>
        <v/>
      </c>
      <c r="CW207" t="str">
        <f>""</f>
        <v/>
      </c>
      <c r="CX207" t="str">
        <f>""</f>
        <v/>
      </c>
      <c r="CY207" t="str">
        <f>""</f>
        <v/>
      </c>
      <c r="CZ207" t="str">
        <f>""</f>
        <v/>
      </c>
      <c r="DA207" t="str">
        <f>""</f>
        <v/>
      </c>
      <c r="DB207" t="str">
        <f>""</f>
        <v/>
      </c>
      <c r="DC207" t="str">
        <f>""</f>
        <v/>
      </c>
      <c r="DD207" t="str">
        <f>""</f>
        <v/>
      </c>
      <c r="DE207" t="str">
        <f>""</f>
        <v/>
      </c>
      <c r="DF207" t="str">
        <f>""</f>
        <v/>
      </c>
      <c r="DG207" t="str">
        <f>""</f>
        <v/>
      </c>
      <c r="DH207" t="str">
        <f>""</f>
        <v/>
      </c>
      <c r="DI207" t="str">
        <f>""</f>
        <v/>
      </c>
      <c r="DJ207" t="str">
        <f>""</f>
        <v/>
      </c>
      <c r="DK207" t="str">
        <f>""</f>
        <v/>
      </c>
      <c r="DL207" t="str">
        <f>""</f>
        <v/>
      </c>
      <c r="DM207" t="str">
        <f>""</f>
        <v/>
      </c>
      <c r="DN207" t="str">
        <f>""</f>
        <v/>
      </c>
      <c r="DO207" t="str">
        <f>""</f>
        <v/>
      </c>
      <c r="DP207" t="str">
        <f>""</f>
        <v/>
      </c>
      <c r="DQ207" t="str">
        <f>""</f>
        <v/>
      </c>
      <c r="DR207" t="str">
        <f>"-0.140"</f>
        <v>-0.140</v>
      </c>
      <c r="DS207" t="str">
        <f>"0.0163"</f>
        <v>0.0163</v>
      </c>
      <c r="DT207" t="str">
        <f>"0.0634"</f>
        <v>0.0634</v>
      </c>
      <c r="DU207" t="str">
        <f>""</f>
        <v/>
      </c>
      <c r="DV207" t="str">
        <f>""</f>
        <v/>
      </c>
      <c r="DW207" t="str">
        <f>""</f>
        <v/>
      </c>
      <c r="DX207" t="str">
        <f>""</f>
        <v/>
      </c>
      <c r="DY207" t="str">
        <f>""</f>
        <v/>
      </c>
      <c r="DZ207" t="str">
        <f>""</f>
        <v/>
      </c>
      <c r="EA207" t="str">
        <f>""</f>
        <v/>
      </c>
      <c r="EB207" t="str">
        <f>""</f>
        <v/>
      </c>
      <c r="EC207" t="str">
        <f>""</f>
        <v/>
      </c>
      <c r="ED207" t="str">
        <f>""</f>
        <v/>
      </c>
      <c r="EE207" t="str">
        <f>""</f>
        <v/>
      </c>
      <c r="EF207" t="str">
        <f>""</f>
        <v/>
      </c>
      <c r="EG207" t="str">
        <f>""</f>
        <v/>
      </c>
      <c r="EH207" t="str">
        <f>""</f>
        <v/>
      </c>
      <c r="EI207" t="str">
        <f>""</f>
        <v/>
      </c>
      <c r="EJ207" t="str">
        <f>""</f>
        <v/>
      </c>
      <c r="EK207" t="str">
        <f>""</f>
        <v/>
      </c>
      <c r="EL207" t="str">
        <f>""</f>
        <v/>
      </c>
      <c r="EM207" t="str">
        <f>""</f>
        <v/>
      </c>
      <c r="EN207" t="str">
        <f>""</f>
        <v/>
      </c>
      <c r="EO207" t="str">
        <f>""</f>
        <v/>
      </c>
      <c r="EP207" t="str">
        <f>""</f>
        <v/>
      </c>
      <c r="EQ207" t="str">
        <f>""</f>
        <v/>
      </c>
      <c r="ER207" t="str">
        <f>""</f>
        <v/>
      </c>
      <c r="ES207" t="str">
        <f>""</f>
        <v/>
      </c>
      <c r="ET207" t="str">
        <f>""</f>
        <v/>
      </c>
      <c r="EU207" t="str">
        <f>""</f>
        <v/>
      </c>
      <c r="EV207" t="str">
        <f>""</f>
        <v/>
      </c>
      <c r="EW207" t="str">
        <f>""</f>
        <v/>
      </c>
      <c r="EX207" t="str">
        <f>""</f>
        <v/>
      </c>
      <c r="EY207" t="str">
        <f>""</f>
        <v/>
      </c>
      <c r="EZ207" t="str">
        <f>""</f>
        <v/>
      </c>
      <c r="FA207" t="str">
        <f>""</f>
        <v/>
      </c>
      <c r="FB207" t="str">
        <f>""</f>
        <v/>
      </c>
      <c r="FC207" t="str">
        <f>""</f>
        <v/>
      </c>
      <c r="FD207" t="str">
        <f>""</f>
        <v/>
      </c>
      <c r="FE207" t="str">
        <f>""</f>
        <v/>
      </c>
      <c r="FF207" t="str">
        <f>""</f>
        <v/>
      </c>
      <c r="FG207" t="str">
        <f>""</f>
        <v/>
      </c>
      <c r="FH207" t="str">
        <f>""</f>
        <v/>
      </c>
      <c r="FI207" t="str">
        <f>""</f>
        <v/>
      </c>
      <c r="FJ207" t="str">
        <f>""</f>
        <v/>
      </c>
      <c r="FK207" t="str">
        <f>""</f>
        <v/>
      </c>
      <c r="FL207" t="str">
        <f>""</f>
        <v/>
      </c>
      <c r="FM207" t="str">
        <f>""</f>
        <v/>
      </c>
      <c r="FN207" t="str">
        <f>""</f>
        <v/>
      </c>
      <c r="FO207" t="str">
        <f>""</f>
        <v/>
      </c>
      <c r="FP207" t="str">
        <f>""</f>
        <v/>
      </c>
      <c r="FQ207" t="str">
        <f>""</f>
        <v/>
      </c>
      <c r="FR207" t="str">
        <f>""</f>
        <v/>
      </c>
      <c r="FS207" t="str">
        <f>""</f>
        <v/>
      </c>
      <c r="FT207" t="str">
        <f>""</f>
        <v/>
      </c>
      <c r="FU207" t="str">
        <f>""</f>
        <v/>
      </c>
      <c r="FV207" t="str">
        <f>""</f>
        <v/>
      </c>
      <c r="FW207" t="str">
        <f>""</f>
        <v/>
      </c>
      <c r="FX207" t="str">
        <f>""</f>
        <v/>
      </c>
      <c r="FY207" t="str">
        <f>""</f>
        <v/>
      </c>
      <c r="FZ207" t="str">
        <f>""</f>
        <v/>
      </c>
      <c r="GA207" t="str">
        <f>""</f>
        <v/>
      </c>
      <c r="GB207" t="str">
        <f>""</f>
        <v/>
      </c>
      <c r="GC207" t="str">
        <f>""</f>
        <v/>
      </c>
      <c r="GD207" t="str">
        <f>""</f>
        <v/>
      </c>
      <c r="GE207" t="str">
        <f>""</f>
        <v/>
      </c>
      <c r="GF207" t="str">
        <f>""</f>
        <v/>
      </c>
      <c r="GG207" t="str">
        <f>""</f>
        <v/>
      </c>
      <c r="GH207" t="str">
        <f>""</f>
        <v/>
      </c>
      <c r="GI207" t="str">
        <f>""</f>
        <v/>
      </c>
      <c r="GJ207" t="str">
        <f>""</f>
        <v/>
      </c>
      <c r="GK207" t="str">
        <f>""</f>
        <v/>
      </c>
      <c r="GL207" t="str">
        <f>""</f>
        <v/>
      </c>
      <c r="GM207" t="str">
        <f>""</f>
        <v/>
      </c>
      <c r="GN207" t="str">
        <f>""</f>
        <v/>
      </c>
      <c r="GO207" t="str">
        <f>""</f>
        <v/>
      </c>
      <c r="GP207" t="str">
        <f>""</f>
        <v/>
      </c>
      <c r="GQ207" t="str">
        <f>""</f>
        <v/>
      </c>
      <c r="GR207" t="str">
        <f>""</f>
        <v/>
      </c>
      <c r="GS207" t="str">
        <f>""</f>
        <v/>
      </c>
      <c r="GT207" t="str">
        <f>""</f>
        <v/>
      </c>
      <c r="GU207" t="str">
        <f>""</f>
        <v/>
      </c>
      <c r="GV207" t="str">
        <f>""</f>
        <v/>
      </c>
      <c r="GW207" t="str">
        <f>""</f>
        <v/>
      </c>
      <c r="GX207" t="str">
        <f>""</f>
        <v/>
      </c>
      <c r="GY207" t="str">
        <f>""</f>
        <v/>
      </c>
      <c r="GZ207" t="str">
        <f>""</f>
        <v/>
      </c>
      <c r="HA207" t="str">
        <f>""</f>
        <v/>
      </c>
      <c r="HB207" t="str">
        <f>""</f>
        <v/>
      </c>
      <c r="HC207" t="str">
        <f>""</f>
        <v/>
      </c>
      <c r="HD207" t="str">
        <f>""</f>
        <v/>
      </c>
      <c r="HE207" t="str">
        <f>""</f>
        <v/>
      </c>
      <c r="HF207" t="str">
        <f>""</f>
        <v/>
      </c>
      <c r="HG207" t="str">
        <f>""</f>
        <v/>
      </c>
      <c r="HH207" t="str">
        <f>""</f>
        <v/>
      </c>
      <c r="HI207" t="str">
        <f>""</f>
        <v/>
      </c>
      <c r="HJ207" t="str">
        <f>""</f>
        <v/>
      </c>
      <c r="HK207" t="str">
        <f>""</f>
        <v/>
      </c>
      <c r="HL207" t="str">
        <f>""</f>
        <v/>
      </c>
      <c r="HM207" t="str">
        <f>""</f>
        <v/>
      </c>
      <c r="HN207" t="str">
        <f>""</f>
        <v/>
      </c>
      <c r="HO207" t="str">
        <f>""</f>
        <v/>
      </c>
      <c r="HP207" t="str">
        <f>""</f>
        <v/>
      </c>
      <c r="HQ207" t="str">
        <f>""</f>
        <v/>
      </c>
      <c r="HR207" t="str">
        <f>""</f>
        <v/>
      </c>
      <c r="HS207" t="str">
        <f>""</f>
        <v/>
      </c>
      <c r="HT207" t="str">
        <f>""</f>
        <v/>
      </c>
      <c r="HU207" t="str">
        <f>""</f>
        <v/>
      </c>
      <c r="HV207" t="str">
        <f>""</f>
        <v/>
      </c>
      <c r="HW207" t="str">
        <f>""</f>
        <v/>
      </c>
      <c r="HX207" t="str">
        <f>""</f>
        <v/>
      </c>
      <c r="HY207" t="str">
        <f>""</f>
        <v/>
      </c>
      <c r="HZ207" t="str">
        <f>""</f>
        <v/>
      </c>
      <c r="IA207" t="str">
        <f>""</f>
        <v/>
      </c>
      <c r="IB207" t="str">
        <f>""</f>
        <v/>
      </c>
      <c r="IC207" t="str">
        <f>""</f>
        <v/>
      </c>
      <c r="ID207" t="str">
        <f>""</f>
        <v/>
      </c>
      <c r="IE207" t="str">
        <f>""</f>
        <v/>
      </c>
      <c r="IF207" t="str">
        <f>""</f>
        <v/>
      </c>
      <c r="IG207" t="str">
        <f>""</f>
        <v/>
      </c>
      <c r="IH207" t="str">
        <f>""</f>
        <v/>
      </c>
      <c r="II207" t="str">
        <f>""</f>
        <v/>
      </c>
      <c r="IJ207" t="str">
        <f>""</f>
        <v/>
      </c>
      <c r="IK207" t="str">
        <f>""</f>
        <v/>
      </c>
      <c r="IL207" t="str">
        <f>""</f>
        <v/>
      </c>
      <c r="IM207" t="str">
        <f>""</f>
        <v/>
      </c>
      <c r="IN207" t="str">
        <f>""</f>
        <v/>
      </c>
      <c r="IO207" t="str">
        <f>""</f>
        <v/>
      </c>
      <c r="IP207" t="str">
        <f>""</f>
        <v/>
      </c>
      <c r="IQ207" t="str">
        <f>""</f>
        <v/>
      </c>
      <c r="IR207" t="str">
        <f>""</f>
        <v/>
      </c>
      <c r="IS207" t="str">
        <f>""</f>
        <v/>
      </c>
      <c r="IT207" t="str">
        <f>""</f>
        <v/>
      </c>
      <c r="IU207" t="str">
        <f>""</f>
        <v/>
      </c>
      <c r="IV207" t="str">
        <f>""</f>
        <v/>
      </c>
      <c r="IW207" t="str">
        <f>""</f>
        <v/>
      </c>
      <c r="IX207" t="str">
        <f>""</f>
        <v/>
      </c>
      <c r="IY207" t="str">
        <f>""</f>
        <v/>
      </c>
      <c r="IZ207" t="str">
        <f>""</f>
        <v/>
      </c>
      <c r="JA207" t="str">
        <f>""</f>
        <v/>
      </c>
      <c r="JB207" t="str">
        <f>""</f>
        <v/>
      </c>
      <c r="JC207" t="str">
        <f>""</f>
        <v/>
      </c>
      <c r="JD207" t="str">
        <f>""</f>
        <v/>
      </c>
      <c r="JE207" t="str">
        <f>""</f>
        <v/>
      </c>
      <c r="JF207" t="str">
        <f>""</f>
        <v/>
      </c>
      <c r="JG207" t="str">
        <f>""</f>
        <v/>
      </c>
      <c r="JH207" t="str">
        <f>""</f>
        <v/>
      </c>
      <c r="JI207" t="str">
        <f>""</f>
        <v/>
      </c>
      <c r="JJ207" t="str">
        <f>""</f>
        <v/>
      </c>
      <c r="JK207" t="str">
        <f>""</f>
        <v/>
      </c>
    </row>
    <row r="208" spans="1:271" x14ac:dyDescent="0.3">
      <c r="A208" t="str">
        <f>""</f>
        <v/>
      </c>
      <c r="B208" t="str">
        <f>""</f>
        <v/>
      </c>
      <c r="C208" t="str">
        <f>""</f>
        <v/>
      </c>
      <c r="D208" t="str">
        <f>""</f>
        <v/>
      </c>
      <c r="E208" t="str">
        <f>""</f>
        <v/>
      </c>
      <c r="F208" t="str">
        <f>""</f>
        <v/>
      </c>
      <c r="G208" t="str">
        <f>""</f>
        <v/>
      </c>
      <c r="H208" t="str">
        <f>""</f>
        <v/>
      </c>
      <c r="I208" t="str">
        <f>""</f>
        <v/>
      </c>
      <c r="J208" t="str">
        <f>""</f>
        <v/>
      </c>
      <c r="K208" t="str">
        <f>""</f>
        <v/>
      </c>
      <c r="L208" t="str">
        <f>""</f>
        <v/>
      </c>
      <c r="M208" t="str">
        <f>""</f>
        <v/>
      </c>
      <c r="N208" t="str">
        <f>""</f>
        <v/>
      </c>
      <c r="O208" t="str">
        <f>""</f>
        <v/>
      </c>
      <c r="P208" t="str">
        <f>""</f>
        <v/>
      </c>
      <c r="Q208" t="str">
        <f>""</f>
        <v/>
      </c>
      <c r="R208" t="str">
        <f>""</f>
        <v/>
      </c>
      <c r="S208" t="str">
        <f>""</f>
        <v/>
      </c>
      <c r="T208" t="str">
        <f>""</f>
        <v/>
      </c>
      <c r="U208" t="str">
        <f>""</f>
        <v/>
      </c>
      <c r="V208" t="str">
        <f>""</f>
        <v/>
      </c>
      <c r="W208" t="str">
        <f>""</f>
        <v/>
      </c>
      <c r="X208" t="str">
        <f>""</f>
        <v/>
      </c>
      <c r="Y208" t="str">
        <f>""</f>
        <v/>
      </c>
      <c r="Z208" t="str">
        <f>""</f>
        <v/>
      </c>
      <c r="AA208" t="str">
        <f>""</f>
        <v/>
      </c>
      <c r="AB208" t="str">
        <f>""</f>
        <v/>
      </c>
      <c r="AC208" t="str">
        <f>""</f>
        <v/>
      </c>
      <c r="AD208" t="str">
        <f>""</f>
        <v/>
      </c>
      <c r="AE208" t="str">
        <f>""</f>
        <v/>
      </c>
      <c r="AF208" t="str">
        <f>""</f>
        <v/>
      </c>
      <c r="AG208" t="str">
        <f>""</f>
        <v/>
      </c>
      <c r="AH208" t="str">
        <f>""</f>
        <v/>
      </c>
      <c r="AI208" t="str">
        <f>""</f>
        <v/>
      </c>
      <c r="AJ208" t="str">
        <f>""</f>
        <v/>
      </c>
      <c r="AK208" t="str">
        <f>""</f>
        <v/>
      </c>
      <c r="AL208" t="str">
        <f>""</f>
        <v/>
      </c>
      <c r="AM208" t="str">
        <f>""</f>
        <v/>
      </c>
      <c r="AN208" t="str">
        <f>""</f>
        <v/>
      </c>
      <c r="AO208" t="str">
        <f>""</f>
        <v/>
      </c>
      <c r="AP208" t="str">
        <f>""</f>
        <v/>
      </c>
      <c r="AQ208" t="str">
        <f>""</f>
        <v/>
      </c>
      <c r="AR208" t="str">
        <f>""</f>
        <v/>
      </c>
      <c r="AS208" t="str">
        <f>""</f>
        <v/>
      </c>
      <c r="AT208" t="str">
        <f>""</f>
        <v/>
      </c>
      <c r="AU208" t="str">
        <f>""</f>
        <v/>
      </c>
      <c r="AV208" t="str">
        <f>""</f>
        <v/>
      </c>
      <c r="AW208" t="str">
        <f>""</f>
        <v/>
      </c>
      <c r="AX208" t="str">
        <f>""</f>
        <v/>
      </c>
      <c r="AY208" t="str">
        <f>""</f>
        <v/>
      </c>
      <c r="AZ208" t="str">
        <f>""</f>
        <v/>
      </c>
      <c r="BA208" t="str">
        <f>""</f>
        <v/>
      </c>
      <c r="BB208" t="str">
        <f>""</f>
        <v/>
      </c>
      <c r="BC208" t="str">
        <f>""</f>
        <v/>
      </c>
      <c r="BD208" t="str">
        <f>""</f>
        <v/>
      </c>
      <c r="BE208" t="str">
        <f>""</f>
        <v/>
      </c>
      <c r="BF208" t="str">
        <f>""</f>
        <v/>
      </c>
      <c r="BG208" t="str">
        <f>""</f>
        <v/>
      </c>
      <c r="BH208" t="str">
        <f>""</f>
        <v/>
      </c>
      <c r="BI208" t="str">
        <f>""</f>
        <v/>
      </c>
      <c r="BJ208" t="str">
        <f>""</f>
        <v/>
      </c>
      <c r="BK208" t="str">
        <f>""</f>
        <v/>
      </c>
      <c r="BL208" t="str">
        <f>""</f>
        <v/>
      </c>
      <c r="BM208" t="str">
        <f>""</f>
        <v/>
      </c>
      <c r="BN208" t="str">
        <f>""</f>
        <v/>
      </c>
      <c r="BO208" t="str">
        <f>""</f>
        <v/>
      </c>
      <c r="BP208" t="str">
        <f>""</f>
        <v/>
      </c>
      <c r="BQ208" t="str">
        <f>""</f>
        <v/>
      </c>
      <c r="BR208" t="str">
        <f>""</f>
        <v/>
      </c>
      <c r="BS208" t="str">
        <f>""</f>
        <v/>
      </c>
      <c r="BT208" t="str">
        <f>""</f>
        <v/>
      </c>
      <c r="BU208" t="str">
        <f>""</f>
        <v/>
      </c>
      <c r="BV208" t="str">
        <f>""</f>
        <v/>
      </c>
      <c r="BW208" t="str">
        <f>""</f>
        <v/>
      </c>
      <c r="BX208" t="str">
        <f>""</f>
        <v/>
      </c>
      <c r="BY208" t="str">
        <f>""</f>
        <v/>
      </c>
      <c r="BZ208" t="str">
        <f>""</f>
        <v/>
      </c>
      <c r="CA208" t="str">
        <f>""</f>
        <v/>
      </c>
      <c r="CB208" t="str">
        <f>""</f>
        <v/>
      </c>
      <c r="CC208" t="str">
        <f>""</f>
        <v/>
      </c>
      <c r="CD208" t="str">
        <f>""</f>
        <v/>
      </c>
      <c r="CE208" t="str">
        <f>""</f>
        <v/>
      </c>
      <c r="CF208" t="str">
        <f>""</f>
        <v/>
      </c>
      <c r="CG208" t="str">
        <f>""</f>
        <v/>
      </c>
      <c r="CH208" t="str">
        <f>""</f>
        <v/>
      </c>
      <c r="CI208" t="str">
        <f>""</f>
        <v/>
      </c>
      <c r="CJ208" t="str">
        <f>""</f>
        <v/>
      </c>
      <c r="CK208" t="str">
        <f>""</f>
        <v/>
      </c>
      <c r="CL208" t="str">
        <f>""</f>
        <v/>
      </c>
      <c r="CM208" t="str">
        <f>""</f>
        <v/>
      </c>
      <c r="CN208" t="str">
        <f>""</f>
        <v/>
      </c>
      <c r="CO208" t="str">
        <f>""</f>
        <v/>
      </c>
      <c r="CP208" t="str">
        <f>""</f>
        <v/>
      </c>
      <c r="CQ208" t="str">
        <f>""</f>
        <v/>
      </c>
      <c r="CR208" t="str">
        <f>""</f>
        <v/>
      </c>
      <c r="CS208" t="str">
        <f>""</f>
        <v/>
      </c>
      <c r="CT208" t="str">
        <f>""</f>
        <v/>
      </c>
      <c r="CU208" t="str">
        <f>""</f>
        <v/>
      </c>
      <c r="CV208" t="str">
        <f>""</f>
        <v/>
      </c>
      <c r="CW208" t="str">
        <f>""</f>
        <v/>
      </c>
      <c r="CX208" t="str">
        <f>""</f>
        <v/>
      </c>
      <c r="CY208" t="str">
        <f>""</f>
        <v/>
      </c>
      <c r="CZ208" t="str">
        <f>""</f>
        <v/>
      </c>
      <c r="DA208" t="str">
        <f>""</f>
        <v/>
      </c>
      <c r="DB208" t="str">
        <f>""</f>
        <v/>
      </c>
      <c r="DC208" t="str">
        <f>""</f>
        <v/>
      </c>
      <c r="DD208" t="str">
        <f>""</f>
        <v/>
      </c>
      <c r="DE208" t="str">
        <f>""</f>
        <v/>
      </c>
      <c r="DF208" t="str">
        <f>""</f>
        <v/>
      </c>
      <c r="DG208" t="str">
        <f>""</f>
        <v/>
      </c>
      <c r="DH208" t="str">
        <f>""</f>
        <v/>
      </c>
      <c r="DI208" t="str">
        <f>""</f>
        <v/>
      </c>
      <c r="DJ208" t="str">
        <f>""</f>
        <v/>
      </c>
      <c r="DK208" t="str">
        <f>""</f>
        <v/>
      </c>
      <c r="DL208" t="str">
        <f>""</f>
        <v/>
      </c>
      <c r="DM208" t="str">
        <f>""</f>
        <v/>
      </c>
      <c r="DN208" t="str">
        <f>""</f>
        <v/>
      </c>
      <c r="DO208" t="str">
        <f>""</f>
        <v/>
      </c>
      <c r="DP208" t="str">
        <f>""</f>
        <v/>
      </c>
      <c r="DQ208" t="str">
        <f>""</f>
        <v/>
      </c>
      <c r="DR208" t="str">
        <f>"(0.101)"</f>
        <v>(0.101)</v>
      </c>
      <c r="DS208" t="str">
        <f>"(0.0801)"</f>
        <v>(0.0801)</v>
      </c>
      <c r="DT208" t="str">
        <f>"(0.0408)"</f>
        <v>(0.0408)</v>
      </c>
      <c r="DU208" t="str">
        <f>""</f>
        <v/>
      </c>
      <c r="DV208" t="str">
        <f>""</f>
        <v/>
      </c>
      <c r="DW208" t="str">
        <f>""</f>
        <v/>
      </c>
      <c r="DX208" t="str">
        <f>""</f>
        <v/>
      </c>
      <c r="DY208" t="str">
        <f>""</f>
        <v/>
      </c>
      <c r="DZ208" t="str">
        <f>""</f>
        <v/>
      </c>
      <c r="EA208" t="str">
        <f>""</f>
        <v/>
      </c>
      <c r="EB208" t="str">
        <f>""</f>
        <v/>
      </c>
      <c r="EC208" t="str">
        <f>""</f>
        <v/>
      </c>
      <c r="ED208" t="str">
        <f>""</f>
        <v/>
      </c>
      <c r="EE208" t="str">
        <f>""</f>
        <v/>
      </c>
      <c r="EF208" t="str">
        <f>""</f>
        <v/>
      </c>
      <c r="EG208" t="str">
        <f>""</f>
        <v/>
      </c>
      <c r="EH208" t="str">
        <f>""</f>
        <v/>
      </c>
      <c r="EI208" t="str">
        <f>""</f>
        <v/>
      </c>
      <c r="EJ208" t="str">
        <f>""</f>
        <v/>
      </c>
      <c r="EK208" t="str">
        <f>""</f>
        <v/>
      </c>
      <c r="EL208" t="str">
        <f>""</f>
        <v/>
      </c>
      <c r="EM208" t="str">
        <f>""</f>
        <v/>
      </c>
      <c r="EN208" t="str">
        <f>""</f>
        <v/>
      </c>
      <c r="EO208" t="str">
        <f>""</f>
        <v/>
      </c>
      <c r="EP208" t="str">
        <f>""</f>
        <v/>
      </c>
      <c r="EQ208" t="str">
        <f>""</f>
        <v/>
      </c>
      <c r="ER208" t="str">
        <f>""</f>
        <v/>
      </c>
      <c r="ES208" t="str">
        <f>""</f>
        <v/>
      </c>
      <c r="ET208" t="str">
        <f>""</f>
        <v/>
      </c>
      <c r="EU208" t="str">
        <f>""</f>
        <v/>
      </c>
      <c r="EV208" t="str">
        <f>""</f>
        <v/>
      </c>
      <c r="EW208" t="str">
        <f>""</f>
        <v/>
      </c>
      <c r="EX208" t="str">
        <f>""</f>
        <v/>
      </c>
      <c r="EY208" t="str">
        <f>""</f>
        <v/>
      </c>
      <c r="EZ208" t="str">
        <f>""</f>
        <v/>
      </c>
      <c r="FA208" t="str">
        <f>""</f>
        <v/>
      </c>
      <c r="FB208" t="str">
        <f>""</f>
        <v/>
      </c>
      <c r="FC208" t="str">
        <f>""</f>
        <v/>
      </c>
      <c r="FD208" t="str">
        <f>""</f>
        <v/>
      </c>
      <c r="FE208" t="str">
        <f>""</f>
        <v/>
      </c>
      <c r="FF208" t="str">
        <f>""</f>
        <v/>
      </c>
      <c r="FG208" t="str">
        <f>""</f>
        <v/>
      </c>
      <c r="FH208" t="str">
        <f>""</f>
        <v/>
      </c>
      <c r="FI208" t="str">
        <f>""</f>
        <v/>
      </c>
      <c r="FJ208" t="str">
        <f>""</f>
        <v/>
      </c>
      <c r="FK208" t="str">
        <f>""</f>
        <v/>
      </c>
      <c r="FL208" t="str">
        <f>""</f>
        <v/>
      </c>
      <c r="FM208" t="str">
        <f>""</f>
        <v/>
      </c>
      <c r="FN208" t="str">
        <f>""</f>
        <v/>
      </c>
      <c r="FO208" t="str">
        <f>""</f>
        <v/>
      </c>
      <c r="FP208" t="str">
        <f>""</f>
        <v/>
      </c>
      <c r="FQ208" t="str">
        <f>""</f>
        <v/>
      </c>
      <c r="FR208" t="str">
        <f>""</f>
        <v/>
      </c>
      <c r="FS208" t="str">
        <f>""</f>
        <v/>
      </c>
      <c r="FT208" t="str">
        <f>""</f>
        <v/>
      </c>
      <c r="FU208" t="str">
        <f>""</f>
        <v/>
      </c>
      <c r="FV208" t="str">
        <f>""</f>
        <v/>
      </c>
      <c r="FW208" t="str">
        <f>""</f>
        <v/>
      </c>
      <c r="FX208" t="str">
        <f>""</f>
        <v/>
      </c>
      <c r="FY208" t="str">
        <f>""</f>
        <v/>
      </c>
      <c r="FZ208" t="str">
        <f>""</f>
        <v/>
      </c>
      <c r="GA208" t="str">
        <f>""</f>
        <v/>
      </c>
      <c r="GB208" t="str">
        <f>""</f>
        <v/>
      </c>
      <c r="GC208" t="str">
        <f>""</f>
        <v/>
      </c>
      <c r="GD208" t="str">
        <f>""</f>
        <v/>
      </c>
      <c r="GE208" t="str">
        <f>""</f>
        <v/>
      </c>
      <c r="GF208" t="str">
        <f>""</f>
        <v/>
      </c>
      <c r="GG208" t="str">
        <f>""</f>
        <v/>
      </c>
      <c r="GH208" t="str">
        <f>""</f>
        <v/>
      </c>
      <c r="GI208" t="str">
        <f>""</f>
        <v/>
      </c>
      <c r="GJ208" t="str">
        <f>""</f>
        <v/>
      </c>
      <c r="GK208" t="str">
        <f>""</f>
        <v/>
      </c>
      <c r="GL208" t="str">
        <f>""</f>
        <v/>
      </c>
      <c r="GM208" t="str">
        <f>""</f>
        <v/>
      </c>
      <c r="GN208" t="str">
        <f>""</f>
        <v/>
      </c>
      <c r="GO208" t="str">
        <f>""</f>
        <v/>
      </c>
      <c r="GP208" t="str">
        <f>""</f>
        <v/>
      </c>
      <c r="GQ208" t="str">
        <f>""</f>
        <v/>
      </c>
      <c r="GR208" t="str">
        <f>""</f>
        <v/>
      </c>
      <c r="GS208" t="str">
        <f>""</f>
        <v/>
      </c>
      <c r="GT208" t="str">
        <f>""</f>
        <v/>
      </c>
      <c r="GU208" t="str">
        <f>""</f>
        <v/>
      </c>
      <c r="GV208" t="str">
        <f>""</f>
        <v/>
      </c>
      <c r="GW208" t="str">
        <f>""</f>
        <v/>
      </c>
      <c r="GX208" t="str">
        <f>""</f>
        <v/>
      </c>
      <c r="GY208" t="str">
        <f>""</f>
        <v/>
      </c>
      <c r="GZ208" t="str">
        <f>""</f>
        <v/>
      </c>
      <c r="HA208" t="str">
        <f>""</f>
        <v/>
      </c>
      <c r="HB208" t="str">
        <f>""</f>
        <v/>
      </c>
      <c r="HC208" t="str">
        <f>""</f>
        <v/>
      </c>
      <c r="HD208" t="str">
        <f>""</f>
        <v/>
      </c>
      <c r="HE208" t="str">
        <f>""</f>
        <v/>
      </c>
      <c r="HF208" t="str">
        <f>""</f>
        <v/>
      </c>
      <c r="HG208" t="str">
        <f>""</f>
        <v/>
      </c>
      <c r="HH208" t="str">
        <f>""</f>
        <v/>
      </c>
      <c r="HI208" t="str">
        <f>""</f>
        <v/>
      </c>
      <c r="HJ208" t="str">
        <f>""</f>
        <v/>
      </c>
      <c r="HK208" t="str">
        <f>""</f>
        <v/>
      </c>
      <c r="HL208" t="str">
        <f>""</f>
        <v/>
      </c>
      <c r="HM208" t="str">
        <f>""</f>
        <v/>
      </c>
      <c r="HN208" t="str">
        <f>""</f>
        <v/>
      </c>
      <c r="HO208" t="str">
        <f>""</f>
        <v/>
      </c>
      <c r="HP208" t="str">
        <f>""</f>
        <v/>
      </c>
      <c r="HQ208" t="str">
        <f>""</f>
        <v/>
      </c>
      <c r="HR208" t="str">
        <f>""</f>
        <v/>
      </c>
      <c r="HS208" t="str">
        <f>""</f>
        <v/>
      </c>
      <c r="HT208" t="str">
        <f>""</f>
        <v/>
      </c>
      <c r="HU208" t="str">
        <f>""</f>
        <v/>
      </c>
      <c r="HV208" t="str">
        <f>""</f>
        <v/>
      </c>
      <c r="HW208" t="str">
        <f>""</f>
        <v/>
      </c>
      <c r="HX208" t="str">
        <f>""</f>
        <v/>
      </c>
      <c r="HY208" t="str">
        <f>""</f>
        <v/>
      </c>
      <c r="HZ208" t="str">
        <f>""</f>
        <v/>
      </c>
      <c r="IA208" t="str">
        <f>""</f>
        <v/>
      </c>
      <c r="IB208" t="str">
        <f>""</f>
        <v/>
      </c>
      <c r="IC208" t="str">
        <f>""</f>
        <v/>
      </c>
      <c r="ID208" t="str">
        <f>""</f>
        <v/>
      </c>
      <c r="IE208" t="str">
        <f>""</f>
        <v/>
      </c>
      <c r="IF208" t="str">
        <f>""</f>
        <v/>
      </c>
      <c r="IG208" t="str">
        <f>""</f>
        <v/>
      </c>
      <c r="IH208" t="str">
        <f>""</f>
        <v/>
      </c>
      <c r="II208" t="str">
        <f>""</f>
        <v/>
      </c>
      <c r="IJ208" t="str">
        <f>""</f>
        <v/>
      </c>
      <c r="IK208" t="str">
        <f>""</f>
        <v/>
      </c>
      <c r="IL208" t="str">
        <f>""</f>
        <v/>
      </c>
      <c r="IM208" t="str">
        <f>""</f>
        <v/>
      </c>
      <c r="IN208" t="str">
        <f>""</f>
        <v/>
      </c>
      <c r="IO208" t="str">
        <f>""</f>
        <v/>
      </c>
      <c r="IP208" t="str">
        <f>""</f>
        <v/>
      </c>
      <c r="IQ208" t="str">
        <f>""</f>
        <v/>
      </c>
      <c r="IR208" t="str">
        <f>""</f>
        <v/>
      </c>
      <c r="IS208" t="str">
        <f>""</f>
        <v/>
      </c>
      <c r="IT208" t="str">
        <f>""</f>
        <v/>
      </c>
      <c r="IU208" t="str">
        <f>""</f>
        <v/>
      </c>
      <c r="IV208" t="str">
        <f>""</f>
        <v/>
      </c>
      <c r="IW208" t="str">
        <f>""</f>
        <v/>
      </c>
      <c r="IX208" t="str">
        <f>""</f>
        <v/>
      </c>
      <c r="IY208" t="str">
        <f>""</f>
        <v/>
      </c>
      <c r="IZ208" t="str">
        <f>""</f>
        <v/>
      </c>
      <c r="JA208" t="str">
        <f>""</f>
        <v/>
      </c>
      <c r="JB208" t="str">
        <f>""</f>
        <v/>
      </c>
      <c r="JC208" t="str">
        <f>""</f>
        <v/>
      </c>
      <c r="JD208" t="str">
        <f>""</f>
        <v/>
      </c>
      <c r="JE208" t="str">
        <f>""</f>
        <v/>
      </c>
      <c r="JF208" t="str">
        <f>""</f>
        <v/>
      </c>
      <c r="JG208" t="str">
        <f>""</f>
        <v/>
      </c>
      <c r="JH208" t="str">
        <f>""</f>
        <v/>
      </c>
      <c r="JI208" t="str">
        <f>""</f>
        <v/>
      </c>
      <c r="JJ208" t="str">
        <f>""</f>
        <v/>
      </c>
      <c r="JK208" t="str">
        <f>""</f>
        <v/>
      </c>
    </row>
    <row r="210" spans="1:271" x14ac:dyDescent="0.3">
      <c r="A210" t="str">
        <f>"c.zMETAB12#c.PM3"</f>
        <v>c.zMETAB12#c.PM3</v>
      </c>
      <c r="B210" t="str">
        <f>""</f>
        <v/>
      </c>
      <c r="C210" t="str">
        <f>""</f>
        <v/>
      </c>
      <c r="D210" t="str">
        <f>""</f>
        <v/>
      </c>
      <c r="E210" t="str">
        <f>""</f>
        <v/>
      </c>
      <c r="F210" t="str">
        <f>""</f>
        <v/>
      </c>
      <c r="G210" t="str">
        <f>""</f>
        <v/>
      </c>
      <c r="H210" t="str">
        <f>""</f>
        <v/>
      </c>
      <c r="I210" t="str">
        <f>""</f>
        <v/>
      </c>
      <c r="J210" t="str">
        <f>""</f>
        <v/>
      </c>
      <c r="K210" t="str">
        <f>""</f>
        <v/>
      </c>
      <c r="L210" t="str">
        <f>""</f>
        <v/>
      </c>
      <c r="M210" t="str">
        <f>""</f>
        <v/>
      </c>
      <c r="N210" t="str">
        <f>""</f>
        <v/>
      </c>
      <c r="O210" t="str">
        <f>""</f>
        <v/>
      </c>
      <c r="P210" t="str">
        <f>""</f>
        <v/>
      </c>
      <c r="Q210" t="str">
        <f>""</f>
        <v/>
      </c>
      <c r="R210" t="str">
        <f>""</f>
        <v/>
      </c>
      <c r="S210" t="str">
        <f>""</f>
        <v/>
      </c>
      <c r="T210" t="str">
        <f>""</f>
        <v/>
      </c>
      <c r="U210" t="str">
        <f>""</f>
        <v/>
      </c>
      <c r="V210" t="str">
        <f>""</f>
        <v/>
      </c>
      <c r="W210" t="str">
        <f>""</f>
        <v/>
      </c>
      <c r="X210" t="str">
        <f>""</f>
        <v/>
      </c>
      <c r="Y210" t="str">
        <f>""</f>
        <v/>
      </c>
      <c r="Z210" t="str">
        <f>""</f>
        <v/>
      </c>
      <c r="AA210" t="str">
        <f>""</f>
        <v/>
      </c>
      <c r="AB210" t="str">
        <f>""</f>
        <v/>
      </c>
      <c r="AC210" t="str">
        <f>""</f>
        <v/>
      </c>
      <c r="AD210" t="str">
        <f>""</f>
        <v/>
      </c>
      <c r="AE210" t="str">
        <f>""</f>
        <v/>
      </c>
      <c r="AF210" t="str">
        <f>""</f>
        <v/>
      </c>
      <c r="AG210" t="str">
        <f>""</f>
        <v/>
      </c>
      <c r="AH210" t="str">
        <f>""</f>
        <v/>
      </c>
      <c r="AI210" t="str">
        <f>""</f>
        <v/>
      </c>
      <c r="AJ210" t="str">
        <f>""</f>
        <v/>
      </c>
      <c r="AK210" t="str">
        <f>""</f>
        <v/>
      </c>
      <c r="AL210" t="str">
        <f>""</f>
        <v/>
      </c>
      <c r="AM210" t="str">
        <f>""</f>
        <v/>
      </c>
      <c r="AN210" t="str">
        <f>""</f>
        <v/>
      </c>
      <c r="AO210" t="str">
        <f>""</f>
        <v/>
      </c>
      <c r="AP210" t="str">
        <f>""</f>
        <v/>
      </c>
      <c r="AQ210" t="str">
        <f>""</f>
        <v/>
      </c>
      <c r="AR210" t="str">
        <f>""</f>
        <v/>
      </c>
      <c r="AS210" t="str">
        <f>""</f>
        <v/>
      </c>
      <c r="AT210" t="str">
        <f>""</f>
        <v/>
      </c>
      <c r="AU210" t="str">
        <f>""</f>
        <v/>
      </c>
      <c r="AV210" t="str">
        <f>""</f>
        <v/>
      </c>
      <c r="AW210" t="str">
        <f>""</f>
        <v/>
      </c>
      <c r="AX210" t="str">
        <f>""</f>
        <v/>
      </c>
      <c r="AY210" t="str">
        <f>""</f>
        <v/>
      </c>
      <c r="AZ210" t="str">
        <f>""</f>
        <v/>
      </c>
      <c r="BA210" t="str">
        <f>""</f>
        <v/>
      </c>
      <c r="BB210" t="str">
        <f>""</f>
        <v/>
      </c>
      <c r="BC210" t="str">
        <f>""</f>
        <v/>
      </c>
      <c r="BD210" t="str">
        <f>""</f>
        <v/>
      </c>
      <c r="BE210" t="str">
        <f>""</f>
        <v/>
      </c>
      <c r="BF210" t="str">
        <f>""</f>
        <v/>
      </c>
      <c r="BG210" t="str">
        <f>""</f>
        <v/>
      </c>
      <c r="BH210" t="str">
        <f>""</f>
        <v/>
      </c>
      <c r="BI210" t="str">
        <f>""</f>
        <v/>
      </c>
      <c r="BJ210" t="str">
        <f>""</f>
        <v/>
      </c>
      <c r="BK210" t="str">
        <f>""</f>
        <v/>
      </c>
      <c r="BL210" t="str">
        <f>""</f>
        <v/>
      </c>
      <c r="BM210" t="str">
        <f>""</f>
        <v/>
      </c>
      <c r="BN210" t="str">
        <f>""</f>
        <v/>
      </c>
      <c r="BO210" t="str">
        <f>""</f>
        <v/>
      </c>
      <c r="BP210" t="str">
        <f>""</f>
        <v/>
      </c>
      <c r="BQ210" t="str">
        <f>""</f>
        <v/>
      </c>
      <c r="BR210" t="str">
        <f>""</f>
        <v/>
      </c>
      <c r="BS210" t="str">
        <f>""</f>
        <v/>
      </c>
      <c r="BT210" t="str">
        <f>""</f>
        <v/>
      </c>
      <c r="BU210" t="str">
        <f>""</f>
        <v/>
      </c>
      <c r="BV210" t="str">
        <f>""</f>
        <v/>
      </c>
      <c r="BW210" t="str">
        <f>""</f>
        <v/>
      </c>
      <c r="BX210" t="str">
        <f>""</f>
        <v/>
      </c>
      <c r="BY210" t="str">
        <f>""</f>
        <v/>
      </c>
      <c r="BZ210" t="str">
        <f>""</f>
        <v/>
      </c>
      <c r="CA210" t="str">
        <f>""</f>
        <v/>
      </c>
      <c r="CB210" t="str">
        <f>""</f>
        <v/>
      </c>
      <c r="CC210" t="str">
        <f>""</f>
        <v/>
      </c>
      <c r="CD210" t="str">
        <f>""</f>
        <v/>
      </c>
      <c r="CE210" t="str">
        <f>""</f>
        <v/>
      </c>
      <c r="CF210" t="str">
        <f>""</f>
        <v/>
      </c>
      <c r="CG210" t="str">
        <f>""</f>
        <v/>
      </c>
      <c r="CH210" t="str">
        <f>""</f>
        <v/>
      </c>
      <c r="CI210" t="str">
        <f>""</f>
        <v/>
      </c>
      <c r="CJ210" t="str">
        <f>""</f>
        <v/>
      </c>
      <c r="CK210" t="str">
        <f>""</f>
        <v/>
      </c>
      <c r="CL210" t="str">
        <f>""</f>
        <v/>
      </c>
      <c r="CM210" t="str">
        <f>""</f>
        <v/>
      </c>
      <c r="CN210" t="str">
        <f>""</f>
        <v/>
      </c>
      <c r="CO210" t="str">
        <f>""</f>
        <v/>
      </c>
      <c r="CP210" t="str">
        <f>""</f>
        <v/>
      </c>
      <c r="CQ210" t="str">
        <f>""</f>
        <v/>
      </c>
      <c r="CR210" t="str">
        <f>""</f>
        <v/>
      </c>
      <c r="CS210" t="str">
        <f>""</f>
        <v/>
      </c>
      <c r="CT210" t="str">
        <f>""</f>
        <v/>
      </c>
      <c r="CU210" t="str">
        <f>""</f>
        <v/>
      </c>
      <c r="CV210" t="str">
        <f>""</f>
        <v/>
      </c>
      <c r="CW210" t="str">
        <f>""</f>
        <v/>
      </c>
      <c r="CX210" t="str">
        <f>""</f>
        <v/>
      </c>
      <c r="CY210" t="str">
        <f>""</f>
        <v/>
      </c>
      <c r="CZ210" t="str">
        <f>""</f>
        <v/>
      </c>
      <c r="DA210" t="str">
        <f>""</f>
        <v/>
      </c>
      <c r="DB210" t="str">
        <f>""</f>
        <v/>
      </c>
      <c r="DC210" t="str">
        <f>""</f>
        <v/>
      </c>
      <c r="DD210" t="str">
        <f>""</f>
        <v/>
      </c>
      <c r="DE210" t="str">
        <f>""</f>
        <v/>
      </c>
      <c r="DF210" t="str">
        <f>""</f>
        <v/>
      </c>
      <c r="DG210" t="str">
        <f>""</f>
        <v/>
      </c>
      <c r="DH210" t="str">
        <f>""</f>
        <v/>
      </c>
      <c r="DI210" t="str">
        <f>""</f>
        <v/>
      </c>
      <c r="DJ210" t="str">
        <f>""</f>
        <v/>
      </c>
      <c r="DK210" t="str">
        <f>""</f>
        <v/>
      </c>
      <c r="DL210" t="str">
        <f>""</f>
        <v/>
      </c>
      <c r="DM210" t="str">
        <f>""</f>
        <v/>
      </c>
      <c r="DN210" t="str">
        <f>""</f>
        <v/>
      </c>
      <c r="DO210" t="str">
        <f>""</f>
        <v/>
      </c>
      <c r="DP210" t="str">
        <f>""</f>
        <v/>
      </c>
      <c r="DQ210" t="str">
        <f>""</f>
        <v/>
      </c>
      <c r="DR210" t="str">
        <f>""</f>
        <v/>
      </c>
      <c r="DS210" t="str">
        <f>""</f>
        <v/>
      </c>
      <c r="DT210" t="str">
        <f>""</f>
        <v/>
      </c>
      <c r="DU210" t="str">
        <f>"-0.206*"</f>
        <v>-0.206*</v>
      </c>
      <c r="DV210" t="str">
        <f>"0.0871"</f>
        <v>0.0871</v>
      </c>
      <c r="DW210" t="str">
        <f>"0.0479"</f>
        <v>0.0479</v>
      </c>
      <c r="DX210" t="str">
        <f>""</f>
        <v/>
      </c>
      <c r="DY210" t="str">
        <f>""</f>
        <v/>
      </c>
      <c r="DZ210" t="str">
        <f>""</f>
        <v/>
      </c>
      <c r="EA210" t="str">
        <f>""</f>
        <v/>
      </c>
      <c r="EB210" t="str">
        <f>""</f>
        <v/>
      </c>
      <c r="EC210" t="str">
        <f>""</f>
        <v/>
      </c>
      <c r="ED210" t="str">
        <f>""</f>
        <v/>
      </c>
      <c r="EE210" t="str">
        <f>""</f>
        <v/>
      </c>
      <c r="EF210" t="str">
        <f>""</f>
        <v/>
      </c>
      <c r="EG210" t="str">
        <f>""</f>
        <v/>
      </c>
      <c r="EH210" t="str">
        <f>""</f>
        <v/>
      </c>
      <c r="EI210" t="str">
        <f>""</f>
        <v/>
      </c>
      <c r="EJ210" t="str">
        <f>""</f>
        <v/>
      </c>
      <c r="EK210" t="str">
        <f>""</f>
        <v/>
      </c>
      <c r="EL210" t="str">
        <f>""</f>
        <v/>
      </c>
      <c r="EM210" t="str">
        <f>""</f>
        <v/>
      </c>
      <c r="EN210" t="str">
        <f>""</f>
        <v/>
      </c>
      <c r="EO210" t="str">
        <f>""</f>
        <v/>
      </c>
      <c r="EP210" t="str">
        <f>""</f>
        <v/>
      </c>
      <c r="EQ210" t="str">
        <f>""</f>
        <v/>
      </c>
      <c r="ER210" t="str">
        <f>""</f>
        <v/>
      </c>
      <c r="ES210" t="str">
        <f>""</f>
        <v/>
      </c>
      <c r="ET210" t="str">
        <f>""</f>
        <v/>
      </c>
      <c r="EU210" t="str">
        <f>""</f>
        <v/>
      </c>
      <c r="EV210" t="str">
        <f>""</f>
        <v/>
      </c>
      <c r="EW210" t="str">
        <f>""</f>
        <v/>
      </c>
      <c r="EX210" t="str">
        <f>""</f>
        <v/>
      </c>
      <c r="EY210" t="str">
        <f>""</f>
        <v/>
      </c>
      <c r="EZ210" t="str">
        <f>""</f>
        <v/>
      </c>
      <c r="FA210" t="str">
        <f>""</f>
        <v/>
      </c>
      <c r="FB210" t="str">
        <f>""</f>
        <v/>
      </c>
      <c r="FC210" t="str">
        <f>""</f>
        <v/>
      </c>
      <c r="FD210" t="str">
        <f>""</f>
        <v/>
      </c>
      <c r="FE210" t="str">
        <f>""</f>
        <v/>
      </c>
      <c r="FF210" t="str">
        <f>""</f>
        <v/>
      </c>
      <c r="FG210" t="str">
        <f>""</f>
        <v/>
      </c>
      <c r="FH210" t="str">
        <f>""</f>
        <v/>
      </c>
      <c r="FI210" t="str">
        <f>""</f>
        <v/>
      </c>
      <c r="FJ210" t="str">
        <f>""</f>
        <v/>
      </c>
      <c r="FK210" t="str">
        <f>""</f>
        <v/>
      </c>
      <c r="FL210" t="str">
        <f>""</f>
        <v/>
      </c>
      <c r="FM210" t="str">
        <f>""</f>
        <v/>
      </c>
      <c r="FN210" t="str">
        <f>""</f>
        <v/>
      </c>
      <c r="FO210" t="str">
        <f>""</f>
        <v/>
      </c>
      <c r="FP210" t="str">
        <f>""</f>
        <v/>
      </c>
      <c r="FQ210" t="str">
        <f>""</f>
        <v/>
      </c>
      <c r="FR210" t="str">
        <f>""</f>
        <v/>
      </c>
      <c r="FS210" t="str">
        <f>""</f>
        <v/>
      </c>
      <c r="FT210" t="str">
        <f>""</f>
        <v/>
      </c>
      <c r="FU210" t="str">
        <f>""</f>
        <v/>
      </c>
      <c r="FV210" t="str">
        <f>""</f>
        <v/>
      </c>
      <c r="FW210" t="str">
        <f>""</f>
        <v/>
      </c>
      <c r="FX210" t="str">
        <f>""</f>
        <v/>
      </c>
      <c r="FY210" t="str">
        <f>""</f>
        <v/>
      </c>
      <c r="FZ210" t="str">
        <f>""</f>
        <v/>
      </c>
      <c r="GA210" t="str">
        <f>""</f>
        <v/>
      </c>
      <c r="GB210" t="str">
        <f>""</f>
        <v/>
      </c>
      <c r="GC210" t="str">
        <f>""</f>
        <v/>
      </c>
      <c r="GD210" t="str">
        <f>""</f>
        <v/>
      </c>
      <c r="GE210" t="str">
        <f>""</f>
        <v/>
      </c>
      <c r="GF210" t="str">
        <f>""</f>
        <v/>
      </c>
      <c r="GG210" t="str">
        <f>""</f>
        <v/>
      </c>
      <c r="GH210" t="str">
        <f>""</f>
        <v/>
      </c>
      <c r="GI210" t="str">
        <f>""</f>
        <v/>
      </c>
      <c r="GJ210" t="str">
        <f>""</f>
        <v/>
      </c>
      <c r="GK210" t="str">
        <f>""</f>
        <v/>
      </c>
      <c r="GL210" t="str">
        <f>""</f>
        <v/>
      </c>
      <c r="GM210" t="str">
        <f>""</f>
        <v/>
      </c>
      <c r="GN210" t="str">
        <f>""</f>
        <v/>
      </c>
      <c r="GO210" t="str">
        <f>""</f>
        <v/>
      </c>
      <c r="GP210" t="str">
        <f>""</f>
        <v/>
      </c>
      <c r="GQ210" t="str">
        <f>""</f>
        <v/>
      </c>
      <c r="GR210" t="str">
        <f>""</f>
        <v/>
      </c>
      <c r="GS210" t="str">
        <f>""</f>
        <v/>
      </c>
      <c r="GT210" t="str">
        <f>""</f>
        <v/>
      </c>
      <c r="GU210" t="str">
        <f>""</f>
        <v/>
      </c>
      <c r="GV210" t="str">
        <f>""</f>
        <v/>
      </c>
      <c r="GW210" t="str">
        <f>""</f>
        <v/>
      </c>
      <c r="GX210" t="str">
        <f>""</f>
        <v/>
      </c>
      <c r="GY210" t="str">
        <f>""</f>
        <v/>
      </c>
      <c r="GZ210" t="str">
        <f>""</f>
        <v/>
      </c>
      <c r="HA210" t="str">
        <f>""</f>
        <v/>
      </c>
      <c r="HB210" t="str">
        <f>""</f>
        <v/>
      </c>
      <c r="HC210" t="str">
        <f>""</f>
        <v/>
      </c>
      <c r="HD210" t="str">
        <f>""</f>
        <v/>
      </c>
      <c r="HE210" t="str">
        <f>""</f>
        <v/>
      </c>
      <c r="HF210" t="str">
        <f>""</f>
        <v/>
      </c>
      <c r="HG210" t="str">
        <f>""</f>
        <v/>
      </c>
      <c r="HH210" t="str">
        <f>""</f>
        <v/>
      </c>
      <c r="HI210" t="str">
        <f>""</f>
        <v/>
      </c>
      <c r="HJ210" t="str">
        <f>""</f>
        <v/>
      </c>
      <c r="HK210" t="str">
        <f>""</f>
        <v/>
      </c>
      <c r="HL210" t="str">
        <f>""</f>
        <v/>
      </c>
      <c r="HM210" t="str">
        <f>""</f>
        <v/>
      </c>
      <c r="HN210" t="str">
        <f>""</f>
        <v/>
      </c>
      <c r="HO210" t="str">
        <f>""</f>
        <v/>
      </c>
      <c r="HP210" t="str">
        <f>""</f>
        <v/>
      </c>
      <c r="HQ210" t="str">
        <f>""</f>
        <v/>
      </c>
      <c r="HR210" t="str">
        <f>""</f>
        <v/>
      </c>
      <c r="HS210" t="str">
        <f>""</f>
        <v/>
      </c>
      <c r="HT210" t="str">
        <f>""</f>
        <v/>
      </c>
      <c r="HU210" t="str">
        <f>""</f>
        <v/>
      </c>
      <c r="HV210" t="str">
        <f>""</f>
        <v/>
      </c>
      <c r="HW210" t="str">
        <f>""</f>
        <v/>
      </c>
      <c r="HX210" t="str">
        <f>""</f>
        <v/>
      </c>
      <c r="HY210" t="str">
        <f>""</f>
        <v/>
      </c>
      <c r="HZ210" t="str">
        <f>""</f>
        <v/>
      </c>
      <c r="IA210" t="str">
        <f>""</f>
        <v/>
      </c>
      <c r="IB210" t="str">
        <f>""</f>
        <v/>
      </c>
      <c r="IC210" t="str">
        <f>""</f>
        <v/>
      </c>
      <c r="ID210" t="str">
        <f>""</f>
        <v/>
      </c>
      <c r="IE210" t="str">
        <f>""</f>
        <v/>
      </c>
      <c r="IF210" t="str">
        <f>""</f>
        <v/>
      </c>
      <c r="IG210" t="str">
        <f>""</f>
        <v/>
      </c>
      <c r="IH210" t="str">
        <f>""</f>
        <v/>
      </c>
      <c r="II210" t="str">
        <f>""</f>
        <v/>
      </c>
      <c r="IJ210" t="str">
        <f>""</f>
        <v/>
      </c>
      <c r="IK210" t="str">
        <f>""</f>
        <v/>
      </c>
      <c r="IL210" t="str">
        <f>""</f>
        <v/>
      </c>
      <c r="IM210" t="str">
        <f>""</f>
        <v/>
      </c>
      <c r="IN210" t="str">
        <f>""</f>
        <v/>
      </c>
      <c r="IO210" t="str">
        <f>""</f>
        <v/>
      </c>
      <c r="IP210" t="str">
        <f>""</f>
        <v/>
      </c>
      <c r="IQ210" t="str">
        <f>""</f>
        <v/>
      </c>
      <c r="IR210" t="str">
        <f>""</f>
        <v/>
      </c>
      <c r="IS210" t="str">
        <f>""</f>
        <v/>
      </c>
      <c r="IT210" t="str">
        <f>""</f>
        <v/>
      </c>
      <c r="IU210" t="str">
        <f>""</f>
        <v/>
      </c>
      <c r="IV210" t="str">
        <f>""</f>
        <v/>
      </c>
      <c r="IW210" t="str">
        <f>""</f>
        <v/>
      </c>
      <c r="IX210" t="str">
        <f>""</f>
        <v/>
      </c>
      <c r="IY210" t="str">
        <f>""</f>
        <v/>
      </c>
      <c r="IZ210" t="str">
        <f>""</f>
        <v/>
      </c>
      <c r="JA210" t="str">
        <f>""</f>
        <v/>
      </c>
      <c r="JB210" t="str">
        <f>""</f>
        <v/>
      </c>
      <c r="JC210" t="str">
        <f>""</f>
        <v/>
      </c>
      <c r="JD210" t="str">
        <f>""</f>
        <v/>
      </c>
      <c r="JE210" t="str">
        <f>""</f>
        <v/>
      </c>
      <c r="JF210" t="str">
        <f>""</f>
        <v/>
      </c>
      <c r="JG210" t="str">
        <f>""</f>
        <v/>
      </c>
      <c r="JH210" t="str">
        <f>""</f>
        <v/>
      </c>
      <c r="JI210" t="str">
        <f>""</f>
        <v/>
      </c>
      <c r="JJ210" t="str">
        <f>""</f>
        <v/>
      </c>
      <c r="JK210" t="str">
        <f>""</f>
        <v/>
      </c>
    </row>
    <row r="211" spans="1:271" x14ac:dyDescent="0.3">
      <c r="A211" t="str">
        <f>""</f>
        <v/>
      </c>
      <c r="B211" t="str">
        <f>""</f>
        <v/>
      </c>
      <c r="C211" t="str">
        <f>""</f>
        <v/>
      </c>
      <c r="D211" t="str">
        <f>""</f>
        <v/>
      </c>
      <c r="E211" t="str">
        <f>""</f>
        <v/>
      </c>
      <c r="F211" t="str">
        <f>""</f>
        <v/>
      </c>
      <c r="G211" t="str">
        <f>""</f>
        <v/>
      </c>
      <c r="H211" t="str">
        <f>""</f>
        <v/>
      </c>
      <c r="I211" t="str">
        <f>""</f>
        <v/>
      </c>
      <c r="J211" t="str">
        <f>""</f>
        <v/>
      </c>
      <c r="K211" t="str">
        <f>""</f>
        <v/>
      </c>
      <c r="L211" t="str">
        <f>""</f>
        <v/>
      </c>
      <c r="M211" t="str">
        <f>""</f>
        <v/>
      </c>
      <c r="N211" t="str">
        <f>""</f>
        <v/>
      </c>
      <c r="O211" t="str">
        <f>""</f>
        <v/>
      </c>
      <c r="P211" t="str">
        <f>""</f>
        <v/>
      </c>
      <c r="Q211" t="str">
        <f>""</f>
        <v/>
      </c>
      <c r="R211" t="str">
        <f>""</f>
        <v/>
      </c>
      <c r="S211" t="str">
        <f>""</f>
        <v/>
      </c>
      <c r="T211" t="str">
        <f>""</f>
        <v/>
      </c>
      <c r="U211" t="str">
        <f>""</f>
        <v/>
      </c>
      <c r="V211" t="str">
        <f>""</f>
        <v/>
      </c>
      <c r="W211" t="str">
        <f>""</f>
        <v/>
      </c>
      <c r="X211" t="str">
        <f>""</f>
        <v/>
      </c>
      <c r="Y211" t="str">
        <f>""</f>
        <v/>
      </c>
      <c r="Z211" t="str">
        <f>""</f>
        <v/>
      </c>
      <c r="AA211" t="str">
        <f>""</f>
        <v/>
      </c>
      <c r="AB211" t="str">
        <f>""</f>
        <v/>
      </c>
      <c r="AC211" t="str">
        <f>""</f>
        <v/>
      </c>
      <c r="AD211" t="str">
        <f>""</f>
        <v/>
      </c>
      <c r="AE211" t="str">
        <f>""</f>
        <v/>
      </c>
      <c r="AF211" t="str">
        <f>""</f>
        <v/>
      </c>
      <c r="AG211" t="str">
        <f>""</f>
        <v/>
      </c>
      <c r="AH211" t="str">
        <f>""</f>
        <v/>
      </c>
      <c r="AI211" t="str">
        <f>""</f>
        <v/>
      </c>
      <c r="AJ211" t="str">
        <f>""</f>
        <v/>
      </c>
      <c r="AK211" t="str">
        <f>""</f>
        <v/>
      </c>
      <c r="AL211" t="str">
        <f>""</f>
        <v/>
      </c>
      <c r="AM211" t="str">
        <f>""</f>
        <v/>
      </c>
      <c r="AN211" t="str">
        <f>""</f>
        <v/>
      </c>
      <c r="AO211" t="str">
        <f>""</f>
        <v/>
      </c>
      <c r="AP211" t="str">
        <f>""</f>
        <v/>
      </c>
      <c r="AQ211" t="str">
        <f>""</f>
        <v/>
      </c>
      <c r="AR211" t="str">
        <f>""</f>
        <v/>
      </c>
      <c r="AS211" t="str">
        <f>""</f>
        <v/>
      </c>
      <c r="AT211" t="str">
        <f>""</f>
        <v/>
      </c>
      <c r="AU211" t="str">
        <f>""</f>
        <v/>
      </c>
      <c r="AV211" t="str">
        <f>""</f>
        <v/>
      </c>
      <c r="AW211" t="str">
        <f>""</f>
        <v/>
      </c>
      <c r="AX211" t="str">
        <f>""</f>
        <v/>
      </c>
      <c r="AY211" t="str">
        <f>""</f>
        <v/>
      </c>
      <c r="AZ211" t="str">
        <f>""</f>
        <v/>
      </c>
      <c r="BA211" t="str">
        <f>""</f>
        <v/>
      </c>
      <c r="BB211" t="str">
        <f>""</f>
        <v/>
      </c>
      <c r="BC211" t="str">
        <f>""</f>
        <v/>
      </c>
      <c r="BD211" t="str">
        <f>""</f>
        <v/>
      </c>
      <c r="BE211" t="str">
        <f>""</f>
        <v/>
      </c>
      <c r="BF211" t="str">
        <f>""</f>
        <v/>
      </c>
      <c r="BG211" t="str">
        <f>""</f>
        <v/>
      </c>
      <c r="BH211" t="str">
        <f>""</f>
        <v/>
      </c>
      <c r="BI211" t="str">
        <f>""</f>
        <v/>
      </c>
      <c r="BJ211" t="str">
        <f>""</f>
        <v/>
      </c>
      <c r="BK211" t="str">
        <f>""</f>
        <v/>
      </c>
      <c r="BL211" t="str">
        <f>""</f>
        <v/>
      </c>
      <c r="BM211" t="str">
        <f>""</f>
        <v/>
      </c>
      <c r="BN211" t="str">
        <f>""</f>
        <v/>
      </c>
      <c r="BO211" t="str">
        <f>""</f>
        <v/>
      </c>
      <c r="BP211" t="str">
        <f>""</f>
        <v/>
      </c>
      <c r="BQ211" t="str">
        <f>""</f>
        <v/>
      </c>
      <c r="BR211" t="str">
        <f>""</f>
        <v/>
      </c>
      <c r="BS211" t="str">
        <f>""</f>
        <v/>
      </c>
      <c r="BT211" t="str">
        <f>""</f>
        <v/>
      </c>
      <c r="BU211" t="str">
        <f>""</f>
        <v/>
      </c>
      <c r="BV211" t="str">
        <f>""</f>
        <v/>
      </c>
      <c r="BW211" t="str">
        <f>""</f>
        <v/>
      </c>
      <c r="BX211" t="str">
        <f>""</f>
        <v/>
      </c>
      <c r="BY211" t="str">
        <f>""</f>
        <v/>
      </c>
      <c r="BZ211" t="str">
        <f>""</f>
        <v/>
      </c>
      <c r="CA211" t="str">
        <f>""</f>
        <v/>
      </c>
      <c r="CB211" t="str">
        <f>""</f>
        <v/>
      </c>
      <c r="CC211" t="str">
        <f>""</f>
        <v/>
      </c>
      <c r="CD211" t="str">
        <f>""</f>
        <v/>
      </c>
      <c r="CE211" t="str">
        <f>""</f>
        <v/>
      </c>
      <c r="CF211" t="str">
        <f>""</f>
        <v/>
      </c>
      <c r="CG211" t="str">
        <f>""</f>
        <v/>
      </c>
      <c r="CH211" t="str">
        <f>""</f>
        <v/>
      </c>
      <c r="CI211" t="str">
        <f>""</f>
        <v/>
      </c>
      <c r="CJ211" t="str">
        <f>""</f>
        <v/>
      </c>
      <c r="CK211" t="str">
        <f>""</f>
        <v/>
      </c>
      <c r="CL211" t="str">
        <f>""</f>
        <v/>
      </c>
      <c r="CM211" t="str">
        <f>""</f>
        <v/>
      </c>
      <c r="CN211" t="str">
        <f>""</f>
        <v/>
      </c>
      <c r="CO211" t="str">
        <f>""</f>
        <v/>
      </c>
      <c r="CP211" t="str">
        <f>""</f>
        <v/>
      </c>
      <c r="CQ211" t="str">
        <f>""</f>
        <v/>
      </c>
      <c r="CR211" t="str">
        <f>""</f>
        <v/>
      </c>
      <c r="CS211" t="str">
        <f>""</f>
        <v/>
      </c>
      <c r="CT211" t="str">
        <f>""</f>
        <v/>
      </c>
      <c r="CU211" t="str">
        <f>""</f>
        <v/>
      </c>
      <c r="CV211" t="str">
        <f>""</f>
        <v/>
      </c>
      <c r="CW211" t="str">
        <f>""</f>
        <v/>
      </c>
      <c r="CX211" t="str">
        <f>""</f>
        <v/>
      </c>
      <c r="CY211" t="str">
        <f>""</f>
        <v/>
      </c>
      <c r="CZ211" t="str">
        <f>""</f>
        <v/>
      </c>
      <c r="DA211" t="str">
        <f>""</f>
        <v/>
      </c>
      <c r="DB211" t="str">
        <f>""</f>
        <v/>
      </c>
      <c r="DC211" t="str">
        <f>""</f>
        <v/>
      </c>
      <c r="DD211" t="str">
        <f>""</f>
        <v/>
      </c>
      <c r="DE211" t="str">
        <f>""</f>
        <v/>
      </c>
      <c r="DF211" t="str">
        <f>""</f>
        <v/>
      </c>
      <c r="DG211" t="str">
        <f>""</f>
        <v/>
      </c>
      <c r="DH211" t="str">
        <f>""</f>
        <v/>
      </c>
      <c r="DI211" t="str">
        <f>""</f>
        <v/>
      </c>
      <c r="DJ211" t="str">
        <f>""</f>
        <v/>
      </c>
      <c r="DK211" t="str">
        <f>""</f>
        <v/>
      </c>
      <c r="DL211" t="str">
        <f>""</f>
        <v/>
      </c>
      <c r="DM211" t="str">
        <f>""</f>
        <v/>
      </c>
      <c r="DN211" t="str">
        <f>""</f>
        <v/>
      </c>
      <c r="DO211" t="str">
        <f>""</f>
        <v/>
      </c>
      <c r="DP211" t="str">
        <f>""</f>
        <v/>
      </c>
      <c r="DQ211" t="str">
        <f>""</f>
        <v/>
      </c>
      <c r="DR211" t="str">
        <f>""</f>
        <v/>
      </c>
      <c r="DS211" t="str">
        <f>""</f>
        <v/>
      </c>
      <c r="DT211" t="str">
        <f>""</f>
        <v/>
      </c>
      <c r="DU211" t="str">
        <f>"(0.102)"</f>
        <v>(0.102)</v>
      </c>
      <c r="DV211" t="str">
        <f>"(0.0798)"</f>
        <v>(0.0798)</v>
      </c>
      <c r="DW211" t="str">
        <f>"(0.0424)"</f>
        <v>(0.0424)</v>
      </c>
      <c r="DX211" t="str">
        <f>""</f>
        <v/>
      </c>
      <c r="DY211" t="str">
        <f>""</f>
        <v/>
      </c>
      <c r="DZ211" t="str">
        <f>""</f>
        <v/>
      </c>
      <c r="EA211" t="str">
        <f>""</f>
        <v/>
      </c>
      <c r="EB211" t="str">
        <f>""</f>
        <v/>
      </c>
      <c r="EC211" t="str">
        <f>""</f>
        <v/>
      </c>
      <c r="ED211" t="str">
        <f>""</f>
        <v/>
      </c>
      <c r="EE211" t="str">
        <f>""</f>
        <v/>
      </c>
      <c r="EF211" t="str">
        <f>""</f>
        <v/>
      </c>
      <c r="EG211" t="str">
        <f>""</f>
        <v/>
      </c>
      <c r="EH211" t="str">
        <f>""</f>
        <v/>
      </c>
      <c r="EI211" t="str">
        <f>""</f>
        <v/>
      </c>
      <c r="EJ211" t="str">
        <f>""</f>
        <v/>
      </c>
      <c r="EK211" t="str">
        <f>""</f>
        <v/>
      </c>
      <c r="EL211" t="str">
        <f>""</f>
        <v/>
      </c>
      <c r="EM211" t="str">
        <f>""</f>
        <v/>
      </c>
      <c r="EN211" t="str">
        <f>""</f>
        <v/>
      </c>
      <c r="EO211" t="str">
        <f>""</f>
        <v/>
      </c>
      <c r="EP211" t="str">
        <f>""</f>
        <v/>
      </c>
      <c r="EQ211" t="str">
        <f>""</f>
        <v/>
      </c>
      <c r="ER211" t="str">
        <f>""</f>
        <v/>
      </c>
      <c r="ES211" t="str">
        <f>""</f>
        <v/>
      </c>
      <c r="ET211" t="str">
        <f>""</f>
        <v/>
      </c>
      <c r="EU211" t="str">
        <f>""</f>
        <v/>
      </c>
      <c r="EV211" t="str">
        <f>""</f>
        <v/>
      </c>
      <c r="EW211" t="str">
        <f>""</f>
        <v/>
      </c>
      <c r="EX211" t="str">
        <f>""</f>
        <v/>
      </c>
      <c r="EY211" t="str">
        <f>""</f>
        <v/>
      </c>
      <c r="EZ211" t="str">
        <f>""</f>
        <v/>
      </c>
      <c r="FA211" t="str">
        <f>""</f>
        <v/>
      </c>
      <c r="FB211" t="str">
        <f>""</f>
        <v/>
      </c>
      <c r="FC211" t="str">
        <f>""</f>
        <v/>
      </c>
      <c r="FD211" t="str">
        <f>""</f>
        <v/>
      </c>
      <c r="FE211" t="str">
        <f>""</f>
        <v/>
      </c>
      <c r="FF211" t="str">
        <f>""</f>
        <v/>
      </c>
      <c r="FG211" t="str">
        <f>""</f>
        <v/>
      </c>
      <c r="FH211" t="str">
        <f>""</f>
        <v/>
      </c>
      <c r="FI211" t="str">
        <f>""</f>
        <v/>
      </c>
      <c r="FJ211" t="str">
        <f>""</f>
        <v/>
      </c>
      <c r="FK211" t="str">
        <f>""</f>
        <v/>
      </c>
      <c r="FL211" t="str">
        <f>""</f>
        <v/>
      </c>
      <c r="FM211" t="str">
        <f>""</f>
        <v/>
      </c>
      <c r="FN211" t="str">
        <f>""</f>
        <v/>
      </c>
      <c r="FO211" t="str">
        <f>""</f>
        <v/>
      </c>
      <c r="FP211" t="str">
        <f>""</f>
        <v/>
      </c>
      <c r="FQ211" t="str">
        <f>""</f>
        <v/>
      </c>
      <c r="FR211" t="str">
        <f>""</f>
        <v/>
      </c>
      <c r="FS211" t="str">
        <f>""</f>
        <v/>
      </c>
      <c r="FT211" t="str">
        <f>""</f>
        <v/>
      </c>
      <c r="FU211" t="str">
        <f>""</f>
        <v/>
      </c>
      <c r="FV211" t="str">
        <f>""</f>
        <v/>
      </c>
      <c r="FW211" t="str">
        <f>""</f>
        <v/>
      </c>
      <c r="FX211" t="str">
        <f>""</f>
        <v/>
      </c>
      <c r="FY211" t="str">
        <f>""</f>
        <v/>
      </c>
      <c r="FZ211" t="str">
        <f>""</f>
        <v/>
      </c>
      <c r="GA211" t="str">
        <f>""</f>
        <v/>
      </c>
      <c r="GB211" t="str">
        <f>""</f>
        <v/>
      </c>
      <c r="GC211" t="str">
        <f>""</f>
        <v/>
      </c>
      <c r="GD211" t="str">
        <f>""</f>
        <v/>
      </c>
      <c r="GE211" t="str">
        <f>""</f>
        <v/>
      </c>
      <c r="GF211" t="str">
        <f>""</f>
        <v/>
      </c>
      <c r="GG211" t="str">
        <f>""</f>
        <v/>
      </c>
      <c r="GH211" t="str">
        <f>""</f>
        <v/>
      </c>
      <c r="GI211" t="str">
        <f>""</f>
        <v/>
      </c>
      <c r="GJ211" t="str">
        <f>""</f>
        <v/>
      </c>
      <c r="GK211" t="str">
        <f>""</f>
        <v/>
      </c>
      <c r="GL211" t="str">
        <f>""</f>
        <v/>
      </c>
      <c r="GM211" t="str">
        <f>""</f>
        <v/>
      </c>
      <c r="GN211" t="str">
        <f>""</f>
        <v/>
      </c>
      <c r="GO211" t="str">
        <f>""</f>
        <v/>
      </c>
      <c r="GP211" t="str">
        <f>""</f>
        <v/>
      </c>
      <c r="GQ211" t="str">
        <f>""</f>
        <v/>
      </c>
      <c r="GR211" t="str">
        <f>""</f>
        <v/>
      </c>
      <c r="GS211" t="str">
        <f>""</f>
        <v/>
      </c>
      <c r="GT211" t="str">
        <f>""</f>
        <v/>
      </c>
      <c r="GU211" t="str">
        <f>""</f>
        <v/>
      </c>
      <c r="GV211" t="str">
        <f>""</f>
        <v/>
      </c>
      <c r="GW211" t="str">
        <f>""</f>
        <v/>
      </c>
      <c r="GX211" t="str">
        <f>""</f>
        <v/>
      </c>
      <c r="GY211" t="str">
        <f>""</f>
        <v/>
      </c>
      <c r="GZ211" t="str">
        <f>""</f>
        <v/>
      </c>
      <c r="HA211" t="str">
        <f>""</f>
        <v/>
      </c>
      <c r="HB211" t="str">
        <f>""</f>
        <v/>
      </c>
      <c r="HC211" t="str">
        <f>""</f>
        <v/>
      </c>
      <c r="HD211" t="str">
        <f>""</f>
        <v/>
      </c>
      <c r="HE211" t="str">
        <f>""</f>
        <v/>
      </c>
      <c r="HF211" t="str">
        <f>""</f>
        <v/>
      </c>
      <c r="HG211" t="str">
        <f>""</f>
        <v/>
      </c>
      <c r="HH211" t="str">
        <f>""</f>
        <v/>
      </c>
      <c r="HI211" t="str">
        <f>""</f>
        <v/>
      </c>
      <c r="HJ211" t="str">
        <f>""</f>
        <v/>
      </c>
      <c r="HK211" t="str">
        <f>""</f>
        <v/>
      </c>
      <c r="HL211" t="str">
        <f>""</f>
        <v/>
      </c>
      <c r="HM211" t="str">
        <f>""</f>
        <v/>
      </c>
      <c r="HN211" t="str">
        <f>""</f>
        <v/>
      </c>
      <c r="HO211" t="str">
        <f>""</f>
        <v/>
      </c>
      <c r="HP211" t="str">
        <f>""</f>
        <v/>
      </c>
      <c r="HQ211" t="str">
        <f>""</f>
        <v/>
      </c>
      <c r="HR211" t="str">
        <f>""</f>
        <v/>
      </c>
      <c r="HS211" t="str">
        <f>""</f>
        <v/>
      </c>
      <c r="HT211" t="str">
        <f>""</f>
        <v/>
      </c>
      <c r="HU211" t="str">
        <f>""</f>
        <v/>
      </c>
      <c r="HV211" t="str">
        <f>""</f>
        <v/>
      </c>
      <c r="HW211" t="str">
        <f>""</f>
        <v/>
      </c>
      <c r="HX211" t="str">
        <f>""</f>
        <v/>
      </c>
      <c r="HY211" t="str">
        <f>""</f>
        <v/>
      </c>
      <c r="HZ211" t="str">
        <f>""</f>
        <v/>
      </c>
      <c r="IA211" t="str">
        <f>""</f>
        <v/>
      </c>
      <c r="IB211" t="str">
        <f>""</f>
        <v/>
      </c>
      <c r="IC211" t="str">
        <f>""</f>
        <v/>
      </c>
      <c r="ID211" t="str">
        <f>""</f>
        <v/>
      </c>
      <c r="IE211" t="str">
        <f>""</f>
        <v/>
      </c>
      <c r="IF211" t="str">
        <f>""</f>
        <v/>
      </c>
      <c r="IG211" t="str">
        <f>""</f>
        <v/>
      </c>
      <c r="IH211" t="str">
        <f>""</f>
        <v/>
      </c>
      <c r="II211" t="str">
        <f>""</f>
        <v/>
      </c>
      <c r="IJ211" t="str">
        <f>""</f>
        <v/>
      </c>
      <c r="IK211" t="str">
        <f>""</f>
        <v/>
      </c>
      <c r="IL211" t="str">
        <f>""</f>
        <v/>
      </c>
      <c r="IM211" t="str">
        <f>""</f>
        <v/>
      </c>
      <c r="IN211" t="str">
        <f>""</f>
        <v/>
      </c>
      <c r="IO211" t="str">
        <f>""</f>
        <v/>
      </c>
      <c r="IP211" t="str">
        <f>""</f>
        <v/>
      </c>
      <c r="IQ211" t="str">
        <f>""</f>
        <v/>
      </c>
      <c r="IR211" t="str">
        <f>""</f>
        <v/>
      </c>
      <c r="IS211" t="str">
        <f>""</f>
        <v/>
      </c>
      <c r="IT211" t="str">
        <f>""</f>
        <v/>
      </c>
      <c r="IU211" t="str">
        <f>""</f>
        <v/>
      </c>
      <c r="IV211" t="str">
        <f>""</f>
        <v/>
      </c>
      <c r="IW211" t="str">
        <f>""</f>
        <v/>
      </c>
      <c r="IX211" t="str">
        <f>""</f>
        <v/>
      </c>
      <c r="IY211" t="str">
        <f>""</f>
        <v/>
      </c>
      <c r="IZ211" t="str">
        <f>""</f>
        <v/>
      </c>
      <c r="JA211" t="str">
        <f>""</f>
        <v/>
      </c>
      <c r="JB211" t="str">
        <f>""</f>
        <v/>
      </c>
      <c r="JC211" t="str">
        <f>""</f>
        <v/>
      </c>
      <c r="JD211" t="str">
        <f>""</f>
        <v/>
      </c>
      <c r="JE211" t="str">
        <f>""</f>
        <v/>
      </c>
      <c r="JF211" t="str">
        <f>""</f>
        <v/>
      </c>
      <c r="JG211" t="str">
        <f>""</f>
        <v/>
      </c>
      <c r="JH211" t="str">
        <f>""</f>
        <v/>
      </c>
      <c r="JI211" t="str">
        <f>""</f>
        <v/>
      </c>
      <c r="JJ211" t="str">
        <f>""</f>
        <v/>
      </c>
      <c r="JK211" t="str">
        <f>""</f>
        <v/>
      </c>
    </row>
    <row r="213" spans="1:271" x14ac:dyDescent="0.3">
      <c r="A213" t="str">
        <f>"c.zMETAB13#c.PM3"</f>
        <v>c.zMETAB13#c.PM3</v>
      </c>
      <c r="B213" t="str">
        <f>""</f>
        <v/>
      </c>
      <c r="C213" t="str">
        <f>""</f>
        <v/>
      </c>
      <c r="D213" t="str">
        <f>""</f>
        <v/>
      </c>
      <c r="E213" t="str">
        <f>""</f>
        <v/>
      </c>
      <c r="F213" t="str">
        <f>""</f>
        <v/>
      </c>
      <c r="G213" t="str">
        <f>""</f>
        <v/>
      </c>
      <c r="H213" t="str">
        <f>""</f>
        <v/>
      </c>
      <c r="I213" t="str">
        <f>""</f>
        <v/>
      </c>
      <c r="J213" t="str">
        <f>""</f>
        <v/>
      </c>
      <c r="K213" t="str">
        <f>""</f>
        <v/>
      </c>
      <c r="L213" t="str">
        <f>""</f>
        <v/>
      </c>
      <c r="M213" t="str">
        <f>""</f>
        <v/>
      </c>
      <c r="N213" t="str">
        <f>""</f>
        <v/>
      </c>
      <c r="O213" t="str">
        <f>""</f>
        <v/>
      </c>
      <c r="P213" t="str">
        <f>""</f>
        <v/>
      </c>
      <c r="Q213" t="str">
        <f>""</f>
        <v/>
      </c>
      <c r="R213" t="str">
        <f>""</f>
        <v/>
      </c>
      <c r="S213" t="str">
        <f>""</f>
        <v/>
      </c>
      <c r="T213" t="str">
        <f>""</f>
        <v/>
      </c>
      <c r="U213" t="str">
        <f>""</f>
        <v/>
      </c>
      <c r="V213" t="str">
        <f>""</f>
        <v/>
      </c>
      <c r="W213" t="str">
        <f>""</f>
        <v/>
      </c>
      <c r="X213" t="str">
        <f>""</f>
        <v/>
      </c>
      <c r="Y213" t="str">
        <f>""</f>
        <v/>
      </c>
      <c r="Z213" t="str">
        <f>""</f>
        <v/>
      </c>
      <c r="AA213" t="str">
        <f>""</f>
        <v/>
      </c>
      <c r="AB213" t="str">
        <f>""</f>
        <v/>
      </c>
      <c r="AC213" t="str">
        <f>""</f>
        <v/>
      </c>
      <c r="AD213" t="str">
        <f>""</f>
        <v/>
      </c>
      <c r="AE213" t="str">
        <f>""</f>
        <v/>
      </c>
      <c r="AF213" t="str">
        <f>""</f>
        <v/>
      </c>
      <c r="AG213" t="str">
        <f>""</f>
        <v/>
      </c>
      <c r="AH213" t="str">
        <f>""</f>
        <v/>
      </c>
      <c r="AI213" t="str">
        <f>""</f>
        <v/>
      </c>
      <c r="AJ213" t="str">
        <f>""</f>
        <v/>
      </c>
      <c r="AK213" t="str">
        <f>""</f>
        <v/>
      </c>
      <c r="AL213" t="str">
        <f>""</f>
        <v/>
      </c>
      <c r="AM213" t="str">
        <f>""</f>
        <v/>
      </c>
      <c r="AN213" t="str">
        <f>""</f>
        <v/>
      </c>
      <c r="AO213" t="str">
        <f>""</f>
        <v/>
      </c>
      <c r="AP213" t="str">
        <f>""</f>
        <v/>
      </c>
      <c r="AQ213" t="str">
        <f>""</f>
        <v/>
      </c>
      <c r="AR213" t="str">
        <f>""</f>
        <v/>
      </c>
      <c r="AS213" t="str">
        <f>""</f>
        <v/>
      </c>
      <c r="AT213" t="str">
        <f>""</f>
        <v/>
      </c>
      <c r="AU213" t="str">
        <f>""</f>
        <v/>
      </c>
      <c r="AV213" t="str">
        <f>""</f>
        <v/>
      </c>
      <c r="AW213" t="str">
        <f>""</f>
        <v/>
      </c>
      <c r="AX213" t="str">
        <f>""</f>
        <v/>
      </c>
      <c r="AY213" t="str">
        <f>""</f>
        <v/>
      </c>
      <c r="AZ213" t="str">
        <f>""</f>
        <v/>
      </c>
      <c r="BA213" t="str">
        <f>""</f>
        <v/>
      </c>
      <c r="BB213" t="str">
        <f>""</f>
        <v/>
      </c>
      <c r="BC213" t="str">
        <f>""</f>
        <v/>
      </c>
      <c r="BD213" t="str">
        <f>""</f>
        <v/>
      </c>
      <c r="BE213" t="str">
        <f>""</f>
        <v/>
      </c>
      <c r="BF213" t="str">
        <f>""</f>
        <v/>
      </c>
      <c r="BG213" t="str">
        <f>""</f>
        <v/>
      </c>
      <c r="BH213" t="str">
        <f>""</f>
        <v/>
      </c>
      <c r="BI213" t="str">
        <f>""</f>
        <v/>
      </c>
      <c r="BJ213" t="str">
        <f>""</f>
        <v/>
      </c>
      <c r="BK213" t="str">
        <f>""</f>
        <v/>
      </c>
      <c r="BL213" t="str">
        <f>""</f>
        <v/>
      </c>
      <c r="BM213" t="str">
        <f>""</f>
        <v/>
      </c>
      <c r="BN213" t="str">
        <f>""</f>
        <v/>
      </c>
      <c r="BO213" t="str">
        <f>""</f>
        <v/>
      </c>
      <c r="BP213" t="str">
        <f>""</f>
        <v/>
      </c>
      <c r="BQ213" t="str">
        <f>""</f>
        <v/>
      </c>
      <c r="BR213" t="str">
        <f>""</f>
        <v/>
      </c>
      <c r="BS213" t="str">
        <f>""</f>
        <v/>
      </c>
      <c r="BT213" t="str">
        <f>""</f>
        <v/>
      </c>
      <c r="BU213" t="str">
        <f>""</f>
        <v/>
      </c>
      <c r="BV213" t="str">
        <f>""</f>
        <v/>
      </c>
      <c r="BW213" t="str">
        <f>""</f>
        <v/>
      </c>
      <c r="BX213" t="str">
        <f>""</f>
        <v/>
      </c>
      <c r="BY213" t="str">
        <f>""</f>
        <v/>
      </c>
      <c r="BZ213" t="str">
        <f>""</f>
        <v/>
      </c>
      <c r="CA213" t="str">
        <f>""</f>
        <v/>
      </c>
      <c r="CB213" t="str">
        <f>""</f>
        <v/>
      </c>
      <c r="CC213" t="str">
        <f>""</f>
        <v/>
      </c>
      <c r="CD213" t="str">
        <f>""</f>
        <v/>
      </c>
      <c r="CE213" t="str">
        <f>""</f>
        <v/>
      </c>
      <c r="CF213" t="str">
        <f>""</f>
        <v/>
      </c>
      <c r="CG213" t="str">
        <f>""</f>
        <v/>
      </c>
      <c r="CH213" t="str">
        <f>""</f>
        <v/>
      </c>
      <c r="CI213" t="str">
        <f>""</f>
        <v/>
      </c>
      <c r="CJ213" t="str">
        <f>""</f>
        <v/>
      </c>
      <c r="CK213" t="str">
        <f>""</f>
        <v/>
      </c>
      <c r="CL213" t="str">
        <f>""</f>
        <v/>
      </c>
      <c r="CM213" t="str">
        <f>""</f>
        <v/>
      </c>
      <c r="CN213" t="str">
        <f>""</f>
        <v/>
      </c>
      <c r="CO213" t="str">
        <f>""</f>
        <v/>
      </c>
      <c r="CP213" t="str">
        <f>""</f>
        <v/>
      </c>
      <c r="CQ213" t="str">
        <f>""</f>
        <v/>
      </c>
      <c r="CR213" t="str">
        <f>""</f>
        <v/>
      </c>
      <c r="CS213" t="str">
        <f>""</f>
        <v/>
      </c>
      <c r="CT213" t="str">
        <f>""</f>
        <v/>
      </c>
      <c r="CU213" t="str">
        <f>""</f>
        <v/>
      </c>
      <c r="CV213" t="str">
        <f>""</f>
        <v/>
      </c>
      <c r="CW213" t="str">
        <f>""</f>
        <v/>
      </c>
      <c r="CX213" t="str">
        <f>""</f>
        <v/>
      </c>
      <c r="CY213" t="str">
        <f>""</f>
        <v/>
      </c>
      <c r="CZ213" t="str">
        <f>""</f>
        <v/>
      </c>
      <c r="DA213" t="str">
        <f>""</f>
        <v/>
      </c>
      <c r="DB213" t="str">
        <f>""</f>
        <v/>
      </c>
      <c r="DC213" t="str">
        <f>""</f>
        <v/>
      </c>
      <c r="DD213" t="str">
        <f>""</f>
        <v/>
      </c>
      <c r="DE213" t="str">
        <f>""</f>
        <v/>
      </c>
      <c r="DF213" t="str">
        <f>""</f>
        <v/>
      </c>
      <c r="DG213" t="str">
        <f>""</f>
        <v/>
      </c>
      <c r="DH213" t="str">
        <f>""</f>
        <v/>
      </c>
      <c r="DI213" t="str">
        <f>""</f>
        <v/>
      </c>
      <c r="DJ213" t="str">
        <f>""</f>
        <v/>
      </c>
      <c r="DK213" t="str">
        <f>""</f>
        <v/>
      </c>
      <c r="DL213" t="str">
        <f>""</f>
        <v/>
      </c>
      <c r="DM213" t="str">
        <f>""</f>
        <v/>
      </c>
      <c r="DN213" t="str">
        <f>""</f>
        <v/>
      </c>
      <c r="DO213" t="str">
        <f>""</f>
        <v/>
      </c>
      <c r="DP213" t="str">
        <f>""</f>
        <v/>
      </c>
      <c r="DQ213" t="str">
        <f>""</f>
        <v/>
      </c>
      <c r="DR213" t="str">
        <f>""</f>
        <v/>
      </c>
      <c r="DS213" t="str">
        <f>""</f>
        <v/>
      </c>
      <c r="DT213" t="str">
        <f>""</f>
        <v/>
      </c>
      <c r="DU213" t="str">
        <f>""</f>
        <v/>
      </c>
      <c r="DV213" t="str">
        <f>""</f>
        <v/>
      </c>
      <c r="DW213" t="str">
        <f>""</f>
        <v/>
      </c>
      <c r="DX213" t="str">
        <f>"0.0934"</f>
        <v>0.0934</v>
      </c>
      <c r="DY213" t="str">
        <f>"-0.00984"</f>
        <v>-0.00984</v>
      </c>
      <c r="DZ213" t="str">
        <f>"0.000914"</f>
        <v>0.000914</v>
      </c>
      <c r="EA213" t="str">
        <f>""</f>
        <v/>
      </c>
      <c r="EB213" t="str">
        <f>""</f>
        <v/>
      </c>
      <c r="EC213" t="str">
        <f>""</f>
        <v/>
      </c>
      <c r="ED213" t="str">
        <f>""</f>
        <v/>
      </c>
      <c r="EE213" t="str">
        <f>""</f>
        <v/>
      </c>
      <c r="EF213" t="str">
        <f>""</f>
        <v/>
      </c>
      <c r="EG213" t="str">
        <f>""</f>
        <v/>
      </c>
      <c r="EH213" t="str">
        <f>""</f>
        <v/>
      </c>
      <c r="EI213" t="str">
        <f>""</f>
        <v/>
      </c>
      <c r="EJ213" t="str">
        <f>""</f>
        <v/>
      </c>
      <c r="EK213" t="str">
        <f>""</f>
        <v/>
      </c>
      <c r="EL213" t="str">
        <f>""</f>
        <v/>
      </c>
      <c r="EM213" t="str">
        <f>""</f>
        <v/>
      </c>
      <c r="EN213" t="str">
        <f>""</f>
        <v/>
      </c>
      <c r="EO213" t="str">
        <f>""</f>
        <v/>
      </c>
      <c r="EP213" t="str">
        <f>""</f>
        <v/>
      </c>
      <c r="EQ213" t="str">
        <f>""</f>
        <v/>
      </c>
      <c r="ER213" t="str">
        <f>""</f>
        <v/>
      </c>
      <c r="ES213" t="str">
        <f>""</f>
        <v/>
      </c>
      <c r="ET213" t="str">
        <f>""</f>
        <v/>
      </c>
      <c r="EU213" t="str">
        <f>""</f>
        <v/>
      </c>
      <c r="EV213" t="str">
        <f>""</f>
        <v/>
      </c>
      <c r="EW213" t="str">
        <f>""</f>
        <v/>
      </c>
      <c r="EX213" t="str">
        <f>""</f>
        <v/>
      </c>
      <c r="EY213" t="str">
        <f>""</f>
        <v/>
      </c>
      <c r="EZ213" t="str">
        <f>""</f>
        <v/>
      </c>
      <c r="FA213" t="str">
        <f>""</f>
        <v/>
      </c>
      <c r="FB213" t="str">
        <f>""</f>
        <v/>
      </c>
      <c r="FC213" t="str">
        <f>""</f>
        <v/>
      </c>
      <c r="FD213" t="str">
        <f>""</f>
        <v/>
      </c>
      <c r="FE213" t="str">
        <f>""</f>
        <v/>
      </c>
      <c r="FF213" t="str">
        <f>""</f>
        <v/>
      </c>
      <c r="FG213" t="str">
        <f>""</f>
        <v/>
      </c>
      <c r="FH213" t="str">
        <f>""</f>
        <v/>
      </c>
      <c r="FI213" t="str">
        <f>""</f>
        <v/>
      </c>
      <c r="FJ213" t="str">
        <f>""</f>
        <v/>
      </c>
      <c r="FK213" t="str">
        <f>""</f>
        <v/>
      </c>
      <c r="FL213" t="str">
        <f>""</f>
        <v/>
      </c>
      <c r="FM213" t="str">
        <f>""</f>
        <v/>
      </c>
      <c r="FN213" t="str">
        <f>""</f>
        <v/>
      </c>
      <c r="FO213" t="str">
        <f>""</f>
        <v/>
      </c>
      <c r="FP213" t="str">
        <f>""</f>
        <v/>
      </c>
      <c r="FQ213" t="str">
        <f>""</f>
        <v/>
      </c>
      <c r="FR213" t="str">
        <f>""</f>
        <v/>
      </c>
      <c r="FS213" t="str">
        <f>""</f>
        <v/>
      </c>
      <c r="FT213" t="str">
        <f>""</f>
        <v/>
      </c>
      <c r="FU213" t="str">
        <f>""</f>
        <v/>
      </c>
      <c r="FV213" t="str">
        <f>""</f>
        <v/>
      </c>
      <c r="FW213" t="str">
        <f>""</f>
        <v/>
      </c>
      <c r="FX213" t="str">
        <f>""</f>
        <v/>
      </c>
      <c r="FY213" t="str">
        <f>""</f>
        <v/>
      </c>
      <c r="FZ213" t="str">
        <f>""</f>
        <v/>
      </c>
      <c r="GA213" t="str">
        <f>""</f>
        <v/>
      </c>
      <c r="GB213" t="str">
        <f>""</f>
        <v/>
      </c>
      <c r="GC213" t="str">
        <f>""</f>
        <v/>
      </c>
      <c r="GD213" t="str">
        <f>""</f>
        <v/>
      </c>
      <c r="GE213" t="str">
        <f>""</f>
        <v/>
      </c>
      <c r="GF213" t="str">
        <f>""</f>
        <v/>
      </c>
      <c r="GG213" t="str">
        <f>""</f>
        <v/>
      </c>
      <c r="GH213" t="str">
        <f>""</f>
        <v/>
      </c>
      <c r="GI213" t="str">
        <f>""</f>
        <v/>
      </c>
      <c r="GJ213" t="str">
        <f>""</f>
        <v/>
      </c>
      <c r="GK213" t="str">
        <f>""</f>
        <v/>
      </c>
      <c r="GL213" t="str">
        <f>""</f>
        <v/>
      </c>
      <c r="GM213" t="str">
        <f>""</f>
        <v/>
      </c>
      <c r="GN213" t="str">
        <f>""</f>
        <v/>
      </c>
      <c r="GO213" t="str">
        <f>""</f>
        <v/>
      </c>
      <c r="GP213" t="str">
        <f>""</f>
        <v/>
      </c>
      <c r="GQ213" t="str">
        <f>""</f>
        <v/>
      </c>
      <c r="GR213" t="str">
        <f>""</f>
        <v/>
      </c>
      <c r="GS213" t="str">
        <f>""</f>
        <v/>
      </c>
      <c r="GT213" t="str">
        <f>""</f>
        <v/>
      </c>
      <c r="GU213" t="str">
        <f>""</f>
        <v/>
      </c>
      <c r="GV213" t="str">
        <f>""</f>
        <v/>
      </c>
      <c r="GW213" t="str">
        <f>""</f>
        <v/>
      </c>
      <c r="GX213" t="str">
        <f>""</f>
        <v/>
      </c>
      <c r="GY213" t="str">
        <f>""</f>
        <v/>
      </c>
      <c r="GZ213" t="str">
        <f>""</f>
        <v/>
      </c>
      <c r="HA213" t="str">
        <f>""</f>
        <v/>
      </c>
      <c r="HB213" t="str">
        <f>""</f>
        <v/>
      </c>
      <c r="HC213" t="str">
        <f>""</f>
        <v/>
      </c>
      <c r="HD213" t="str">
        <f>""</f>
        <v/>
      </c>
      <c r="HE213" t="str">
        <f>""</f>
        <v/>
      </c>
      <c r="HF213" t="str">
        <f>""</f>
        <v/>
      </c>
      <c r="HG213" t="str">
        <f>""</f>
        <v/>
      </c>
      <c r="HH213" t="str">
        <f>""</f>
        <v/>
      </c>
      <c r="HI213" t="str">
        <f>""</f>
        <v/>
      </c>
      <c r="HJ213" t="str">
        <f>""</f>
        <v/>
      </c>
      <c r="HK213" t="str">
        <f>""</f>
        <v/>
      </c>
      <c r="HL213" t="str">
        <f>""</f>
        <v/>
      </c>
      <c r="HM213" t="str">
        <f>""</f>
        <v/>
      </c>
      <c r="HN213" t="str">
        <f>""</f>
        <v/>
      </c>
      <c r="HO213" t="str">
        <f>""</f>
        <v/>
      </c>
      <c r="HP213" t="str">
        <f>""</f>
        <v/>
      </c>
      <c r="HQ213" t="str">
        <f>""</f>
        <v/>
      </c>
      <c r="HR213" t="str">
        <f>""</f>
        <v/>
      </c>
      <c r="HS213" t="str">
        <f>""</f>
        <v/>
      </c>
      <c r="HT213" t="str">
        <f>""</f>
        <v/>
      </c>
      <c r="HU213" t="str">
        <f>""</f>
        <v/>
      </c>
      <c r="HV213" t="str">
        <f>""</f>
        <v/>
      </c>
      <c r="HW213" t="str">
        <f>""</f>
        <v/>
      </c>
      <c r="HX213" t="str">
        <f>""</f>
        <v/>
      </c>
      <c r="HY213" t="str">
        <f>""</f>
        <v/>
      </c>
      <c r="HZ213" t="str">
        <f>""</f>
        <v/>
      </c>
      <c r="IA213" t="str">
        <f>""</f>
        <v/>
      </c>
      <c r="IB213" t="str">
        <f>""</f>
        <v/>
      </c>
      <c r="IC213" t="str">
        <f>""</f>
        <v/>
      </c>
      <c r="ID213" t="str">
        <f>""</f>
        <v/>
      </c>
      <c r="IE213" t="str">
        <f>""</f>
        <v/>
      </c>
      <c r="IF213" t="str">
        <f>""</f>
        <v/>
      </c>
      <c r="IG213" t="str">
        <f>""</f>
        <v/>
      </c>
      <c r="IH213" t="str">
        <f>""</f>
        <v/>
      </c>
      <c r="II213" t="str">
        <f>""</f>
        <v/>
      </c>
      <c r="IJ213" t="str">
        <f>""</f>
        <v/>
      </c>
      <c r="IK213" t="str">
        <f>""</f>
        <v/>
      </c>
      <c r="IL213" t="str">
        <f>""</f>
        <v/>
      </c>
      <c r="IM213" t="str">
        <f>""</f>
        <v/>
      </c>
      <c r="IN213" t="str">
        <f>""</f>
        <v/>
      </c>
      <c r="IO213" t="str">
        <f>""</f>
        <v/>
      </c>
      <c r="IP213" t="str">
        <f>""</f>
        <v/>
      </c>
      <c r="IQ213" t="str">
        <f>""</f>
        <v/>
      </c>
      <c r="IR213" t="str">
        <f>""</f>
        <v/>
      </c>
      <c r="IS213" t="str">
        <f>""</f>
        <v/>
      </c>
      <c r="IT213" t="str">
        <f>""</f>
        <v/>
      </c>
      <c r="IU213" t="str">
        <f>""</f>
        <v/>
      </c>
      <c r="IV213" t="str">
        <f>""</f>
        <v/>
      </c>
      <c r="IW213" t="str">
        <f>""</f>
        <v/>
      </c>
      <c r="IX213" t="str">
        <f>""</f>
        <v/>
      </c>
      <c r="IY213" t="str">
        <f>""</f>
        <v/>
      </c>
      <c r="IZ213" t="str">
        <f>""</f>
        <v/>
      </c>
      <c r="JA213" t="str">
        <f>""</f>
        <v/>
      </c>
      <c r="JB213" t="str">
        <f>""</f>
        <v/>
      </c>
      <c r="JC213" t="str">
        <f>""</f>
        <v/>
      </c>
      <c r="JD213" t="str">
        <f>""</f>
        <v/>
      </c>
      <c r="JE213" t="str">
        <f>""</f>
        <v/>
      </c>
      <c r="JF213" t="str">
        <f>""</f>
        <v/>
      </c>
      <c r="JG213" t="str">
        <f>""</f>
        <v/>
      </c>
      <c r="JH213" t="str">
        <f>""</f>
        <v/>
      </c>
      <c r="JI213" t="str">
        <f>""</f>
        <v/>
      </c>
      <c r="JJ213" t="str">
        <f>""</f>
        <v/>
      </c>
      <c r="JK213" t="str">
        <f>""</f>
        <v/>
      </c>
    </row>
    <row r="214" spans="1:271" x14ac:dyDescent="0.3">
      <c r="A214" t="str">
        <f>""</f>
        <v/>
      </c>
      <c r="B214" t="str">
        <f>""</f>
        <v/>
      </c>
      <c r="C214" t="str">
        <f>""</f>
        <v/>
      </c>
      <c r="D214" t="str">
        <f>""</f>
        <v/>
      </c>
      <c r="E214" t="str">
        <f>""</f>
        <v/>
      </c>
      <c r="F214" t="str">
        <f>""</f>
        <v/>
      </c>
      <c r="G214" t="str">
        <f>""</f>
        <v/>
      </c>
      <c r="H214" t="str">
        <f>""</f>
        <v/>
      </c>
      <c r="I214" t="str">
        <f>""</f>
        <v/>
      </c>
      <c r="J214" t="str">
        <f>""</f>
        <v/>
      </c>
      <c r="K214" t="str">
        <f>""</f>
        <v/>
      </c>
      <c r="L214" t="str">
        <f>""</f>
        <v/>
      </c>
      <c r="M214" t="str">
        <f>""</f>
        <v/>
      </c>
      <c r="N214" t="str">
        <f>""</f>
        <v/>
      </c>
      <c r="O214" t="str">
        <f>""</f>
        <v/>
      </c>
      <c r="P214" t="str">
        <f>""</f>
        <v/>
      </c>
      <c r="Q214" t="str">
        <f>""</f>
        <v/>
      </c>
      <c r="R214" t="str">
        <f>""</f>
        <v/>
      </c>
      <c r="S214" t="str">
        <f>""</f>
        <v/>
      </c>
      <c r="T214" t="str">
        <f>""</f>
        <v/>
      </c>
      <c r="U214" t="str">
        <f>""</f>
        <v/>
      </c>
      <c r="V214" t="str">
        <f>""</f>
        <v/>
      </c>
      <c r="W214" t="str">
        <f>""</f>
        <v/>
      </c>
      <c r="X214" t="str">
        <f>""</f>
        <v/>
      </c>
      <c r="Y214" t="str">
        <f>""</f>
        <v/>
      </c>
      <c r="Z214" t="str">
        <f>""</f>
        <v/>
      </c>
      <c r="AA214" t="str">
        <f>""</f>
        <v/>
      </c>
      <c r="AB214" t="str">
        <f>""</f>
        <v/>
      </c>
      <c r="AC214" t="str">
        <f>""</f>
        <v/>
      </c>
      <c r="AD214" t="str">
        <f>""</f>
        <v/>
      </c>
      <c r="AE214" t="str">
        <f>""</f>
        <v/>
      </c>
      <c r="AF214" t="str">
        <f>""</f>
        <v/>
      </c>
      <c r="AG214" t="str">
        <f>""</f>
        <v/>
      </c>
      <c r="AH214" t="str">
        <f>""</f>
        <v/>
      </c>
      <c r="AI214" t="str">
        <f>""</f>
        <v/>
      </c>
      <c r="AJ214" t="str">
        <f>""</f>
        <v/>
      </c>
      <c r="AK214" t="str">
        <f>""</f>
        <v/>
      </c>
      <c r="AL214" t="str">
        <f>""</f>
        <v/>
      </c>
      <c r="AM214" t="str">
        <f>""</f>
        <v/>
      </c>
      <c r="AN214" t="str">
        <f>""</f>
        <v/>
      </c>
      <c r="AO214" t="str">
        <f>""</f>
        <v/>
      </c>
      <c r="AP214" t="str">
        <f>""</f>
        <v/>
      </c>
      <c r="AQ214" t="str">
        <f>""</f>
        <v/>
      </c>
      <c r="AR214" t="str">
        <f>""</f>
        <v/>
      </c>
      <c r="AS214" t="str">
        <f>""</f>
        <v/>
      </c>
      <c r="AT214" t="str">
        <f>""</f>
        <v/>
      </c>
      <c r="AU214" t="str">
        <f>""</f>
        <v/>
      </c>
      <c r="AV214" t="str">
        <f>""</f>
        <v/>
      </c>
      <c r="AW214" t="str">
        <f>""</f>
        <v/>
      </c>
      <c r="AX214" t="str">
        <f>""</f>
        <v/>
      </c>
      <c r="AY214" t="str">
        <f>""</f>
        <v/>
      </c>
      <c r="AZ214" t="str">
        <f>""</f>
        <v/>
      </c>
      <c r="BA214" t="str">
        <f>""</f>
        <v/>
      </c>
      <c r="BB214" t="str">
        <f>""</f>
        <v/>
      </c>
      <c r="BC214" t="str">
        <f>""</f>
        <v/>
      </c>
      <c r="BD214" t="str">
        <f>""</f>
        <v/>
      </c>
      <c r="BE214" t="str">
        <f>""</f>
        <v/>
      </c>
      <c r="BF214" t="str">
        <f>""</f>
        <v/>
      </c>
      <c r="BG214" t="str">
        <f>""</f>
        <v/>
      </c>
      <c r="BH214" t="str">
        <f>""</f>
        <v/>
      </c>
      <c r="BI214" t="str">
        <f>""</f>
        <v/>
      </c>
      <c r="BJ214" t="str">
        <f>""</f>
        <v/>
      </c>
      <c r="BK214" t="str">
        <f>""</f>
        <v/>
      </c>
      <c r="BL214" t="str">
        <f>""</f>
        <v/>
      </c>
      <c r="BM214" t="str">
        <f>""</f>
        <v/>
      </c>
      <c r="BN214" t="str">
        <f>""</f>
        <v/>
      </c>
      <c r="BO214" t="str">
        <f>""</f>
        <v/>
      </c>
      <c r="BP214" t="str">
        <f>""</f>
        <v/>
      </c>
      <c r="BQ214" t="str">
        <f>""</f>
        <v/>
      </c>
      <c r="BR214" t="str">
        <f>""</f>
        <v/>
      </c>
      <c r="BS214" t="str">
        <f>""</f>
        <v/>
      </c>
      <c r="BT214" t="str">
        <f>""</f>
        <v/>
      </c>
      <c r="BU214" t="str">
        <f>""</f>
        <v/>
      </c>
      <c r="BV214" t="str">
        <f>""</f>
        <v/>
      </c>
      <c r="BW214" t="str">
        <f>""</f>
        <v/>
      </c>
      <c r="BX214" t="str">
        <f>""</f>
        <v/>
      </c>
      <c r="BY214" t="str">
        <f>""</f>
        <v/>
      </c>
      <c r="BZ214" t="str">
        <f>""</f>
        <v/>
      </c>
      <c r="CA214" t="str">
        <f>""</f>
        <v/>
      </c>
      <c r="CB214" t="str">
        <f>""</f>
        <v/>
      </c>
      <c r="CC214" t="str">
        <f>""</f>
        <v/>
      </c>
      <c r="CD214" t="str">
        <f>""</f>
        <v/>
      </c>
      <c r="CE214" t="str">
        <f>""</f>
        <v/>
      </c>
      <c r="CF214" t="str">
        <f>""</f>
        <v/>
      </c>
      <c r="CG214" t="str">
        <f>""</f>
        <v/>
      </c>
      <c r="CH214" t="str">
        <f>""</f>
        <v/>
      </c>
      <c r="CI214" t="str">
        <f>""</f>
        <v/>
      </c>
      <c r="CJ214" t="str">
        <f>""</f>
        <v/>
      </c>
      <c r="CK214" t="str">
        <f>""</f>
        <v/>
      </c>
      <c r="CL214" t="str">
        <f>""</f>
        <v/>
      </c>
      <c r="CM214" t="str">
        <f>""</f>
        <v/>
      </c>
      <c r="CN214" t="str">
        <f>""</f>
        <v/>
      </c>
      <c r="CO214" t="str">
        <f>""</f>
        <v/>
      </c>
      <c r="CP214" t="str">
        <f>""</f>
        <v/>
      </c>
      <c r="CQ214" t="str">
        <f>""</f>
        <v/>
      </c>
      <c r="CR214" t="str">
        <f>""</f>
        <v/>
      </c>
      <c r="CS214" t="str">
        <f>""</f>
        <v/>
      </c>
      <c r="CT214" t="str">
        <f>""</f>
        <v/>
      </c>
      <c r="CU214" t="str">
        <f>""</f>
        <v/>
      </c>
      <c r="CV214" t="str">
        <f>""</f>
        <v/>
      </c>
      <c r="CW214" t="str">
        <f>""</f>
        <v/>
      </c>
      <c r="CX214" t="str">
        <f>""</f>
        <v/>
      </c>
      <c r="CY214" t="str">
        <f>""</f>
        <v/>
      </c>
      <c r="CZ214" t="str">
        <f>""</f>
        <v/>
      </c>
      <c r="DA214" t="str">
        <f>""</f>
        <v/>
      </c>
      <c r="DB214" t="str">
        <f>""</f>
        <v/>
      </c>
      <c r="DC214" t="str">
        <f>""</f>
        <v/>
      </c>
      <c r="DD214" t="str">
        <f>""</f>
        <v/>
      </c>
      <c r="DE214" t="str">
        <f>""</f>
        <v/>
      </c>
      <c r="DF214" t="str">
        <f>""</f>
        <v/>
      </c>
      <c r="DG214" t="str">
        <f>""</f>
        <v/>
      </c>
      <c r="DH214" t="str">
        <f>""</f>
        <v/>
      </c>
      <c r="DI214" t="str">
        <f>""</f>
        <v/>
      </c>
      <c r="DJ214" t="str">
        <f>""</f>
        <v/>
      </c>
      <c r="DK214" t="str">
        <f>""</f>
        <v/>
      </c>
      <c r="DL214" t="str">
        <f>""</f>
        <v/>
      </c>
      <c r="DM214" t="str">
        <f>""</f>
        <v/>
      </c>
      <c r="DN214" t="str">
        <f>""</f>
        <v/>
      </c>
      <c r="DO214" t="str">
        <f>""</f>
        <v/>
      </c>
      <c r="DP214" t="str">
        <f>""</f>
        <v/>
      </c>
      <c r="DQ214" t="str">
        <f>""</f>
        <v/>
      </c>
      <c r="DR214" t="str">
        <f>""</f>
        <v/>
      </c>
      <c r="DS214" t="str">
        <f>""</f>
        <v/>
      </c>
      <c r="DT214" t="str">
        <f>""</f>
        <v/>
      </c>
      <c r="DU214" t="str">
        <f>""</f>
        <v/>
      </c>
      <c r="DV214" t="str">
        <f>""</f>
        <v/>
      </c>
      <c r="DW214" t="str">
        <f>""</f>
        <v/>
      </c>
      <c r="DX214" t="str">
        <f>"(0.103)"</f>
        <v>(0.103)</v>
      </c>
      <c r="DY214" t="str">
        <f>"(0.0818)"</f>
        <v>(0.0818)</v>
      </c>
      <c r="DZ214" t="str">
        <f>"(0.0436)"</f>
        <v>(0.0436)</v>
      </c>
      <c r="EA214" t="str">
        <f>""</f>
        <v/>
      </c>
      <c r="EB214" t="str">
        <f>""</f>
        <v/>
      </c>
      <c r="EC214" t="str">
        <f>""</f>
        <v/>
      </c>
      <c r="ED214" t="str">
        <f>""</f>
        <v/>
      </c>
      <c r="EE214" t="str">
        <f>""</f>
        <v/>
      </c>
      <c r="EF214" t="str">
        <f>""</f>
        <v/>
      </c>
      <c r="EG214" t="str">
        <f>""</f>
        <v/>
      </c>
      <c r="EH214" t="str">
        <f>""</f>
        <v/>
      </c>
      <c r="EI214" t="str">
        <f>""</f>
        <v/>
      </c>
      <c r="EJ214" t="str">
        <f>""</f>
        <v/>
      </c>
      <c r="EK214" t="str">
        <f>""</f>
        <v/>
      </c>
      <c r="EL214" t="str">
        <f>""</f>
        <v/>
      </c>
      <c r="EM214" t="str">
        <f>""</f>
        <v/>
      </c>
      <c r="EN214" t="str">
        <f>""</f>
        <v/>
      </c>
      <c r="EO214" t="str">
        <f>""</f>
        <v/>
      </c>
      <c r="EP214" t="str">
        <f>""</f>
        <v/>
      </c>
      <c r="EQ214" t="str">
        <f>""</f>
        <v/>
      </c>
      <c r="ER214" t="str">
        <f>""</f>
        <v/>
      </c>
      <c r="ES214" t="str">
        <f>""</f>
        <v/>
      </c>
      <c r="ET214" t="str">
        <f>""</f>
        <v/>
      </c>
      <c r="EU214" t="str">
        <f>""</f>
        <v/>
      </c>
      <c r="EV214" t="str">
        <f>""</f>
        <v/>
      </c>
      <c r="EW214" t="str">
        <f>""</f>
        <v/>
      </c>
      <c r="EX214" t="str">
        <f>""</f>
        <v/>
      </c>
      <c r="EY214" t="str">
        <f>""</f>
        <v/>
      </c>
      <c r="EZ214" t="str">
        <f>""</f>
        <v/>
      </c>
      <c r="FA214" t="str">
        <f>""</f>
        <v/>
      </c>
      <c r="FB214" t="str">
        <f>""</f>
        <v/>
      </c>
      <c r="FC214" t="str">
        <f>""</f>
        <v/>
      </c>
      <c r="FD214" t="str">
        <f>""</f>
        <v/>
      </c>
      <c r="FE214" t="str">
        <f>""</f>
        <v/>
      </c>
      <c r="FF214" t="str">
        <f>""</f>
        <v/>
      </c>
      <c r="FG214" t="str">
        <f>""</f>
        <v/>
      </c>
      <c r="FH214" t="str">
        <f>""</f>
        <v/>
      </c>
      <c r="FI214" t="str">
        <f>""</f>
        <v/>
      </c>
      <c r="FJ214" t="str">
        <f>""</f>
        <v/>
      </c>
      <c r="FK214" t="str">
        <f>""</f>
        <v/>
      </c>
      <c r="FL214" t="str">
        <f>""</f>
        <v/>
      </c>
      <c r="FM214" t="str">
        <f>""</f>
        <v/>
      </c>
      <c r="FN214" t="str">
        <f>""</f>
        <v/>
      </c>
      <c r="FO214" t="str">
        <f>""</f>
        <v/>
      </c>
      <c r="FP214" t="str">
        <f>""</f>
        <v/>
      </c>
      <c r="FQ214" t="str">
        <f>""</f>
        <v/>
      </c>
      <c r="FR214" t="str">
        <f>""</f>
        <v/>
      </c>
      <c r="FS214" t="str">
        <f>""</f>
        <v/>
      </c>
      <c r="FT214" t="str">
        <f>""</f>
        <v/>
      </c>
      <c r="FU214" t="str">
        <f>""</f>
        <v/>
      </c>
      <c r="FV214" t="str">
        <f>""</f>
        <v/>
      </c>
      <c r="FW214" t="str">
        <f>""</f>
        <v/>
      </c>
      <c r="FX214" t="str">
        <f>""</f>
        <v/>
      </c>
      <c r="FY214" t="str">
        <f>""</f>
        <v/>
      </c>
      <c r="FZ214" t="str">
        <f>""</f>
        <v/>
      </c>
      <c r="GA214" t="str">
        <f>""</f>
        <v/>
      </c>
      <c r="GB214" t="str">
        <f>""</f>
        <v/>
      </c>
      <c r="GC214" t="str">
        <f>""</f>
        <v/>
      </c>
      <c r="GD214" t="str">
        <f>""</f>
        <v/>
      </c>
      <c r="GE214" t="str">
        <f>""</f>
        <v/>
      </c>
      <c r="GF214" t="str">
        <f>""</f>
        <v/>
      </c>
      <c r="GG214" t="str">
        <f>""</f>
        <v/>
      </c>
      <c r="GH214" t="str">
        <f>""</f>
        <v/>
      </c>
      <c r="GI214" t="str">
        <f>""</f>
        <v/>
      </c>
      <c r="GJ214" t="str">
        <f>""</f>
        <v/>
      </c>
      <c r="GK214" t="str">
        <f>""</f>
        <v/>
      </c>
      <c r="GL214" t="str">
        <f>""</f>
        <v/>
      </c>
      <c r="GM214" t="str">
        <f>""</f>
        <v/>
      </c>
      <c r="GN214" t="str">
        <f>""</f>
        <v/>
      </c>
      <c r="GO214" t="str">
        <f>""</f>
        <v/>
      </c>
      <c r="GP214" t="str">
        <f>""</f>
        <v/>
      </c>
      <c r="GQ214" t="str">
        <f>""</f>
        <v/>
      </c>
      <c r="GR214" t="str">
        <f>""</f>
        <v/>
      </c>
      <c r="GS214" t="str">
        <f>""</f>
        <v/>
      </c>
      <c r="GT214" t="str">
        <f>""</f>
        <v/>
      </c>
      <c r="GU214" t="str">
        <f>""</f>
        <v/>
      </c>
      <c r="GV214" t="str">
        <f>""</f>
        <v/>
      </c>
      <c r="GW214" t="str">
        <f>""</f>
        <v/>
      </c>
      <c r="GX214" t="str">
        <f>""</f>
        <v/>
      </c>
      <c r="GY214" t="str">
        <f>""</f>
        <v/>
      </c>
      <c r="GZ214" t="str">
        <f>""</f>
        <v/>
      </c>
      <c r="HA214" t="str">
        <f>""</f>
        <v/>
      </c>
      <c r="HB214" t="str">
        <f>""</f>
        <v/>
      </c>
      <c r="HC214" t="str">
        <f>""</f>
        <v/>
      </c>
      <c r="HD214" t="str">
        <f>""</f>
        <v/>
      </c>
      <c r="HE214" t="str">
        <f>""</f>
        <v/>
      </c>
      <c r="HF214" t="str">
        <f>""</f>
        <v/>
      </c>
      <c r="HG214" t="str">
        <f>""</f>
        <v/>
      </c>
      <c r="HH214" t="str">
        <f>""</f>
        <v/>
      </c>
      <c r="HI214" t="str">
        <f>""</f>
        <v/>
      </c>
      <c r="HJ214" t="str">
        <f>""</f>
        <v/>
      </c>
      <c r="HK214" t="str">
        <f>""</f>
        <v/>
      </c>
      <c r="HL214" t="str">
        <f>""</f>
        <v/>
      </c>
      <c r="HM214" t="str">
        <f>""</f>
        <v/>
      </c>
      <c r="HN214" t="str">
        <f>""</f>
        <v/>
      </c>
      <c r="HO214" t="str">
        <f>""</f>
        <v/>
      </c>
      <c r="HP214" t="str">
        <f>""</f>
        <v/>
      </c>
      <c r="HQ214" t="str">
        <f>""</f>
        <v/>
      </c>
      <c r="HR214" t="str">
        <f>""</f>
        <v/>
      </c>
      <c r="HS214" t="str">
        <f>""</f>
        <v/>
      </c>
      <c r="HT214" t="str">
        <f>""</f>
        <v/>
      </c>
      <c r="HU214" t="str">
        <f>""</f>
        <v/>
      </c>
      <c r="HV214" t="str">
        <f>""</f>
        <v/>
      </c>
      <c r="HW214" t="str">
        <f>""</f>
        <v/>
      </c>
      <c r="HX214" t="str">
        <f>""</f>
        <v/>
      </c>
      <c r="HY214" t="str">
        <f>""</f>
        <v/>
      </c>
      <c r="HZ214" t="str">
        <f>""</f>
        <v/>
      </c>
      <c r="IA214" t="str">
        <f>""</f>
        <v/>
      </c>
      <c r="IB214" t="str">
        <f>""</f>
        <v/>
      </c>
      <c r="IC214" t="str">
        <f>""</f>
        <v/>
      </c>
      <c r="ID214" t="str">
        <f>""</f>
        <v/>
      </c>
      <c r="IE214" t="str">
        <f>""</f>
        <v/>
      </c>
      <c r="IF214" t="str">
        <f>""</f>
        <v/>
      </c>
      <c r="IG214" t="str">
        <f>""</f>
        <v/>
      </c>
      <c r="IH214" t="str">
        <f>""</f>
        <v/>
      </c>
      <c r="II214" t="str">
        <f>""</f>
        <v/>
      </c>
      <c r="IJ214" t="str">
        <f>""</f>
        <v/>
      </c>
      <c r="IK214" t="str">
        <f>""</f>
        <v/>
      </c>
      <c r="IL214" t="str">
        <f>""</f>
        <v/>
      </c>
      <c r="IM214" t="str">
        <f>""</f>
        <v/>
      </c>
      <c r="IN214" t="str">
        <f>""</f>
        <v/>
      </c>
      <c r="IO214" t="str">
        <f>""</f>
        <v/>
      </c>
      <c r="IP214" t="str">
        <f>""</f>
        <v/>
      </c>
      <c r="IQ214" t="str">
        <f>""</f>
        <v/>
      </c>
      <c r="IR214" t="str">
        <f>""</f>
        <v/>
      </c>
      <c r="IS214" t="str">
        <f>""</f>
        <v/>
      </c>
      <c r="IT214" t="str">
        <f>""</f>
        <v/>
      </c>
      <c r="IU214" t="str">
        <f>""</f>
        <v/>
      </c>
      <c r="IV214" t="str">
        <f>""</f>
        <v/>
      </c>
      <c r="IW214" t="str">
        <f>""</f>
        <v/>
      </c>
      <c r="IX214" t="str">
        <f>""</f>
        <v/>
      </c>
      <c r="IY214" t="str">
        <f>""</f>
        <v/>
      </c>
      <c r="IZ214" t="str">
        <f>""</f>
        <v/>
      </c>
      <c r="JA214" t="str">
        <f>""</f>
        <v/>
      </c>
      <c r="JB214" t="str">
        <f>""</f>
        <v/>
      </c>
      <c r="JC214" t="str">
        <f>""</f>
        <v/>
      </c>
      <c r="JD214" t="str">
        <f>""</f>
        <v/>
      </c>
      <c r="JE214" t="str">
        <f>""</f>
        <v/>
      </c>
      <c r="JF214" t="str">
        <f>""</f>
        <v/>
      </c>
      <c r="JG214" t="str">
        <f>""</f>
        <v/>
      </c>
      <c r="JH214" t="str">
        <f>""</f>
        <v/>
      </c>
      <c r="JI214" t="str">
        <f>""</f>
        <v/>
      </c>
      <c r="JJ214" t="str">
        <f>""</f>
        <v/>
      </c>
      <c r="JK214" t="str">
        <f>""</f>
        <v/>
      </c>
    </row>
    <row r="216" spans="1:271" x14ac:dyDescent="0.3">
      <c r="A216" t="str">
        <f>"c.zMETAB14#c.PM3"</f>
        <v>c.zMETAB14#c.PM3</v>
      </c>
      <c r="B216" t="str">
        <f>""</f>
        <v/>
      </c>
      <c r="C216" t="str">
        <f>""</f>
        <v/>
      </c>
      <c r="D216" t="str">
        <f>""</f>
        <v/>
      </c>
      <c r="E216" t="str">
        <f>""</f>
        <v/>
      </c>
      <c r="F216" t="str">
        <f>""</f>
        <v/>
      </c>
      <c r="G216" t="str">
        <f>""</f>
        <v/>
      </c>
      <c r="H216" t="str">
        <f>""</f>
        <v/>
      </c>
      <c r="I216" t="str">
        <f>""</f>
        <v/>
      </c>
      <c r="J216" t="str">
        <f>""</f>
        <v/>
      </c>
      <c r="K216" t="str">
        <f>""</f>
        <v/>
      </c>
      <c r="L216" t="str">
        <f>""</f>
        <v/>
      </c>
      <c r="M216" t="str">
        <f>""</f>
        <v/>
      </c>
      <c r="N216" t="str">
        <f>""</f>
        <v/>
      </c>
      <c r="O216" t="str">
        <f>""</f>
        <v/>
      </c>
      <c r="P216" t="str">
        <f>""</f>
        <v/>
      </c>
      <c r="Q216" t="str">
        <f>""</f>
        <v/>
      </c>
      <c r="R216" t="str">
        <f>""</f>
        <v/>
      </c>
      <c r="S216" t="str">
        <f>""</f>
        <v/>
      </c>
      <c r="T216" t="str">
        <f>""</f>
        <v/>
      </c>
      <c r="U216" t="str">
        <f>""</f>
        <v/>
      </c>
      <c r="V216" t="str">
        <f>""</f>
        <v/>
      </c>
      <c r="W216" t="str">
        <f>""</f>
        <v/>
      </c>
      <c r="X216" t="str">
        <f>""</f>
        <v/>
      </c>
      <c r="Y216" t="str">
        <f>""</f>
        <v/>
      </c>
      <c r="Z216" t="str">
        <f>""</f>
        <v/>
      </c>
      <c r="AA216" t="str">
        <f>""</f>
        <v/>
      </c>
      <c r="AB216" t="str">
        <f>""</f>
        <v/>
      </c>
      <c r="AC216" t="str">
        <f>""</f>
        <v/>
      </c>
      <c r="AD216" t="str">
        <f>""</f>
        <v/>
      </c>
      <c r="AE216" t="str">
        <f>""</f>
        <v/>
      </c>
      <c r="AF216" t="str">
        <f>""</f>
        <v/>
      </c>
      <c r="AG216" t="str">
        <f>""</f>
        <v/>
      </c>
      <c r="AH216" t="str">
        <f>""</f>
        <v/>
      </c>
      <c r="AI216" t="str">
        <f>""</f>
        <v/>
      </c>
      <c r="AJ216" t="str">
        <f>""</f>
        <v/>
      </c>
      <c r="AK216" t="str">
        <f>""</f>
        <v/>
      </c>
      <c r="AL216" t="str">
        <f>""</f>
        <v/>
      </c>
      <c r="AM216" t="str">
        <f>""</f>
        <v/>
      </c>
      <c r="AN216" t="str">
        <f>""</f>
        <v/>
      </c>
      <c r="AO216" t="str">
        <f>""</f>
        <v/>
      </c>
      <c r="AP216" t="str">
        <f>""</f>
        <v/>
      </c>
      <c r="AQ216" t="str">
        <f>""</f>
        <v/>
      </c>
      <c r="AR216" t="str">
        <f>""</f>
        <v/>
      </c>
      <c r="AS216" t="str">
        <f>""</f>
        <v/>
      </c>
      <c r="AT216" t="str">
        <f>""</f>
        <v/>
      </c>
      <c r="AU216" t="str">
        <f>""</f>
        <v/>
      </c>
      <c r="AV216" t="str">
        <f>""</f>
        <v/>
      </c>
      <c r="AW216" t="str">
        <f>""</f>
        <v/>
      </c>
      <c r="AX216" t="str">
        <f>""</f>
        <v/>
      </c>
      <c r="AY216" t="str">
        <f>""</f>
        <v/>
      </c>
      <c r="AZ216" t="str">
        <f>""</f>
        <v/>
      </c>
      <c r="BA216" t="str">
        <f>""</f>
        <v/>
      </c>
      <c r="BB216" t="str">
        <f>""</f>
        <v/>
      </c>
      <c r="BC216" t="str">
        <f>""</f>
        <v/>
      </c>
      <c r="BD216" t="str">
        <f>""</f>
        <v/>
      </c>
      <c r="BE216" t="str">
        <f>""</f>
        <v/>
      </c>
      <c r="BF216" t="str">
        <f>""</f>
        <v/>
      </c>
      <c r="BG216" t="str">
        <f>""</f>
        <v/>
      </c>
      <c r="BH216" t="str">
        <f>""</f>
        <v/>
      </c>
      <c r="BI216" t="str">
        <f>""</f>
        <v/>
      </c>
      <c r="BJ216" t="str">
        <f>""</f>
        <v/>
      </c>
      <c r="BK216" t="str">
        <f>""</f>
        <v/>
      </c>
      <c r="BL216" t="str">
        <f>""</f>
        <v/>
      </c>
      <c r="BM216" t="str">
        <f>""</f>
        <v/>
      </c>
      <c r="BN216" t="str">
        <f>""</f>
        <v/>
      </c>
      <c r="BO216" t="str">
        <f>""</f>
        <v/>
      </c>
      <c r="BP216" t="str">
        <f>""</f>
        <v/>
      </c>
      <c r="BQ216" t="str">
        <f>""</f>
        <v/>
      </c>
      <c r="BR216" t="str">
        <f>""</f>
        <v/>
      </c>
      <c r="BS216" t="str">
        <f>""</f>
        <v/>
      </c>
      <c r="BT216" t="str">
        <f>""</f>
        <v/>
      </c>
      <c r="BU216" t="str">
        <f>""</f>
        <v/>
      </c>
      <c r="BV216" t="str">
        <f>""</f>
        <v/>
      </c>
      <c r="BW216" t="str">
        <f>""</f>
        <v/>
      </c>
      <c r="BX216" t="str">
        <f>""</f>
        <v/>
      </c>
      <c r="BY216" t="str">
        <f>""</f>
        <v/>
      </c>
      <c r="BZ216" t="str">
        <f>""</f>
        <v/>
      </c>
      <c r="CA216" t="str">
        <f>""</f>
        <v/>
      </c>
      <c r="CB216" t="str">
        <f>""</f>
        <v/>
      </c>
      <c r="CC216" t="str">
        <f>""</f>
        <v/>
      </c>
      <c r="CD216" t="str">
        <f>""</f>
        <v/>
      </c>
      <c r="CE216" t="str">
        <f>""</f>
        <v/>
      </c>
      <c r="CF216" t="str">
        <f>""</f>
        <v/>
      </c>
      <c r="CG216" t="str">
        <f>""</f>
        <v/>
      </c>
      <c r="CH216" t="str">
        <f>""</f>
        <v/>
      </c>
      <c r="CI216" t="str">
        <f>""</f>
        <v/>
      </c>
      <c r="CJ216" t="str">
        <f>""</f>
        <v/>
      </c>
      <c r="CK216" t="str">
        <f>""</f>
        <v/>
      </c>
      <c r="CL216" t="str">
        <f>""</f>
        <v/>
      </c>
      <c r="CM216" t="str">
        <f>""</f>
        <v/>
      </c>
      <c r="CN216" t="str">
        <f>""</f>
        <v/>
      </c>
      <c r="CO216" t="str">
        <f>""</f>
        <v/>
      </c>
      <c r="CP216" t="str">
        <f>""</f>
        <v/>
      </c>
      <c r="CQ216" t="str">
        <f>""</f>
        <v/>
      </c>
      <c r="CR216" t="str">
        <f>""</f>
        <v/>
      </c>
      <c r="CS216" t="str">
        <f>""</f>
        <v/>
      </c>
      <c r="CT216" t="str">
        <f>""</f>
        <v/>
      </c>
      <c r="CU216" t="str">
        <f>""</f>
        <v/>
      </c>
      <c r="CV216" t="str">
        <f>""</f>
        <v/>
      </c>
      <c r="CW216" t="str">
        <f>""</f>
        <v/>
      </c>
      <c r="CX216" t="str">
        <f>""</f>
        <v/>
      </c>
      <c r="CY216" t="str">
        <f>""</f>
        <v/>
      </c>
      <c r="CZ216" t="str">
        <f>""</f>
        <v/>
      </c>
      <c r="DA216" t="str">
        <f>""</f>
        <v/>
      </c>
      <c r="DB216" t="str">
        <f>""</f>
        <v/>
      </c>
      <c r="DC216" t="str">
        <f>""</f>
        <v/>
      </c>
      <c r="DD216" t="str">
        <f>""</f>
        <v/>
      </c>
      <c r="DE216" t="str">
        <f>""</f>
        <v/>
      </c>
      <c r="DF216" t="str">
        <f>""</f>
        <v/>
      </c>
      <c r="DG216" t="str">
        <f>""</f>
        <v/>
      </c>
      <c r="DH216" t="str">
        <f>""</f>
        <v/>
      </c>
      <c r="DI216" t="str">
        <f>""</f>
        <v/>
      </c>
      <c r="DJ216" t="str">
        <f>""</f>
        <v/>
      </c>
      <c r="DK216" t="str">
        <f>""</f>
        <v/>
      </c>
      <c r="DL216" t="str">
        <f>""</f>
        <v/>
      </c>
      <c r="DM216" t="str">
        <f>""</f>
        <v/>
      </c>
      <c r="DN216" t="str">
        <f>""</f>
        <v/>
      </c>
      <c r="DO216" t="str">
        <f>""</f>
        <v/>
      </c>
      <c r="DP216" t="str">
        <f>""</f>
        <v/>
      </c>
      <c r="DQ216" t="str">
        <f>""</f>
        <v/>
      </c>
      <c r="DR216" t="str">
        <f>""</f>
        <v/>
      </c>
      <c r="DS216" t="str">
        <f>""</f>
        <v/>
      </c>
      <c r="DT216" t="str">
        <f>""</f>
        <v/>
      </c>
      <c r="DU216" t="str">
        <f>""</f>
        <v/>
      </c>
      <c r="DV216" t="str">
        <f>""</f>
        <v/>
      </c>
      <c r="DW216" t="str">
        <f>""</f>
        <v/>
      </c>
      <c r="DX216" t="str">
        <f>""</f>
        <v/>
      </c>
      <c r="DY216" t="str">
        <f>""</f>
        <v/>
      </c>
      <c r="DZ216" t="str">
        <f>""</f>
        <v/>
      </c>
      <c r="EA216" t="str">
        <f>"0.0288"</f>
        <v>0.0288</v>
      </c>
      <c r="EB216" t="str">
        <f>"0.0806"</f>
        <v>0.0806</v>
      </c>
      <c r="EC216" t="str">
        <f>"0.0540"</f>
        <v>0.0540</v>
      </c>
      <c r="ED216" t="str">
        <f>""</f>
        <v/>
      </c>
      <c r="EE216" t="str">
        <f>""</f>
        <v/>
      </c>
      <c r="EF216" t="str">
        <f>""</f>
        <v/>
      </c>
      <c r="EG216" t="str">
        <f>""</f>
        <v/>
      </c>
      <c r="EH216" t="str">
        <f>""</f>
        <v/>
      </c>
      <c r="EI216" t="str">
        <f>""</f>
        <v/>
      </c>
      <c r="EJ216" t="str">
        <f>""</f>
        <v/>
      </c>
      <c r="EK216" t="str">
        <f>""</f>
        <v/>
      </c>
      <c r="EL216" t="str">
        <f>""</f>
        <v/>
      </c>
      <c r="EM216" t="str">
        <f>""</f>
        <v/>
      </c>
      <c r="EN216" t="str">
        <f>""</f>
        <v/>
      </c>
      <c r="EO216" t="str">
        <f>""</f>
        <v/>
      </c>
      <c r="EP216" t="str">
        <f>""</f>
        <v/>
      </c>
      <c r="EQ216" t="str">
        <f>""</f>
        <v/>
      </c>
      <c r="ER216" t="str">
        <f>""</f>
        <v/>
      </c>
      <c r="ES216" t="str">
        <f>""</f>
        <v/>
      </c>
      <c r="ET216" t="str">
        <f>""</f>
        <v/>
      </c>
      <c r="EU216" t="str">
        <f>""</f>
        <v/>
      </c>
      <c r="EV216" t="str">
        <f>""</f>
        <v/>
      </c>
      <c r="EW216" t="str">
        <f>""</f>
        <v/>
      </c>
      <c r="EX216" t="str">
        <f>""</f>
        <v/>
      </c>
      <c r="EY216" t="str">
        <f>""</f>
        <v/>
      </c>
      <c r="EZ216" t="str">
        <f>""</f>
        <v/>
      </c>
      <c r="FA216" t="str">
        <f>""</f>
        <v/>
      </c>
      <c r="FB216" t="str">
        <f>""</f>
        <v/>
      </c>
      <c r="FC216" t="str">
        <f>""</f>
        <v/>
      </c>
      <c r="FD216" t="str">
        <f>""</f>
        <v/>
      </c>
      <c r="FE216" t="str">
        <f>""</f>
        <v/>
      </c>
      <c r="FF216" t="str">
        <f>""</f>
        <v/>
      </c>
      <c r="FG216" t="str">
        <f>""</f>
        <v/>
      </c>
      <c r="FH216" t="str">
        <f>""</f>
        <v/>
      </c>
      <c r="FI216" t="str">
        <f>""</f>
        <v/>
      </c>
      <c r="FJ216" t="str">
        <f>""</f>
        <v/>
      </c>
      <c r="FK216" t="str">
        <f>""</f>
        <v/>
      </c>
      <c r="FL216" t="str">
        <f>""</f>
        <v/>
      </c>
      <c r="FM216" t="str">
        <f>""</f>
        <v/>
      </c>
      <c r="FN216" t="str">
        <f>""</f>
        <v/>
      </c>
      <c r="FO216" t="str">
        <f>""</f>
        <v/>
      </c>
      <c r="FP216" t="str">
        <f>""</f>
        <v/>
      </c>
      <c r="FQ216" t="str">
        <f>""</f>
        <v/>
      </c>
      <c r="FR216" t="str">
        <f>""</f>
        <v/>
      </c>
      <c r="FS216" t="str">
        <f>""</f>
        <v/>
      </c>
      <c r="FT216" t="str">
        <f>""</f>
        <v/>
      </c>
      <c r="FU216" t="str">
        <f>""</f>
        <v/>
      </c>
      <c r="FV216" t="str">
        <f>""</f>
        <v/>
      </c>
      <c r="FW216" t="str">
        <f>""</f>
        <v/>
      </c>
      <c r="FX216" t="str">
        <f>""</f>
        <v/>
      </c>
      <c r="FY216" t="str">
        <f>""</f>
        <v/>
      </c>
      <c r="FZ216" t="str">
        <f>""</f>
        <v/>
      </c>
      <c r="GA216" t="str">
        <f>""</f>
        <v/>
      </c>
      <c r="GB216" t="str">
        <f>""</f>
        <v/>
      </c>
      <c r="GC216" t="str">
        <f>""</f>
        <v/>
      </c>
      <c r="GD216" t="str">
        <f>""</f>
        <v/>
      </c>
      <c r="GE216" t="str">
        <f>""</f>
        <v/>
      </c>
      <c r="GF216" t="str">
        <f>""</f>
        <v/>
      </c>
      <c r="GG216" t="str">
        <f>""</f>
        <v/>
      </c>
      <c r="GH216" t="str">
        <f>""</f>
        <v/>
      </c>
      <c r="GI216" t="str">
        <f>""</f>
        <v/>
      </c>
      <c r="GJ216" t="str">
        <f>""</f>
        <v/>
      </c>
      <c r="GK216" t="str">
        <f>""</f>
        <v/>
      </c>
      <c r="GL216" t="str">
        <f>""</f>
        <v/>
      </c>
      <c r="GM216" t="str">
        <f>""</f>
        <v/>
      </c>
      <c r="GN216" t="str">
        <f>""</f>
        <v/>
      </c>
      <c r="GO216" t="str">
        <f>""</f>
        <v/>
      </c>
      <c r="GP216" t="str">
        <f>""</f>
        <v/>
      </c>
      <c r="GQ216" t="str">
        <f>""</f>
        <v/>
      </c>
      <c r="GR216" t="str">
        <f>""</f>
        <v/>
      </c>
      <c r="GS216" t="str">
        <f>""</f>
        <v/>
      </c>
      <c r="GT216" t="str">
        <f>""</f>
        <v/>
      </c>
      <c r="GU216" t="str">
        <f>""</f>
        <v/>
      </c>
      <c r="GV216" t="str">
        <f>""</f>
        <v/>
      </c>
      <c r="GW216" t="str">
        <f>""</f>
        <v/>
      </c>
      <c r="GX216" t="str">
        <f>""</f>
        <v/>
      </c>
      <c r="GY216" t="str">
        <f>""</f>
        <v/>
      </c>
      <c r="GZ216" t="str">
        <f>""</f>
        <v/>
      </c>
      <c r="HA216" t="str">
        <f>""</f>
        <v/>
      </c>
      <c r="HB216" t="str">
        <f>""</f>
        <v/>
      </c>
      <c r="HC216" t="str">
        <f>""</f>
        <v/>
      </c>
      <c r="HD216" t="str">
        <f>""</f>
        <v/>
      </c>
      <c r="HE216" t="str">
        <f>""</f>
        <v/>
      </c>
      <c r="HF216" t="str">
        <f>""</f>
        <v/>
      </c>
      <c r="HG216" t="str">
        <f>""</f>
        <v/>
      </c>
      <c r="HH216" t="str">
        <f>""</f>
        <v/>
      </c>
      <c r="HI216" t="str">
        <f>""</f>
        <v/>
      </c>
      <c r="HJ216" t="str">
        <f>""</f>
        <v/>
      </c>
      <c r="HK216" t="str">
        <f>""</f>
        <v/>
      </c>
      <c r="HL216" t="str">
        <f>""</f>
        <v/>
      </c>
      <c r="HM216" t="str">
        <f>""</f>
        <v/>
      </c>
      <c r="HN216" t="str">
        <f>""</f>
        <v/>
      </c>
      <c r="HO216" t="str">
        <f>""</f>
        <v/>
      </c>
      <c r="HP216" t="str">
        <f>""</f>
        <v/>
      </c>
      <c r="HQ216" t="str">
        <f>""</f>
        <v/>
      </c>
      <c r="HR216" t="str">
        <f>""</f>
        <v/>
      </c>
      <c r="HS216" t="str">
        <f>""</f>
        <v/>
      </c>
      <c r="HT216" t="str">
        <f>""</f>
        <v/>
      </c>
      <c r="HU216" t="str">
        <f>""</f>
        <v/>
      </c>
      <c r="HV216" t="str">
        <f>""</f>
        <v/>
      </c>
      <c r="HW216" t="str">
        <f>""</f>
        <v/>
      </c>
      <c r="HX216" t="str">
        <f>""</f>
        <v/>
      </c>
      <c r="HY216" t="str">
        <f>""</f>
        <v/>
      </c>
      <c r="HZ216" t="str">
        <f>""</f>
        <v/>
      </c>
      <c r="IA216" t="str">
        <f>""</f>
        <v/>
      </c>
      <c r="IB216" t="str">
        <f>""</f>
        <v/>
      </c>
      <c r="IC216" t="str">
        <f>""</f>
        <v/>
      </c>
      <c r="ID216" t="str">
        <f>""</f>
        <v/>
      </c>
      <c r="IE216" t="str">
        <f>""</f>
        <v/>
      </c>
      <c r="IF216" t="str">
        <f>""</f>
        <v/>
      </c>
      <c r="IG216" t="str">
        <f>""</f>
        <v/>
      </c>
      <c r="IH216" t="str">
        <f>""</f>
        <v/>
      </c>
      <c r="II216" t="str">
        <f>""</f>
        <v/>
      </c>
      <c r="IJ216" t="str">
        <f>""</f>
        <v/>
      </c>
      <c r="IK216" t="str">
        <f>""</f>
        <v/>
      </c>
      <c r="IL216" t="str">
        <f>""</f>
        <v/>
      </c>
      <c r="IM216" t="str">
        <f>""</f>
        <v/>
      </c>
      <c r="IN216" t="str">
        <f>""</f>
        <v/>
      </c>
      <c r="IO216" t="str">
        <f>""</f>
        <v/>
      </c>
      <c r="IP216" t="str">
        <f>""</f>
        <v/>
      </c>
      <c r="IQ216" t="str">
        <f>""</f>
        <v/>
      </c>
      <c r="IR216" t="str">
        <f>""</f>
        <v/>
      </c>
      <c r="IS216" t="str">
        <f>""</f>
        <v/>
      </c>
      <c r="IT216" t="str">
        <f>""</f>
        <v/>
      </c>
      <c r="IU216" t="str">
        <f>""</f>
        <v/>
      </c>
      <c r="IV216" t="str">
        <f>""</f>
        <v/>
      </c>
      <c r="IW216" t="str">
        <f>""</f>
        <v/>
      </c>
      <c r="IX216" t="str">
        <f>""</f>
        <v/>
      </c>
      <c r="IY216" t="str">
        <f>""</f>
        <v/>
      </c>
      <c r="IZ216" t="str">
        <f>""</f>
        <v/>
      </c>
      <c r="JA216" t="str">
        <f>""</f>
        <v/>
      </c>
      <c r="JB216" t="str">
        <f>""</f>
        <v/>
      </c>
      <c r="JC216" t="str">
        <f>""</f>
        <v/>
      </c>
      <c r="JD216" t="str">
        <f>""</f>
        <v/>
      </c>
      <c r="JE216" t="str">
        <f>""</f>
        <v/>
      </c>
      <c r="JF216" t="str">
        <f>""</f>
        <v/>
      </c>
      <c r="JG216" t="str">
        <f>""</f>
        <v/>
      </c>
      <c r="JH216" t="str">
        <f>""</f>
        <v/>
      </c>
      <c r="JI216" t="str">
        <f>""</f>
        <v/>
      </c>
      <c r="JJ216" t="str">
        <f>""</f>
        <v/>
      </c>
      <c r="JK216" t="str">
        <f>""</f>
        <v/>
      </c>
    </row>
    <row r="217" spans="1:271" x14ac:dyDescent="0.3">
      <c r="A217" t="str">
        <f>""</f>
        <v/>
      </c>
      <c r="B217" t="str">
        <f>""</f>
        <v/>
      </c>
      <c r="C217" t="str">
        <f>""</f>
        <v/>
      </c>
      <c r="D217" t="str">
        <f>""</f>
        <v/>
      </c>
      <c r="E217" t="str">
        <f>""</f>
        <v/>
      </c>
      <c r="F217" t="str">
        <f>""</f>
        <v/>
      </c>
      <c r="G217" t="str">
        <f>""</f>
        <v/>
      </c>
      <c r="H217" t="str">
        <f>""</f>
        <v/>
      </c>
      <c r="I217" t="str">
        <f>""</f>
        <v/>
      </c>
      <c r="J217" t="str">
        <f>""</f>
        <v/>
      </c>
      <c r="K217" t="str">
        <f>""</f>
        <v/>
      </c>
      <c r="L217" t="str">
        <f>""</f>
        <v/>
      </c>
      <c r="M217" t="str">
        <f>""</f>
        <v/>
      </c>
      <c r="N217" t="str">
        <f>""</f>
        <v/>
      </c>
      <c r="O217" t="str">
        <f>""</f>
        <v/>
      </c>
      <c r="P217" t="str">
        <f>""</f>
        <v/>
      </c>
      <c r="Q217" t="str">
        <f>""</f>
        <v/>
      </c>
      <c r="R217" t="str">
        <f>""</f>
        <v/>
      </c>
      <c r="S217" t="str">
        <f>""</f>
        <v/>
      </c>
      <c r="T217" t="str">
        <f>""</f>
        <v/>
      </c>
      <c r="U217" t="str">
        <f>""</f>
        <v/>
      </c>
      <c r="V217" t="str">
        <f>""</f>
        <v/>
      </c>
      <c r="W217" t="str">
        <f>""</f>
        <v/>
      </c>
      <c r="X217" t="str">
        <f>""</f>
        <v/>
      </c>
      <c r="Y217" t="str">
        <f>""</f>
        <v/>
      </c>
      <c r="Z217" t="str">
        <f>""</f>
        <v/>
      </c>
      <c r="AA217" t="str">
        <f>""</f>
        <v/>
      </c>
      <c r="AB217" t="str">
        <f>""</f>
        <v/>
      </c>
      <c r="AC217" t="str">
        <f>""</f>
        <v/>
      </c>
      <c r="AD217" t="str">
        <f>""</f>
        <v/>
      </c>
      <c r="AE217" t="str">
        <f>""</f>
        <v/>
      </c>
      <c r="AF217" t="str">
        <f>""</f>
        <v/>
      </c>
      <c r="AG217" t="str">
        <f>""</f>
        <v/>
      </c>
      <c r="AH217" t="str">
        <f>""</f>
        <v/>
      </c>
      <c r="AI217" t="str">
        <f>""</f>
        <v/>
      </c>
      <c r="AJ217" t="str">
        <f>""</f>
        <v/>
      </c>
      <c r="AK217" t="str">
        <f>""</f>
        <v/>
      </c>
      <c r="AL217" t="str">
        <f>""</f>
        <v/>
      </c>
      <c r="AM217" t="str">
        <f>""</f>
        <v/>
      </c>
      <c r="AN217" t="str">
        <f>""</f>
        <v/>
      </c>
      <c r="AO217" t="str">
        <f>""</f>
        <v/>
      </c>
      <c r="AP217" t="str">
        <f>""</f>
        <v/>
      </c>
      <c r="AQ217" t="str">
        <f>""</f>
        <v/>
      </c>
      <c r="AR217" t="str">
        <f>""</f>
        <v/>
      </c>
      <c r="AS217" t="str">
        <f>""</f>
        <v/>
      </c>
      <c r="AT217" t="str">
        <f>""</f>
        <v/>
      </c>
      <c r="AU217" t="str">
        <f>""</f>
        <v/>
      </c>
      <c r="AV217" t="str">
        <f>""</f>
        <v/>
      </c>
      <c r="AW217" t="str">
        <f>""</f>
        <v/>
      </c>
      <c r="AX217" t="str">
        <f>""</f>
        <v/>
      </c>
      <c r="AY217" t="str">
        <f>""</f>
        <v/>
      </c>
      <c r="AZ217" t="str">
        <f>""</f>
        <v/>
      </c>
      <c r="BA217" t="str">
        <f>""</f>
        <v/>
      </c>
      <c r="BB217" t="str">
        <f>""</f>
        <v/>
      </c>
      <c r="BC217" t="str">
        <f>""</f>
        <v/>
      </c>
      <c r="BD217" t="str">
        <f>""</f>
        <v/>
      </c>
      <c r="BE217" t="str">
        <f>""</f>
        <v/>
      </c>
      <c r="BF217" t="str">
        <f>""</f>
        <v/>
      </c>
      <c r="BG217" t="str">
        <f>""</f>
        <v/>
      </c>
      <c r="BH217" t="str">
        <f>""</f>
        <v/>
      </c>
      <c r="BI217" t="str">
        <f>""</f>
        <v/>
      </c>
      <c r="BJ217" t="str">
        <f>""</f>
        <v/>
      </c>
      <c r="BK217" t="str">
        <f>""</f>
        <v/>
      </c>
      <c r="BL217" t="str">
        <f>""</f>
        <v/>
      </c>
      <c r="BM217" t="str">
        <f>""</f>
        <v/>
      </c>
      <c r="BN217" t="str">
        <f>""</f>
        <v/>
      </c>
      <c r="BO217" t="str">
        <f>""</f>
        <v/>
      </c>
      <c r="BP217" t="str">
        <f>""</f>
        <v/>
      </c>
      <c r="BQ217" t="str">
        <f>""</f>
        <v/>
      </c>
      <c r="BR217" t="str">
        <f>""</f>
        <v/>
      </c>
      <c r="BS217" t="str">
        <f>""</f>
        <v/>
      </c>
      <c r="BT217" t="str">
        <f>""</f>
        <v/>
      </c>
      <c r="BU217" t="str">
        <f>""</f>
        <v/>
      </c>
      <c r="BV217" t="str">
        <f>""</f>
        <v/>
      </c>
      <c r="BW217" t="str">
        <f>""</f>
        <v/>
      </c>
      <c r="BX217" t="str">
        <f>""</f>
        <v/>
      </c>
      <c r="BY217" t="str">
        <f>""</f>
        <v/>
      </c>
      <c r="BZ217" t="str">
        <f>""</f>
        <v/>
      </c>
      <c r="CA217" t="str">
        <f>""</f>
        <v/>
      </c>
      <c r="CB217" t="str">
        <f>""</f>
        <v/>
      </c>
      <c r="CC217" t="str">
        <f>""</f>
        <v/>
      </c>
      <c r="CD217" t="str">
        <f>""</f>
        <v/>
      </c>
      <c r="CE217" t="str">
        <f>""</f>
        <v/>
      </c>
      <c r="CF217" t="str">
        <f>""</f>
        <v/>
      </c>
      <c r="CG217" t="str">
        <f>""</f>
        <v/>
      </c>
      <c r="CH217" t="str">
        <f>""</f>
        <v/>
      </c>
      <c r="CI217" t="str">
        <f>""</f>
        <v/>
      </c>
      <c r="CJ217" t="str">
        <f>""</f>
        <v/>
      </c>
      <c r="CK217" t="str">
        <f>""</f>
        <v/>
      </c>
      <c r="CL217" t="str">
        <f>""</f>
        <v/>
      </c>
      <c r="CM217" t="str">
        <f>""</f>
        <v/>
      </c>
      <c r="CN217" t="str">
        <f>""</f>
        <v/>
      </c>
      <c r="CO217" t="str">
        <f>""</f>
        <v/>
      </c>
      <c r="CP217" t="str">
        <f>""</f>
        <v/>
      </c>
      <c r="CQ217" t="str">
        <f>""</f>
        <v/>
      </c>
      <c r="CR217" t="str">
        <f>""</f>
        <v/>
      </c>
      <c r="CS217" t="str">
        <f>""</f>
        <v/>
      </c>
      <c r="CT217" t="str">
        <f>""</f>
        <v/>
      </c>
      <c r="CU217" t="str">
        <f>""</f>
        <v/>
      </c>
      <c r="CV217" t="str">
        <f>""</f>
        <v/>
      </c>
      <c r="CW217" t="str">
        <f>""</f>
        <v/>
      </c>
      <c r="CX217" t="str">
        <f>""</f>
        <v/>
      </c>
      <c r="CY217" t="str">
        <f>""</f>
        <v/>
      </c>
      <c r="CZ217" t="str">
        <f>""</f>
        <v/>
      </c>
      <c r="DA217" t="str">
        <f>""</f>
        <v/>
      </c>
      <c r="DB217" t="str">
        <f>""</f>
        <v/>
      </c>
      <c r="DC217" t="str">
        <f>""</f>
        <v/>
      </c>
      <c r="DD217" t="str">
        <f>""</f>
        <v/>
      </c>
      <c r="DE217" t="str">
        <f>""</f>
        <v/>
      </c>
      <c r="DF217" t="str">
        <f>""</f>
        <v/>
      </c>
      <c r="DG217" t="str">
        <f>""</f>
        <v/>
      </c>
      <c r="DH217" t="str">
        <f>""</f>
        <v/>
      </c>
      <c r="DI217" t="str">
        <f>""</f>
        <v/>
      </c>
      <c r="DJ217" t="str">
        <f>""</f>
        <v/>
      </c>
      <c r="DK217" t="str">
        <f>""</f>
        <v/>
      </c>
      <c r="DL217" t="str">
        <f>""</f>
        <v/>
      </c>
      <c r="DM217" t="str">
        <f>""</f>
        <v/>
      </c>
      <c r="DN217" t="str">
        <f>""</f>
        <v/>
      </c>
      <c r="DO217" t="str">
        <f>""</f>
        <v/>
      </c>
      <c r="DP217" t="str">
        <f>""</f>
        <v/>
      </c>
      <c r="DQ217" t="str">
        <f>""</f>
        <v/>
      </c>
      <c r="DR217" t="str">
        <f>""</f>
        <v/>
      </c>
      <c r="DS217" t="str">
        <f>""</f>
        <v/>
      </c>
      <c r="DT217" t="str">
        <f>""</f>
        <v/>
      </c>
      <c r="DU217" t="str">
        <f>""</f>
        <v/>
      </c>
      <c r="DV217" t="str">
        <f>""</f>
        <v/>
      </c>
      <c r="DW217" t="str">
        <f>""</f>
        <v/>
      </c>
      <c r="DX217" t="str">
        <f>""</f>
        <v/>
      </c>
      <c r="DY217" t="str">
        <f>""</f>
        <v/>
      </c>
      <c r="DZ217" t="str">
        <f>""</f>
        <v/>
      </c>
      <c r="EA217" t="str">
        <f>"(0.104)"</f>
        <v>(0.104)</v>
      </c>
      <c r="EB217" t="str">
        <f>"(0.0832)"</f>
        <v>(0.0832)</v>
      </c>
      <c r="EC217" t="str">
        <f>"(0.0440)"</f>
        <v>(0.0440)</v>
      </c>
      <c r="ED217" t="str">
        <f>""</f>
        <v/>
      </c>
      <c r="EE217" t="str">
        <f>""</f>
        <v/>
      </c>
      <c r="EF217" t="str">
        <f>""</f>
        <v/>
      </c>
      <c r="EG217" t="str">
        <f>""</f>
        <v/>
      </c>
      <c r="EH217" t="str">
        <f>""</f>
        <v/>
      </c>
      <c r="EI217" t="str">
        <f>""</f>
        <v/>
      </c>
      <c r="EJ217" t="str">
        <f>""</f>
        <v/>
      </c>
      <c r="EK217" t="str">
        <f>""</f>
        <v/>
      </c>
      <c r="EL217" t="str">
        <f>""</f>
        <v/>
      </c>
      <c r="EM217" t="str">
        <f>""</f>
        <v/>
      </c>
      <c r="EN217" t="str">
        <f>""</f>
        <v/>
      </c>
      <c r="EO217" t="str">
        <f>""</f>
        <v/>
      </c>
      <c r="EP217" t="str">
        <f>""</f>
        <v/>
      </c>
      <c r="EQ217" t="str">
        <f>""</f>
        <v/>
      </c>
      <c r="ER217" t="str">
        <f>""</f>
        <v/>
      </c>
      <c r="ES217" t="str">
        <f>""</f>
        <v/>
      </c>
      <c r="ET217" t="str">
        <f>""</f>
        <v/>
      </c>
      <c r="EU217" t="str">
        <f>""</f>
        <v/>
      </c>
      <c r="EV217" t="str">
        <f>""</f>
        <v/>
      </c>
      <c r="EW217" t="str">
        <f>""</f>
        <v/>
      </c>
      <c r="EX217" t="str">
        <f>""</f>
        <v/>
      </c>
      <c r="EY217" t="str">
        <f>""</f>
        <v/>
      </c>
      <c r="EZ217" t="str">
        <f>""</f>
        <v/>
      </c>
      <c r="FA217" t="str">
        <f>""</f>
        <v/>
      </c>
      <c r="FB217" t="str">
        <f>""</f>
        <v/>
      </c>
      <c r="FC217" t="str">
        <f>""</f>
        <v/>
      </c>
      <c r="FD217" t="str">
        <f>""</f>
        <v/>
      </c>
      <c r="FE217" t="str">
        <f>""</f>
        <v/>
      </c>
      <c r="FF217" t="str">
        <f>""</f>
        <v/>
      </c>
      <c r="FG217" t="str">
        <f>""</f>
        <v/>
      </c>
      <c r="FH217" t="str">
        <f>""</f>
        <v/>
      </c>
      <c r="FI217" t="str">
        <f>""</f>
        <v/>
      </c>
      <c r="FJ217" t="str">
        <f>""</f>
        <v/>
      </c>
      <c r="FK217" t="str">
        <f>""</f>
        <v/>
      </c>
      <c r="FL217" t="str">
        <f>""</f>
        <v/>
      </c>
      <c r="FM217" t="str">
        <f>""</f>
        <v/>
      </c>
      <c r="FN217" t="str">
        <f>""</f>
        <v/>
      </c>
      <c r="FO217" t="str">
        <f>""</f>
        <v/>
      </c>
      <c r="FP217" t="str">
        <f>""</f>
        <v/>
      </c>
      <c r="FQ217" t="str">
        <f>""</f>
        <v/>
      </c>
      <c r="FR217" t="str">
        <f>""</f>
        <v/>
      </c>
      <c r="FS217" t="str">
        <f>""</f>
        <v/>
      </c>
      <c r="FT217" t="str">
        <f>""</f>
        <v/>
      </c>
      <c r="FU217" t="str">
        <f>""</f>
        <v/>
      </c>
      <c r="FV217" t="str">
        <f>""</f>
        <v/>
      </c>
      <c r="FW217" t="str">
        <f>""</f>
        <v/>
      </c>
      <c r="FX217" t="str">
        <f>""</f>
        <v/>
      </c>
      <c r="FY217" t="str">
        <f>""</f>
        <v/>
      </c>
      <c r="FZ217" t="str">
        <f>""</f>
        <v/>
      </c>
      <c r="GA217" t="str">
        <f>""</f>
        <v/>
      </c>
      <c r="GB217" t="str">
        <f>""</f>
        <v/>
      </c>
      <c r="GC217" t="str">
        <f>""</f>
        <v/>
      </c>
      <c r="GD217" t="str">
        <f>""</f>
        <v/>
      </c>
      <c r="GE217" t="str">
        <f>""</f>
        <v/>
      </c>
      <c r="GF217" t="str">
        <f>""</f>
        <v/>
      </c>
      <c r="GG217" t="str">
        <f>""</f>
        <v/>
      </c>
      <c r="GH217" t="str">
        <f>""</f>
        <v/>
      </c>
      <c r="GI217" t="str">
        <f>""</f>
        <v/>
      </c>
      <c r="GJ217" t="str">
        <f>""</f>
        <v/>
      </c>
      <c r="GK217" t="str">
        <f>""</f>
        <v/>
      </c>
      <c r="GL217" t="str">
        <f>""</f>
        <v/>
      </c>
      <c r="GM217" t="str">
        <f>""</f>
        <v/>
      </c>
      <c r="GN217" t="str">
        <f>""</f>
        <v/>
      </c>
      <c r="GO217" t="str">
        <f>""</f>
        <v/>
      </c>
      <c r="GP217" t="str">
        <f>""</f>
        <v/>
      </c>
      <c r="GQ217" t="str">
        <f>""</f>
        <v/>
      </c>
      <c r="GR217" t="str">
        <f>""</f>
        <v/>
      </c>
      <c r="GS217" t="str">
        <f>""</f>
        <v/>
      </c>
      <c r="GT217" t="str">
        <f>""</f>
        <v/>
      </c>
      <c r="GU217" t="str">
        <f>""</f>
        <v/>
      </c>
      <c r="GV217" t="str">
        <f>""</f>
        <v/>
      </c>
      <c r="GW217" t="str">
        <f>""</f>
        <v/>
      </c>
      <c r="GX217" t="str">
        <f>""</f>
        <v/>
      </c>
      <c r="GY217" t="str">
        <f>""</f>
        <v/>
      </c>
      <c r="GZ217" t="str">
        <f>""</f>
        <v/>
      </c>
      <c r="HA217" t="str">
        <f>""</f>
        <v/>
      </c>
      <c r="HB217" t="str">
        <f>""</f>
        <v/>
      </c>
      <c r="HC217" t="str">
        <f>""</f>
        <v/>
      </c>
      <c r="HD217" t="str">
        <f>""</f>
        <v/>
      </c>
      <c r="HE217" t="str">
        <f>""</f>
        <v/>
      </c>
      <c r="HF217" t="str">
        <f>""</f>
        <v/>
      </c>
      <c r="HG217" t="str">
        <f>""</f>
        <v/>
      </c>
      <c r="HH217" t="str">
        <f>""</f>
        <v/>
      </c>
      <c r="HI217" t="str">
        <f>""</f>
        <v/>
      </c>
      <c r="HJ217" t="str">
        <f>""</f>
        <v/>
      </c>
      <c r="HK217" t="str">
        <f>""</f>
        <v/>
      </c>
      <c r="HL217" t="str">
        <f>""</f>
        <v/>
      </c>
      <c r="HM217" t="str">
        <f>""</f>
        <v/>
      </c>
      <c r="HN217" t="str">
        <f>""</f>
        <v/>
      </c>
      <c r="HO217" t="str">
        <f>""</f>
        <v/>
      </c>
      <c r="HP217" t="str">
        <f>""</f>
        <v/>
      </c>
      <c r="HQ217" t="str">
        <f>""</f>
        <v/>
      </c>
      <c r="HR217" t="str">
        <f>""</f>
        <v/>
      </c>
      <c r="HS217" t="str">
        <f>""</f>
        <v/>
      </c>
      <c r="HT217" t="str">
        <f>""</f>
        <v/>
      </c>
      <c r="HU217" t="str">
        <f>""</f>
        <v/>
      </c>
      <c r="HV217" t="str">
        <f>""</f>
        <v/>
      </c>
      <c r="HW217" t="str">
        <f>""</f>
        <v/>
      </c>
      <c r="HX217" t="str">
        <f>""</f>
        <v/>
      </c>
      <c r="HY217" t="str">
        <f>""</f>
        <v/>
      </c>
      <c r="HZ217" t="str">
        <f>""</f>
        <v/>
      </c>
      <c r="IA217" t="str">
        <f>""</f>
        <v/>
      </c>
      <c r="IB217" t="str">
        <f>""</f>
        <v/>
      </c>
      <c r="IC217" t="str">
        <f>""</f>
        <v/>
      </c>
      <c r="ID217" t="str">
        <f>""</f>
        <v/>
      </c>
      <c r="IE217" t="str">
        <f>""</f>
        <v/>
      </c>
      <c r="IF217" t="str">
        <f>""</f>
        <v/>
      </c>
      <c r="IG217" t="str">
        <f>""</f>
        <v/>
      </c>
      <c r="IH217" t="str">
        <f>""</f>
        <v/>
      </c>
      <c r="II217" t="str">
        <f>""</f>
        <v/>
      </c>
      <c r="IJ217" t="str">
        <f>""</f>
        <v/>
      </c>
      <c r="IK217" t="str">
        <f>""</f>
        <v/>
      </c>
      <c r="IL217" t="str">
        <f>""</f>
        <v/>
      </c>
      <c r="IM217" t="str">
        <f>""</f>
        <v/>
      </c>
      <c r="IN217" t="str">
        <f>""</f>
        <v/>
      </c>
      <c r="IO217" t="str">
        <f>""</f>
        <v/>
      </c>
      <c r="IP217" t="str">
        <f>""</f>
        <v/>
      </c>
      <c r="IQ217" t="str">
        <f>""</f>
        <v/>
      </c>
      <c r="IR217" t="str">
        <f>""</f>
        <v/>
      </c>
      <c r="IS217" t="str">
        <f>""</f>
        <v/>
      </c>
      <c r="IT217" t="str">
        <f>""</f>
        <v/>
      </c>
      <c r="IU217" t="str">
        <f>""</f>
        <v/>
      </c>
      <c r="IV217" t="str">
        <f>""</f>
        <v/>
      </c>
      <c r="IW217" t="str">
        <f>""</f>
        <v/>
      </c>
      <c r="IX217" t="str">
        <f>""</f>
        <v/>
      </c>
      <c r="IY217" t="str">
        <f>""</f>
        <v/>
      </c>
      <c r="IZ217" t="str">
        <f>""</f>
        <v/>
      </c>
      <c r="JA217" t="str">
        <f>""</f>
        <v/>
      </c>
      <c r="JB217" t="str">
        <f>""</f>
        <v/>
      </c>
      <c r="JC217" t="str">
        <f>""</f>
        <v/>
      </c>
      <c r="JD217" t="str">
        <f>""</f>
        <v/>
      </c>
      <c r="JE217" t="str">
        <f>""</f>
        <v/>
      </c>
      <c r="JF217" t="str">
        <f>""</f>
        <v/>
      </c>
      <c r="JG217" t="str">
        <f>""</f>
        <v/>
      </c>
      <c r="JH217" t="str">
        <f>""</f>
        <v/>
      </c>
      <c r="JI217" t="str">
        <f>""</f>
        <v/>
      </c>
      <c r="JJ217" t="str">
        <f>""</f>
        <v/>
      </c>
      <c r="JK217" t="str">
        <f>""</f>
        <v/>
      </c>
    </row>
    <row r="219" spans="1:271" x14ac:dyDescent="0.3">
      <c r="A219" t="str">
        <f>"c.zMETAB15#c.PM3"</f>
        <v>c.zMETAB15#c.PM3</v>
      </c>
      <c r="B219" t="str">
        <f>""</f>
        <v/>
      </c>
      <c r="C219" t="str">
        <f>""</f>
        <v/>
      </c>
      <c r="D219" t="str">
        <f>""</f>
        <v/>
      </c>
      <c r="E219" t="str">
        <f>""</f>
        <v/>
      </c>
      <c r="F219" t="str">
        <f>""</f>
        <v/>
      </c>
      <c r="G219" t="str">
        <f>""</f>
        <v/>
      </c>
      <c r="H219" t="str">
        <f>""</f>
        <v/>
      </c>
      <c r="I219" t="str">
        <f>""</f>
        <v/>
      </c>
      <c r="J219" t="str">
        <f>""</f>
        <v/>
      </c>
      <c r="K219" t="str">
        <f>""</f>
        <v/>
      </c>
      <c r="L219" t="str">
        <f>""</f>
        <v/>
      </c>
      <c r="M219" t="str">
        <f>""</f>
        <v/>
      </c>
      <c r="N219" t="str">
        <f>""</f>
        <v/>
      </c>
      <c r="O219" t="str">
        <f>""</f>
        <v/>
      </c>
      <c r="P219" t="str">
        <f>""</f>
        <v/>
      </c>
      <c r="Q219" t="str">
        <f>""</f>
        <v/>
      </c>
      <c r="R219" t="str">
        <f>""</f>
        <v/>
      </c>
      <c r="S219" t="str">
        <f>""</f>
        <v/>
      </c>
      <c r="T219" t="str">
        <f>""</f>
        <v/>
      </c>
      <c r="U219" t="str">
        <f>""</f>
        <v/>
      </c>
      <c r="V219" t="str">
        <f>""</f>
        <v/>
      </c>
      <c r="W219" t="str">
        <f>""</f>
        <v/>
      </c>
      <c r="X219" t="str">
        <f>""</f>
        <v/>
      </c>
      <c r="Y219" t="str">
        <f>""</f>
        <v/>
      </c>
      <c r="Z219" t="str">
        <f>""</f>
        <v/>
      </c>
      <c r="AA219" t="str">
        <f>""</f>
        <v/>
      </c>
      <c r="AB219" t="str">
        <f>""</f>
        <v/>
      </c>
      <c r="AC219" t="str">
        <f>""</f>
        <v/>
      </c>
      <c r="AD219" t="str">
        <f>""</f>
        <v/>
      </c>
      <c r="AE219" t="str">
        <f>""</f>
        <v/>
      </c>
      <c r="AF219" t="str">
        <f>""</f>
        <v/>
      </c>
      <c r="AG219" t="str">
        <f>""</f>
        <v/>
      </c>
      <c r="AH219" t="str">
        <f>""</f>
        <v/>
      </c>
      <c r="AI219" t="str">
        <f>""</f>
        <v/>
      </c>
      <c r="AJ219" t="str">
        <f>""</f>
        <v/>
      </c>
      <c r="AK219" t="str">
        <f>""</f>
        <v/>
      </c>
      <c r="AL219" t="str">
        <f>""</f>
        <v/>
      </c>
      <c r="AM219" t="str">
        <f>""</f>
        <v/>
      </c>
      <c r="AN219" t="str">
        <f>""</f>
        <v/>
      </c>
      <c r="AO219" t="str">
        <f>""</f>
        <v/>
      </c>
      <c r="AP219" t="str">
        <f>""</f>
        <v/>
      </c>
      <c r="AQ219" t="str">
        <f>""</f>
        <v/>
      </c>
      <c r="AR219" t="str">
        <f>""</f>
        <v/>
      </c>
      <c r="AS219" t="str">
        <f>""</f>
        <v/>
      </c>
      <c r="AT219" t="str">
        <f>""</f>
        <v/>
      </c>
      <c r="AU219" t="str">
        <f>""</f>
        <v/>
      </c>
      <c r="AV219" t="str">
        <f>""</f>
        <v/>
      </c>
      <c r="AW219" t="str">
        <f>""</f>
        <v/>
      </c>
      <c r="AX219" t="str">
        <f>""</f>
        <v/>
      </c>
      <c r="AY219" t="str">
        <f>""</f>
        <v/>
      </c>
      <c r="AZ219" t="str">
        <f>""</f>
        <v/>
      </c>
      <c r="BA219" t="str">
        <f>""</f>
        <v/>
      </c>
      <c r="BB219" t="str">
        <f>""</f>
        <v/>
      </c>
      <c r="BC219" t="str">
        <f>""</f>
        <v/>
      </c>
      <c r="BD219" t="str">
        <f>""</f>
        <v/>
      </c>
      <c r="BE219" t="str">
        <f>""</f>
        <v/>
      </c>
      <c r="BF219" t="str">
        <f>""</f>
        <v/>
      </c>
      <c r="BG219" t="str">
        <f>""</f>
        <v/>
      </c>
      <c r="BH219" t="str">
        <f>""</f>
        <v/>
      </c>
      <c r="BI219" t="str">
        <f>""</f>
        <v/>
      </c>
      <c r="BJ219" t="str">
        <f>""</f>
        <v/>
      </c>
      <c r="BK219" t="str">
        <f>""</f>
        <v/>
      </c>
      <c r="BL219" t="str">
        <f>""</f>
        <v/>
      </c>
      <c r="BM219" t="str">
        <f>""</f>
        <v/>
      </c>
      <c r="BN219" t="str">
        <f>""</f>
        <v/>
      </c>
      <c r="BO219" t="str">
        <f>""</f>
        <v/>
      </c>
      <c r="BP219" t="str">
        <f>""</f>
        <v/>
      </c>
      <c r="BQ219" t="str">
        <f>""</f>
        <v/>
      </c>
      <c r="BR219" t="str">
        <f>""</f>
        <v/>
      </c>
      <c r="BS219" t="str">
        <f>""</f>
        <v/>
      </c>
      <c r="BT219" t="str">
        <f>""</f>
        <v/>
      </c>
      <c r="BU219" t="str">
        <f>""</f>
        <v/>
      </c>
      <c r="BV219" t="str">
        <f>""</f>
        <v/>
      </c>
      <c r="BW219" t="str">
        <f>""</f>
        <v/>
      </c>
      <c r="BX219" t="str">
        <f>""</f>
        <v/>
      </c>
      <c r="BY219" t="str">
        <f>""</f>
        <v/>
      </c>
      <c r="BZ219" t="str">
        <f>""</f>
        <v/>
      </c>
      <c r="CA219" t="str">
        <f>""</f>
        <v/>
      </c>
      <c r="CB219" t="str">
        <f>""</f>
        <v/>
      </c>
      <c r="CC219" t="str">
        <f>""</f>
        <v/>
      </c>
      <c r="CD219" t="str">
        <f>""</f>
        <v/>
      </c>
      <c r="CE219" t="str">
        <f>""</f>
        <v/>
      </c>
      <c r="CF219" t="str">
        <f>""</f>
        <v/>
      </c>
      <c r="CG219" t="str">
        <f>""</f>
        <v/>
      </c>
      <c r="CH219" t="str">
        <f>""</f>
        <v/>
      </c>
      <c r="CI219" t="str">
        <f>""</f>
        <v/>
      </c>
      <c r="CJ219" t="str">
        <f>""</f>
        <v/>
      </c>
      <c r="CK219" t="str">
        <f>""</f>
        <v/>
      </c>
      <c r="CL219" t="str">
        <f>""</f>
        <v/>
      </c>
      <c r="CM219" t="str">
        <f>""</f>
        <v/>
      </c>
      <c r="CN219" t="str">
        <f>""</f>
        <v/>
      </c>
      <c r="CO219" t="str">
        <f>""</f>
        <v/>
      </c>
      <c r="CP219" t="str">
        <f>""</f>
        <v/>
      </c>
      <c r="CQ219" t="str">
        <f>""</f>
        <v/>
      </c>
      <c r="CR219" t="str">
        <f>""</f>
        <v/>
      </c>
      <c r="CS219" t="str">
        <f>""</f>
        <v/>
      </c>
      <c r="CT219" t="str">
        <f>""</f>
        <v/>
      </c>
      <c r="CU219" t="str">
        <f>""</f>
        <v/>
      </c>
      <c r="CV219" t="str">
        <f>""</f>
        <v/>
      </c>
      <c r="CW219" t="str">
        <f>""</f>
        <v/>
      </c>
      <c r="CX219" t="str">
        <f>""</f>
        <v/>
      </c>
      <c r="CY219" t="str">
        <f>""</f>
        <v/>
      </c>
      <c r="CZ219" t="str">
        <f>""</f>
        <v/>
      </c>
      <c r="DA219" t="str">
        <f>""</f>
        <v/>
      </c>
      <c r="DB219" t="str">
        <f>""</f>
        <v/>
      </c>
      <c r="DC219" t="str">
        <f>""</f>
        <v/>
      </c>
      <c r="DD219" t="str">
        <f>""</f>
        <v/>
      </c>
      <c r="DE219" t="str">
        <f>""</f>
        <v/>
      </c>
      <c r="DF219" t="str">
        <f>""</f>
        <v/>
      </c>
      <c r="DG219" t="str">
        <f>""</f>
        <v/>
      </c>
      <c r="DH219" t="str">
        <f>""</f>
        <v/>
      </c>
      <c r="DI219" t="str">
        <f>""</f>
        <v/>
      </c>
      <c r="DJ219" t="str">
        <f>""</f>
        <v/>
      </c>
      <c r="DK219" t="str">
        <f>""</f>
        <v/>
      </c>
      <c r="DL219" t="str">
        <f>""</f>
        <v/>
      </c>
      <c r="DM219" t="str">
        <f>""</f>
        <v/>
      </c>
      <c r="DN219" t="str">
        <f>""</f>
        <v/>
      </c>
      <c r="DO219" t="str">
        <f>""</f>
        <v/>
      </c>
      <c r="DP219" t="str">
        <f>""</f>
        <v/>
      </c>
      <c r="DQ219" t="str">
        <f>""</f>
        <v/>
      </c>
      <c r="DR219" t="str">
        <f>""</f>
        <v/>
      </c>
      <c r="DS219" t="str">
        <f>""</f>
        <v/>
      </c>
      <c r="DT219" t="str">
        <f>""</f>
        <v/>
      </c>
      <c r="DU219" t="str">
        <f>""</f>
        <v/>
      </c>
      <c r="DV219" t="str">
        <f>""</f>
        <v/>
      </c>
      <c r="DW219" t="str">
        <f>""</f>
        <v/>
      </c>
      <c r="DX219" t="str">
        <f>""</f>
        <v/>
      </c>
      <c r="DY219" t="str">
        <f>""</f>
        <v/>
      </c>
      <c r="DZ219" t="str">
        <f>""</f>
        <v/>
      </c>
      <c r="EA219" t="str">
        <f>""</f>
        <v/>
      </c>
      <c r="EB219" t="str">
        <f>""</f>
        <v/>
      </c>
      <c r="EC219" t="str">
        <f>""</f>
        <v/>
      </c>
      <c r="ED219" t="str">
        <f>"-0.0328"</f>
        <v>-0.0328</v>
      </c>
      <c r="EE219" t="str">
        <f>"-0.0792"</f>
        <v>-0.0792</v>
      </c>
      <c r="EF219" t="str">
        <f>"0.0584"</f>
        <v>0.0584</v>
      </c>
      <c r="EG219" t="str">
        <f>""</f>
        <v/>
      </c>
      <c r="EH219" t="str">
        <f>""</f>
        <v/>
      </c>
      <c r="EI219" t="str">
        <f>""</f>
        <v/>
      </c>
      <c r="EJ219" t="str">
        <f>""</f>
        <v/>
      </c>
      <c r="EK219" t="str">
        <f>""</f>
        <v/>
      </c>
      <c r="EL219" t="str">
        <f>""</f>
        <v/>
      </c>
      <c r="EM219" t="str">
        <f>""</f>
        <v/>
      </c>
      <c r="EN219" t="str">
        <f>""</f>
        <v/>
      </c>
      <c r="EO219" t="str">
        <f>""</f>
        <v/>
      </c>
      <c r="EP219" t="str">
        <f>""</f>
        <v/>
      </c>
      <c r="EQ219" t="str">
        <f>""</f>
        <v/>
      </c>
      <c r="ER219" t="str">
        <f>""</f>
        <v/>
      </c>
      <c r="ES219" t="str">
        <f>""</f>
        <v/>
      </c>
      <c r="ET219" t="str">
        <f>""</f>
        <v/>
      </c>
      <c r="EU219" t="str">
        <f>""</f>
        <v/>
      </c>
      <c r="EV219" t="str">
        <f>""</f>
        <v/>
      </c>
      <c r="EW219" t="str">
        <f>""</f>
        <v/>
      </c>
      <c r="EX219" t="str">
        <f>""</f>
        <v/>
      </c>
      <c r="EY219" t="str">
        <f>""</f>
        <v/>
      </c>
      <c r="EZ219" t="str">
        <f>""</f>
        <v/>
      </c>
      <c r="FA219" t="str">
        <f>""</f>
        <v/>
      </c>
      <c r="FB219" t="str">
        <f>""</f>
        <v/>
      </c>
      <c r="FC219" t="str">
        <f>""</f>
        <v/>
      </c>
      <c r="FD219" t="str">
        <f>""</f>
        <v/>
      </c>
      <c r="FE219" t="str">
        <f>""</f>
        <v/>
      </c>
      <c r="FF219" t="str">
        <f>""</f>
        <v/>
      </c>
      <c r="FG219" t="str">
        <f>""</f>
        <v/>
      </c>
      <c r="FH219" t="str">
        <f>""</f>
        <v/>
      </c>
      <c r="FI219" t="str">
        <f>""</f>
        <v/>
      </c>
      <c r="FJ219" t="str">
        <f>""</f>
        <v/>
      </c>
      <c r="FK219" t="str">
        <f>""</f>
        <v/>
      </c>
      <c r="FL219" t="str">
        <f>""</f>
        <v/>
      </c>
      <c r="FM219" t="str">
        <f>""</f>
        <v/>
      </c>
      <c r="FN219" t="str">
        <f>""</f>
        <v/>
      </c>
      <c r="FO219" t="str">
        <f>""</f>
        <v/>
      </c>
      <c r="FP219" t="str">
        <f>""</f>
        <v/>
      </c>
      <c r="FQ219" t="str">
        <f>""</f>
        <v/>
      </c>
      <c r="FR219" t="str">
        <f>""</f>
        <v/>
      </c>
      <c r="FS219" t="str">
        <f>""</f>
        <v/>
      </c>
      <c r="FT219" t="str">
        <f>""</f>
        <v/>
      </c>
      <c r="FU219" t="str">
        <f>""</f>
        <v/>
      </c>
      <c r="FV219" t="str">
        <f>""</f>
        <v/>
      </c>
      <c r="FW219" t="str">
        <f>""</f>
        <v/>
      </c>
      <c r="FX219" t="str">
        <f>""</f>
        <v/>
      </c>
      <c r="FY219" t="str">
        <f>""</f>
        <v/>
      </c>
      <c r="FZ219" t="str">
        <f>""</f>
        <v/>
      </c>
      <c r="GA219" t="str">
        <f>""</f>
        <v/>
      </c>
      <c r="GB219" t="str">
        <f>""</f>
        <v/>
      </c>
      <c r="GC219" t="str">
        <f>""</f>
        <v/>
      </c>
      <c r="GD219" t="str">
        <f>""</f>
        <v/>
      </c>
      <c r="GE219" t="str">
        <f>""</f>
        <v/>
      </c>
      <c r="GF219" t="str">
        <f>""</f>
        <v/>
      </c>
      <c r="GG219" t="str">
        <f>""</f>
        <v/>
      </c>
      <c r="GH219" t="str">
        <f>""</f>
        <v/>
      </c>
      <c r="GI219" t="str">
        <f>""</f>
        <v/>
      </c>
      <c r="GJ219" t="str">
        <f>""</f>
        <v/>
      </c>
      <c r="GK219" t="str">
        <f>""</f>
        <v/>
      </c>
      <c r="GL219" t="str">
        <f>""</f>
        <v/>
      </c>
      <c r="GM219" t="str">
        <f>""</f>
        <v/>
      </c>
      <c r="GN219" t="str">
        <f>""</f>
        <v/>
      </c>
      <c r="GO219" t="str">
        <f>""</f>
        <v/>
      </c>
      <c r="GP219" t="str">
        <f>""</f>
        <v/>
      </c>
      <c r="GQ219" t="str">
        <f>""</f>
        <v/>
      </c>
      <c r="GR219" t="str">
        <f>""</f>
        <v/>
      </c>
      <c r="GS219" t="str">
        <f>""</f>
        <v/>
      </c>
      <c r="GT219" t="str">
        <f>""</f>
        <v/>
      </c>
      <c r="GU219" t="str">
        <f>""</f>
        <v/>
      </c>
      <c r="GV219" t="str">
        <f>""</f>
        <v/>
      </c>
      <c r="GW219" t="str">
        <f>""</f>
        <v/>
      </c>
      <c r="GX219" t="str">
        <f>""</f>
        <v/>
      </c>
      <c r="GY219" t="str">
        <f>""</f>
        <v/>
      </c>
      <c r="GZ219" t="str">
        <f>""</f>
        <v/>
      </c>
      <c r="HA219" t="str">
        <f>""</f>
        <v/>
      </c>
      <c r="HB219" t="str">
        <f>""</f>
        <v/>
      </c>
      <c r="HC219" t="str">
        <f>""</f>
        <v/>
      </c>
      <c r="HD219" t="str">
        <f>""</f>
        <v/>
      </c>
      <c r="HE219" t="str">
        <f>""</f>
        <v/>
      </c>
      <c r="HF219" t="str">
        <f>""</f>
        <v/>
      </c>
      <c r="HG219" t="str">
        <f>""</f>
        <v/>
      </c>
      <c r="HH219" t="str">
        <f>""</f>
        <v/>
      </c>
      <c r="HI219" t="str">
        <f>""</f>
        <v/>
      </c>
      <c r="HJ219" t="str">
        <f>""</f>
        <v/>
      </c>
      <c r="HK219" t="str">
        <f>""</f>
        <v/>
      </c>
      <c r="HL219" t="str">
        <f>""</f>
        <v/>
      </c>
      <c r="HM219" t="str">
        <f>""</f>
        <v/>
      </c>
      <c r="HN219" t="str">
        <f>""</f>
        <v/>
      </c>
      <c r="HO219" t="str">
        <f>""</f>
        <v/>
      </c>
      <c r="HP219" t="str">
        <f>""</f>
        <v/>
      </c>
      <c r="HQ219" t="str">
        <f>""</f>
        <v/>
      </c>
      <c r="HR219" t="str">
        <f>""</f>
        <v/>
      </c>
      <c r="HS219" t="str">
        <f>""</f>
        <v/>
      </c>
      <c r="HT219" t="str">
        <f>""</f>
        <v/>
      </c>
      <c r="HU219" t="str">
        <f>""</f>
        <v/>
      </c>
      <c r="HV219" t="str">
        <f>""</f>
        <v/>
      </c>
      <c r="HW219" t="str">
        <f>""</f>
        <v/>
      </c>
      <c r="HX219" t="str">
        <f>""</f>
        <v/>
      </c>
      <c r="HY219" t="str">
        <f>""</f>
        <v/>
      </c>
      <c r="HZ219" t="str">
        <f>""</f>
        <v/>
      </c>
      <c r="IA219" t="str">
        <f>""</f>
        <v/>
      </c>
      <c r="IB219" t="str">
        <f>""</f>
        <v/>
      </c>
      <c r="IC219" t="str">
        <f>""</f>
        <v/>
      </c>
      <c r="ID219" t="str">
        <f>""</f>
        <v/>
      </c>
      <c r="IE219" t="str">
        <f>""</f>
        <v/>
      </c>
      <c r="IF219" t="str">
        <f>""</f>
        <v/>
      </c>
      <c r="IG219" t="str">
        <f>""</f>
        <v/>
      </c>
      <c r="IH219" t="str">
        <f>""</f>
        <v/>
      </c>
      <c r="II219" t="str">
        <f>""</f>
        <v/>
      </c>
      <c r="IJ219" t="str">
        <f>""</f>
        <v/>
      </c>
      <c r="IK219" t="str">
        <f>""</f>
        <v/>
      </c>
      <c r="IL219" t="str">
        <f>""</f>
        <v/>
      </c>
      <c r="IM219" t="str">
        <f>""</f>
        <v/>
      </c>
      <c r="IN219" t="str">
        <f>""</f>
        <v/>
      </c>
      <c r="IO219" t="str">
        <f>""</f>
        <v/>
      </c>
      <c r="IP219" t="str">
        <f>""</f>
        <v/>
      </c>
      <c r="IQ219" t="str">
        <f>""</f>
        <v/>
      </c>
      <c r="IR219" t="str">
        <f>""</f>
        <v/>
      </c>
      <c r="IS219" t="str">
        <f>""</f>
        <v/>
      </c>
      <c r="IT219" t="str">
        <f>""</f>
        <v/>
      </c>
      <c r="IU219" t="str">
        <f>""</f>
        <v/>
      </c>
      <c r="IV219" t="str">
        <f>""</f>
        <v/>
      </c>
      <c r="IW219" t="str">
        <f>""</f>
        <v/>
      </c>
      <c r="IX219" t="str">
        <f>""</f>
        <v/>
      </c>
      <c r="IY219" t="str">
        <f>""</f>
        <v/>
      </c>
      <c r="IZ219" t="str">
        <f>""</f>
        <v/>
      </c>
      <c r="JA219" t="str">
        <f>""</f>
        <v/>
      </c>
      <c r="JB219" t="str">
        <f>""</f>
        <v/>
      </c>
      <c r="JC219" t="str">
        <f>""</f>
        <v/>
      </c>
      <c r="JD219" t="str">
        <f>""</f>
        <v/>
      </c>
      <c r="JE219" t="str">
        <f>""</f>
        <v/>
      </c>
      <c r="JF219" t="str">
        <f>""</f>
        <v/>
      </c>
      <c r="JG219" t="str">
        <f>""</f>
        <v/>
      </c>
      <c r="JH219" t="str">
        <f>""</f>
        <v/>
      </c>
      <c r="JI219" t="str">
        <f>""</f>
        <v/>
      </c>
      <c r="JJ219" t="str">
        <f>""</f>
        <v/>
      </c>
      <c r="JK219" t="str">
        <f>""</f>
        <v/>
      </c>
    </row>
    <row r="220" spans="1:271" x14ac:dyDescent="0.3">
      <c r="A220" t="str">
        <f>""</f>
        <v/>
      </c>
      <c r="B220" t="str">
        <f>""</f>
        <v/>
      </c>
      <c r="C220" t="str">
        <f>""</f>
        <v/>
      </c>
      <c r="D220" t="str">
        <f>""</f>
        <v/>
      </c>
      <c r="E220" t="str">
        <f>""</f>
        <v/>
      </c>
      <c r="F220" t="str">
        <f>""</f>
        <v/>
      </c>
      <c r="G220" t="str">
        <f>""</f>
        <v/>
      </c>
      <c r="H220" t="str">
        <f>""</f>
        <v/>
      </c>
      <c r="I220" t="str">
        <f>""</f>
        <v/>
      </c>
      <c r="J220" t="str">
        <f>""</f>
        <v/>
      </c>
      <c r="K220" t="str">
        <f>""</f>
        <v/>
      </c>
      <c r="L220" t="str">
        <f>""</f>
        <v/>
      </c>
      <c r="M220" t="str">
        <f>""</f>
        <v/>
      </c>
      <c r="N220" t="str">
        <f>""</f>
        <v/>
      </c>
      <c r="O220" t="str">
        <f>""</f>
        <v/>
      </c>
      <c r="P220" t="str">
        <f>""</f>
        <v/>
      </c>
      <c r="Q220" t="str">
        <f>""</f>
        <v/>
      </c>
      <c r="R220" t="str">
        <f>""</f>
        <v/>
      </c>
      <c r="S220" t="str">
        <f>""</f>
        <v/>
      </c>
      <c r="T220" t="str">
        <f>""</f>
        <v/>
      </c>
      <c r="U220" t="str">
        <f>""</f>
        <v/>
      </c>
      <c r="V220" t="str">
        <f>""</f>
        <v/>
      </c>
      <c r="W220" t="str">
        <f>""</f>
        <v/>
      </c>
      <c r="X220" t="str">
        <f>""</f>
        <v/>
      </c>
      <c r="Y220" t="str">
        <f>""</f>
        <v/>
      </c>
      <c r="Z220" t="str">
        <f>""</f>
        <v/>
      </c>
      <c r="AA220" t="str">
        <f>""</f>
        <v/>
      </c>
      <c r="AB220" t="str">
        <f>""</f>
        <v/>
      </c>
      <c r="AC220" t="str">
        <f>""</f>
        <v/>
      </c>
      <c r="AD220" t="str">
        <f>""</f>
        <v/>
      </c>
      <c r="AE220" t="str">
        <f>""</f>
        <v/>
      </c>
      <c r="AF220" t="str">
        <f>""</f>
        <v/>
      </c>
      <c r="AG220" t="str">
        <f>""</f>
        <v/>
      </c>
      <c r="AH220" t="str">
        <f>""</f>
        <v/>
      </c>
      <c r="AI220" t="str">
        <f>""</f>
        <v/>
      </c>
      <c r="AJ220" t="str">
        <f>""</f>
        <v/>
      </c>
      <c r="AK220" t="str">
        <f>""</f>
        <v/>
      </c>
      <c r="AL220" t="str">
        <f>""</f>
        <v/>
      </c>
      <c r="AM220" t="str">
        <f>""</f>
        <v/>
      </c>
      <c r="AN220" t="str">
        <f>""</f>
        <v/>
      </c>
      <c r="AO220" t="str">
        <f>""</f>
        <v/>
      </c>
      <c r="AP220" t="str">
        <f>""</f>
        <v/>
      </c>
      <c r="AQ220" t="str">
        <f>""</f>
        <v/>
      </c>
      <c r="AR220" t="str">
        <f>""</f>
        <v/>
      </c>
      <c r="AS220" t="str">
        <f>""</f>
        <v/>
      </c>
      <c r="AT220" t="str">
        <f>""</f>
        <v/>
      </c>
      <c r="AU220" t="str">
        <f>""</f>
        <v/>
      </c>
      <c r="AV220" t="str">
        <f>""</f>
        <v/>
      </c>
      <c r="AW220" t="str">
        <f>""</f>
        <v/>
      </c>
      <c r="AX220" t="str">
        <f>""</f>
        <v/>
      </c>
      <c r="AY220" t="str">
        <f>""</f>
        <v/>
      </c>
      <c r="AZ220" t="str">
        <f>""</f>
        <v/>
      </c>
      <c r="BA220" t="str">
        <f>""</f>
        <v/>
      </c>
      <c r="BB220" t="str">
        <f>""</f>
        <v/>
      </c>
      <c r="BC220" t="str">
        <f>""</f>
        <v/>
      </c>
      <c r="BD220" t="str">
        <f>""</f>
        <v/>
      </c>
      <c r="BE220" t="str">
        <f>""</f>
        <v/>
      </c>
      <c r="BF220" t="str">
        <f>""</f>
        <v/>
      </c>
      <c r="BG220" t="str">
        <f>""</f>
        <v/>
      </c>
      <c r="BH220" t="str">
        <f>""</f>
        <v/>
      </c>
      <c r="BI220" t="str">
        <f>""</f>
        <v/>
      </c>
      <c r="BJ220" t="str">
        <f>""</f>
        <v/>
      </c>
      <c r="BK220" t="str">
        <f>""</f>
        <v/>
      </c>
      <c r="BL220" t="str">
        <f>""</f>
        <v/>
      </c>
      <c r="BM220" t="str">
        <f>""</f>
        <v/>
      </c>
      <c r="BN220" t="str">
        <f>""</f>
        <v/>
      </c>
      <c r="BO220" t="str">
        <f>""</f>
        <v/>
      </c>
      <c r="BP220" t="str">
        <f>""</f>
        <v/>
      </c>
      <c r="BQ220" t="str">
        <f>""</f>
        <v/>
      </c>
      <c r="BR220" t="str">
        <f>""</f>
        <v/>
      </c>
      <c r="BS220" t="str">
        <f>""</f>
        <v/>
      </c>
      <c r="BT220" t="str">
        <f>""</f>
        <v/>
      </c>
      <c r="BU220" t="str">
        <f>""</f>
        <v/>
      </c>
      <c r="BV220" t="str">
        <f>""</f>
        <v/>
      </c>
      <c r="BW220" t="str">
        <f>""</f>
        <v/>
      </c>
      <c r="BX220" t="str">
        <f>""</f>
        <v/>
      </c>
      <c r="BY220" t="str">
        <f>""</f>
        <v/>
      </c>
      <c r="BZ220" t="str">
        <f>""</f>
        <v/>
      </c>
      <c r="CA220" t="str">
        <f>""</f>
        <v/>
      </c>
      <c r="CB220" t="str">
        <f>""</f>
        <v/>
      </c>
      <c r="CC220" t="str">
        <f>""</f>
        <v/>
      </c>
      <c r="CD220" t="str">
        <f>""</f>
        <v/>
      </c>
      <c r="CE220" t="str">
        <f>""</f>
        <v/>
      </c>
      <c r="CF220" t="str">
        <f>""</f>
        <v/>
      </c>
      <c r="CG220" t="str">
        <f>""</f>
        <v/>
      </c>
      <c r="CH220" t="str">
        <f>""</f>
        <v/>
      </c>
      <c r="CI220" t="str">
        <f>""</f>
        <v/>
      </c>
      <c r="CJ220" t="str">
        <f>""</f>
        <v/>
      </c>
      <c r="CK220" t="str">
        <f>""</f>
        <v/>
      </c>
      <c r="CL220" t="str">
        <f>""</f>
        <v/>
      </c>
      <c r="CM220" t="str">
        <f>""</f>
        <v/>
      </c>
      <c r="CN220" t="str">
        <f>""</f>
        <v/>
      </c>
      <c r="CO220" t="str">
        <f>""</f>
        <v/>
      </c>
      <c r="CP220" t="str">
        <f>""</f>
        <v/>
      </c>
      <c r="CQ220" t="str">
        <f>""</f>
        <v/>
      </c>
      <c r="CR220" t="str">
        <f>""</f>
        <v/>
      </c>
      <c r="CS220" t="str">
        <f>""</f>
        <v/>
      </c>
      <c r="CT220" t="str">
        <f>""</f>
        <v/>
      </c>
      <c r="CU220" t="str">
        <f>""</f>
        <v/>
      </c>
      <c r="CV220" t="str">
        <f>""</f>
        <v/>
      </c>
      <c r="CW220" t="str">
        <f>""</f>
        <v/>
      </c>
      <c r="CX220" t="str">
        <f>""</f>
        <v/>
      </c>
      <c r="CY220" t="str">
        <f>""</f>
        <v/>
      </c>
      <c r="CZ220" t="str">
        <f>""</f>
        <v/>
      </c>
      <c r="DA220" t="str">
        <f>""</f>
        <v/>
      </c>
      <c r="DB220" t="str">
        <f>""</f>
        <v/>
      </c>
      <c r="DC220" t="str">
        <f>""</f>
        <v/>
      </c>
      <c r="DD220" t="str">
        <f>""</f>
        <v/>
      </c>
      <c r="DE220" t="str">
        <f>""</f>
        <v/>
      </c>
      <c r="DF220" t="str">
        <f>""</f>
        <v/>
      </c>
      <c r="DG220" t="str">
        <f>""</f>
        <v/>
      </c>
      <c r="DH220" t="str">
        <f>""</f>
        <v/>
      </c>
      <c r="DI220" t="str">
        <f>""</f>
        <v/>
      </c>
      <c r="DJ220" t="str">
        <f>""</f>
        <v/>
      </c>
      <c r="DK220" t="str">
        <f>""</f>
        <v/>
      </c>
      <c r="DL220" t="str">
        <f>""</f>
        <v/>
      </c>
      <c r="DM220" t="str">
        <f>""</f>
        <v/>
      </c>
      <c r="DN220" t="str">
        <f>""</f>
        <v/>
      </c>
      <c r="DO220" t="str">
        <f>""</f>
        <v/>
      </c>
      <c r="DP220" t="str">
        <f>""</f>
        <v/>
      </c>
      <c r="DQ220" t="str">
        <f>""</f>
        <v/>
      </c>
      <c r="DR220" t="str">
        <f>""</f>
        <v/>
      </c>
      <c r="DS220" t="str">
        <f>""</f>
        <v/>
      </c>
      <c r="DT220" t="str">
        <f>""</f>
        <v/>
      </c>
      <c r="DU220" t="str">
        <f>""</f>
        <v/>
      </c>
      <c r="DV220" t="str">
        <f>""</f>
        <v/>
      </c>
      <c r="DW220" t="str">
        <f>""</f>
        <v/>
      </c>
      <c r="DX220" t="str">
        <f>""</f>
        <v/>
      </c>
      <c r="DY220" t="str">
        <f>""</f>
        <v/>
      </c>
      <c r="DZ220" t="str">
        <f>""</f>
        <v/>
      </c>
      <c r="EA220" t="str">
        <f>""</f>
        <v/>
      </c>
      <c r="EB220" t="str">
        <f>""</f>
        <v/>
      </c>
      <c r="EC220" t="str">
        <f>""</f>
        <v/>
      </c>
      <c r="ED220" t="str">
        <f>"(0.105)"</f>
        <v>(0.105)</v>
      </c>
      <c r="EE220" t="str">
        <f>"(0.0841)"</f>
        <v>(0.0841)</v>
      </c>
      <c r="EF220" t="str">
        <f>"(0.0447)"</f>
        <v>(0.0447)</v>
      </c>
      <c r="EG220" t="str">
        <f>""</f>
        <v/>
      </c>
      <c r="EH220" t="str">
        <f>""</f>
        <v/>
      </c>
      <c r="EI220" t="str">
        <f>""</f>
        <v/>
      </c>
      <c r="EJ220" t="str">
        <f>""</f>
        <v/>
      </c>
      <c r="EK220" t="str">
        <f>""</f>
        <v/>
      </c>
      <c r="EL220" t="str">
        <f>""</f>
        <v/>
      </c>
      <c r="EM220" t="str">
        <f>""</f>
        <v/>
      </c>
      <c r="EN220" t="str">
        <f>""</f>
        <v/>
      </c>
      <c r="EO220" t="str">
        <f>""</f>
        <v/>
      </c>
      <c r="EP220" t="str">
        <f>""</f>
        <v/>
      </c>
      <c r="EQ220" t="str">
        <f>""</f>
        <v/>
      </c>
      <c r="ER220" t="str">
        <f>""</f>
        <v/>
      </c>
      <c r="ES220" t="str">
        <f>""</f>
        <v/>
      </c>
      <c r="ET220" t="str">
        <f>""</f>
        <v/>
      </c>
      <c r="EU220" t="str">
        <f>""</f>
        <v/>
      </c>
      <c r="EV220" t="str">
        <f>""</f>
        <v/>
      </c>
      <c r="EW220" t="str">
        <f>""</f>
        <v/>
      </c>
      <c r="EX220" t="str">
        <f>""</f>
        <v/>
      </c>
      <c r="EY220" t="str">
        <f>""</f>
        <v/>
      </c>
      <c r="EZ220" t="str">
        <f>""</f>
        <v/>
      </c>
      <c r="FA220" t="str">
        <f>""</f>
        <v/>
      </c>
      <c r="FB220" t="str">
        <f>""</f>
        <v/>
      </c>
      <c r="FC220" t="str">
        <f>""</f>
        <v/>
      </c>
      <c r="FD220" t="str">
        <f>""</f>
        <v/>
      </c>
      <c r="FE220" t="str">
        <f>""</f>
        <v/>
      </c>
      <c r="FF220" t="str">
        <f>""</f>
        <v/>
      </c>
      <c r="FG220" t="str">
        <f>""</f>
        <v/>
      </c>
      <c r="FH220" t="str">
        <f>""</f>
        <v/>
      </c>
      <c r="FI220" t="str">
        <f>""</f>
        <v/>
      </c>
      <c r="FJ220" t="str">
        <f>""</f>
        <v/>
      </c>
      <c r="FK220" t="str">
        <f>""</f>
        <v/>
      </c>
      <c r="FL220" t="str">
        <f>""</f>
        <v/>
      </c>
      <c r="FM220" t="str">
        <f>""</f>
        <v/>
      </c>
      <c r="FN220" t="str">
        <f>""</f>
        <v/>
      </c>
      <c r="FO220" t="str">
        <f>""</f>
        <v/>
      </c>
      <c r="FP220" t="str">
        <f>""</f>
        <v/>
      </c>
      <c r="FQ220" t="str">
        <f>""</f>
        <v/>
      </c>
      <c r="FR220" t="str">
        <f>""</f>
        <v/>
      </c>
      <c r="FS220" t="str">
        <f>""</f>
        <v/>
      </c>
      <c r="FT220" t="str">
        <f>""</f>
        <v/>
      </c>
      <c r="FU220" t="str">
        <f>""</f>
        <v/>
      </c>
      <c r="FV220" t="str">
        <f>""</f>
        <v/>
      </c>
      <c r="FW220" t="str">
        <f>""</f>
        <v/>
      </c>
      <c r="FX220" t="str">
        <f>""</f>
        <v/>
      </c>
      <c r="FY220" t="str">
        <f>""</f>
        <v/>
      </c>
      <c r="FZ220" t="str">
        <f>""</f>
        <v/>
      </c>
      <c r="GA220" t="str">
        <f>""</f>
        <v/>
      </c>
      <c r="GB220" t="str">
        <f>""</f>
        <v/>
      </c>
      <c r="GC220" t="str">
        <f>""</f>
        <v/>
      </c>
      <c r="GD220" t="str">
        <f>""</f>
        <v/>
      </c>
      <c r="GE220" t="str">
        <f>""</f>
        <v/>
      </c>
      <c r="GF220" t="str">
        <f>""</f>
        <v/>
      </c>
      <c r="GG220" t="str">
        <f>""</f>
        <v/>
      </c>
      <c r="GH220" t="str">
        <f>""</f>
        <v/>
      </c>
      <c r="GI220" t="str">
        <f>""</f>
        <v/>
      </c>
      <c r="GJ220" t="str">
        <f>""</f>
        <v/>
      </c>
      <c r="GK220" t="str">
        <f>""</f>
        <v/>
      </c>
      <c r="GL220" t="str">
        <f>""</f>
        <v/>
      </c>
      <c r="GM220" t="str">
        <f>""</f>
        <v/>
      </c>
      <c r="GN220" t="str">
        <f>""</f>
        <v/>
      </c>
      <c r="GO220" t="str">
        <f>""</f>
        <v/>
      </c>
      <c r="GP220" t="str">
        <f>""</f>
        <v/>
      </c>
      <c r="GQ220" t="str">
        <f>""</f>
        <v/>
      </c>
      <c r="GR220" t="str">
        <f>""</f>
        <v/>
      </c>
      <c r="GS220" t="str">
        <f>""</f>
        <v/>
      </c>
      <c r="GT220" t="str">
        <f>""</f>
        <v/>
      </c>
      <c r="GU220" t="str">
        <f>""</f>
        <v/>
      </c>
      <c r="GV220" t="str">
        <f>""</f>
        <v/>
      </c>
      <c r="GW220" t="str">
        <f>""</f>
        <v/>
      </c>
      <c r="GX220" t="str">
        <f>""</f>
        <v/>
      </c>
      <c r="GY220" t="str">
        <f>""</f>
        <v/>
      </c>
      <c r="GZ220" t="str">
        <f>""</f>
        <v/>
      </c>
      <c r="HA220" t="str">
        <f>""</f>
        <v/>
      </c>
      <c r="HB220" t="str">
        <f>""</f>
        <v/>
      </c>
      <c r="HC220" t="str">
        <f>""</f>
        <v/>
      </c>
      <c r="HD220" t="str">
        <f>""</f>
        <v/>
      </c>
      <c r="HE220" t="str">
        <f>""</f>
        <v/>
      </c>
      <c r="HF220" t="str">
        <f>""</f>
        <v/>
      </c>
      <c r="HG220" t="str">
        <f>""</f>
        <v/>
      </c>
      <c r="HH220" t="str">
        <f>""</f>
        <v/>
      </c>
      <c r="HI220" t="str">
        <f>""</f>
        <v/>
      </c>
      <c r="HJ220" t="str">
        <f>""</f>
        <v/>
      </c>
      <c r="HK220" t="str">
        <f>""</f>
        <v/>
      </c>
      <c r="HL220" t="str">
        <f>""</f>
        <v/>
      </c>
      <c r="HM220" t="str">
        <f>""</f>
        <v/>
      </c>
      <c r="HN220" t="str">
        <f>""</f>
        <v/>
      </c>
      <c r="HO220" t="str">
        <f>""</f>
        <v/>
      </c>
      <c r="HP220" t="str">
        <f>""</f>
        <v/>
      </c>
      <c r="HQ220" t="str">
        <f>""</f>
        <v/>
      </c>
      <c r="HR220" t="str">
        <f>""</f>
        <v/>
      </c>
      <c r="HS220" t="str">
        <f>""</f>
        <v/>
      </c>
      <c r="HT220" t="str">
        <f>""</f>
        <v/>
      </c>
      <c r="HU220" t="str">
        <f>""</f>
        <v/>
      </c>
      <c r="HV220" t="str">
        <f>""</f>
        <v/>
      </c>
      <c r="HW220" t="str">
        <f>""</f>
        <v/>
      </c>
      <c r="HX220" t="str">
        <f>""</f>
        <v/>
      </c>
      <c r="HY220" t="str">
        <f>""</f>
        <v/>
      </c>
      <c r="HZ220" t="str">
        <f>""</f>
        <v/>
      </c>
      <c r="IA220" t="str">
        <f>""</f>
        <v/>
      </c>
      <c r="IB220" t="str">
        <f>""</f>
        <v/>
      </c>
      <c r="IC220" t="str">
        <f>""</f>
        <v/>
      </c>
      <c r="ID220" t="str">
        <f>""</f>
        <v/>
      </c>
      <c r="IE220" t="str">
        <f>""</f>
        <v/>
      </c>
      <c r="IF220" t="str">
        <f>""</f>
        <v/>
      </c>
      <c r="IG220" t="str">
        <f>""</f>
        <v/>
      </c>
      <c r="IH220" t="str">
        <f>""</f>
        <v/>
      </c>
      <c r="II220" t="str">
        <f>""</f>
        <v/>
      </c>
      <c r="IJ220" t="str">
        <f>""</f>
        <v/>
      </c>
      <c r="IK220" t="str">
        <f>""</f>
        <v/>
      </c>
      <c r="IL220" t="str">
        <f>""</f>
        <v/>
      </c>
      <c r="IM220" t="str">
        <f>""</f>
        <v/>
      </c>
      <c r="IN220" t="str">
        <f>""</f>
        <v/>
      </c>
      <c r="IO220" t="str">
        <f>""</f>
        <v/>
      </c>
      <c r="IP220" t="str">
        <f>""</f>
        <v/>
      </c>
      <c r="IQ220" t="str">
        <f>""</f>
        <v/>
      </c>
      <c r="IR220" t="str">
        <f>""</f>
        <v/>
      </c>
      <c r="IS220" t="str">
        <f>""</f>
        <v/>
      </c>
      <c r="IT220" t="str">
        <f>""</f>
        <v/>
      </c>
      <c r="IU220" t="str">
        <f>""</f>
        <v/>
      </c>
      <c r="IV220" t="str">
        <f>""</f>
        <v/>
      </c>
      <c r="IW220" t="str">
        <f>""</f>
        <v/>
      </c>
      <c r="IX220" t="str">
        <f>""</f>
        <v/>
      </c>
      <c r="IY220" t="str">
        <f>""</f>
        <v/>
      </c>
      <c r="IZ220" t="str">
        <f>""</f>
        <v/>
      </c>
      <c r="JA220" t="str">
        <f>""</f>
        <v/>
      </c>
      <c r="JB220" t="str">
        <f>""</f>
        <v/>
      </c>
      <c r="JC220" t="str">
        <f>""</f>
        <v/>
      </c>
      <c r="JD220" t="str">
        <f>""</f>
        <v/>
      </c>
      <c r="JE220" t="str">
        <f>""</f>
        <v/>
      </c>
      <c r="JF220" t="str">
        <f>""</f>
        <v/>
      </c>
      <c r="JG220" t="str">
        <f>""</f>
        <v/>
      </c>
      <c r="JH220" t="str">
        <f>""</f>
        <v/>
      </c>
      <c r="JI220" t="str">
        <f>""</f>
        <v/>
      </c>
      <c r="JJ220" t="str">
        <f>""</f>
        <v/>
      </c>
      <c r="JK220" t="str">
        <f>""</f>
        <v/>
      </c>
    </row>
    <row r="222" spans="1:271" x14ac:dyDescent="0.3">
      <c r="A222" t="str">
        <f>"PM4"</f>
        <v>PM4</v>
      </c>
      <c r="B222" t="str">
        <f>""</f>
        <v/>
      </c>
      <c r="C222" t="str">
        <f>""</f>
        <v/>
      </c>
      <c r="D222" t="str">
        <f>""</f>
        <v/>
      </c>
      <c r="E222" t="str">
        <f>""</f>
        <v/>
      </c>
      <c r="F222" t="str">
        <f>""</f>
        <v/>
      </c>
      <c r="G222" t="str">
        <f>""</f>
        <v/>
      </c>
      <c r="H222" t="str">
        <f>""</f>
        <v/>
      </c>
      <c r="I222" t="str">
        <f>""</f>
        <v/>
      </c>
      <c r="J222" t="str">
        <f>""</f>
        <v/>
      </c>
      <c r="K222" t="str">
        <f>""</f>
        <v/>
      </c>
      <c r="L222" t="str">
        <f>""</f>
        <v/>
      </c>
      <c r="M222" t="str">
        <f>""</f>
        <v/>
      </c>
      <c r="N222" t="str">
        <f>""</f>
        <v/>
      </c>
      <c r="O222" t="str">
        <f>""</f>
        <v/>
      </c>
      <c r="P222" t="str">
        <f>""</f>
        <v/>
      </c>
      <c r="Q222" t="str">
        <f>""</f>
        <v/>
      </c>
      <c r="R222" t="str">
        <f>""</f>
        <v/>
      </c>
      <c r="S222" t="str">
        <f>""</f>
        <v/>
      </c>
      <c r="T222" t="str">
        <f>""</f>
        <v/>
      </c>
      <c r="U222" t="str">
        <f>""</f>
        <v/>
      </c>
      <c r="V222" t="str">
        <f>""</f>
        <v/>
      </c>
      <c r="W222" t="str">
        <f>""</f>
        <v/>
      </c>
      <c r="X222" t="str">
        <f>""</f>
        <v/>
      </c>
      <c r="Y222" t="str">
        <f>""</f>
        <v/>
      </c>
      <c r="Z222" t="str">
        <f>""</f>
        <v/>
      </c>
      <c r="AA222" t="str">
        <f>""</f>
        <v/>
      </c>
      <c r="AB222" t="str">
        <f>""</f>
        <v/>
      </c>
      <c r="AC222" t="str">
        <f>""</f>
        <v/>
      </c>
      <c r="AD222" t="str">
        <f>""</f>
        <v/>
      </c>
      <c r="AE222" t="str">
        <f>""</f>
        <v/>
      </c>
      <c r="AF222" t="str">
        <f>""</f>
        <v/>
      </c>
      <c r="AG222" t="str">
        <f>""</f>
        <v/>
      </c>
      <c r="AH222" t="str">
        <f>""</f>
        <v/>
      </c>
      <c r="AI222" t="str">
        <f>""</f>
        <v/>
      </c>
      <c r="AJ222" t="str">
        <f>""</f>
        <v/>
      </c>
      <c r="AK222" t="str">
        <f>""</f>
        <v/>
      </c>
      <c r="AL222" t="str">
        <f>""</f>
        <v/>
      </c>
      <c r="AM222" t="str">
        <f>""</f>
        <v/>
      </c>
      <c r="AN222" t="str">
        <f>""</f>
        <v/>
      </c>
      <c r="AO222" t="str">
        <f>""</f>
        <v/>
      </c>
      <c r="AP222" t="str">
        <f>""</f>
        <v/>
      </c>
      <c r="AQ222" t="str">
        <f>""</f>
        <v/>
      </c>
      <c r="AR222" t="str">
        <f>""</f>
        <v/>
      </c>
      <c r="AS222" t="str">
        <f>""</f>
        <v/>
      </c>
      <c r="AT222" t="str">
        <f>""</f>
        <v/>
      </c>
      <c r="AU222" t="str">
        <f>""</f>
        <v/>
      </c>
      <c r="AV222" t="str">
        <f>""</f>
        <v/>
      </c>
      <c r="AW222" t="str">
        <f>""</f>
        <v/>
      </c>
      <c r="AX222" t="str">
        <f>""</f>
        <v/>
      </c>
      <c r="AY222" t="str">
        <f>""</f>
        <v/>
      </c>
      <c r="AZ222" t="str">
        <f>""</f>
        <v/>
      </c>
      <c r="BA222" t="str">
        <f>""</f>
        <v/>
      </c>
      <c r="BB222" t="str">
        <f>""</f>
        <v/>
      </c>
      <c r="BC222" t="str">
        <f>""</f>
        <v/>
      </c>
      <c r="BD222" t="str">
        <f>""</f>
        <v/>
      </c>
      <c r="BE222" t="str">
        <f>""</f>
        <v/>
      </c>
      <c r="BF222" t="str">
        <f>""</f>
        <v/>
      </c>
      <c r="BG222" t="str">
        <f>""</f>
        <v/>
      </c>
      <c r="BH222" t="str">
        <f>""</f>
        <v/>
      </c>
      <c r="BI222" t="str">
        <f>""</f>
        <v/>
      </c>
      <c r="BJ222" t="str">
        <f>""</f>
        <v/>
      </c>
      <c r="BK222" t="str">
        <f>""</f>
        <v/>
      </c>
      <c r="BL222" t="str">
        <f>""</f>
        <v/>
      </c>
      <c r="BM222" t="str">
        <f>""</f>
        <v/>
      </c>
      <c r="BN222" t="str">
        <f>""</f>
        <v/>
      </c>
      <c r="BO222" t="str">
        <f>""</f>
        <v/>
      </c>
      <c r="BP222" t="str">
        <f>""</f>
        <v/>
      </c>
      <c r="BQ222" t="str">
        <f>""</f>
        <v/>
      </c>
      <c r="BR222" t="str">
        <f>""</f>
        <v/>
      </c>
      <c r="BS222" t="str">
        <f>""</f>
        <v/>
      </c>
      <c r="BT222" t="str">
        <f>""</f>
        <v/>
      </c>
      <c r="BU222" t="str">
        <f>""</f>
        <v/>
      </c>
      <c r="BV222" t="str">
        <f>""</f>
        <v/>
      </c>
      <c r="BW222" t="str">
        <f>""</f>
        <v/>
      </c>
      <c r="BX222" t="str">
        <f>""</f>
        <v/>
      </c>
      <c r="BY222" t="str">
        <f>""</f>
        <v/>
      </c>
      <c r="BZ222" t="str">
        <f>""</f>
        <v/>
      </c>
      <c r="CA222" t="str">
        <f>""</f>
        <v/>
      </c>
      <c r="CB222" t="str">
        <f>""</f>
        <v/>
      </c>
      <c r="CC222" t="str">
        <f>""</f>
        <v/>
      </c>
      <c r="CD222" t="str">
        <f>""</f>
        <v/>
      </c>
      <c r="CE222" t="str">
        <f>""</f>
        <v/>
      </c>
      <c r="CF222" t="str">
        <f>""</f>
        <v/>
      </c>
      <c r="CG222" t="str">
        <f>""</f>
        <v/>
      </c>
      <c r="CH222" t="str">
        <f>""</f>
        <v/>
      </c>
      <c r="CI222" t="str">
        <f>""</f>
        <v/>
      </c>
      <c r="CJ222" t="str">
        <f>""</f>
        <v/>
      </c>
      <c r="CK222" t="str">
        <f>""</f>
        <v/>
      </c>
      <c r="CL222" t="str">
        <f>""</f>
        <v/>
      </c>
      <c r="CM222" t="str">
        <f>""</f>
        <v/>
      </c>
      <c r="CN222" t="str">
        <f>""</f>
        <v/>
      </c>
      <c r="CO222" t="str">
        <f>""</f>
        <v/>
      </c>
      <c r="CP222" t="str">
        <f>""</f>
        <v/>
      </c>
      <c r="CQ222" t="str">
        <f>""</f>
        <v/>
      </c>
      <c r="CR222" t="str">
        <f>""</f>
        <v/>
      </c>
      <c r="CS222" t="str">
        <f>""</f>
        <v/>
      </c>
      <c r="CT222" t="str">
        <f>""</f>
        <v/>
      </c>
      <c r="CU222" t="str">
        <f>""</f>
        <v/>
      </c>
      <c r="CV222" t="str">
        <f>""</f>
        <v/>
      </c>
      <c r="CW222" t="str">
        <f>""</f>
        <v/>
      </c>
      <c r="CX222" t="str">
        <f>""</f>
        <v/>
      </c>
      <c r="CY222" t="str">
        <f>""</f>
        <v/>
      </c>
      <c r="CZ222" t="str">
        <f>""</f>
        <v/>
      </c>
      <c r="DA222" t="str">
        <f>""</f>
        <v/>
      </c>
      <c r="DB222" t="str">
        <f>""</f>
        <v/>
      </c>
      <c r="DC222" t="str">
        <f>""</f>
        <v/>
      </c>
      <c r="DD222" t="str">
        <f>""</f>
        <v/>
      </c>
      <c r="DE222" t="str">
        <f>""</f>
        <v/>
      </c>
      <c r="DF222" t="str">
        <f>""</f>
        <v/>
      </c>
      <c r="DG222" t="str">
        <f>""</f>
        <v/>
      </c>
      <c r="DH222" t="str">
        <f>""</f>
        <v/>
      </c>
      <c r="DI222" t="str">
        <f>""</f>
        <v/>
      </c>
      <c r="DJ222" t="str">
        <f>""</f>
        <v/>
      </c>
      <c r="DK222" t="str">
        <f>""</f>
        <v/>
      </c>
      <c r="DL222" t="str">
        <f>""</f>
        <v/>
      </c>
      <c r="DM222" t="str">
        <f>""</f>
        <v/>
      </c>
      <c r="DN222" t="str">
        <f>""</f>
        <v/>
      </c>
      <c r="DO222" t="str">
        <f>""</f>
        <v/>
      </c>
      <c r="DP222" t="str">
        <f>""</f>
        <v/>
      </c>
      <c r="DQ222" t="str">
        <f>""</f>
        <v/>
      </c>
      <c r="DR222" t="str">
        <f>""</f>
        <v/>
      </c>
      <c r="DS222" t="str">
        <f>""</f>
        <v/>
      </c>
      <c r="DT222" t="str">
        <f>""</f>
        <v/>
      </c>
      <c r="DU222" t="str">
        <f>""</f>
        <v/>
      </c>
      <c r="DV222" t="str">
        <f>""</f>
        <v/>
      </c>
      <c r="DW222" t="str">
        <f>""</f>
        <v/>
      </c>
      <c r="DX222" t="str">
        <f>""</f>
        <v/>
      </c>
      <c r="DY222" t="str">
        <f>""</f>
        <v/>
      </c>
      <c r="DZ222" t="str">
        <f>""</f>
        <v/>
      </c>
      <c r="EA222" t="str">
        <f>""</f>
        <v/>
      </c>
      <c r="EB222" t="str">
        <f>""</f>
        <v/>
      </c>
      <c r="EC222" t="str">
        <f>""</f>
        <v/>
      </c>
      <c r="ED222" t="str">
        <f>""</f>
        <v/>
      </c>
      <c r="EE222" t="str">
        <f>""</f>
        <v/>
      </c>
      <c r="EF222" t="str">
        <f>""</f>
        <v/>
      </c>
      <c r="EG222" t="str">
        <f>"-0.163"</f>
        <v>-0.163</v>
      </c>
      <c r="EH222" t="str">
        <f>"0.0463"</f>
        <v>0.0463</v>
      </c>
      <c r="EI222" t="str">
        <f>"-0.00943"</f>
        <v>-0.00943</v>
      </c>
      <c r="EJ222" t="str">
        <f>"-0.166"</f>
        <v>-0.166</v>
      </c>
      <c r="EK222" t="str">
        <f>"0.0488"</f>
        <v>0.0488</v>
      </c>
      <c r="EL222" t="str">
        <f>"0.00164"</f>
        <v>0.00164</v>
      </c>
      <c r="EM222" t="str">
        <f>"-0.164"</f>
        <v>-0.164</v>
      </c>
      <c r="EN222" t="str">
        <f>"0.0482"</f>
        <v>0.0482</v>
      </c>
      <c r="EO222" t="str">
        <f>"0.00300"</f>
        <v>0.00300</v>
      </c>
      <c r="EP222" t="str">
        <f>"-0.160"</f>
        <v>-0.160</v>
      </c>
      <c r="EQ222" t="str">
        <f>"0.0451"</f>
        <v>0.0451</v>
      </c>
      <c r="ER222" t="str">
        <f>"-0.00790"</f>
        <v>-0.00790</v>
      </c>
      <c r="ES222" t="str">
        <f>"-0.156"</f>
        <v>-0.156</v>
      </c>
      <c r="ET222" t="str">
        <f>"0.0478"</f>
        <v>0.0478</v>
      </c>
      <c r="EU222" t="str">
        <f>"-0.0108"</f>
        <v>-0.0108</v>
      </c>
      <c r="EV222" t="str">
        <f>"-0.160"</f>
        <v>-0.160</v>
      </c>
      <c r="EW222" t="str">
        <f>"0.0499"</f>
        <v>0.0499</v>
      </c>
      <c r="EX222" t="str">
        <f>"0.00466"</f>
        <v>0.00466</v>
      </c>
      <c r="EY222" t="str">
        <f>"-0.165"</f>
        <v>-0.165</v>
      </c>
      <c r="EZ222" t="str">
        <f>"0.0465"</f>
        <v>0.0465</v>
      </c>
      <c r="FA222" t="str">
        <f>"-0.0114"</f>
        <v>-0.0114</v>
      </c>
      <c r="FB222" t="str">
        <f>"-0.166"</f>
        <v>-0.166</v>
      </c>
      <c r="FC222" t="str">
        <f>"0.0549"</f>
        <v>0.0549</v>
      </c>
      <c r="FD222" t="str">
        <f>"0.00147"</f>
        <v>0.00147</v>
      </c>
      <c r="FE222" t="str">
        <f>"-0.162"</f>
        <v>-0.162</v>
      </c>
      <c r="FF222" t="str">
        <f>"0.0530"</f>
        <v>0.0530</v>
      </c>
      <c r="FG222" t="str">
        <f>"0.00312"</f>
        <v>0.00312</v>
      </c>
      <c r="FH222" t="str">
        <f>"-0.163"</f>
        <v>-0.163</v>
      </c>
      <c r="FI222" t="str">
        <f>"0.0507"</f>
        <v>0.0507</v>
      </c>
      <c r="FJ222" t="str">
        <f>"0.00744"</f>
        <v>0.00744</v>
      </c>
      <c r="FK222" t="str">
        <f>"-0.173"</f>
        <v>-0.173</v>
      </c>
      <c r="FL222" t="str">
        <f>"0.0507"</f>
        <v>0.0507</v>
      </c>
      <c r="FM222" t="str">
        <f>"-0.000874"</f>
        <v>-0.000874</v>
      </c>
      <c r="FN222" t="str">
        <f>"-0.167"</f>
        <v>-0.167</v>
      </c>
      <c r="FO222" t="str">
        <f>"0.0571"</f>
        <v>0.0571</v>
      </c>
      <c r="FP222" t="str">
        <f>"0.00582"</f>
        <v>0.00582</v>
      </c>
      <c r="FQ222" t="str">
        <f>"-0.193"</f>
        <v>-0.193</v>
      </c>
      <c r="FR222" t="str">
        <f>"0.0443"</f>
        <v>0.0443</v>
      </c>
      <c r="FS222" t="str">
        <f>"-0.00177"</f>
        <v>-0.00177</v>
      </c>
      <c r="FT222" t="str">
        <f>"-0.159"</f>
        <v>-0.159</v>
      </c>
      <c r="FU222" t="str">
        <f>"0.0526"</f>
        <v>0.0526</v>
      </c>
      <c r="FV222" t="str">
        <f>"0.00429"</f>
        <v>0.00429</v>
      </c>
      <c r="FW222" t="str">
        <f>"-0.154"</f>
        <v>-0.154</v>
      </c>
      <c r="FX222" t="str">
        <f>"0.0524"</f>
        <v>0.0524</v>
      </c>
      <c r="FY222" t="str">
        <f>"-0.000639"</f>
        <v>-0.000639</v>
      </c>
      <c r="FZ222" t="str">
        <f>""</f>
        <v/>
      </c>
      <c r="GA222" t="str">
        <f>""</f>
        <v/>
      </c>
      <c r="GB222" t="str">
        <f>""</f>
        <v/>
      </c>
      <c r="GC222" t="str">
        <f>""</f>
        <v/>
      </c>
      <c r="GD222" t="str">
        <f>""</f>
        <v/>
      </c>
      <c r="GE222" t="str">
        <f>""</f>
        <v/>
      </c>
      <c r="GF222" t="str">
        <f>""</f>
        <v/>
      </c>
      <c r="GG222" t="str">
        <f>""</f>
        <v/>
      </c>
      <c r="GH222" t="str">
        <f>""</f>
        <v/>
      </c>
      <c r="GI222" t="str">
        <f>""</f>
        <v/>
      </c>
      <c r="GJ222" t="str">
        <f>""</f>
        <v/>
      </c>
      <c r="GK222" t="str">
        <f>""</f>
        <v/>
      </c>
      <c r="GL222" t="str">
        <f>""</f>
        <v/>
      </c>
      <c r="GM222" t="str">
        <f>""</f>
        <v/>
      </c>
      <c r="GN222" t="str">
        <f>""</f>
        <v/>
      </c>
      <c r="GO222" t="str">
        <f>""</f>
        <v/>
      </c>
      <c r="GP222" t="str">
        <f>""</f>
        <v/>
      </c>
      <c r="GQ222" t="str">
        <f>""</f>
        <v/>
      </c>
      <c r="GR222" t="str">
        <f>""</f>
        <v/>
      </c>
      <c r="GS222" t="str">
        <f>""</f>
        <v/>
      </c>
      <c r="GT222" t="str">
        <f>""</f>
        <v/>
      </c>
      <c r="GU222" t="str">
        <f>""</f>
        <v/>
      </c>
      <c r="GV222" t="str">
        <f>""</f>
        <v/>
      </c>
      <c r="GW222" t="str">
        <f>""</f>
        <v/>
      </c>
      <c r="GX222" t="str">
        <f>""</f>
        <v/>
      </c>
      <c r="GY222" t="str">
        <f>""</f>
        <v/>
      </c>
      <c r="GZ222" t="str">
        <f>""</f>
        <v/>
      </c>
      <c r="HA222" t="str">
        <f>""</f>
        <v/>
      </c>
      <c r="HB222" t="str">
        <f>""</f>
        <v/>
      </c>
      <c r="HC222" t="str">
        <f>""</f>
        <v/>
      </c>
      <c r="HD222" t="str">
        <f>""</f>
        <v/>
      </c>
      <c r="HE222" t="str">
        <f>""</f>
        <v/>
      </c>
      <c r="HF222" t="str">
        <f>""</f>
        <v/>
      </c>
      <c r="HG222" t="str">
        <f>""</f>
        <v/>
      </c>
      <c r="HH222" t="str">
        <f>""</f>
        <v/>
      </c>
      <c r="HI222" t="str">
        <f>""</f>
        <v/>
      </c>
      <c r="HJ222" t="str">
        <f>""</f>
        <v/>
      </c>
      <c r="HK222" t="str">
        <f>""</f>
        <v/>
      </c>
      <c r="HL222" t="str">
        <f>""</f>
        <v/>
      </c>
      <c r="HM222" t="str">
        <f>""</f>
        <v/>
      </c>
      <c r="HN222" t="str">
        <f>""</f>
        <v/>
      </c>
      <c r="HO222" t="str">
        <f>""</f>
        <v/>
      </c>
      <c r="HP222" t="str">
        <f>""</f>
        <v/>
      </c>
      <c r="HQ222" t="str">
        <f>""</f>
        <v/>
      </c>
      <c r="HR222" t="str">
        <f>""</f>
        <v/>
      </c>
      <c r="HS222" t="str">
        <f>""</f>
        <v/>
      </c>
      <c r="HT222" t="str">
        <f>""</f>
        <v/>
      </c>
      <c r="HU222" t="str">
        <f>""</f>
        <v/>
      </c>
      <c r="HV222" t="str">
        <f>""</f>
        <v/>
      </c>
      <c r="HW222" t="str">
        <f>""</f>
        <v/>
      </c>
      <c r="HX222" t="str">
        <f>""</f>
        <v/>
      </c>
      <c r="HY222" t="str">
        <f>""</f>
        <v/>
      </c>
      <c r="HZ222" t="str">
        <f>""</f>
        <v/>
      </c>
      <c r="IA222" t="str">
        <f>""</f>
        <v/>
      </c>
      <c r="IB222" t="str">
        <f>""</f>
        <v/>
      </c>
      <c r="IC222" t="str">
        <f>""</f>
        <v/>
      </c>
      <c r="ID222" t="str">
        <f>""</f>
        <v/>
      </c>
      <c r="IE222" t="str">
        <f>""</f>
        <v/>
      </c>
      <c r="IF222" t="str">
        <f>""</f>
        <v/>
      </c>
      <c r="IG222" t="str">
        <f>""</f>
        <v/>
      </c>
      <c r="IH222" t="str">
        <f>""</f>
        <v/>
      </c>
      <c r="II222" t="str">
        <f>""</f>
        <v/>
      </c>
      <c r="IJ222" t="str">
        <f>""</f>
        <v/>
      </c>
      <c r="IK222" t="str">
        <f>""</f>
        <v/>
      </c>
      <c r="IL222" t="str">
        <f>""</f>
        <v/>
      </c>
      <c r="IM222" t="str">
        <f>""</f>
        <v/>
      </c>
      <c r="IN222" t="str">
        <f>""</f>
        <v/>
      </c>
      <c r="IO222" t="str">
        <f>""</f>
        <v/>
      </c>
      <c r="IP222" t="str">
        <f>""</f>
        <v/>
      </c>
      <c r="IQ222" t="str">
        <f>""</f>
        <v/>
      </c>
      <c r="IR222" t="str">
        <f>""</f>
        <v/>
      </c>
      <c r="IS222" t="str">
        <f>""</f>
        <v/>
      </c>
      <c r="IT222" t="str">
        <f>""</f>
        <v/>
      </c>
      <c r="IU222" t="str">
        <f>""</f>
        <v/>
      </c>
      <c r="IV222" t="str">
        <f>""</f>
        <v/>
      </c>
      <c r="IW222" t="str">
        <f>""</f>
        <v/>
      </c>
      <c r="IX222" t="str">
        <f>""</f>
        <v/>
      </c>
      <c r="IY222" t="str">
        <f>""</f>
        <v/>
      </c>
      <c r="IZ222" t="str">
        <f>""</f>
        <v/>
      </c>
      <c r="JA222" t="str">
        <f>""</f>
        <v/>
      </c>
      <c r="JB222" t="str">
        <f>""</f>
        <v/>
      </c>
      <c r="JC222" t="str">
        <f>""</f>
        <v/>
      </c>
      <c r="JD222" t="str">
        <f>""</f>
        <v/>
      </c>
      <c r="JE222" t="str">
        <f>""</f>
        <v/>
      </c>
      <c r="JF222" t="str">
        <f>""</f>
        <v/>
      </c>
      <c r="JG222" t="str">
        <f>""</f>
        <v/>
      </c>
      <c r="JH222" t="str">
        <f>""</f>
        <v/>
      </c>
      <c r="JI222" t="str">
        <f>""</f>
        <v/>
      </c>
      <c r="JJ222" t="str">
        <f>""</f>
        <v/>
      </c>
      <c r="JK222" t="str">
        <f>""</f>
        <v/>
      </c>
    </row>
    <row r="223" spans="1:271" x14ac:dyDescent="0.3">
      <c r="A223" t="str">
        <f>""</f>
        <v/>
      </c>
      <c r="B223" t="str">
        <f>""</f>
        <v/>
      </c>
      <c r="C223" t="str">
        <f>""</f>
        <v/>
      </c>
      <c r="D223" t="str">
        <f>""</f>
        <v/>
      </c>
      <c r="E223" t="str">
        <f>""</f>
        <v/>
      </c>
      <c r="F223" t="str">
        <f>""</f>
        <v/>
      </c>
      <c r="G223" t="str">
        <f>""</f>
        <v/>
      </c>
      <c r="H223" t="str">
        <f>""</f>
        <v/>
      </c>
      <c r="I223" t="str">
        <f>""</f>
        <v/>
      </c>
      <c r="J223" t="str">
        <f>""</f>
        <v/>
      </c>
      <c r="K223" t="str">
        <f>""</f>
        <v/>
      </c>
      <c r="L223" t="str">
        <f>""</f>
        <v/>
      </c>
      <c r="M223" t="str">
        <f>""</f>
        <v/>
      </c>
      <c r="N223" t="str">
        <f>""</f>
        <v/>
      </c>
      <c r="O223" t="str">
        <f>""</f>
        <v/>
      </c>
      <c r="P223" t="str">
        <f>""</f>
        <v/>
      </c>
      <c r="Q223" t="str">
        <f>""</f>
        <v/>
      </c>
      <c r="R223" t="str">
        <f>""</f>
        <v/>
      </c>
      <c r="S223" t="str">
        <f>""</f>
        <v/>
      </c>
      <c r="T223" t="str">
        <f>""</f>
        <v/>
      </c>
      <c r="U223" t="str">
        <f>""</f>
        <v/>
      </c>
      <c r="V223" t="str">
        <f>""</f>
        <v/>
      </c>
      <c r="W223" t="str">
        <f>""</f>
        <v/>
      </c>
      <c r="X223" t="str">
        <f>""</f>
        <v/>
      </c>
      <c r="Y223" t="str">
        <f>""</f>
        <v/>
      </c>
      <c r="Z223" t="str">
        <f>""</f>
        <v/>
      </c>
      <c r="AA223" t="str">
        <f>""</f>
        <v/>
      </c>
      <c r="AB223" t="str">
        <f>""</f>
        <v/>
      </c>
      <c r="AC223" t="str">
        <f>""</f>
        <v/>
      </c>
      <c r="AD223" t="str">
        <f>""</f>
        <v/>
      </c>
      <c r="AE223" t="str">
        <f>""</f>
        <v/>
      </c>
      <c r="AF223" t="str">
        <f>""</f>
        <v/>
      </c>
      <c r="AG223" t="str">
        <f>""</f>
        <v/>
      </c>
      <c r="AH223" t="str">
        <f>""</f>
        <v/>
      </c>
      <c r="AI223" t="str">
        <f>""</f>
        <v/>
      </c>
      <c r="AJ223" t="str">
        <f>""</f>
        <v/>
      </c>
      <c r="AK223" t="str">
        <f>""</f>
        <v/>
      </c>
      <c r="AL223" t="str">
        <f>""</f>
        <v/>
      </c>
      <c r="AM223" t="str">
        <f>""</f>
        <v/>
      </c>
      <c r="AN223" t="str">
        <f>""</f>
        <v/>
      </c>
      <c r="AO223" t="str">
        <f>""</f>
        <v/>
      </c>
      <c r="AP223" t="str">
        <f>""</f>
        <v/>
      </c>
      <c r="AQ223" t="str">
        <f>""</f>
        <v/>
      </c>
      <c r="AR223" t="str">
        <f>""</f>
        <v/>
      </c>
      <c r="AS223" t="str">
        <f>""</f>
        <v/>
      </c>
      <c r="AT223" t="str">
        <f>""</f>
        <v/>
      </c>
      <c r="AU223" t="str">
        <f>""</f>
        <v/>
      </c>
      <c r="AV223" t="str">
        <f>""</f>
        <v/>
      </c>
      <c r="AW223" t="str">
        <f>""</f>
        <v/>
      </c>
      <c r="AX223" t="str">
        <f>""</f>
        <v/>
      </c>
      <c r="AY223" t="str">
        <f>""</f>
        <v/>
      </c>
      <c r="AZ223" t="str">
        <f>""</f>
        <v/>
      </c>
      <c r="BA223" t="str">
        <f>""</f>
        <v/>
      </c>
      <c r="BB223" t="str">
        <f>""</f>
        <v/>
      </c>
      <c r="BC223" t="str">
        <f>""</f>
        <v/>
      </c>
      <c r="BD223" t="str">
        <f>""</f>
        <v/>
      </c>
      <c r="BE223" t="str">
        <f>""</f>
        <v/>
      </c>
      <c r="BF223" t="str">
        <f>""</f>
        <v/>
      </c>
      <c r="BG223" t="str">
        <f>""</f>
        <v/>
      </c>
      <c r="BH223" t="str">
        <f>""</f>
        <v/>
      </c>
      <c r="BI223" t="str">
        <f>""</f>
        <v/>
      </c>
      <c r="BJ223" t="str">
        <f>""</f>
        <v/>
      </c>
      <c r="BK223" t="str">
        <f>""</f>
        <v/>
      </c>
      <c r="BL223" t="str">
        <f>""</f>
        <v/>
      </c>
      <c r="BM223" t="str">
        <f>""</f>
        <v/>
      </c>
      <c r="BN223" t="str">
        <f>""</f>
        <v/>
      </c>
      <c r="BO223" t="str">
        <f>""</f>
        <v/>
      </c>
      <c r="BP223" t="str">
        <f>""</f>
        <v/>
      </c>
      <c r="BQ223" t="str">
        <f>""</f>
        <v/>
      </c>
      <c r="BR223" t="str">
        <f>""</f>
        <v/>
      </c>
      <c r="BS223" t="str">
        <f>""</f>
        <v/>
      </c>
      <c r="BT223" t="str">
        <f>""</f>
        <v/>
      </c>
      <c r="BU223" t="str">
        <f>""</f>
        <v/>
      </c>
      <c r="BV223" t="str">
        <f>""</f>
        <v/>
      </c>
      <c r="BW223" t="str">
        <f>""</f>
        <v/>
      </c>
      <c r="BX223" t="str">
        <f>""</f>
        <v/>
      </c>
      <c r="BY223" t="str">
        <f>""</f>
        <v/>
      </c>
      <c r="BZ223" t="str">
        <f>""</f>
        <v/>
      </c>
      <c r="CA223" t="str">
        <f>""</f>
        <v/>
      </c>
      <c r="CB223" t="str">
        <f>""</f>
        <v/>
      </c>
      <c r="CC223" t="str">
        <f>""</f>
        <v/>
      </c>
      <c r="CD223" t="str">
        <f>""</f>
        <v/>
      </c>
      <c r="CE223" t="str">
        <f>""</f>
        <v/>
      </c>
      <c r="CF223" t="str">
        <f>""</f>
        <v/>
      </c>
      <c r="CG223" t="str">
        <f>""</f>
        <v/>
      </c>
      <c r="CH223" t="str">
        <f>""</f>
        <v/>
      </c>
      <c r="CI223" t="str">
        <f>""</f>
        <v/>
      </c>
      <c r="CJ223" t="str">
        <f>""</f>
        <v/>
      </c>
      <c r="CK223" t="str">
        <f>""</f>
        <v/>
      </c>
      <c r="CL223" t="str">
        <f>""</f>
        <v/>
      </c>
      <c r="CM223" t="str">
        <f>""</f>
        <v/>
      </c>
      <c r="CN223" t="str">
        <f>""</f>
        <v/>
      </c>
      <c r="CO223" t="str">
        <f>""</f>
        <v/>
      </c>
      <c r="CP223" t="str">
        <f>""</f>
        <v/>
      </c>
      <c r="CQ223" t="str">
        <f>""</f>
        <v/>
      </c>
      <c r="CR223" t="str">
        <f>""</f>
        <v/>
      </c>
      <c r="CS223" t="str">
        <f>""</f>
        <v/>
      </c>
      <c r="CT223" t="str">
        <f>""</f>
        <v/>
      </c>
      <c r="CU223" t="str">
        <f>""</f>
        <v/>
      </c>
      <c r="CV223" t="str">
        <f>""</f>
        <v/>
      </c>
      <c r="CW223" t="str">
        <f>""</f>
        <v/>
      </c>
      <c r="CX223" t="str">
        <f>""</f>
        <v/>
      </c>
      <c r="CY223" t="str">
        <f>""</f>
        <v/>
      </c>
      <c r="CZ223" t="str">
        <f>""</f>
        <v/>
      </c>
      <c r="DA223" t="str">
        <f>""</f>
        <v/>
      </c>
      <c r="DB223" t="str">
        <f>""</f>
        <v/>
      </c>
      <c r="DC223" t="str">
        <f>""</f>
        <v/>
      </c>
      <c r="DD223" t="str">
        <f>""</f>
        <v/>
      </c>
      <c r="DE223" t="str">
        <f>""</f>
        <v/>
      </c>
      <c r="DF223" t="str">
        <f>""</f>
        <v/>
      </c>
      <c r="DG223" t="str">
        <f>""</f>
        <v/>
      </c>
      <c r="DH223" t="str">
        <f>""</f>
        <v/>
      </c>
      <c r="DI223" t="str">
        <f>""</f>
        <v/>
      </c>
      <c r="DJ223" t="str">
        <f>""</f>
        <v/>
      </c>
      <c r="DK223" t="str">
        <f>""</f>
        <v/>
      </c>
      <c r="DL223" t="str">
        <f>""</f>
        <v/>
      </c>
      <c r="DM223" t="str">
        <f>""</f>
        <v/>
      </c>
      <c r="DN223" t="str">
        <f>""</f>
        <v/>
      </c>
      <c r="DO223" t="str">
        <f>""</f>
        <v/>
      </c>
      <c r="DP223" t="str">
        <f>""</f>
        <v/>
      </c>
      <c r="DQ223" t="str">
        <f>""</f>
        <v/>
      </c>
      <c r="DR223" t="str">
        <f>""</f>
        <v/>
      </c>
      <c r="DS223" t="str">
        <f>""</f>
        <v/>
      </c>
      <c r="DT223" t="str">
        <f>""</f>
        <v/>
      </c>
      <c r="DU223" t="str">
        <f>""</f>
        <v/>
      </c>
      <c r="DV223" t="str">
        <f>""</f>
        <v/>
      </c>
      <c r="DW223" t="str">
        <f>""</f>
        <v/>
      </c>
      <c r="DX223" t="str">
        <f>""</f>
        <v/>
      </c>
      <c r="DY223" t="str">
        <f>""</f>
        <v/>
      </c>
      <c r="DZ223" t="str">
        <f>""</f>
        <v/>
      </c>
      <c r="EA223" t="str">
        <f>""</f>
        <v/>
      </c>
      <c r="EB223" t="str">
        <f>""</f>
        <v/>
      </c>
      <c r="EC223" t="str">
        <f>""</f>
        <v/>
      </c>
      <c r="ED223" t="str">
        <f>""</f>
        <v/>
      </c>
      <c r="EE223" t="str">
        <f>""</f>
        <v/>
      </c>
      <c r="EF223" t="str">
        <f>""</f>
        <v/>
      </c>
      <c r="EG223" t="str">
        <f>"(0.113)"</f>
        <v>(0.113)</v>
      </c>
      <c r="EH223" t="str">
        <f>"(0.0874)"</f>
        <v>(0.0874)</v>
      </c>
      <c r="EI223" t="str">
        <f>"(0.0477)"</f>
        <v>(0.0477)</v>
      </c>
      <c r="EJ223" t="str">
        <f>"(0.111)"</f>
        <v>(0.111)</v>
      </c>
      <c r="EK223" t="str">
        <f>"(0.0867)"</f>
        <v>(0.0867)</v>
      </c>
      <c r="EL223" t="str">
        <f>"(0.0479)"</f>
        <v>(0.0479)</v>
      </c>
      <c r="EM223" t="str">
        <f>"(0.111)"</f>
        <v>(0.111)</v>
      </c>
      <c r="EN223" t="str">
        <f>"(0.0869)"</f>
        <v>(0.0869)</v>
      </c>
      <c r="EO223" t="str">
        <f>"(0.0489)"</f>
        <v>(0.0489)</v>
      </c>
      <c r="EP223" t="str">
        <f>"(0.113)"</f>
        <v>(0.113)</v>
      </c>
      <c r="EQ223" t="str">
        <f>"(0.0871)"</f>
        <v>(0.0871)</v>
      </c>
      <c r="ER223" t="str">
        <f>"(0.0486)"</f>
        <v>(0.0486)</v>
      </c>
      <c r="ES223" t="str">
        <f>"(0.111)"</f>
        <v>(0.111)</v>
      </c>
      <c r="ET223" t="str">
        <f>"(0.0870)"</f>
        <v>(0.0870)</v>
      </c>
      <c r="EU223" t="str">
        <f>"(0.0486)"</f>
        <v>(0.0486)</v>
      </c>
      <c r="EV223" t="str">
        <f>"(0.111)"</f>
        <v>(0.111)</v>
      </c>
      <c r="EW223" t="str">
        <f>"(0.0867)"</f>
        <v>(0.0867)</v>
      </c>
      <c r="EX223" t="str">
        <f>"(0.0476)"</f>
        <v>(0.0476)</v>
      </c>
      <c r="EY223" t="str">
        <f>"(0.111)"</f>
        <v>(0.111)</v>
      </c>
      <c r="EZ223" t="str">
        <f>"(0.0866)"</f>
        <v>(0.0866)</v>
      </c>
      <c r="FA223" t="str">
        <f>"(0.0482)"</f>
        <v>(0.0482)</v>
      </c>
      <c r="FB223" t="str">
        <f>"(0.111)"</f>
        <v>(0.111)</v>
      </c>
      <c r="FC223" t="str">
        <f>"(0.0867)"</f>
        <v>(0.0867)</v>
      </c>
      <c r="FD223" t="str">
        <f>"(0.0472)"</f>
        <v>(0.0472)</v>
      </c>
      <c r="FE223" t="str">
        <f>"(0.111)"</f>
        <v>(0.111)</v>
      </c>
      <c r="FF223" t="str">
        <f>"(0.0865)"</f>
        <v>(0.0865)</v>
      </c>
      <c r="FG223" t="str">
        <f>"(0.0471)"</f>
        <v>(0.0471)</v>
      </c>
      <c r="FH223" t="str">
        <f>"(0.111)"</f>
        <v>(0.111)</v>
      </c>
      <c r="FI223" t="str">
        <f>"(0.0865)"</f>
        <v>(0.0865)</v>
      </c>
      <c r="FJ223" t="str">
        <f>"(0.0472)"</f>
        <v>(0.0472)</v>
      </c>
      <c r="FK223" t="str">
        <f>"(0.111)"</f>
        <v>(0.111)</v>
      </c>
      <c r="FL223" t="str">
        <f>"(0.0869)"</f>
        <v>(0.0869)</v>
      </c>
      <c r="FM223" t="str">
        <f>"(0.0481)"</f>
        <v>(0.0481)</v>
      </c>
      <c r="FN223" t="str">
        <f>"(0.111)"</f>
        <v>(0.111)</v>
      </c>
      <c r="FO223" t="str">
        <f>"(0.0867)"</f>
        <v>(0.0867)</v>
      </c>
      <c r="FP223" t="str">
        <f>"(0.0471)"</f>
        <v>(0.0471)</v>
      </c>
      <c r="FQ223" t="str">
        <f>"(0.113)"</f>
        <v>(0.113)</v>
      </c>
      <c r="FR223" t="str">
        <f>"(0.0870)"</f>
        <v>(0.0870)</v>
      </c>
      <c r="FS223" t="str">
        <f>"(0.0478)"</f>
        <v>(0.0478)</v>
      </c>
      <c r="FT223" t="str">
        <f>"(0.111)"</f>
        <v>(0.111)</v>
      </c>
      <c r="FU223" t="str">
        <f>"(0.0865)"</f>
        <v>(0.0865)</v>
      </c>
      <c r="FV223" t="str">
        <f>"(0.0472)"</f>
        <v>(0.0472)</v>
      </c>
      <c r="FW223" t="str">
        <f>"(0.111)"</f>
        <v>(0.111)</v>
      </c>
      <c r="FX223" t="str">
        <f>"(0.0865)"</f>
        <v>(0.0865)</v>
      </c>
      <c r="FY223" t="str">
        <f>"(0.0474)"</f>
        <v>(0.0474)</v>
      </c>
      <c r="FZ223" t="str">
        <f>""</f>
        <v/>
      </c>
      <c r="GA223" t="str">
        <f>""</f>
        <v/>
      </c>
      <c r="GB223" t="str">
        <f>""</f>
        <v/>
      </c>
      <c r="GC223" t="str">
        <f>""</f>
        <v/>
      </c>
      <c r="GD223" t="str">
        <f>""</f>
        <v/>
      </c>
      <c r="GE223" t="str">
        <f>""</f>
        <v/>
      </c>
      <c r="GF223" t="str">
        <f>""</f>
        <v/>
      </c>
      <c r="GG223" t="str">
        <f>""</f>
        <v/>
      </c>
      <c r="GH223" t="str">
        <f>""</f>
        <v/>
      </c>
      <c r="GI223" t="str">
        <f>""</f>
        <v/>
      </c>
      <c r="GJ223" t="str">
        <f>""</f>
        <v/>
      </c>
      <c r="GK223" t="str">
        <f>""</f>
        <v/>
      </c>
      <c r="GL223" t="str">
        <f>""</f>
        <v/>
      </c>
      <c r="GM223" t="str">
        <f>""</f>
        <v/>
      </c>
      <c r="GN223" t="str">
        <f>""</f>
        <v/>
      </c>
      <c r="GO223" t="str">
        <f>""</f>
        <v/>
      </c>
      <c r="GP223" t="str">
        <f>""</f>
        <v/>
      </c>
      <c r="GQ223" t="str">
        <f>""</f>
        <v/>
      </c>
      <c r="GR223" t="str">
        <f>""</f>
        <v/>
      </c>
      <c r="GS223" t="str">
        <f>""</f>
        <v/>
      </c>
      <c r="GT223" t="str">
        <f>""</f>
        <v/>
      </c>
      <c r="GU223" t="str">
        <f>""</f>
        <v/>
      </c>
      <c r="GV223" t="str">
        <f>""</f>
        <v/>
      </c>
      <c r="GW223" t="str">
        <f>""</f>
        <v/>
      </c>
      <c r="GX223" t="str">
        <f>""</f>
        <v/>
      </c>
      <c r="GY223" t="str">
        <f>""</f>
        <v/>
      </c>
      <c r="GZ223" t="str">
        <f>""</f>
        <v/>
      </c>
      <c r="HA223" t="str">
        <f>""</f>
        <v/>
      </c>
      <c r="HB223" t="str">
        <f>""</f>
        <v/>
      </c>
      <c r="HC223" t="str">
        <f>""</f>
        <v/>
      </c>
      <c r="HD223" t="str">
        <f>""</f>
        <v/>
      </c>
      <c r="HE223" t="str">
        <f>""</f>
        <v/>
      </c>
      <c r="HF223" t="str">
        <f>""</f>
        <v/>
      </c>
      <c r="HG223" t="str">
        <f>""</f>
        <v/>
      </c>
      <c r="HH223" t="str">
        <f>""</f>
        <v/>
      </c>
      <c r="HI223" t="str">
        <f>""</f>
        <v/>
      </c>
      <c r="HJ223" t="str">
        <f>""</f>
        <v/>
      </c>
      <c r="HK223" t="str">
        <f>""</f>
        <v/>
      </c>
      <c r="HL223" t="str">
        <f>""</f>
        <v/>
      </c>
      <c r="HM223" t="str">
        <f>""</f>
        <v/>
      </c>
      <c r="HN223" t="str">
        <f>""</f>
        <v/>
      </c>
      <c r="HO223" t="str">
        <f>""</f>
        <v/>
      </c>
      <c r="HP223" t="str">
        <f>""</f>
        <v/>
      </c>
      <c r="HQ223" t="str">
        <f>""</f>
        <v/>
      </c>
      <c r="HR223" t="str">
        <f>""</f>
        <v/>
      </c>
      <c r="HS223" t="str">
        <f>""</f>
        <v/>
      </c>
      <c r="HT223" t="str">
        <f>""</f>
        <v/>
      </c>
      <c r="HU223" t="str">
        <f>""</f>
        <v/>
      </c>
      <c r="HV223" t="str">
        <f>""</f>
        <v/>
      </c>
      <c r="HW223" t="str">
        <f>""</f>
        <v/>
      </c>
      <c r="HX223" t="str">
        <f>""</f>
        <v/>
      </c>
      <c r="HY223" t="str">
        <f>""</f>
        <v/>
      </c>
      <c r="HZ223" t="str">
        <f>""</f>
        <v/>
      </c>
      <c r="IA223" t="str">
        <f>""</f>
        <v/>
      </c>
      <c r="IB223" t="str">
        <f>""</f>
        <v/>
      </c>
      <c r="IC223" t="str">
        <f>""</f>
        <v/>
      </c>
      <c r="ID223" t="str">
        <f>""</f>
        <v/>
      </c>
      <c r="IE223" t="str">
        <f>""</f>
        <v/>
      </c>
      <c r="IF223" t="str">
        <f>""</f>
        <v/>
      </c>
      <c r="IG223" t="str">
        <f>""</f>
        <v/>
      </c>
      <c r="IH223" t="str">
        <f>""</f>
        <v/>
      </c>
      <c r="II223" t="str">
        <f>""</f>
        <v/>
      </c>
      <c r="IJ223" t="str">
        <f>""</f>
        <v/>
      </c>
      <c r="IK223" t="str">
        <f>""</f>
        <v/>
      </c>
      <c r="IL223" t="str">
        <f>""</f>
        <v/>
      </c>
      <c r="IM223" t="str">
        <f>""</f>
        <v/>
      </c>
      <c r="IN223" t="str">
        <f>""</f>
        <v/>
      </c>
      <c r="IO223" t="str">
        <f>""</f>
        <v/>
      </c>
      <c r="IP223" t="str">
        <f>""</f>
        <v/>
      </c>
      <c r="IQ223" t="str">
        <f>""</f>
        <v/>
      </c>
      <c r="IR223" t="str">
        <f>""</f>
        <v/>
      </c>
      <c r="IS223" t="str">
        <f>""</f>
        <v/>
      </c>
      <c r="IT223" t="str">
        <f>""</f>
        <v/>
      </c>
      <c r="IU223" t="str">
        <f>""</f>
        <v/>
      </c>
      <c r="IV223" t="str">
        <f>""</f>
        <v/>
      </c>
      <c r="IW223" t="str">
        <f>""</f>
        <v/>
      </c>
      <c r="IX223" t="str">
        <f>""</f>
        <v/>
      </c>
      <c r="IY223" t="str">
        <f>""</f>
        <v/>
      </c>
      <c r="IZ223" t="str">
        <f>""</f>
        <v/>
      </c>
      <c r="JA223" t="str">
        <f>""</f>
        <v/>
      </c>
      <c r="JB223" t="str">
        <f>""</f>
        <v/>
      </c>
      <c r="JC223" t="str">
        <f>""</f>
        <v/>
      </c>
      <c r="JD223" t="str">
        <f>""</f>
        <v/>
      </c>
      <c r="JE223" t="str">
        <f>""</f>
        <v/>
      </c>
      <c r="JF223" t="str">
        <f>""</f>
        <v/>
      </c>
      <c r="JG223" t="str">
        <f>""</f>
        <v/>
      </c>
      <c r="JH223" t="str">
        <f>""</f>
        <v/>
      </c>
      <c r="JI223" t="str">
        <f>""</f>
        <v/>
      </c>
      <c r="JJ223" t="str">
        <f>""</f>
        <v/>
      </c>
      <c r="JK223" t="str">
        <f>""</f>
        <v/>
      </c>
    </row>
    <row r="225" spans="1:271" x14ac:dyDescent="0.3">
      <c r="A225" t="str">
        <f>"c.zMETAB1#c.PM4"</f>
        <v>c.zMETAB1#c.PM4</v>
      </c>
      <c r="B225" t="str">
        <f>""</f>
        <v/>
      </c>
      <c r="C225" t="str">
        <f>""</f>
        <v/>
      </c>
      <c r="D225" t="str">
        <f>""</f>
        <v/>
      </c>
      <c r="E225" t="str">
        <f>""</f>
        <v/>
      </c>
      <c r="F225" t="str">
        <f>""</f>
        <v/>
      </c>
      <c r="G225" t="str">
        <f>""</f>
        <v/>
      </c>
      <c r="H225" t="str">
        <f>""</f>
        <v/>
      </c>
      <c r="I225" t="str">
        <f>""</f>
        <v/>
      </c>
      <c r="J225" t="str">
        <f>""</f>
        <v/>
      </c>
      <c r="K225" t="str">
        <f>""</f>
        <v/>
      </c>
      <c r="L225" t="str">
        <f>""</f>
        <v/>
      </c>
      <c r="M225" t="str">
        <f>""</f>
        <v/>
      </c>
      <c r="N225" t="str">
        <f>""</f>
        <v/>
      </c>
      <c r="O225" t="str">
        <f>""</f>
        <v/>
      </c>
      <c r="P225" t="str">
        <f>""</f>
        <v/>
      </c>
      <c r="Q225" t="str">
        <f>""</f>
        <v/>
      </c>
      <c r="R225" t="str">
        <f>""</f>
        <v/>
      </c>
      <c r="S225" t="str">
        <f>""</f>
        <v/>
      </c>
      <c r="T225" t="str">
        <f>""</f>
        <v/>
      </c>
      <c r="U225" t="str">
        <f>""</f>
        <v/>
      </c>
      <c r="V225" t="str">
        <f>""</f>
        <v/>
      </c>
      <c r="W225" t="str">
        <f>""</f>
        <v/>
      </c>
      <c r="X225" t="str">
        <f>""</f>
        <v/>
      </c>
      <c r="Y225" t="str">
        <f>""</f>
        <v/>
      </c>
      <c r="Z225" t="str">
        <f>""</f>
        <v/>
      </c>
      <c r="AA225" t="str">
        <f>""</f>
        <v/>
      </c>
      <c r="AB225" t="str">
        <f>""</f>
        <v/>
      </c>
      <c r="AC225" t="str">
        <f>""</f>
        <v/>
      </c>
      <c r="AD225" t="str">
        <f>""</f>
        <v/>
      </c>
      <c r="AE225" t="str">
        <f>""</f>
        <v/>
      </c>
      <c r="AF225" t="str">
        <f>""</f>
        <v/>
      </c>
      <c r="AG225" t="str">
        <f>""</f>
        <v/>
      </c>
      <c r="AH225" t="str">
        <f>""</f>
        <v/>
      </c>
      <c r="AI225" t="str">
        <f>""</f>
        <v/>
      </c>
      <c r="AJ225" t="str">
        <f>""</f>
        <v/>
      </c>
      <c r="AK225" t="str">
        <f>""</f>
        <v/>
      </c>
      <c r="AL225" t="str">
        <f>""</f>
        <v/>
      </c>
      <c r="AM225" t="str">
        <f>""</f>
        <v/>
      </c>
      <c r="AN225" t="str">
        <f>""</f>
        <v/>
      </c>
      <c r="AO225" t="str">
        <f>""</f>
        <v/>
      </c>
      <c r="AP225" t="str">
        <f>""</f>
        <v/>
      </c>
      <c r="AQ225" t="str">
        <f>""</f>
        <v/>
      </c>
      <c r="AR225" t="str">
        <f>""</f>
        <v/>
      </c>
      <c r="AS225" t="str">
        <f>""</f>
        <v/>
      </c>
      <c r="AT225" t="str">
        <f>""</f>
        <v/>
      </c>
      <c r="AU225" t="str">
        <f>""</f>
        <v/>
      </c>
      <c r="AV225" t="str">
        <f>""</f>
        <v/>
      </c>
      <c r="AW225" t="str">
        <f>""</f>
        <v/>
      </c>
      <c r="AX225" t="str">
        <f>""</f>
        <v/>
      </c>
      <c r="AY225" t="str">
        <f>""</f>
        <v/>
      </c>
      <c r="AZ225" t="str">
        <f>""</f>
        <v/>
      </c>
      <c r="BA225" t="str">
        <f>""</f>
        <v/>
      </c>
      <c r="BB225" t="str">
        <f>""</f>
        <v/>
      </c>
      <c r="BC225" t="str">
        <f>""</f>
        <v/>
      </c>
      <c r="BD225" t="str">
        <f>""</f>
        <v/>
      </c>
      <c r="BE225" t="str">
        <f>""</f>
        <v/>
      </c>
      <c r="BF225" t="str">
        <f>""</f>
        <v/>
      </c>
      <c r="BG225" t="str">
        <f>""</f>
        <v/>
      </c>
      <c r="BH225" t="str">
        <f>""</f>
        <v/>
      </c>
      <c r="BI225" t="str">
        <f>""</f>
        <v/>
      </c>
      <c r="BJ225" t="str">
        <f>""</f>
        <v/>
      </c>
      <c r="BK225" t="str">
        <f>""</f>
        <v/>
      </c>
      <c r="BL225" t="str">
        <f>""</f>
        <v/>
      </c>
      <c r="BM225" t="str">
        <f>""</f>
        <v/>
      </c>
      <c r="BN225" t="str">
        <f>""</f>
        <v/>
      </c>
      <c r="BO225" t="str">
        <f>""</f>
        <v/>
      </c>
      <c r="BP225" t="str">
        <f>""</f>
        <v/>
      </c>
      <c r="BQ225" t="str">
        <f>""</f>
        <v/>
      </c>
      <c r="BR225" t="str">
        <f>""</f>
        <v/>
      </c>
      <c r="BS225" t="str">
        <f>""</f>
        <v/>
      </c>
      <c r="BT225" t="str">
        <f>""</f>
        <v/>
      </c>
      <c r="BU225" t="str">
        <f>""</f>
        <v/>
      </c>
      <c r="BV225" t="str">
        <f>""</f>
        <v/>
      </c>
      <c r="BW225" t="str">
        <f>""</f>
        <v/>
      </c>
      <c r="BX225" t="str">
        <f>""</f>
        <v/>
      </c>
      <c r="BY225" t="str">
        <f>""</f>
        <v/>
      </c>
      <c r="BZ225" t="str">
        <f>""</f>
        <v/>
      </c>
      <c r="CA225" t="str">
        <f>""</f>
        <v/>
      </c>
      <c r="CB225" t="str">
        <f>""</f>
        <v/>
      </c>
      <c r="CC225" t="str">
        <f>""</f>
        <v/>
      </c>
      <c r="CD225" t="str">
        <f>""</f>
        <v/>
      </c>
      <c r="CE225" t="str">
        <f>""</f>
        <v/>
      </c>
      <c r="CF225" t="str">
        <f>""</f>
        <v/>
      </c>
      <c r="CG225" t="str">
        <f>""</f>
        <v/>
      </c>
      <c r="CH225" t="str">
        <f>""</f>
        <v/>
      </c>
      <c r="CI225" t="str">
        <f>""</f>
        <v/>
      </c>
      <c r="CJ225" t="str">
        <f>""</f>
        <v/>
      </c>
      <c r="CK225" t="str">
        <f>""</f>
        <v/>
      </c>
      <c r="CL225" t="str">
        <f>""</f>
        <v/>
      </c>
      <c r="CM225" t="str">
        <f>""</f>
        <v/>
      </c>
      <c r="CN225" t="str">
        <f>""</f>
        <v/>
      </c>
      <c r="CO225" t="str">
        <f>""</f>
        <v/>
      </c>
      <c r="CP225" t="str">
        <f>""</f>
        <v/>
      </c>
      <c r="CQ225" t="str">
        <f>""</f>
        <v/>
      </c>
      <c r="CR225" t="str">
        <f>""</f>
        <v/>
      </c>
      <c r="CS225" t="str">
        <f>""</f>
        <v/>
      </c>
      <c r="CT225" t="str">
        <f>""</f>
        <v/>
      </c>
      <c r="CU225" t="str">
        <f>""</f>
        <v/>
      </c>
      <c r="CV225" t="str">
        <f>""</f>
        <v/>
      </c>
      <c r="CW225" t="str">
        <f>""</f>
        <v/>
      </c>
      <c r="CX225" t="str">
        <f>""</f>
        <v/>
      </c>
      <c r="CY225" t="str">
        <f>""</f>
        <v/>
      </c>
      <c r="CZ225" t="str">
        <f>""</f>
        <v/>
      </c>
      <c r="DA225" t="str">
        <f>""</f>
        <v/>
      </c>
      <c r="DB225" t="str">
        <f>""</f>
        <v/>
      </c>
      <c r="DC225" t="str">
        <f>""</f>
        <v/>
      </c>
      <c r="DD225" t="str">
        <f>""</f>
        <v/>
      </c>
      <c r="DE225" t="str">
        <f>""</f>
        <v/>
      </c>
      <c r="DF225" t="str">
        <f>""</f>
        <v/>
      </c>
      <c r="DG225" t="str">
        <f>""</f>
        <v/>
      </c>
      <c r="DH225" t="str">
        <f>""</f>
        <v/>
      </c>
      <c r="DI225" t="str">
        <f>""</f>
        <v/>
      </c>
      <c r="DJ225" t="str">
        <f>""</f>
        <v/>
      </c>
      <c r="DK225" t="str">
        <f>""</f>
        <v/>
      </c>
      <c r="DL225" t="str">
        <f>""</f>
        <v/>
      </c>
      <c r="DM225" t="str">
        <f>""</f>
        <v/>
      </c>
      <c r="DN225" t="str">
        <f>""</f>
        <v/>
      </c>
      <c r="DO225" t="str">
        <f>""</f>
        <v/>
      </c>
      <c r="DP225" t="str">
        <f>""</f>
        <v/>
      </c>
      <c r="DQ225" t="str">
        <f>""</f>
        <v/>
      </c>
      <c r="DR225" t="str">
        <f>""</f>
        <v/>
      </c>
      <c r="DS225" t="str">
        <f>""</f>
        <v/>
      </c>
      <c r="DT225" t="str">
        <f>""</f>
        <v/>
      </c>
      <c r="DU225" t="str">
        <f>""</f>
        <v/>
      </c>
      <c r="DV225" t="str">
        <f>""</f>
        <v/>
      </c>
      <c r="DW225" t="str">
        <f>""</f>
        <v/>
      </c>
      <c r="DX225" t="str">
        <f>""</f>
        <v/>
      </c>
      <c r="DY225" t="str">
        <f>""</f>
        <v/>
      </c>
      <c r="DZ225" t="str">
        <f>""</f>
        <v/>
      </c>
      <c r="EA225" t="str">
        <f>""</f>
        <v/>
      </c>
      <c r="EB225" t="str">
        <f>""</f>
        <v/>
      </c>
      <c r="EC225" t="str">
        <f>""</f>
        <v/>
      </c>
      <c r="ED225" t="str">
        <f>""</f>
        <v/>
      </c>
      <c r="EE225" t="str">
        <f>""</f>
        <v/>
      </c>
      <c r="EF225" t="str">
        <f>""</f>
        <v/>
      </c>
      <c r="EG225" t="str">
        <f>"0.0325"</f>
        <v>0.0325</v>
      </c>
      <c r="EH225" t="str">
        <f>"0.0238"</f>
        <v>0.0238</v>
      </c>
      <c r="EI225" t="str">
        <f>"-0.0277"</f>
        <v>-0.0277</v>
      </c>
      <c r="EJ225" t="str">
        <f>""</f>
        <v/>
      </c>
      <c r="EK225" t="str">
        <f>""</f>
        <v/>
      </c>
      <c r="EL225" t="str">
        <f>""</f>
        <v/>
      </c>
      <c r="EM225" t="str">
        <f>""</f>
        <v/>
      </c>
      <c r="EN225" t="str">
        <f>""</f>
        <v/>
      </c>
      <c r="EO225" t="str">
        <f>""</f>
        <v/>
      </c>
      <c r="EP225" t="str">
        <f>""</f>
        <v/>
      </c>
      <c r="EQ225" t="str">
        <f>""</f>
        <v/>
      </c>
      <c r="ER225" t="str">
        <f>""</f>
        <v/>
      </c>
      <c r="ES225" t="str">
        <f>""</f>
        <v/>
      </c>
      <c r="ET225" t="str">
        <f>""</f>
        <v/>
      </c>
      <c r="EU225" t="str">
        <f>""</f>
        <v/>
      </c>
      <c r="EV225" t="str">
        <f>""</f>
        <v/>
      </c>
      <c r="EW225" t="str">
        <f>""</f>
        <v/>
      </c>
      <c r="EX225" t="str">
        <f>""</f>
        <v/>
      </c>
      <c r="EY225" t="str">
        <f>""</f>
        <v/>
      </c>
      <c r="EZ225" t="str">
        <f>""</f>
        <v/>
      </c>
      <c r="FA225" t="str">
        <f>""</f>
        <v/>
      </c>
      <c r="FB225" t="str">
        <f>""</f>
        <v/>
      </c>
      <c r="FC225" t="str">
        <f>""</f>
        <v/>
      </c>
      <c r="FD225" t="str">
        <f>""</f>
        <v/>
      </c>
      <c r="FE225" t="str">
        <f>""</f>
        <v/>
      </c>
      <c r="FF225" t="str">
        <f>""</f>
        <v/>
      </c>
      <c r="FG225" t="str">
        <f>""</f>
        <v/>
      </c>
      <c r="FH225" t="str">
        <f>""</f>
        <v/>
      </c>
      <c r="FI225" t="str">
        <f>""</f>
        <v/>
      </c>
      <c r="FJ225" t="str">
        <f>""</f>
        <v/>
      </c>
      <c r="FK225" t="str">
        <f>""</f>
        <v/>
      </c>
      <c r="FL225" t="str">
        <f>""</f>
        <v/>
      </c>
      <c r="FM225" t="str">
        <f>""</f>
        <v/>
      </c>
      <c r="FN225" t="str">
        <f>""</f>
        <v/>
      </c>
      <c r="FO225" t="str">
        <f>""</f>
        <v/>
      </c>
      <c r="FP225" t="str">
        <f>""</f>
        <v/>
      </c>
      <c r="FQ225" t="str">
        <f>""</f>
        <v/>
      </c>
      <c r="FR225" t="str">
        <f>""</f>
        <v/>
      </c>
      <c r="FS225" t="str">
        <f>""</f>
        <v/>
      </c>
      <c r="FT225" t="str">
        <f>""</f>
        <v/>
      </c>
      <c r="FU225" t="str">
        <f>""</f>
        <v/>
      </c>
      <c r="FV225" t="str">
        <f>""</f>
        <v/>
      </c>
      <c r="FW225" t="str">
        <f>""</f>
        <v/>
      </c>
      <c r="FX225" t="str">
        <f>""</f>
        <v/>
      </c>
      <c r="FY225" t="str">
        <f>""</f>
        <v/>
      </c>
      <c r="FZ225" t="str">
        <f>""</f>
        <v/>
      </c>
      <c r="GA225" t="str">
        <f>""</f>
        <v/>
      </c>
      <c r="GB225" t="str">
        <f>""</f>
        <v/>
      </c>
      <c r="GC225" t="str">
        <f>""</f>
        <v/>
      </c>
      <c r="GD225" t="str">
        <f>""</f>
        <v/>
      </c>
      <c r="GE225" t="str">
        <f>""</f>
        <v/>
      </c>
      <c r="GF225" t="str">
        <f>""</f>
        <v/>
      </c>
      <c r="GG225" t="str">
        <f>""</f>
        <v/>
      </c>
      <c r="GH225" t="str">
        <f>""</f>
        <v/>
      </c>
      <c r="GI225" t="str">
        <f>""</f>
        <v/>
      </c>
      <c r="GJ225" t="str">
        <f>""</f>
        <v/>
      </c>
      <c r="GK225" t="str">
        <f>""</f>
        <v/>
      </c>
      <c r="GL225" t="str">
        <f>""</f>
        <v/>
      </c>
      <c r="GM225" t="str">
        <f>""</f>
        <v/>
      </c>
      <c r="GN225" t="str">
        <f>""</f>
        <v/>
      </c>
      <c r="GO225" t="str">
        <f>""</f>
        <v/>
      </c>
      <c r="GP225" t="str">
        <f>""</f>
        <v/>
      </c>
      <c r="GQ225" t="str">
        <f>""</f>
        <v/>
      </c>
      <c r="GR225" t="str">
        <f>""</f>
        <v/>
      </c>
      <c r="GS225" t="str">
        <f>""</f>
        <v/>
      </c>
      <c r="GT225" t="str">
        <f>""</f>
        <v/>
      </c>
      <c r="GU225" t="str">
        <f>""</f>
        <v/>
      </c>
      <c r="GV225" t="str">
        <f>""</f>
        <v/>
      </c>
      <c r="GW225" t="str">
        <f>""</f>
        <v/>
      </c>
      <c r="GX225" t="str">
        <f>""</f>
        <v/>
      </c>
      <c r="GY225" t="str">
        <f>""</f>
        <v/>
      </c>
      <c r="GZ225" t="str">
        <f>""</f>
        <v/>
      </c>
      <c r="HA225" t="str">
        <f>""</f>
        <v/>
      </c>
      <c r="HB225" t="str">
        <f>""</f>
        <v/>
      </c>
      <c r="HC225" t="str">
        <f>""</f>
        <v/>
      </c>
      <c r="HD225" t="str">
        <f>""</f>
        <v/>
      </c>
      <c r="HE225" t="str">
        <f>""</f>
        <v/>
      </c>
      <c r="HF225" t="str">
        <f>""</f>
        <v/>
      </c>
      <c r="HG225" t="str">
        <f>""</f>
        <v/>
      </c>
      <c r="HH225" t="str">
        <f>""</f>
        <v/>
      </c>
      <c r="HI225" t="str">
        <f>""</f>
        <v/>
      </c>
      <c r="HJ225" t="str">
        <f>""</f>
        <v/>
      </c>
      <c r="HK225" t="str">
        <f>""</f>
        <v/>
      </c>
      <c r="HL225" t="str">
        <f>""</f>
        <v/>
      </c>
      <c r="HM225" t="str">
        <f>""</f>
        <v/>
      </c>
      <c r="HN225" t="str">
        <f>""</f>
        <v/>
      </c>
      <c r="HO225" t="str">
        <f>""</f>
        <v/>
      </c>
      <c r="HP225" t="str">
        <f>""</f>
        <v/>
      </c>
      <c r="HQ225" t="str">
        <f>""</f>
        <v/>
      </c>
      <c r="HR225" t="str">
        <f>""</f>
        <v/>
      </c>
      <c r="HS225" t="str">
        <f>""</f>
        <v/>
      </c>
      <c r="HT225" t="str">
        <f>""</f>
        <v/>
      </c>
      <c r="HU225" t="str">
        <f>""</f>
        <v/>
      </c>
      <c r="HV225" t="str">
        <f>""</f>
        <v/>
      </c>
      <c r="HW225" t="str">
        <f>""</f>
        <v/>
      </c>
      <c r="HX225" t="str">
        <f>""</f>
        <v/>
      </c>
      <c r="HY225" t="str">
        <f>""</f>
        <v/>
      </c>
      <c r="HZ225" t="str">
        <f>""</f>
        <v/>
      </c>
      <c r="IA225" t="str">
        <f>""</f>
        <v/>
      </c>
      <c r="IB225" t="str">
        <f>""</f>
        <v/>
      </c>
      <c r="IC225" t="str">
        <f>""</f>
        <v/>
      </c>
      <c r="ID225" t="str">
        <f>""</f>
        <v/>
      </c>
      <c r="IE225" t="str">
        <f>""</f>
        <v/>
      </c>
      <c r="IF225" t="str">
        <f>""</f>
        <v/>
      </c>
      <c r="IG225" t="str">
        <f>""</f>
        <v/>
      </c>
      <c r="IH225" t="str">
        <f>""</f>
        <v/>
      </c>
      <c r="II225" t="str">
        <f>""</f>
        <v/>
      </c>
      <c r="IJ225" t="str">
        <f>""</f>
        <v/>
      </c>
      <c r="IK225" t="str">
        <f>""</f>
        <v/>
      </c>
      <c r="IL225" t="str">
        <f>""</f>
        <v/>
      </c>
      <c r="IM225" t="str">
        <f>""</f>
        <v/>
      </c>
      <c r="IN225" t="str">
        <f>""</f>
        <v/>
      </c>
      <c r="IO225" t="str">
        <f>""</f>
        <v/>
      </c>
      <c r="IP225" t="str">
        <f>""</f>
        <v/>
      </c>
      <c r="IQ225" t="str">
        <f>""</f>
        <v/>
      </c>
      <c r="IR225" t="str">
        <f>""</f>
        <v/>
      </c>
      <c r="IS225" t="str">
        <f>""</f>
        <v/>
      </c>
      <c r="IT225" t="str">
        <f>""</f>
        <v/>
      </c>
      <c r="IU225" t="str">
        <f>""</f>
        <v/>
      </c>
      <c r="IV225" t="str">
        <f>""</f>
        <v/>
      </c>
      <c r="IW225" t="str">
        <f>""</f>
        <v/>
      </c>
      <c r="IX225" t="str">
        <f>""</f>
        <v/>
      </c>
      <c r="IY225" t="str">
        <f>""</f>
        <v/>
      </c>
      <c r="IZ225" t="str">
        <f>""</f>
        <v/>
      </c>
      <c r="JA225" t="str">
        <f>""</f>
        <v/>
      </c>
      <c r="JB225" t="str">
        <f>""</f>
        <v/>
      </c>
      <c r="JC225" t="str">
        <f>""</f>
        <v/>
      </c>
      <c r="JD225" t="str">
        <f>""</f>
        <v/>
      </c>
      <c r="JE225" t="str">
        <f>""</f>
        <v/>
      </c>
      <c r="JF225" t="str">
        <f>""</f>
        <v/>
      </c>
      <c r="JG225" t="str">
        <f>""</f>
        <v/>
      </c>
      <c r="JH225" t="str">
        <f>""</f>
        <v/>
      </c>
      <c r="JI225" t="str">
        <f>""</f>
        <v/>
      </c>
      <c r="JJ225" t="str">
        <f>""</f>
        <v/>
      </c>
      <c r="JK225" t="str">
        <f>""</f>
        <v/>
      </c>
    </row>
    <row r="226" spans="1:271" x14ac:dyDescent="0.3">
      <c r="A226" t="str">
        <f>""</f>
        <v/>
      </c>
      <c r="B226" t="str">
        <f>""</f>
        <v/>
      </c>
      <c r="C226" t="str">
        <f>""</f>
        <v/>
      </c>
      <c r="D226" t="str">
        <f>""</f>
        <v/>
      </c>
      <c r="E226" t="str">
        <f>""</f>
        <v/>
      </c>
      <c r="F226" t="str">
        <f>""</f>
        <v/>
      </c>
      <c r="G226" t="str">
        <f>""</f>
        <v/>
      </c>
      <c r="H226" t="str">
        <f>""</f>
        <v/>
      </c>
      <c r="I226" t="str">
        <f>""</f>
        <v/>
      </c>
      <c r="J226" t="str">
        <f>""</f>
        <v/>
      </c>
      <c r="K226" t="str">
        <f>""</f>
        <v/>
      </c>
      <c r="L226" t="str">
        <f>""</f>
        <v/>
      </c>
      <c r="M226" t="str">
        <f>""</f>
        <v/>
      </c>
      <c r="N226" t="str">
        <f>""</f>
        <v/>
      </c>
      <c r="O226" t="str">
        <f>""</f>
        <v/>
      </c>
      <c r="P226" t="str">
        <f>""</f>
        <v/>
      </c>
      <c r="Q226" t="str">
        <f>""</f>
        <v/>
      </c>
      <c r="R226" t="str">
        <f>""</f>
        <v/>
      </c>
      <c r="S226" t="str">
        <f>""</f>
        <v/>
      </c>
      <c r="T226" t="str">
        <f>""</f>
        <v/>
      </c>
      <c r="U226" t="str">
        <f>""</f>
        <v/>
      </c>
      <c r="V226" t="str">
        <f>""</f>
        <v/>
      </c>
      <c r="W226" t="str">
        <f>""</f>
        <v/>
      </c>
      <c r="X226" t="str">
        <f>""</f>
        <v/>
      </c>
      <c r="Y226" t="str">
        <f>""</f>
        <v/>
      </c>
      <c r="Z226" t="str">
        <f>""</f>
        <v/>
      </c>
      <c r="AA226" t="str">
        <f>""</f>
        <v/>
      </c>
      <c r="AB226" t="str">
        <f>""</f>
        <v/>
      </c>
      <c r="AC226" t="str">
        <f>""</f>
        <v/>
      </c>
      <c r="AD226" t="str">
        <f>""</f>
        <v/>
      </c>
      <c r="AE226" t="str">
        <f>""</f>
        <v/>
      </c>
      <c r="AF226" t="str">
        <f>""</f>
        <v/>
      </c>
      <c r="AG226" t="str">
        <f>""</f>
        <v/>
      </c>
      <c r="AH226" t="str">
        <f>""</f>
        <v/>
      </c>
      <c r="AI226" t="str">
        <f>""</f>
        <v/>
      </c>
      <c r="AJ226" t="str">
        <f>""</f>
        <v/>
      </c>
      <c r="AK226" t="str">
        <f>""</f>
        <v/>
      </c>
      <c r="AL226" t="str">
        <f>""</f>
        <v/>
      </c>
      <c r="AM226" t="str">
        <f>""</f>
        <v/>
      </c>
      <c r="AN226" t="str">
        <f>""</f>
        <v/>
      </c>
      <c r="AO226" t="str">
        <f>""</f>
        <v/>
      </c>
      <c r="AP226" t="str">
        <f>""</f>
        <v/>
      </c>
      <c r="AQ226" t="str">
        <f>""</f>
        <v/>
      </c>
      <c r="AR226" t="str">
        <f>""</f>
        <v/>
      </c>
      <c r="AS226" t="str">
        <f>""</f>
        <v/>
      </c>
      <c r="AT226" t="str">
        <f>""</f>
        <v/>
      </c>
      <c r="AU226" t="str">
        <f>""</f>
        <v/>
      </c>
      <c r="AV226" t="str">
        <f>""</f>
        <v/>
      </c>
      <c r="AW226" t="str">
        <f>""</f>
        <v/>
      </c>
      <c r="AX226" t="str">
        <f>""</f>
        <v/>
      </c>
      <c r="AY226" t="str">
        <f>""</f>
        <v/>
      </c>
      <c r="AZ226" t="str">
        <f>""</f>
        <v/>
      </c>
      <c r="BA226" t="str">
        <f>""</f>
        <v/>
      </c>
      <c r="BB226" t="str">
        <f>""</f>
        <v/>
      </c>
      <c r="BC226" t="str">
        <f>""</f>
        <v/>
      </c>
      <c r="BD226" t="str">
        <f>""</f>
        <v/>
      </c>
      <c r="BE226" t="str">
        <f>""</f>
        <v/>
      </c>
      <c r="BF226" t="str">
        <f>""</f>
        <v/>
      </c>
      <c r="BG226" t="str">
        <f>""</f>
        <v/>
      </c>
      <c r="BH226" t="str">
        <f>""</f>
        <v/>
      </c>
      <c r="BI226" t="str">
        <f>""</f>
        <v/>
      </c>
      <c r="BJ226" t="str">
        <f>""</f>
        <v/>
      </c>
      <c r="BK226" t="str">
        <f>""</f>
        <v/>
      </c>
      <c r="BL226" t="str">
        <f>""</f>
        <v/>
      </c>
      <c r="BM226" t="str">
        <f>""</f>
        <v/>
      </c>
      <c r="BN226" t="str">
        <f>""</f>
        <v/>
      </c>
      <c r="BO226" t="str">
        <f>""</f>
        <v/>
      </c>
      <c r="BP226" t="str">
        <f>""</f>
        <v/>
      </c>
      <c r="BQ226" t="str">
        <f>""</f>
        <v/>
      </c>
      <c r="BR226" t="str">
        <f>""</f>
        <v/>
      </c>
      <c r="BS226" t="str">
        <f>""</f>
        <v/>
      </c>
      <c r="BT226" t="str">
        <f>""</f>
        <v/>
      </c>
      <c r="BU226" t="str">
        <f>""</f>
        <v/>
      </c>
      <c r="BV226" t="str">
        <f>""</f>
        <v/>
      </c>
      <c r="BW226" t="str">
        <f>""</f>
        <v/>
      </c>
      <c r="BX226" t="str">
        <f>""</f>
        <v/>
      </c>
      <c r="BY226" t="str">
        <f>""</f>
        <v/>
      </c>
      <c r="BZ226" t="str">
        <f>""</f>
        <v/>
      </c>
      <c r="CA226" t="str">
        <f>""</f>
        <v/>
      </c>
      <c r="CB226" t="str">
        <f>""</f>
        <v/>
      </c>
      <c r="CC226" t="str">
        <f>""</f>
        <v/>
      </c>
      <c r="CD226" t="str">
        <f>""</f>
        <v/>
      </c>
      <c r="CE226" t="str">
        <f>""</f>
        <v/>
      </c>
      <c r="CF226" t="str">
        <f>""</f>
        <v/>
      </c>
      <c r="CG226" t="str">
        <f>""</f>
        <v/>
      </c>
      <c r="CH226" t="str">
        <f>""</f>
        <v/>
      </c>
      <c r="CI226" t="str">
        <f>""</f>
        <v/>
      </c>
      <c r="CJ226" t="str">
        <f>""</f>
        <v/>
      </c>
      <c r="CK226" t="str">
        <f>""</f>
        <v/>
      </c>
      <c r="CL226" t="str">
        <f>""</f>
        <v/>
      </c>
      <c r="CM226" t="str">
        <f>""</f>
        <v/>
      </c>
      <c r="CN226" t="str">
        <f>""</f>
        <v/>
      </c>
      <c r="CO226" t="str">
        <f>""</f>
        <v/>
      </c>
      <c r="CP226" t="str">
        <f>""</f>
        <v/>
      </c>
      <c r="CQ226" t="str">
        <f>""</f>
        <v/>
      </c>
      <c r="CR226" t="str">
        <f>""</f>
        <v/>
      </c>
      <c r="CS226" t="str">
        <f>""</f>
        <v/>
      </c>
      <c r="CT226" t="str">
        <f>""</f>
        <v/>
      </c>
      <c r="CU226" t="str">
        <f>""</f>
        <v/>
      </c>
      <c r="CV226" t="str">
        <f>""</f>
        <v/>
      </c>
      <c r="CW226" t="str">
        <f>""</f>
        <v/>
      </c>
      <c r="CX226" t="str">
        <f>""</f>
        <v/>
      </c>
      <c r="CY226" t="str">
        <f>""</f>
        <v/>
      </c>
      <c r="CZ226" t="str">
        <f>""</f>
        <v/>
      </c>
      <c r="DA226" t="str">
        <f>""</f>
        <v/>
      </c>
      <c r="DB226" t="str">
        <f>""</f>
        <v/>
      </c>
      <c r="DC226" t="str">
        <f>""</f>
        <v/>
      </c>
      <c r="DD226" t="str">
        <f>""</f>
        <v/>
      </c>
      <c r="DE226" t="str">
        <f>""</f>
        <v/>
      </c>
      <c r="DF226" t="str">
        <f>""</f>
        <v/>
      </c>
      <c r="DG226" t="str">
        <f>""</f>
        <v/>
      </c>
      <c r="DH226" t="str">
        <f>""</f>
        <v/>
      </c>
      <c r="DI226" t="str">
        <f>""</f>
        <v/>
      </c>
      <c r="DJ226" t="str">
        <f>""</f>
        <v/>
      </c>
      <c r="DK226" t="str">
        <f>""</f>
        <v/>
      </c>
      <c r="DL226" t="str">
        <f>""</f>
        <v/>
      </c>
      <c r="DM226" t="str">
        <f>""</f>
        <v/>
      </c>
      <c r="DN226" t="str">
        <f>""</f>
        <v/>
      </c>
      <c r="DO226" t="str">
        <f>""</f>
        <v/>
      </c>
      <c r="DP226" t="str">
        <f>""</f>
        <v/>
      </c>
      <c r="DQ226" t="str">
        <f>""</f>
        <v/>
      </c>
      <c r="DR226" t="str">
        <f>""</f>
        <v/>
      </c>
      <c r="DS226" t="str">
        <f>""</f>
        <v/>
      </c>
      <c r="DT226" t="str">
        <f>""</f>
        <v/>
      </c>
      <c r="DU226" t="str">
        <f>""</f>
        <v/>
      </c>
      <c r="DV226" t="str">
        <f>""</f>
        <v/>
      </c>
      <c r="DW226" t="str">
        <f>""</f>
        <v/>
      </c>
      <c r="DX226" t="str">
        <f>""</f>
        <v/>
      </c>
      <c r="DY226" t="str">
        <f>""</f>
        <v/>
      </c>
      <c r="DZ226" t="str">
        <f>""</f>
        <v/>
      </c>
      <c r="EA226" t="str">
        <f>""</f>
        <v/>
      </c>
      <c r="EB226" t="str">
        <f>""</f>
        <v/>
      </c>
      <c r="EC226" t="str">
        <f>""</f>
        <v/>
      </c>
      <c r="ED226" t="str">
        <f>""</f>
        <v/>
      </c>
      <c r="EE226" t="str">
        <f>""</f>
        <v/>
      </c>
      <c r="EF226" t="str">
        <f>""</f>
        <v/>
      </c>
      <c r="EG226" t="str">
        <f>"(0.105)"</f>
        <v>(0.105)</v>
      </c>
      <c r="EH226" t="str">
        <f>"(0.0813)"</f>
        <v>(0.0813)</v>
      </c>
      <c r="EI226" t="str">
        <f>"(0.0440)"</f>
        <v>(0.0440)</v>
      </c>
      <c r="EJ226" t="str">
        <f>""</f>
        <v/>
      </c>
      <c r="EK226" t="str">
        <f>""</f>
        <v/>
      </c>
      <c r="EL226" t="str">
        <f>""</f>
        <v/>
      </c>
      <c r="EM226" t="str">
        <f>""</f>
        <v/>
      </c>
      <c r="EN226" t="str">
        <f>""</f>
        <v/>
      </c>
      <c r="EO226" t="str">
        <f>""</f>
        <v/>
      </c>
      <c r="EP226" t="str">
        <f>""</f>
        <v/>
      </c>
      <c r="EQ226" t="str">
        <f>""</f>
        <v/>
      </c>
      <c r="ER226" t="str">
        <f>""</f>
        <v/>
      </c>
      <c r="ES226" t="str">
        <f>""</f>
        <v/>
      </c>
      <c r="ET226" t="str">
        <f>""</f>
        <v/>
      </c>
      <c r="EU226" t="str">
        <f>""</f>
        <v/>
      </c>
      <c r="EV226" t="str">
        <f>""</f>
        <v/>
      </c>
      <c r="EW226" t="str">
        <f>""</f>
        <v/>
      </c>
      <c r="EX226" t="str">
        <f>""</f>
        <v/>
      </c>
      <c r="EY226" t="str">
        <f>""</f>
        <v/>
      </c>
      <c r="EZ226" t="str">
        <f>""</f>
        <v/>
      </c>
      <c r="FA226" t="str">
        <f>""</f>
        <v/>
      </c>
      <c r="FB226" t="str">
        <f>""</f>
        <v/>
      </c>
      <c r="FC226" t="str">
        <f>""</f>
        <v/>
      </c>
      <c r="FD226" t="str">
        <f>""</f>
        <v/>
      </c>
      <c r="FE226" t="str">
        <f>""</f>
        <v/>
      </c>
      <c r="FF226" t="str">
        <f>""</f>
        <v/>
      </c>
      <c r="FG226" t="str">
        <f>""</f>
        <v/>
      </c>
      <c r="FH226" t="str">
        <f>""</f>
        <v/>
      </c>
      <c r="FI226" t="str">
        <f>""</f>
        <v/>
      </c>
      <c r="FJ226" t="str">
        <f>""</f>
        <v/>
      </c>
      <c r="FK226" t="str">
        <f>""</f>
        <v/>
      </c>
      <c r="FL226" t="str">
        <f>""</f>
        <v/>
      </c>
      <c r="FM226" t="str">
        <f>""</f>
        <v/>
      </c>
      <c r="FN226" t="str">
        <f>""</f>
        <v/>
      </c>
      <c r="FO226" t="str">
        <f>""</f>
        <v/>
      </c>
      <c r="FP226" t="str">
        <f>""</f>
        <v/>
      </c>
      <c r="FQ226" t="str">
        <f>""</f>
        <v/>
      </c>
      <c r="FR226" t="str">
        <f>""</f>
        <v/>
      </c>
      <c r="FS226" t="str">
        <f>""</f>
        <v/>
      </c>
      <c r="FT226" t="str">
        <f>""</f>
        <v/>
      </c>
      <c r="FU226" t="str">
        <f>""</f>
        <v/>
      </c>
      <c r="FV226" t="str">
        <f>""</f>
        <v/>
      </c>
      <c r="FW226" t="str">
        <f>""</f>
        <v/>
      </c>
      <c r="FX226" t="str">
        <f>""</f>
        <v/>
      </c>
      <c r="FY226" t="str">
        <f>""</f>
        <v/>
      </c>
      <c r="FZ226" t="str">
        <f>""</f>
        <v/>
      </c>
      <c r="GA226" t="str">
        <f>""</f>
        <v/>
      </c>
      <c r="GB226" t="str">
        <f>""</f>
        <v/>
      </c>
      <c r="GC226" t="str">
        <f>""</f>
        <v/>
      </c>
      <c r="GD226" t="str">
        <f>""</f>
        <v/>
      </c>
      <c r="GE226" t="str">
        <f>""</f>
        <v/>
      </c>
      <c r="GF226" t="str">
        <f>""</f>
        <v/>
      </c>
      <c r="GG226" t="str">
        <f>""</f>
        <v/>
      </c>
      <c r="GH226" t="str">
        <f>""</f>
        <v/>
      </c>
      <c r="GI226" t="str">
        <f>""</f>
        <v/>
      </c>
      <c r="GJ226" t="str">
        <f>""</f>
        <v/>
      </c>
      <c r="GK226" t="str">
        <f>""</f>
        <v/>
      </c>
      <c r="GL226" t="str">
        <f>""</f>
        <v/>
      </c>
      <c r="GM226" t="str">
        <f>""</f>
        <v/>
      </c>
      <c r="GN226" t="str">
        <f>""</f>
        <v/>
      </c>
      <c r="GO226" t="str">
        <f>""</f>
        <v/>
      </c>
      <c r="GP226" t="str">
        <f>""</f>
        <v/>
      </c>
      <c r="GQ226" t="str">
        <f>""</f>
        <v/>
      </c>
      <c r="GR226" t="str">
        <f>""</f>
        <v/>
      </c>
      <c r="GS226" t="str">
        <f>""</f>
        <v/>
      </c>
      <c r="GT226" t="str">
        <f>""</f>
        <v/>
      </c>
      <c r="GU226" t="str">
        <f>""</f>
        <v/>
      </c>
      <c r="GV226" t="str">
        <f>""</f>
        <v/>
      </c>
      <c r="GW226" t="str">
        <f>""</f>
        <v/>
      </c>
      <c r="GX226" t="str">
        <f>""</f>
        <v/>
      </c>
      <c r="GY226" t="str">
        <f>""</f>
        <v/>
      </c>
      <c r="GZ226" t="str">
        <f>""</f>
        <v/>
      </c>
      <c r="HA226" t="str">
        <f>""</f>
        <v/>
      </c>
      <c r="HB226" t="str">
        <f>""</f>
        <v/>
      </c>
      <c r="HC226" t="str">
        <f>""</f>
        <v/>
      </c>
      <c r="HD226" t="str">
        <f>""</f>
        <v/>
      </c>
      <c r="HE226" t="str">
        <f>""</f>
        <v/>
      </c>
      <c r="HF226" t="str">
        <f>""</f>
        <v/>
      </c>
      <c r="HG226" t="str">
        <f>""</f>
        <v/>
      </c>
      <c r="HH226" t="str">
        <f>""</f>
        <v/>
      </c>
      <c r="HI226" t="str">
        <f>""</f>
        <v/>
      </c>
      <c r="HJ226" t="str">
        <f>""</f>
        <v/>
      </c>
      <c r="HK226" t="str">
        <f>""</f>
        <v/>
      </c>
      <c r="HL226" t="str">
        <f>""</f>
        <v/>
      </c>
      <c r="HM226" t="str">
        <f>""</f>
        <v/>
      </c>
      <c r="HN226" t="str">
        <f>""</f>
        <v/>
      </c>
      <c r="HO226" t="str">
        <f>""</f>
        <v/>
      </c>
      <c r="HP226" t="str">
        <f>""</f>
        <v/>
      </c>
      <c r="HQ226" t="str">
        <f>""</f>
        <v/>
      </c>
      <c r="HR226" t="str">
        <f>""</f>
        <v/>
      </c>
      <c r="HS226" t="str">
        <f>""</f>
        <v/>
      </c>
      <c r="HT226" t="str">
        <f>""</f>
        <v/>
      </c>
      <c r="HU226" t="str">
        <f>""</f>
        <v/>
      </c>
      <c r="HV226" t="str">
        <f>""</f>
        <v/>
      </c>
      <c r="HW226" t="str">
        <f>""</f>
        <v/>
      </c>
      <c r="HX226" t="str">
        <f>""</f>
        <v/>
      </c>
      <c r="HY226" t="str">
        <f>""</f>
        <v/>
      </c>
      <c r="HZ226" t="str">
        <f>""</f>
        <v/>
      </c>
      <c r="IA226" t="str">
        <f>""</f>
        <v/>
      </c>
      <c r="IB226" t="str">
        <f>""</f>
        <v/>
      </c>
      <c r="IC226" t="str">
        <f>""</f>
        <v/>
      </c>
      <c r="ID226" t="str">
        <f>""</f>
        <v/>
      </c>
      <c r="IE226" t="str">
        <f>""</f>
        <v/>
      </c>
      <c r="IF226" t="str">
        <f>""</f>
        <v/>
      </c>
      <c r="IG226" t="str">
        <f>""</f>
        <v/>
      </c>
      <c r="IH226" t="str">
        <f>""</f>
        <v/>
      </c>
      <c r="II226" t="str">
        <f>""</f>
        <v/>
      </c>
      <c r="IJ226" t="str">
        <f>""</f>
        <v/>
      </c>
      <c r="IK226" t="str">
        <f>""</f>
        <v/>
      </c>
      <c r="IL226" t="str">
        <f>""</f>
        <v/>
      </c>
      <c r="IM226" t="str">
        <f>""</f>
        <v/>
      </c>
      <c r="IN226" t="str">
        <f>""</f>
        <v/>
      </c>
      <c r="IO226" t="str">
        <f>""</f>
        <v/>
      </c>
      <c r="IP226" t="str">
        <f>""</f>
        <v/>
      </c>
      <c r="IQ226" t="str">
        <f>""</f>
        <v/>
      </c>
      <c r="IR226" t="str">
        <f>""</f>
        <v/>
      </c>
      <c r="IS226" t="str">
        <f>""</f>
        <v/>
      </c>
      <c r="IT226" t="str">
        <f>""</f>
        <v/>
      </c>
      <c r="IU226" t="str">
        <f>""</f>
        <v/>
      </c>
      <c r="IV226" t="str">
        <f>""</f>
        <v/>
      </c>
      <c r="IW226" t="str">
        <f>""</f>
        <v/>
      </c>
      <c r="IX226" t="str">
        <f>""</f>
        <v/>
      </c>
      <c r="IY226" t="str">
        <f>""</f>
        <v/>
      </c>
      <c r="IZ226" t="str">
        <f>""</f>
        <v/>
      </c>
      <c r="JA226" t="str">
        <f>""</f>
        <v/>
      </c>
      <c r="JB226" t="str">
        <f>""</f>
        <v/>
      </c>
      <c r="JC226" t="str">
        <f>""</f>
        <v/>
      </c>
      <c r="JD226" t="str">
        <f>""</f>
        <v/>
      </c>
      <c r="JE226" t="str">
        <f>""</f>
        <v/>
      </c>
      <c r="JF226" t="str">
        <f>""</f>
        <v/>
      </c>
      <c r="JG226" t="str">
        <f>""</f>
        <v/>
      </c>
      <c r="JH226" t="str">
        <f>""</f>
        <v/>
      </c>
      <c r="JI226" t="str">
        <f>""</f>
        <v/>
      </c>
      <c r="JJ226" t="str">
        <f>""</f>
        <v/>
      </c>
      <c r="JK226" t="str">
        <f>""</f>
        <v/>
      </c>
    </row>
    <row r="228" spans="1:271" x14ac:dyDescent="0.3">
      <c r="A228" t="str">
        <f>"c.zMETAB2#c.PM4"</f>
        <v>c.zMETAB2#c.PM4</v>
      </c>
      <c r="B228" t="str">
        <f>""</f>
        <v/>
      </c>
      <c r="C228" t="str">
        <f>""</f>
        <v/>
      </c>
      <c r="D228" t="str">
        <f>""</f>
        <v/>
      </c>
      <c r="E228" t="str">
        <f>""</f>
        <v/>
      </c>
      <c r="F228" t="str">
        <f>""</f>
        <v/>
      </c>
      <c r="G228" t="str">
        <f>""</f>
        <v/>
      </c>
      <c r="H228" t="str">
        <f>""</f>
        <v/>
      </c>
      <c r="I228" t="str">
        <f>""</f>
        <v/>
      </c>
      <c r="J228" t="str">
        <f>""</f>
        <v/>
      </c>
      <c r="K228" t="str">
        <f>""</f>
        <v/>
      </c>
      <c r="L228" t="str">
        <f>""</f>
        <v/>
      </c>
      <c r="M228" t="str">
        <f>""</f>
        <v/>
      </c>
      <c r="N228" t="str">
        <f>""</f>
        <v/>
      </c>
      <c r="O228" t="str">
        <f>""</f>
        <v/>
      </c>
      <c r="P228" t="str">
        <f>""</f>
        <v/>
      </c>
      <c r="Q228" t="str">
        <f>""</f>
        <v/>
      </c>
      <c r="R228" t="str">
        <f>""</f>
        <v/>
      </c>
      <c r="S228" t="str">
        <f>""</f>
        <v/>
      </c>
      <c r="T228" t="str">
        <f>""</f>
        <v/>
      </c>
      <c r="U228" t="str">
        <f>""</f>
        <v/>
      </c>
      <c r="V228" t="str">
        <f>""</f>
        <v/>
      </c>
      <c r="W228" t="str">
        <f>""</f>
        <v/>
      </c>
      <c r="X228" t="str">
        <f>""</f>
        <v/>
      </c>
      <c r="Y228" t="str">
        <f>""</f>
        <v/>
      </c>
      <c r="Z228" t="str">
        <f>""</f>
        <v/>
      </c>
      <c r="AA228" t="str">
        <f>""</f>
        <v/>
      </c>
      <c r="AB228" t="str">
        <f>""</f>
        <v/>
      </c>
      <c r="AC228" t="str">
        <f>""</f>
        <v/>
      </c>
      <c r="AD228" t="str">
        <f>""</f>
        <v/>
      </c>
      <c r="AE228" t="str">
        <f>""</f>
        <v/>
      </c>
      <c r="AF228" t="str">
        <f>""</f>
        <v/>
      </c>
      <c r="AG228" t="str">
        <f>""</f>
        <v/>
      </c>
      <c r="AH228" t="str">
        <f>""</f>
        <v/>
      </c>
      <c r="AI228" t="str">
        <f>""</f>
        <v/>
      </c>
      <c r="AJ228" t="str">
        <f>""</f>
        <v/>
      </c>
      <c r="AK228" t="str">
        <f>""</f>
        <v/>
      </c>
      <c r="AL228" t="str">
        <f>""</f>
        <v/>
      </c>
      <c r="AM228" t="str">
        <f>""</f>
        <v/>
      </c>
      <c r="AN228" t="str">
        <f>""</f>
        <v/>
      </c>
      <c r="AO228" t="str">
        <f>""</f>
        <v/>
      </c>
      <c r="AP228" t="str">
        <f>""</f>
        <v/>
      </c>
      <c r="AQ228" t="str">
        <f>""</f>
        <v/>
      </c>
      <c r="AR228" t="str">
        <f>""</f>
        <v/>
      </c>
      <c r="AS228" t="str">
        <f>""</f>
        <v/>
      </c>
      <c r="AT228" t="str">
        <f>""</f>
        <v/>
      </c>
      <c r="AU228" t="str">
        <f>""</f>
        <v/>
      </c>
      <c r="AV228" t="str">
        <f>""</f>
        <v/>
      </c>
      <c r="AW228" t="str">
        <f>""</f>
        <v/>
      </c>
      <c r="AX228" t="str">
        <f>""</f>
        <v/>
      </c>
      <c r="AY228" t="str">
        <f>""</f>
        <v/>
      </c>
      <c r="AZ228" t="str">
        <f>""</f>
        <v/>
      </c>
      <c r="BA228" t="str">
        <f>""</f>
        <v/>
      </c>
      <c r="BB228" t="str">
        <f>""</f>
        <v/>
      </c>
      <c r="BC228" t="str">
        <f>""</f>
        <v/>
      </c>
      <c r="BD228" t="str">
        <f>""</f>
        <v/>
      </c>
      <c r="BE228" t="str">
        <f>""</f>
        <v/>
      </c>
      <c r="BF228" t="str">
        <f>""</f>
        <v/>
      </c>
      <c r="BG228" t="str">
        <f>""</f>
        <v/>
      </c>
      <c r="BH228" t="str">
        <f>""</f>
        <v/>
      </c>
      <c r="BI228" t="str">
        <f>""</f>
        <v/>
      </c>
      <c r="BJ228" t="str">
        <f>""</f>
        <v/>
      </c>
      <c r="BK228" t="str">
        <f>""</f>
        <v/>
      </c>
      <c r="BL228" t="str">
        <f>""</f>
        <v/>
      </c>
      <c r="BM228" t="str">
        <f>""</f>
        <v/>
      </c>
      <c r="BN228" t="str">
        <f>""</f>
        <v/>
      </c>
      <c r="BO228" t="str">
        <f>""</f>
        <v/>
      </c>
      <c r="BP228" t="str">
        <f>""</f>
        <v/>
      </c>
      <c r="BQ228" t="str">
        <f>""</f>
        <v/>
      </c>
      <c r="BR228" t="str">
        <f>""</f>
        <v/>
      </c>
      <c r="BS228" t="str">
        <f>""</f>
        <v/>
      </c>
      <c r="BT228" t="str">
        <f>""</f>
        <v/>
      </c>
      <c r="BU228" t="str">
        <f>""</f>
        <v/>
      </c>
      <c r="BV228" t="str">
        <f>""</f>
        <v/>
      </c>
      <c r="BW228" t="str">
        <f>""</f>
        <v/>
      </c>
      <c r="BX228" t="str">
        <f>""</f>
        <v/>
      </c>
      <c r="BY228" t="str">
        <f>""</f>
        <v/>
      </c>
      <c r="BZ228" t="str">
        <f>""</f>
        <v/>
      </c>
      <c r="CA228" t="str">
        <f>""</f>
        <v/>
      </c>
      <c r="CB228" t="str">
        <f>""</f>
        <v/>
      </c>
      <c r="CC228" t="str">
        <f>""</f>
        <v/>
      </c>
      <c r="CD228" t="str">
        <f>""</f>
        <v/>
      </c>
      <c r="CE228" t="str">
        <f>""</f>
        <v/>
      </c>
      <c r="CF228" t="str">
        <f>""</f>
        <v/>
      </c>
      <c r="CG228" t="str">
        <f>""</f>
        <v/>
      </c>
      <c r="CH228" t="str">
        <f>""</f>
        <v/>
      </c>
      <c r="CI228" t="str">
        <f>""</f>
        <v/>
      </c>
      <c r="CJ228" t="str">
        <f>""</f>
        <v/>
      </c>
      <c r="CK228" t="str">
        <f>""</f>
        <v/>
      </c>
      <c r="CL228" t="str">
        <f>""</f>
        <v/>
      </c>
      <c r="CM228" t="str">
        <f>""</f>
        <v/>
      </c>
      <c r="CN228" t="str">
        <f>""</f>
        <v/>
      </c>
      <c r="CO228" t="str">
        <f>""</f>
        <v/>
      </c>
      <c r="CP228" t="str">
        <f>""</f>
        <v/>
      </c>
      <c r="CQ228" t="str">
        <f>""</f>
        <v/>
      </c>
      <c r="CR228" t="str">
        <f>""</f>
        <v/>
      </c>
      <c r="CS228" t="str">
        <f>""</f>
        <v/>
      </c>
      <c r="CT228" t="str">
        <f>""</f>
        <v/>
      </c>
      <c r="CU228" t="str">
        <f>""</f>
        <v/>
      </c>
      <c r="CV228" t="str">
        <f>""</f>
        <v/>
      </c>
      <c r="CW228" t="str">
        <f>""</f>
        <v/>
      </c>
      <c r="CX228" t="str">
        <f>""</f>
        <v/>
      </c>
      <c r="CY228" t="str">
        <f>""</f>
        <v/>
      </c>
      <c r="CZ228" t="str">
        <f>""</f>
        <v/>
      </c>
      <c r="DA228" t="str">
        <f>""</f>
        <v/>
      </c>
      <c r="DB228" t="str">
        <f>""</f>
        <v/>
      </c>
      <c r="DC228" t="str">
        <f>""</f>
        <v/>
      </c>
      <c r="DD228" t="str">
        <f>""</f>
        <v/>
      </c>
      <c r="DE228" t="str">
        <f>""</f>
        <v/>
      </c>
      <c r="DF228" t="str">
        <f>""</f>
        <v/>
      </c>
      <c r="DG228" t="str">
        <f>""</f>
        <v/>
      </c>
      <c r="DH228" t="str">
        <f>""</f>
        <v/>
      </c>
      <c r="DI228" t="str">
        <f>""</f>
        <v/>
      </c>
      <c r="DJ228" t="str">
        <f>""</f>
        <v/>
      </c>
      <c r="DK228" t="str">
        <f>""</f>
        <v/>
      </c>
      <c r="DL228" t="str">
        <f>""</f>
        <v/>
      </c>
      <c r="DM228" t="str">
        <f>""</f>
        <v/>
      </c>
      <c r="DN228" t="str">
        <f>""</f>
        <v/>
      </c>
      <c r="DO228" t="str">
        <f>""</f>
        <v/>
      </c>
      <c r="DP228" t="str">
        <f>""</f>
        <v/>
      </c>
      <c r="DQ228" t="str">
        <f>""</f>
        <v/>
      </c>
      <c r="DR228" t="str">
        <f>""</f>
        <v/>
      </c>
      <c r="DS228" t="str">
        <f>""</f>
        <v/>
      </c>
      <c r="DT228" t="str">
        <f>""</f>
        <v/>
      </c>
      <c r="DU228" t="str">
        <f>""</f>
        <v/>
      </c>
      <c r="DV228" t="str">
        <f>""</f>
        <v/>
      </c>
      <c r="DW228" t="str">
        <f>""</f>
        <v/>
      </c>
      <c r="DX228" t="str">
        <f>""</f>
        <v/>
      </c>
      <c r="DY228" t="str">
        <f>""</f>
        <v/>
      </c>
      <c r="DZ228" t="str">
        <f>""</f>
        <v/>
      </c>
      <c r="EA228" t="str">
        <f>""</f>
        <v/>
      </c>
      <c r="EB228" t="str">
        <f>""</f>
        <v/>
      </c>
      <c r="EC228" t="str">
        <f>""</f>
        <v/>
      </c>
      <c r="ED228" t="str">
        <f>""</f>
        <v/>
      </c>
      <c r="EE228" t="str">
        <f>""</f>
        <v/>
      </c>
      <c r="EF228" t="str">
        <f>""</f>
        <v/>
      </c>
      <c r="EG228" t="str">
        <f>""</f>
        <v/>
      </c>
      <c r="EH228" t="str">
        <f>""</f>
        <v/>
      </c>
      <c r="EI228" t="str">
        <f>""</f>
        <v/>
      </c>
      <c r="EJ228" t="str">
        <f>"-0.0183"</f>
        <v>-0.0183</v>
      </c>
      <c r="EK228" t="str">
        <f>"-0.0593"</f>
        <v>-0.0593</v>
      </c>
      <c r="EL228" t="str">
        <f>"-0.0215"</f>
        <v>-0.0215</v>
      </c>
      <c r="EM228" t="str">
        <f>""</f>
        <v/>
      </c>
      <c r="EN228" t="str">
        <f>""</f>
        <v/>
      </c>
      <c r="EO228" t="str">
        <f>""</f>
        <v/>
      </c>
      <c r="EP228" t="str">
        <f>""</f>
        <v/>
      </c>
      <c r="EQ228" t="str">
        <f>""</f>
        <v/>
      </c>
      <c r="ER228" t="str">
        <f>""</f>
        <v/>
      </c>
      <c r="ES228" t="str">
        <f>""</f>
        <v/>
      </c>
      <c r="ET228" t="str">
        <f>""</f>
        <v/>
      </c>
      <c r="EU228" t="str">
        <f>""</f>
        <v/>
      </c>
      <c r="EV228" t="str">
        <f>""</f>
        <v/>
      </c>
      <c r="EW228" t="str">
        <f>""</f>
        <v/>
      </c>
      <c r="EX228" t="str">
        <f>""</f>
        <v/>
      </c>
      <c r="EY228" t="str">
        <f>""</f>
        <v/>
      </c>
      <c r="EZ228" t="str">
        <f>""</f>
        <v/>
      </c>
      <c r="FA228" t="str">
        <f>""</f>
        <v/>
      </c>
      <c r="FB228" t="str">
        <f>""</f>
        <v/>
      </c>
      <c r="FC228" t="str">
        <f>""</f>
        <v/>
      </c>
      <c r="FD228" t="str">
        <f>""</f>
        <v/>
      </c>
      <c r="FE228" t="str">
        <f>""</f>
        <v/>
      </c>
      <c r="FF228" t="str">
        <f>""</f>
        <v/>
      </c>
      <c r="FG228" t="str">
        <f>""</f>
        <v/>
      </c>
      <c r="FH228" t="str">
        <f>""</f>
        <v/>
      </c>
      <c r="FI228" t="str">
        <f>""</f>
        <v/>
      </c>
      <c r="FJ228" t="str">
        <f>""</f>
        <v/>
      </c>
      <c r="FK228" t="str">
        <f>""</f>
        <v/>
      </c>
      <c r="FL228" t="str">
        <f>""</f>
        <v/>
      </c>
      <c r="FM228" t="str">
        <f>""</f>
        <v/>
      </c>
      <c r="FN228" t="str">
        <f>""</f>
        <v/>
      </c>
      <c r="FO228" t="str">
        <f>""</f>
        <v/>
      </c>
      <c r="FP228" t="str">
        <f>""</f>
        <v/>
      </c>
      <c r="FQ228" t="str">
        <f>""</f>
        <v/>
      </c>
      <c r="FR228" t="str">
        <f>""</f>
        <v/>
      </c>
      <c r="FS228" t="str">
        <f>""</f>
        <v/>
      </c>
      <c r="FT228" t="str">
        <f>""</f>
        <v/>
      </c>
      <c r="FU228" t="str">
        <f>""</f>
        <v/>
      </c>
      <c r="FV228" t="str">
        <f>""</f>
        <v/>
      </c>
      <c r="FW228" t="str">
        <f>""</f>
        <v/>
      </c>
      <c r="FX228" t="str">
        <f>""</f>
        <v/>
      </c>
      <c r="FY228" t="str">
        <f>""</f>
        <v/>
      </c>
      <c r="FZ228" t="str">
        <f>""</f>
        <v/>
      </c>
      <c r="GA228" t="str">
        <f>""</f>
        <v/>
      </c>
      <c r="GB228" t="str">
        <f>""</f>
        <v/>
      </c>
      <c r="GC228" t="str">
        <f>""</f>
        <v/>
      </c>
      <c r="GD228" t="str">
        <f>""</f>
        <v/>
      </c>
      <c r="GE228" t="str">
        <f>""</f>
        <v/>
      </c>
      <c r="GF228" t="str">
        <f>""</f>
        <v/>
      </c>
      <c r="GG228" t="str">
        <f>""</f>
        <v/>
      </c>
      <c r="GH228" t="str">
        <f>""</f>
        <v/>
      </c>
      <c r="GI228" t="str">
        <f>""</f>
        <v/>
      </c>
      <c r="GJ228" t="str">
        <f>""</f>
        <v/>
      </c>
      <c r="GK228" t="str">
        <f>""</f>
        <v/>
      </c>
      <c r="GL228" t="str">
        <f>""</f>
        <v/>
      </c>
      <c r="GM228" t="str">
        <f>""</f>
        <v/>
      </c>
      <c r="GN228" t="str">
        <f>""</f>
        <v/>
      </c>
      <c r="GO228" t="str">
        <f>""</f>
        <v/>
      </c>
      <c r="GP228" t="str">
        <f>""</f>
        <v/>
      </c>
      <c r="GQ228" t="str">
        <f>""</f>
        <v/>
      </c>
      <c r="GR228" t="str">
        <f>""</f>
        <v/>
      </c>
      <c r="GS228" t="str">
        <f>""</f>
        <v/>
      </c>
      <c r="GT228" t="str">
        <f>""</f>
        <v/>
      </c>
      <c r="GU228" t="str">
        <f>""</f>
        <v/>
      </c>
      <c r="GV228" t="str">
        <f>""</f>
        <v/>
      </c>
      <c r="GW228" t="str">
        <f>""</f>
        <v/>
      </c>
      <c r="GX228" t="str">
        <f>""</f>
        <v/>
      </c>
      <c r="GY228" t="str">
        <f>""</f>
        <v/>
      </c>
      <c r="GZ228" t="str">
        <f>""</f>
        <v/>
      </c>
      <c r="HA228" t="str">
        <f>""</f>
        <v/>
      </c>
      <c r="HB228" t="str">
        <f>""</f>
        <v/>
      </c>
      <c r="HC228" t="str">
        <f>""</f>
        <v/>
      </c>
      <c r="HD228" t="str">
        <f>""</f>
        <v/>
      </c>
      <c r="HE228" t="str">
        <f>""</f>
        <v/>
      </c>
      <c r="HF228" t="str">
        <f>""</f>
        <v/>
      </c>
      <c r="HG228" t="str">
        <f>""</f>
        <v/>
      </c>
      <c r="HH228" t="str">
        <f>""</f>
        <v/>
      </c>
      <c r="HI228" t="str">
        <f>""</f>
        <v/>
      </c>
      <c r="HJ228" t="str">
        <f>""</f>
        <v/>
      </c>
      <c r="HK228" t="str">
        <f>""</f>
        <v/>
      </c>
      <c r="HL228" t="str">
        <f>""</f>
        <v/>
      </c>
      <c r="HM228" t="str">
        <f>""</f>
        <v/>
      </c>
      <c r="HN228" t="str">
        <f>""</f>
        <v/>
      </c>
      <c r="HO228" t="str">
        <f>""</f>
        <v/>
      </c>
      <c r="HP228" t="str">
        <f>""</f>
        <v/>
      </c>
      <c r="HQ228" t="str">
        <f>""</f>
        <v/>
      </c>
      <c r="HR228" t="str">
        <f>""</f>
        <v/>
      </c>
      <c r="HS228" t="str">
        <f>""</f>
        <v/>
      </c>
      <c r="HT228" t="str">
        <f>""</f>
        <v/>
      </c>
      <c r="HU228" t="str">
        <f>""</f>
        <v/>
      </c>
      <c r="HV228" t="str">
        <f>""</f>
        <v/>
      </c>
      <c r="HW228" t="str">
        <f>""</f>
        <v/>
      </c>
      <c r="HX228" t="str">
        <f>""</f>
        <v/>
      </c>
      <c r="HY228" t="str">
        <f>""</f>
        <v/>
      </c>
      <c r="HZ228" t="str">
        <f>""</f>
        <v/>
      </c>
      <c r="IA228" t="str">
        <f>""</f>
        <v/>
      </c>
      <c r="IB228" t="str">
        <f>""</f>
        <v/>
      </c>
      <c r="IC228" t="str">
        <f>""</f>
        <v/>
      </c>
      <c r="ID228" t="str">
        <f>""</f>
        <v/>
      </c>
      <c r="IE228" t="str">
        <f>""</f>
        <v/>
      </c>
      <c r="IF228" t="str">
        <f>""</f>
        <v/>
      </c>
      <c r="IG228" t="str">
        <f>""</f>
        <v/>
      </c>
      <c r="IH228" t="str">
        <f>""</f>
        <v/>
      </c>
      <c r="II228" t="str">
        <f>""</f>
        <v/>
      </c>
      <c r="IJ228" t="str">
        <f>""</f>
        <v/>
      </c>
      <c r="IK228" t="str">
        <f>""</f>
        <v/>
      </c>
      <c r="IL228" t="str">
        <f>""</f>
        <v/>
      </c>
      <c r="IM228" t="str">
        <f>""</f>
        <v/>
      </c>
      <c r="IN228" t="str">
        <f>""</f>
        <v/>
      </c>
      <c r="IO228" t="str">
        <f>""</f>
        <v/>
      </c>
      <c r="IP228" t="str">
        <f>""</f>
        <v/>
      </c>
      <c r="IQ228" t="str">
        <f>""</f>
        <v/>
      </c>
      <c r="IR228" t="str">
        <f>""</f>
        <v/>
      </c>
      <c r="IS228" t="str">
        <f>""</f>
        <v/>
      </c>
      <c r="IT228" t="str">
        <f>""</f>
        <v/>
      </c>
      <c r="IU228" t="str">
        <f>""</f>
        <v/>
      </c>
      <c r="IV228" t="str">
        <f>""</f>
        <v/>
      </c>
      <c r="IW228" t="str">
        <f>""</f>
        <v/>
      </c>
      <c r="IX228" t="str">
        <f>""</f>
        <v/>
      </c>
      <c r="IY228" t="str">
        <f>""</f>
        <v/>
      </c>
      <c r="IZ228" t="str">
        <f>""</f>
        <v/>
      </c>
      <c r="JA228" t="str">
        <f>""</f>
        <v/>
      </c>
      <c r="JB228" t="str">
        <f>""</f>
        <v/>
      </c>
      <c r="JC228" t="str">
        <f>""</f>
        <v/>
      </c>
      <c r="JD228" t="str">
        <f>""</f>
        <v/>
      </c>
      <c r="JE228" t="str">
        <f>""</f>
        <v/>
      </c>
      <c r="JF228" t="str">
        <f>""</f>
        <v/>
      </c>
      <c r="JG228" t="str">
        <f>""</f>
        <v/>
      </c>
      <c r="JH228" t="str">
        <f>""</f>
        <v/>
      </c>
      <c r="JI228" t="str">
        <f>""</f>
        <v/>
      </c>
      <c r="JJ228" t="str">
        <f>""</f>
        <v/>
      </c>
      <c r="JK228" t="str">
        <f>""</f>
        <v/>
      </c>
    </row>
    <row r="229" spans="1:271" x14ac:dyDescent="0.3">
      <c r="A229" t="str">
        <f>""</f>
        <v/>
      </c>
      <c r="B229" t="str">
        <f>""</f>
        <v/>
      </c>
      <c r="C229" t="str">
        <f>""</f>
        <v/>
      </c>
      <c r="D229" t="str">
        <f>""</f>
        <v/>
      </c>
      <c r="E229" t="str">
        <f>""</f>
        <v/>
      </c>
      <c r="F229" t="str">
        <f>""</f>
        <v/>
      </c>
      <c r="G229" t="str">
        <f>""</f>
        <v/>
      </c>
      <c r="H229" t="str">
        <f>""</f>
        <v/>
      </c>
      <c r="I229" t="str">
        <f>""</f>
        <v/>
      </c>
      <c r="J229" t="str">
        <f>""</f>
        <v/>
      </c>
      <c r="K229" t="str">
        <f>""</f>
        <v/>
      </c>
      <c r="L229" t="str">
        <f>""</f>
        <v/>
      </c>
      <c r="M229" t="str">
        <f>""</f>
        <v/>
      </c>
      <c r="N229" t="str">
        <f>""</f>
        <v/>
      </c>
      <c r="O229" t="str">
        <f>""</f>
        <v/>
      </c>
      <c r="P229" t="str">
        <f>""</f>
        <v/>
      </c>
      <c r="Q229" t="str">
        <f>""</f>
        <v/>
      </c>
      <c r="R229" t="str">
        <f>""</f>
        <v/>
      </c>
      <c r="S229" t="str">
        <f>""</f>
        <v/>
      </c>
      <c r="T229" t="str">
        <f>""</f>
        <v/>
      </c>
      <c r="U229" t="str">
        <f>""</f>
        <v/>
      </c>
      <c r="V229" t="str">
        <f>""</f>
        <v/>
      </c>
      <c r="W229" t="str">
        <f>""</f>
        <v/>
      </c>
      <c r="X229" t="str">
        <f>""</f>
        <v/>
      </c>
      <c r="Y229" t="str">
        <f>""</f>
        <v/>
      </c>
      <c r="Z229" t="str">
        <f>""</f>
        <v/>
      </c>
      <c r="AA229" t="str">
        <f>""</f>
        <v/>
      </c>
      <c r="AB229" t="str">
        <f>""</f>
        <v/>
      </c>
      <c r="AC229" t="str">
        <f>""</f>
        <v/>
      </c>
      <c r="AD229" t="str">
        <f>""</f>
        <v/>
      </c>
      <c r="AE229" t="str">
        <f>""</f>
        <v/>
      </c>
      <c r="AF229" t="str">
        <f>""</f>
        <v/>
      </c>
      <c r="AG229" t="str">
        <f>""</f>
        <v/>
      </c>
      <c r="AH229" t="str">
        <f>""</f>
        <v/>
      </c>
      <c r="AI229" t="str">
        <f>""</f>
        <v/>
      </c>
      <c r="AJ229" t="str">
        <f>""</f>
        <v/>
      </c>
      <c r="AK229" t="str">
        <f>""</f>
        <v/>
      </c>
      <c r="AL229" t="str">
        <f>""</f>
        <v/>
      </c>
      <c r="AM229" t="str">
        <f>""</f>
        <v/>
      </c>
      <c r="AN229" t="str">
        <f>""</f>
        <v/>
      </c>
      <c r="AO229" t="str">
        <f>""</f>
        <v/>
      </c>
      <c r="AP229" t="str">
        <f>""</f>
        <v/>
      </c>
      <c r="AQ229" t="str">
        <f>""</f>
        <v/>
      </c>
      <c r="AR229" t="str">
        <f>""</f>
        <v/>
      </c>
      <c r="AS229" t="str">
        <f>""</f>
        <v/>
      </c>
      <c r="AT229" t="str">
        <f>""</f>
        <v/>
      </c>
      <c r="AU229" t="str">
        <f>""</f>
        <v/>
      </c>
      <c r="AV229" t="str">
        <f>""</f>
        <v/>
      </c>
      <c r="AW229" t="str">
        <f>""</f>
        <v/>
      </c>
      <c r="AX229" t="str">
        <f>""</f>
        <v/>
      </c>
      <c r="AY229" t="str">
        <f>""</f>
        <v/>
      </c>
      <c r="AZ229" t="str">
        <f>""</f>
        <v/>
      </c>
      <c r="BA229" t="str">
        <f>""</f>
        <v/>
      </c>
      <c r="BB229" t="str">
        <f>""</f>
        <v/>
      </c>
      <c r="BC229" t="str">
        <f>""</f>
        <v/>
      </c>
      <c r="BD229" t="str">
        <f>""</f>
        <v/>
      </c>
      <c r="BE229" t="str">
        <f>""</f>
        <v/>
      </c>
      <c r="BF229" t="str">
        <f>""</f>
        <v/>
      </c>
      <c r="BG229" t="str">
        <f>""</f>
        <v/>
      </c>
      <c r="BH229" t="str">
        <f>""</f>
        <v/>
      </c>
      <c r="BI229" t="str">
        <f>""</f>
        <v/>
      </c>
      <c r="BJ229" t="str">
        <f>""</f>
        <v/>
      </c>
      <c r="BK229" t="str">
        <f>""</f>
        <v/>
      </c>
      <c r="BL229" t="str">
        <f>""</f>
        <v/>
      </c>
      <c r="BM229" t="str">
        <f>""</f>
        <v/>
      </c>
      <c r="BN229" t="str">
        <f>""</f>
        <v/>
      </c>
      <c r="BO229" t="str">
        <f>""</f>
        <v/>
      </c>
      <c r="BP229" t="str">
        <f>""</f>
        <v/>
      </c>
      <c r="BQ229" t="str">
        <f>""</f>
        <v/>
      </c>
      <c r="BR229" t="str">
        <f>""</f>
        <v/>
      </c>
      <c r="BS229" t="str">
        <f>""</f>
        <v/>
      </c>
      <c r="BT229" t="str">
        <f>""</f>
        <v/>
      </c>
      <c r="BU229" t="str">
        <f>""</f>
        <v/>
      </c>
      <c r="BV229" t="str">
        <f>""</f>
        <v/>
      </c>
      <c r="BW229" t="str">
        <f>""</f>
        <v/>
      </c>
      <c r="BX229" t="str">
        <f>""</f>
        <v/>
      </c>
      <c r="BY229" t="str">
        <f>""</f>
        <v/>
      </c>
      <c r="BZ229" t="str">
        <f>""</f>
        <v/>
      </c>
      <c r="CA229" t="str">
        <f>""</f>
        <v/>
      </c>
      <c r="CB229" t="str">
        <f>""</f>
        <v/>
      </c>
      <c r="CC229" t="str">
        <f>""</f>
        <v/>
      </c>
      <c r="CD229" t="str">
        <f>""</f>
        <v/>
      </c>
      <c r="CE229" t="str">
        <f>""</f>
        <v/>
      </c>
      <c r="CF229" t="str">
        <f>""</f>
        <v/>
      </c>
      <c r="CG229" t="str">
        <f>""</f>
        <v/>
      </c>
      <c r="CH229" t="str">
        <f>""</f>
        <v/>
      </c>
      <c r="CI229" t="str">
        <f>""</f>
        <v/>
      </c>
      <c r="CJ229" t="str">
        <f>""</f>
        <v/>
      </c>
      <c r="CK229" t="str">
        <f>""</f>
        <v/>
      </c>
      <c r="CL229" t="str">
        <f>""</f>
        <v/>
      </c>
      <c r="CM229" t="str">
        <f>""</f>
        <v/>
      </c>
      <c r="CN229" t="str">
        <f>""</f>
        <v/>
      </c>
      <c r="CO229" t="str">
        <f>""</f>
        <v/>
      </c>
      <c r="CP229" t="str">
        <f>""</f>
        <v/>
      </c>
      <c r="CQ229" t="str">
        <f>""</f>
        <v/>
      </c>
      <c r="CR229" t="str">
        <f>""</f>
        <v/>
      </c>
      <c r="CS229" t="str">
        <f>""</f>
        <v/>
      </c>
      <c r="CT229" t="str">
        <f>""</f>
        <v/>
      </c>
      <c r="CU229" t="str">
        <f>""</f>
        <v/>
      </c>
      <c r="CV229" t="str">
        <f>""</f>
        <v/>
      </c>
      <c r="CW229" t="str">
        <f>""</f>
        <v/>
      </c>
      <c r="CX229" t="str">
        <f>""</f>
        <v/>
      </c>
      <c r="CY229" t="str">
        <f>""</f>
        <v/>
      </c>
      <c r="CZ229" t="str">
        <f>""</f>
        <v/>
      </c>
      <c r="DA229" t="str">
        <f>""</f>
        <v/>
      </c>
      <c r="DB229" t="str">
        <f>""</f>
        <v/>
      </c>
      <c r="DC229" t="str">
        <f>""</f>
        <v/>
      </c>
      <c r="DD229" t="str">
        <f>""</f>
        <v/>
      </c>
      <c r="DE229" t="str">
        <f>""</f>
        <v/>
      </c>
      <c r="DF229" t="str">
        <f>""</f>
        <v/>
      </c>
      <c r="DG229" t="str">
        <f>""</f>
        <v/>
      </c>
      <c r="DH229" t="str">
        <f>""</f>
        <v/>
      </c>
      <c r="DI229" t="str">
        <f>""</f>
        <v/>
      </c>
      <c r="DJ229" t="str">
        <f>""</f>
        <v/>
      </c>
      <c r="DK229" t="str">
        <f>""</f>
        <v/>
      </c>
      <c r="DL229" t="str">
        <f>""</f>
        <v/>
      </c>
      <c r="DM229" t="str">
        <f>""</f>
        <v/>
      </c>
      <c r="DN229" t="str">
        <f>""</f>
        <v/>
      </c>
      <c r="DO229" t="str">
        <f>""</f>
        <v/>
      </c>
      <c r="DP229" t="str">
        <f>""</f>
        <v/>
      </c>
      <c r="DQ229" t="str">
        <f>""</f>
        <v/>
      </c>
      <c r="DR229" t="str">
        <f>""</f>
        <v/>
      </c>
      <c r="DS229" t="str">
        <f>""</f>
        <v/>
      </c>
      <c r="DT229" t="str">
        <f>""</f>
        <v/>
      </c>
      <c r="DU229" t="str">
        <f>""</f>
        <v/>
      </c>
      <c r="DV229" t="str">
        <f>""</f>
        <v/>
      </c>
      <c r="DW229" t="str">
        <f>""</f>
        <v/>
      </c>
      <c r="DX229" t="str">
        <f>""</f>
        <v/>
      </c>
      <c r="DY229" t="str">
        <f>""</f>
        <v/>
      </c>
      <c r="DZ229" t="str">
        <f>""</f>
        <v/>
      </c>
      <c r="EA229" t="str">
        <f>""</f>
        <v/>
      </c>
      <c r="EB229" t="str">
        <f>""</f>
        <v/>
      </c>
      <c r="EC229" t="str">
        <f>""</f>
        <v/>
      </c>
      <c r="ED229" t="str">
        <f>""</f>
        <v/>
      </c>
      <c r="EE229" t="str">
        <f>""</f>
        <v/>
      </c>
      <c r="EF229" t="str">
        <f>""</f>
        <v/>
      </c>
      <c r="EG229" t="str">
        <f>""</f>
        <v/>
      </c>
      <c r="EH229" t="str">
        <f>""</f>
        <v/>
      </c>
      <c r="EI229" t="str">
        <f>""</f>
        <v/>
      </c>
      <c r="EJ229" t="str">
        <f>"(0.103)"</f>
        <v>(0.103)</v>
      </c>
      <c r="EK229" t="str">
        <f>"(0.0804)"</f>
        <v>(0.0804)</v>
      </c>
      <c r="EL229" t="str">
        <f>"(0.0448)"</f>
        <v>(0.0448)</v>
      </c>
      <c r="EM229" t="str">
        <f>""</f>
        <v/>
      </c>
      <c r="EN229" t="str">
        <f>""</f>
        <v/>
      </c>
      <c r="EO229" t="str">
        <f>""</f>
        <v/>
      </c>
      <c r="EP229" t="str">
        <f>""</f>
        <v/>
      </c>
      <c r="EQ229" t="str">
        <f>""</f>
        <v/>
      </c>
      <c r="ER229" t="str">
        <f>""</f>
        <v/>
      </c>
      <c r="ES229" t="str">
        <f>""</f>
        <v/>
      </c>
      <c r="ET229" t="str">
        <f>""</f>
        <v/>
      </c>
      <c r="EU229" t="str">
        <f>""</f>
        <v/>
      </c>
      <c r="EV229" t="str">
        <f>""</f>
        <v/>
      </c>
      <c r="EW229" t="str">
        <f>""</f>
        <v/>
      </c>
      <c r="EX229" t="str">
        <f>""</f>
        <v/>
      </c>
      <c r="EY229" t="str">
        <f>""</f>
        <v/>
      </c>
      <c r="EZ229" t="str">
        <f>""</f>
        <v/>
      </c>
      <c r="FA229" t="str">
        <f>""</f>
        <v/>
      </c>
      <c r="FB229" t="str">
        <f>""</f>
        <v/>
      </c>
      <c r="FC229" t="str">
        <f>""</f>
        <v/>
      </c>
      <c r="FD229" t="str">
        <f>""</f>
        <v/>
      </c>
      <c r="FE229" t="str">
        <f>""</f>
        <v/>
      </c>
      <c r="FF229" t="str">
        <f>""</f>
        <v/>
      </c>
      <c r="FG229" t="str">
        <f>""</f>
        <v/>
      </c>
      <c r="FH229" t="str">
        <f>""</f>
        <v/>
      </c>
      <c r="FI229" t="str">
        <f>""</f>
        <v/>
      </c>
      <c r="FJ229" t="str">
        <f>""</f>
        <v/>
      </c>
      <c r="FK229" t="str">
        <f>""</f>
        <v/>
      </c>
      <c r="FL229" t="str">
        <f>""</f>
        <v/>
      </c>
      <c r="FM229" t="str">
        <f>""</f>
        <v/>
      </c>
      <c r="FN229" t="str">
        <f>""</f>
        <v/>
      </c>
      <c r="FO229" t="str">
        <f>""</f>
        <v/>
      </c>
      <c r="FP229" t="str">
        <f>""</f>
        <v/>
      </c>
      <c r="FQ229" t="str">
        <f>""</f>
        <v/>
      </c>
      <c r="FR229" t="str">
        <f>""</f>
        <v/>
      </c>
      <c r="FS229" t="str">
        <f>""</f>
        <v/>
      </c>
      <c r="FT229" t="str">
        <f>""</f>
        <v/>
      </c>
      <c r="FU229" t="str">
        <f>""</f>
        <v/>
      </c>
      <c r="FV229" t="str">
        <f>""</f>
        <v/>
      </c>
      <c r="FW229" t="str">
        <f>""</f>
        <v/>
      </c>
      <c r="FX229" t="str">
        <f>""</f>
        <v/>
      </c>
      <c r="FY229" t="str">
        <f>""</f>
        <v/>
      </c>
      <c r="FZ229" t="str">
        <f>""</f>
        <v/>
      </c>
      <c r="GA229" t="str">
        <f>""</f>
        <v/>
      </c>
      <c r="GB229" t="str">
        <f>""</f>
        <v/>
      </c>
      <c r="GC229" t="str">
        <f>""</f>
        <v/>
      </c>
      <c r="GD229" t="str">
        <f>""</f>
        <v/>
      </c>
      <c r="GE229" t="str">
        <f>""</f>
        <v/>
      </c>
      <c r="GF229" t="str">
        <f>""</f>
        <v/>
      </c>
      <c r="GG229" t="str">
        <f>""</f>
        <v/>
      </c>
      <c r="GH229" t="str">
        <f>""</f>
        <v/>
      </c>
      <c r="GI229" t="str">
        <f>""</f>
        <v/>
      </c>
      <c r="GJ229" t="str">
        <f>""</f>
        <v/>
      </c>
      <c r="GK229" t="str">
        <f>""</f>
        <v/>
      </c>
      <c r="GL229" t="str">
        <f>""</f>
        <v/>
      </c>
      <c r="GM229" t="str">
        <f>""</f>
        <v/>
      </c>
      <c r="GN229" t="str">
        <f>""</f>
        <v/>
      </c>
      <c r="GO229" t="str">
        <f>""</f>
        <v/>
      </c>
      <c r="GP229" t="str">
        <f>""</f>
        <v/>
      </c>
      <c r="GQ229" t="str">
        <f>""</f>
        <v/>
      </c>
      <c r="GR229" t="str">
        <f>""</f>
        <v/>
      </c>
      <c r="GS229" t="str">
        <f>""</f>
        <v/>
      </c>
      <c r="GT229" t="str">
        <f>""</f>
        <v/>
      </c>
      <c r="GU229" t="str">
        <f>""</f>
        <v/>
      </c>
      <c r="GV229" t="str">
        <f>""</f>
        <v/>
      </c>
      <c r="GW229" t="str">
        <f>""</f>
        <v/>
      </c>
      <c r="GX229" t="str">
        <f>""</f>
        <v/>
      </c>
      <c r="GY229" t="str">
        <f>""</f>
        <v/>
      </c>
      <c r="GZ229" t="str">
        <f>""</f>
        <v/>
      </c>
      <c r="HA229" t="str">
        <f>""</f>
        <v/>
      </c>
      <c r="HB229" t="str">
        <f>""</f>
        <v/>
      </c>
      <c r="HC229" t="str">
        <f>""</f>
        <v/>
      </c>
      <c r="HD229" t="str">
        <f>""</f>
        <v/>
      </c>
      <c r="HE229" t="str">
        <f>""</f>
        <v/>
      </c>
      <c r="HF229" t="str">
        <f>""</f>
        <v/>
      </c>
      <c r="HG229" t="str">
        <f>""</f>
        <v/>
      </c>
      <c r="HH229" t="str">
        <f>""</f>
        <v/>
      </c>
      <c r="HI229" t="str">
        <f>""</f>
        <v/>
      </c>
      <c r="HJ229" t="str">
        <f>""</f>
        <v/>
      </c>
      <c r="HK229" t="str">
        <f>""</f>
        <v/>
      </c>
      <c r="HL229" t="str">
        <f>""</f>
        <v/>
      </c>
      <c r="HM229" t="str">
        <f>""</f>
        <v/>
      </c>
      <c r="HN229" t="str">
        <f>""</f>
        <v/>
      </c>
      <c r="HO229" t="str">
        <f>""</f>
        <v/>
      </c>
      <c r="HP229" t="str">
        <f>""</f>
        <v/>
      </c>
      <c r="HQ229" t="str">
        <f>""</f>
        <v/>
      </c>
      <c r="HR229" t="str">
        <f>""</f>
        <v/>
      </c>
      <c r="HS229" t="str">
        <f>""</f>
        <v/>
      </c>
      <c r="HT229" t="str">
        <f>""</f>
        <v/>
      </c>
      <c r="HU229" t="str">
        <f>""</f>
        <v/>
      </c>
      <c r="HV229" t="str">
        <f>""</f>
        <v/>
      </c>
      <c r="HW229" t="str">
        <f>""</f>
        <v/>
      </c>
      <c r="HX229" t="str">
        <f>""</f>
        <v/>
      </c>
      <c r="HY229" t="str">
        <f>""</f>
        <v/>
      </c>
      <c r="HZ229" t="str">
        <f>""</f>
        <v/>
      </c>
      <c r="IA229" t="str">
        <f>""</f>
        <v/>
      </c>
      <c r="IB229" t="str">
        <f>""</f>
        <v/>
      </c>
      <c r="IC229" t="str">
        <f>""</f>
        <v/>
      </c>
      <c r="ID229" t="str">
        <f>""</f>
        <v/>
      </c>
      <c r="IE229" t="str">
        <f>""</f>
        <v/>
      </c>
      <c r="IF229" t="str">
        <f>""</f>
        <v/>
      </c>
      <c r="IG229" t="str">
        <f>""</f>
        <v/>
      </c>
      <c r="IH229" t="str">
        <f>""</f>
        <v/>
      </c>
      <c r="II229" t="str">
        <f>""</f>
        <v/>
      </c>
      <c r="IJ229" t="str">
        <f>""</f>
        <v/>
      </c>
      <c r="IK229" t="str">
        <f>""</f>
        <v/>
      </c>
      <c r="IL229" t="str">
        <f>""</f>
        <v/>
      </c>
      <c r="IM229" t="str">
        <f>""</f>
        <v/>
      </c>
      <c r="IN229" t="str">
        <f>""</f>
        <v/>
      </c>
      <c r="IO229" t="str">
        <f>""</f>
        <v/>
      </c>
      <c r="IP229" t="str">
        <f>""</f>
        <v/>
      </c>
      <c r="IQ229" t="str">
        <f>""</f>
        <v/>
      </c>
      <c r="IR229" t="str">
        <f>""</f>
        <v/>
      </c>
      <c r="IS229" t="str">
        <f>""</f>
        <v/>
      </c>
      <c r="IT229" t="str">
        <f>""</f>
        <v/>
      </c>
      <c r="IU229" t="str">
        <f>""</f>
        <v/>
      </c>
      <c r="IV229" t="str">
        <f>""</f>
        <v/>
      </c>
      <c r="IW229" t="str">
        <f>""</f>
        <v/>
      </c>
      <c r="IX229" t="str">
        <f>""</f>
        <v/>
      </c>
      <c r="IY229" t="str">
        <f>""</f>
        <v/>
      </c>
      <c r="IZ229" t="str">
        <f>""</f>
        <v/>
      </c>
      <c r="JA229" t="str">
        <f>""</f>
        <v/>
      </c>
      <c r="JB229" t="str">
        <f>""</f>
        <v/>
      </c>
      <c r="JC229" t="str">
        <f>""</f>
        <v/>
      </c>
      <c r="JD229" t="str">
        <f>""</f>
        <v/>
      </c>
      <c r="JE229" t="str">
        <f>""</f>
        <v/>
      </c>
      <c r="JF229" t="str">
        <f>""</f>
        <v/>
      </c>
      <c r="JG229" t="str">
        <f>""</f>
        <v/>
      </c>
      <c r="JH229" t="str">
        <f>""</f>
        <v/>
      </c>
      <c r="JI229" t="str">
        <f>""</f>
        <v/>
      </c>
      <c r="JJ229" t="str">
        <f>""</f>
        <v/>
      </c>
      <c r="JK229" t="str">
        <f>""</f>
        <v/>
      </c>
    </row>
    <row r="231" spans="1:271" x14ac:dyDescent="0.3">
      <c r="A231" t="str">
        <f>"c.zMETAB3#c.PM4"</f>
        <v>c.zMETAB3#c.PM4</v>
      </c>
      <c r="B231" t="str">
        <f>""</f>
        <v/>
      </c>
      <c r="C231" t="str">
        <f>""</f>
        <v/>
      </c>
      <c r="D231" t="str">
        <f>""</f>
        <v/>
      </c>
      <c r="E231" t="str">
        <f>""</f>
        <v/>
      </c>
      <c r="F231" t="str">
        <f>""</f>
        <v/>
      </c>
      <c r="G231" t="str">
        <f>""</f>
        <v/>
      </c>
      <c r="H231" t="str">
        <f>""</f>
        <v/>
      </c>
      <c r="I231" t="str">
        <f>""</f>
        <v/>
      </c>
      <c r="J231" t="str">
        <f>""</f>
        <v/>
      </c>
      <c r="K231" t="str">
        <f>""</f>
        <v/>
      </c>
      <c r="L231" t="str">
        <f>""</f>
        <v/>
      </c>
      <c r="M231" t="str">
        <f>""</f>
        <v/>
      </c>
      <c r="N231" t="str">
        <f>""</f>
        <v/>
      </c>
      <c r="O231" t="str">
        <f>""</f>
        <v/>
      </c>
      <c r="P231" t="str">
        <f>""</f>
        <v/>
      </c>
      <c r="Q231" t="str">
        <f>""</f>
        <v/>
      </c>
      <c r="R231" t="str">
        <f>""</f>
        <v/>
      </c>
      <c r="S231" t="str">
        <f>""</f>
        <v/>
      </c>
      <c r="T231" t="str">
        <f>""</f>
        <v/>
      </c>
      <c r="U231" t="str">
        <f>""</f>
        <v/>
      </c>
      <c r="V231" t="str">
        <f>""</f>
        <v/>
      </c>
      <c r="W231" t="str">
        <f>""</f>
        <v/>
      </c>
      <c r="X231" t="str">
        <f>""</f>
        <v/>
      </c>
      <c r="Y231" t="str">
        <f>""</f>
        <v/>
      </c>
      <c r="Z231" t="str">
        <f>""</f>
        <v/>
      </c>
      <c r="AA231" t="str">
        <f>""</f>
        <v/>
      </c>
      <c r="AB231" t="str">
        <f>""</f>
        <v/>
      </c>
      <c r="AC231" t="str">
        <f>""</f>
        <v/>
      </c>
      <c r="AD231" t="str">
        <f>""</f>
        <v/>
      </c>
      <c r="AE231" t="str">
        <f>""</f>
        <v/>
      </c>
      <c r="AF231" t="str">
        <f>""</f>
        <v/>
      </c>
      <c r="AG231" t="str">
        <f>""</f>
        <v/>
      </c>
      <c r="AH231" t="str">
        <f>""</f>
        <v/>
      </c>
      <c r="AI231" t="str">
        <f>""</f>
        <v/>
      </c>
      <c r="AJ231" t="str">
        <f>""</f>
        <v/>
      </c>
      <c r="AK231" t="str">
        <f>""</f>
        <v/>
      </c>
      <c r="AL231" t="str">
        <f>""</f>
        <v/>
      </c>
      <c r="AM231" t="str">
        <f>""</f>
        <v/>
      </c>
      <c r="AN231" t="str">
        <f>""</f>
        <v/>
      </c>
      <c r="AO231" t="str">
        <f>""</f>
        <v/>
      </c>
      <c r="AP231" t="str">
        <f>""</f>
        <v/>
      </c>
      <c r="AQ231" t="str">
        <f>""</f>
        <v/>
      </c>
      <c r="AR231" t="str">
        <f>""</f>
        <v/>
      </c>
      <c r="AS231" t="str">
        <f>""</f>
        <v/>
      </c>
      <c r="AT231" t="str">
        <f>""</f>
        <v/>
      </c>
      <c r="AU231" t="str">
        <f>""</f>
        <v/>
      </c>
      <c r="AV231" t="str">
        <f>""</f>
        <v/>
      </c>
      <c r="AW231" t="str">
        <f>""</f>
        <v/>
      </c>
      <c r="AX231" t="str">
        <f>""</f>
        <v/>
      </c>
      <c r="AY231" t="str">
        <f>""</f>
        <v/>
      </c>
      <c r="AZ231" t="str">
        <f>""</f>
        <v/>
      </c>
      <c r="BA231" t="str">
        <f>""</f>
        <v/>
      </c>
      <c r="BB231" t="str">
        <f>""</f>
        <v/>
      </c>
      <c r="BC231" t="str">
        <f>""</f>
        <v/>
      </c>
      <c r="BD231" t="str">
        <f>""</f>
        <v/>
      </c>
      <c r="BE231" t="str">
        <f>""</f>
        <v/>
      </c>
      <c r="BF231" t="str">
        <f>""</f>
        <v/>
      </c>
      <c r="BG231" t="str">
        <f>""</f>
        <v/>
      </c>
      <c r="BH231" t="str">
        <f>""</f>
        <v/>
      </c>
      <c r="BI231" t="str">
        <f>""</f>
        <v/>
      </c>
      <c r="BJ231" t="str">
        <f>""</f>
        <v/>
      </c>
      <c r="BK231" t="str">
        <f>""</f>
        <v/>
      </c>
      <c r="BL231" t="str">
        <f>""</f>
        <v/>
      </c>
      <c r="BM231" t="str">
        <f>""</f>
        <v/>
      </c>
      <c r="BN231" t="str">
        <f>""</f>
        <v/>
      </c>
      <c r="BO231" t="str">
        <f>""</f>
        <v/>
      </c>
      <c r="BP231" t="str">
        <f>""</f>
        <v/>
      </c>
      <c r="BQ231" t="str">
        <f>""</f>
        <v/>
      </c>
      <c r="BR231" t="str">
        <f>""</f>
        <v/>
      </c>
      <c r="BS231" t="str">
        <f>""</f>
        <v/>
      </c>
      <c r="BT231" t="str">
        <f>""</f>
        <v/>
      </c>
      <c r="BU231" t="str">
        <f>""</f>
        <v/>
      </c>
      <c r="BV231" t="str">
        <f>""</f>
        <v/>
      </c>
      <c r="BW231" t="str">
        <f>""</f>
        <v/>
      </c>
      <c r="BX231" t="str">
        <f>""</f>
        <v/>
      </c>
      <c r="BY231" t="str">
        <f>""</f>
        <v/>
      </c>
      <c r="BZ231" t="str">
        <f>""</f>
        <v/>
      </c>
      <c r="CA231" t="str">
        <f>""</f>
        <v/>
      </c>
      <c r="CB231" t="str">
        <f>""</f>
        <v/>
      </c>
      <c r="CC231" t="str">
        <f>""</f>
        <v/>
      </c>
      <c r="CD231" t="str">
        <f>""</f>
        <v/>
      </c>
      <c r="CE231" t="str">
        <f>""</f>
        <v/>
      </c>
      <c r="CF231" t="str">
        <f>""</f>
        <v/>
      </c>
      <c r="CG231" t="str">
        <f>""</f>
        <v/>
      </c>
      <c r="CH231" t="str">
        <f>""</f>
        <v/>
      </c>
      <c r="CI231" t="str">
        <f>""</f>
        <v/>
      </c>
      <c r="CJ231" t="str">
        <f>""</f>
        <v/>
      </c>
      <c r="CK231" t="str">
        <f>""</f>
        <v/>
      </c>
      <c r="CL231" t="str">
        <f>""</f>
        <v/>
      </c>
      <c r="CM231" t="str">
        <f>""</f>
        <v/>
      </c>
      <c r="CN231" t="str">
        <f>""</f>
        <v/>
      </c>
      <c r="CO231" t="str">
        <f>""</f>
        <v/>
      </c>
      <c r="CP231" t="str">
        <f>""</f>
        <v/>
      </c>
      <c r="CQ231" t="str">
        <f>""</f>
        <v/>
      </c>
      <c r="CR231" t="str">
        <f>""</f>
        <v/>
      </c>
      <c r="CS231" t="str">
        <f>""</f>
        <v/>
      </c>
      <c r="CT231" t="str">
        <f>""</f>
        <v/>
      </c>
      <c r="CU231" t="str">
        <f>""</f>
        <v/>
      </c>
      <c r="CV231" t="str">
        <f>""</f>
        <v/>
      </c>
      <c r="CW231" t="str">
        <f>""</f>
        <v/>
      </c>
      <c r="CX231" t="str">
        <f>""</f>
        <v/>
      </c>
      <c r="CY231" t="str">
        <f>""</f>
        <v/>
      </c>
      <c r="CZ231" t="str">
        <f>""</f>
        <v/>
      </c>
      <c r="DA231" t="str">
        <f>""</f>
        <v/>
      </c>
      <c r="DB231" t="str">
        <f>""</f>
        <v/>
      </c>
      <c r="DC231" t="str">
        <f>""</f>
        <v/>
      </c>
      <c r="DD231" t="str">
        <f>""</f>
        <v/>
      </c>
      <c r="DE231" t="str">
        <f>""</f>
        <v/>
      </c>
      <c r="DF231" t="str">
        <f>""</f>
        <v/>
      </c>
      <c r="DG231" t="str">
        <f>""</f>
        <v/>
      </c>
      <c r="DH231" t="str">
        <f>""</f>
        <v/>
      </c>
      <c r="DI231" t="str">
        <f>""</f>
        <v/>
      </c>
      <c r="DJ231" t="str">
        <f>""</f>
        <v/>
      </c>
      <c r="DK231" t="str">
        <f>""</f>
        <v/>
      </c>
      <c r="DL231" t="str">
        <f>""</f>
        <v/>
      </c>
      <c r="DM231" t="str">
        <f>""</f>
        <v/>
      </c>
      <c r="DN231" t="str">
        <f>""</f>
        <v/>
      </c>
      <c r="DO231" t="str">
        <f>""</f>
        <v/>
      </c>
      <c r="DP231" t="str">
        <f>""</f>
        <v/>
      </c>
      <c r="DQ231" t="str">
        <f>""</f>
        <v/>
      </c>
      <c r="DR231" t="str">
        <f>""</f>
        <v/>
      </c>
      <c r="DS231" t="str">
        <f>""</f>
        <v/>
      </c>
      <c r="DT231" t="str">
        <f>""</f>
        <v/>
      </c>
      <c r="DU231" t="str">
        <f>""</f>
        <v/>
      </c>
      <c r="DV231" t="str">
        <f>""</f>
        <v/>
      </c>
      <c r="DW231" t="str">
        <f>""</f>
        <v/>
      </c>
      <c r="DX231" t="str">
        <f>""</f>
        <v/>
      </c>
      <c r="DY231" t="str">
        <f>""</f>
        <v/>
      </c>
      <c r="DZ231" t="str">
        <f>""</f>
        <v/>
      </c>
      <c r="EA231" t="str">
        <f>""</f>
        <v/>
      </c>
      <c r="EB231" t="str">
        <f>""</f>
        <v/>
      </c>
      <c r="EC231" t="str">
        <f>""</f>
        <v/>
      </c>
      <c r="ED231" t="str">
        <f>""</f>
        <v/>
      </c>
      <c r="EE231" t="str">
        <f>""</f>
        <v/>
      </c>
      <c r="EF231" t="str">
        <f>""</f>
        <v/>
      </c>
      <c r="EG231" t="str">
        <f>""</f>
        <v/>
      </c>
      <c r="EH231" t="str">
        <f>""</f>
        <v/>
      </c>
      <c r="EI231" t="str">
        <f>""</f>
        <v/>
      </c>
      <c r="EJ231" t="str">
        <f>""</f>
        <v/>
      </c>
      <c r="EK231" t="str">
        <f>""</f>
        <v/>
      </c>
      <c r="EL231" t="str">
        <f>""</f>
        <v/>
      </c>
      <c r="EM231" t="str">
        <f>"0.0619"</f>
        <v>0.0619</v>
      </c>
      <c r="EN231" t="str">
        <f>"0.0575"</f>
        <v>0.0575</v>
      </c>
      <c r="EO231" t="str">
        <f>"-0.0000242"</f>
        <v>-0.0000242</v>
      </c>
      <c r="EP231" t="str">
        <f>""</f>
        <v/>
      </c>
      <c r="EQ231" t="str">
        <f>""</f>
        <v/>
      </c>
      <c r="ER231" t="str">
        <f>""</f>
        <v/>
      </c>
      <c r="ES231" t="str">
        <f>""</f>
        <v/>
      </c>
      <c r="ET231" t="str">
        <f>""</f>
        <v/>
      </c>
      <c r="EU231" t="str">
        <f>""</f>
        <v/>
      </c>
      <c r="EV231" t="str">
        <f>""</f>
        <v/>
      </c>
      <c r="EW231" t="str">
        <f>""</f>
        <v/>
      </c>
      <c r="EX231" t="str">
        <f>""</f>
        <v/>
      </c>
      <c r="EY231" t="str">
        <f>""</f>
        <v/>
      </c>
      <c r="EZ231" t="str">
        <f>""</f>
        <v/>
      </c>
      <c r="FA231" t="str">
        <f>""</f>
        <v/>
      </c>
      <c r="FB231" t="str">
        <f>""</f>
        <v/>
      </c>
      <c r="FC231" t="str">
        <f>""</f>
        <v/>
      </c>
      <c r="FD231" t="str">
        <f>""</f>
        <v/>
      </c>
      <c r="FE231" t="str">
        <f>""</f>
        <v/>
      </c>
      <c r="FF231" t="str">
        <f>""</f>
        <v/>
      </c>
      <c r="FG231" t="str">
        <f>""</f>
        <v/>
      </c>
      <c r="FH231" t="str">
        <f>""</f>
        <v/>
      </c>
      <c r="FI231" t="str">
        <f>""</f>
        <v/>
      </c>
      <c r="FJ231" t="str">
        <f>""</f>
        <v/>
      </c>
      <c r="FK231" t="str">
        <f>""</f>
        <v/>
      </c>
      <c r="FL231" t="str">
        <f>""</f>
        <v/>
      </c>
      <c r="FM231" t="str">
        <f>""</f>
        <v/>
      </c>
      <c r="FN231" t="str">
        <f>""</f>
        <v/>
      </c>
      <c r="FO231" t="str">
        <f>""</f>
        <v/>
      </c>
      <c r="FP231" t="str">
        <f>""</f>
        <v/>
      </c>
      <c r="FQ231" t="str">
        <f>""</f>
        <v/>
      </c>
      <c r="FR231" t="str">
        <f>""</f>
        <v/>
      </c>
      <c r="FS231" t="str">
        <f>""</f>
        <v/>
      </c>
      <c r="FT231" t="str">
        <f>""</f>
        <v/>
      </c>
      <c r="FU231" t="str">
        <f>""</f>
        <v/>
      </c>
      <c r="FV231" t="str">
        <f>""</f>
        <v/>
      </c>
      <c r="FW231" t="str">
        <f>""</f>
        <v/>
      </c>
      <c r="FX231" t="str">
        <f>""</f>
        <v/>
      </c>
      <c r="FY231" t="str">
        <f>""</f>
        <v/>
      </c>
      <c r="FZ231" t="str">
        <f>""</f>
        <v/>
      </c>
      <c r="GA231" t="str">
        <f>""</f>
        <v/>
      </c>
      <c r="GB231" t="str">
        <f>""</f>
        <v/>
      </c>
      <c r="GC231" t="str">
        <f>""</f>
        <v/>
      </c>
      <c r="GD231" t="str">
        <f>""</f>
        <v/>
      </c>
      <c r="GE231" t="str">
        <f>""</f>
        <v/>
      </c>
      <c r="GF231" t="str">
        <f>""</f>
        <v/>
      </c>
      <c r="GG231" t="str">
        <f>""</f>
        <v/>
      </c>
      <c r="GH231" t="str">
        <f>""</f>
        <v/>
      </c>
      <c r="GI231" t="str">
        <f>""</f>
        <v/>
      </c>
      <c r="GJ231" t="str">
        <f>""</f>
        <v/>
      </c>
      <c r="GK231" t="str">
        <f>""</f>
        <v/>
      </c>
      <c r="GL231" t="str">
        <f>""</f>
        <v/>
      </c>
      <c r="GM231" t="str">
        <f>""</f>
        <v/>
      </c>
      <c r="GN231" t="str">
        <f>""</f>
        <v/>
      </c>
      <c r="GO231" t="str">
        <f>""</f>
        <v/>
      </c>
      <c r="GP231" t="str">
        <f>""</f>
        <v/>
      </c>
      <c r="GQ231" t="str">
        <f>""</f>
        <v/>
      </c>
      <c r="GR231" t="str">
        <f>""</f>
        <v/>
      </c>
      <c r="GS231" t="str">
        <f>""</f>
        <v/>
      </c>
      <c r="GT231" t="str">
        <f>""</f>
        <v/>
      </c>
      <c r="GU231" t="str">
        <f>""</f>
        <v/>
      </c>
      <c r="GV231" t="str">
        <f>""</f>
        <v/>
      </c>
      <c r="GW231" t="str">
        <f>""</f>
        <v/>
      </c>
      <c r="GX231" t="str">
        <f>""</f>
        <v/>
      </c>
      <c r="GY231" t="str">
        <f>""</f>
        <v/>
      </c>
      <c r="GZ231" t="str">
        <f>""</f>
        <v/>
      </c>
      <c r="HA231" t="str">
        <f>""</f>
        <v/>
      </c>
      <c r="HB231" t="str">
        <f>""</f>
        <v/>
      </c>
      <c r="HC231" t="str">
        <f>""</f>
        <v/>
      </c>
      <c r="HD231" t="str">
        <f>""</f>
        <v/>
      </c>
      <c r="HE231" t="str">
        <f>""</f>
        <v/>
      </c>
      <c r="HF231" t="str">
        <f>""</f>
        <v/>
      </c>
      <c r="HG231" t="str">
        <f>""</f>
        <v/>
      </c>
      <c r="HH231" t="str">
        <f>""</f>
        <v/>
      </c>
      <c r="HI231" t="str">
        <f>""</f>
        <v/>
      </c>
      <c r="HJ231" t="str">
        <f>""</f>
        <v/>
      </c>
      <c r="HK231" t="str">
        <f>""</f>
        <v/>
      </c>
      <c r="HL231" t="str">
        <f>""</f>
        <v/>
      </c>
      <c r="HM231" t="str">
        <f>""</f>
        <v/>
      </c>
      <c r="HN231" t="str">
        <f>""</f>
        <v/>
      </c>
      <c r="HO231" t="str">
        <f>""</f>
        <v/>
      </c>
      <c r="HP231" t="str">
        <f>""</f>
        <v/>
      </c>
      <c r="HQ231" t="str">
        <f>""</f>
        <v/>
      </c>
      <c r="HR231" t="str">
        <f>""</f>
        <v/>
      </c>
      <c r="HS231" t="str">
        <f>""</f>
        <v/>
      </c>
      <c r="HT231" t="str">
        <f>""</f>
        <v/>
      </c>
      <c r="HU231" t="str">
        <f>""</f>
        <v/>
      </c>
      <c r="HV231" t="str">
        <f>""</f>
        <v/>
      </c>
      <c r="HW231" t="str">
        <f>""</f>
        <v/>
      </c>
      <c r="HX231" t="str">
        <f>""</f>
        <v/>
      </c>
      <c r="HY231" t="str">
        <f>""</f>
        <v/>
      </c>
      <c r="HZ231" t="str">
        <f>""</f>
        <v/>
      </c>
      <c r="IA231" t="str">
        <f>""</f>
        <v/>
      </c>
      <c r="IB231" t="str">
        <f>""</f>
        <v/>
      </c>
      <c r="IC231" t="str">
        <f>""</f>
        <v/>
      </c>
      <c r="ID231" t="str">
        <f>""</f>
        <v/>
      </c>
      <c r="IE231" t="str">
        <f>""</f>
        <v/>
      </c>
      <c r="IF231" t="str">
        <f>""</f>
        <v/>
      </c>
      <c r="IG231" t="str">
        <f>""</f>
        <v/>
      </c>
      <c r="IH231" t="str">
        <f>""</f>
        <v/>
      </c>
      <c r="II231" t="str">
        <f>""</f>
        <v/>
      </c>
      <c r="IJ231" t="str">
        <f>""</f>
        <v/>
      </c>
      <c r="IK231" t="str">
        <f>""</f>
        <v/>
      </c>
      <c r="IL231" t="str">
        <f>""</f>
        <v/>
      </c>
      <c r="IM231" t="str">
        <f>""</f>
        <v/>
      </c>
      <c r="IN231" t="str">
        <f>""</f>
        <v/>
      </c>
      <c r="IO231" t="str">
        <f>""</f>
        <v/>
      </c>
      <c r="IP231" t="str">
        <f>""</f>
        <v/>
      </c>
      <c r="IQ231" t="str">
        <f>""</f>
        <v/>
      </c>
      <c r="IR231" t="str">
        <f>""</f>
        <v/>
      </c>
      <c r="IS231" t="str">
        <f>""</f>
        <v/>
      </c>
      <c r="IT231" t="str">
        <f>""</f>
        <v/>
      </c>
      <c r="IU231" t="str">
        <f>""</f>
        <v/>
      </c>
      <c r="IV231" t="str">
        <f>""</f>
        <v/>
      </c>
      <c r="IW231" t="str">
        <f>""</f>
        <v/>
      </c>
      <c r="IX231" t="str">
        <f>""</f>
        <v/>
      </c>
      <c r="IY231" t="str">
        <f>""</f>
        <v/>
      </c>
      <c r="IZ231" t="str">
        <f>""</f>
        <v/>
      </c>
      <c r="JA231" t="str">
        <f>""</f>
        <v/>
      </c>
      <c r="JB231" t="str">
        <f>""</f>
        <v/>
      </c>
      <c r="JC231" t="str">
        <f>""</f>
        <v/>
      </c>
      <c r="JD231" t="str">
        <f>""</f>
        <v/>
      </c>
      <c r="JE231" t="str">
        <f>""</f>
        <v/>
      </c>
      <c r="JF231" t="str">
        <f>""</f>
        <v/>
      </c>
      <c r="JG231" t="str">
        <f>""</f>
        <v/>
      </c>
      <c r="JH231" t="str">
        <f>""</f>
        <v/>
      </c>
      <c r="JI231" t="str">
        <f>""</f>
        <v/>
      </c>
      <c r="JJ231" t="str">
        <f>""</f>
        <v/>
      </c>
      <c r="JK231" t="str">
        <f>""</f>
        <v/>
      </c>
    </row>
    <row r="232" spans="1:271" x14ac:dyDescent="0.3">
      <c r="A232" t="str">
        <f>""</f>
        <v/>
      </c>
      <c r="B232" t="str">
        <f>""</f>
        <v/>
      </c>
      <c r="C232" t="str">
        <f>""</f>
        <v/>
      </c>
      <c r="D232" t="str">
        <f>""</f>
        <v/>
      </c>
      <c r="E232" t="str">
        <f>""</f>
        <v/>
      </c>
      <c r="F232" t="str">
        <f>""</f>
        <v/>
      </c>
      <c r="G232" t="str">
        <f>""</f>
        <v/>
      </c>
      <c r="H232" t="str">
        <f>""</f>
        <v/>
      </c>
      <c r="I232" t="str">
        <f>""</f>
        <v/>
      </c>
      <c r="J232" t="str">
        <f>""</f>
        <v/>
      </c>
      <c r="K232" t="str">
        <f>""</f>
        <v/>
      </c>
      <c r="L232" t="str">
        <f>""</f>
        <v/>
      </c>
      <c r="M232" t="str">
        <f>""</f>
        <v/>
      </c>
      <c r="N232" t="str">
        <f>""</f>
        <v/>
      </c>
      <c r="O232" t="str">
        <f>""</f>
        <v/>
      </c>
      <c r="P232" t="str">
        <f>""</f>
        <v/>
      </c>
      <c r="Q232" t="str">
        <f>""</f>
        <v/>
      </c>
      <c r="R232" t="str">
        <f>""</f>
        <v/>
      </c>
      <c r="S232" t="str">
        <f>""</f>
        <v/>
      </c>
      <c r="T232" t="str">
        <f>""</f>
        <v/>
      </c>
      <c r="U232" t="str">
        <f>""</f>
        <v/>
      </c>
      <c r="V232" t="str">
        <f>""</f>
        <v/>
      </c>
      <c r="W232" t="str">
        <f>""</f>
        <v/>
      </c>
      <c r="X232" t="str">
        <f>""</f>
        <v/>
      </c>
      <c r="Y232" t="str">
        <f>""</f>
        <v/>
      </c>
      <c r="Z232" t="str">
        <f>""</f>
        <v/>
      </c>
      <c r="AA232" t="str">
        <f>""</f>
        <v/>
      </c>
      <c r="AB232" t="str">
        <f>""</f>
        <v/>
      </c>
      <c r="AC232" t="str">
        <f>""</f>
        <v/>
      </c>
      <c r="AD232" t="str">
        <f>""</f>
        <v/>
      </c>
      <c r="AE232" t="str">
        <f>""</f>
        <v/>
      </c>
      <c r="AF232" t="str">
        <f>""</f>
        <v/>
      </c>
      <c r="AG232" t="str">
        <f>""</f>
        <v/>
      </c>
      <c r="AH232" t="str">
        <f>""</f>
        <v/>
      </c>
      <c r="AI232" t="str">
        <f>""</f>
        <v/>
      </c>
      <c r="AJ232" t="str">
        <f>""</f>
        <v/>
      </c>
      <c r="AK232" t="str">
        <f>""</f>
        <v/>
      </c>
      <c r="AL232" t="str">
        <f>""</f>
        <v/>
      </c>
      <c r="AM232" t="str">
        <f>""</f>
        <v/>
      </c>
      <c r="AN232" t="str">
        <f>""</f>
        <v/>
      </c>
      <c r="AO232" t="str">
        <f>""</f>
        <v/>
      </c>
      <c r="AP232" t="str">
        <f>""</f>
        <v/>
      </c>
      <c r="AQ232" t="str">
        <f>""</f>
        <v/>
      </c>
      <c r="AR232" t="str">
        <f>""</f>
        <v/>
      </c>
      <c r="AS232" t="str">
        <f>""</f>
        <v/>
      </c>
      <c r="AT232" t="str">
        <f>""</f>
        <v/>
      </c>
      <c r="AU232" t="str">
        <f>""</f>
        <v/>
      </c>
      <c r="AV232" t="str">
        <f>""</f>
        <v/>
      </c>
      <c r="AW232" t="str">
        <f>""</f>
        <v/>
      </c>
      <c r="AX232" t="str">
        <f>""</f>
        <v/>
      </c>
      <c r="AY232" t="str">
        <f>""</f>
        <v/>
      </c>
      <c r="AZ232" t="str">
        <f>""</f>
        <v/>
      </c>
      <c r="BA232" t="str">
        <f>""</f>
        <v/>
      </c>
      <c r="BB232" t="str">
        <f>""</f>
        <v/>
      </c>
      <c r="BC232" t="str">
        <f>""</f>
        <v/>
      </c>
      <c r="BD232" t="str">
        <f>""</f>
        <v/>
      </c>
      <c r="BE232" t="str">
        <f>""</f>
        <v/>
      </c>
      <c r="BF232" t="str">
        <f>""</f>
        <v/>
      </c>
      <c r="BG232" t="str">
        <f>""</f>
        <v/>
      </c>
      <c r="BH232" t="str">
        <f>""</f>
        <v/>
      </c>
      <c r="BI232" t="str">
        <f>""</f>
        <v/>
      </c>
      <c r="BJ232" t="str">
        <f>""</f>
        <v/>
      </c>
      <c r="BK232" t="str">
        <f>""</f>
        <v/>
      </c>
      <c r="BL232" t="str">
        <f>""</f>
        <v/>
      </c>
      <c r="BM232" t="str">
        <f>""</f>
        <v/>
      </c>
      <c r="BN232" t="str">
        <f>""</f>
        <v/>
      </c>
      <c r="BO232" t="str">
        <f>""</f>
        <v/>
      </c>
      <c r="BP232" t="str">
        <f>""</f>
        <v/>
      </c>
      <c r="BQ232" t="str">
        <f>""</f>
        <v/>
      </c>
      <c r="BR232" t="str">
        <f>""</f>
        <v/>
      </c>
      <c r="BS232" t="str">
        <f>""</f>
        <v/>
      </c>
      <c r="BT232" t="str">
        <f>""</f>
        <v/>
      </c>
      <c r="BU232" t="str">
        <f>""</f>
        <v/>
      </c>
      <c r="BV232" t="str">
        <f>""</f>
        <v/>
      </c>
      <c r="BW232" t="str">
        <f>""</f>
        <v/>
      </c>
      <c r="BX232" t="str">
        <f>""</f>
        <v/>
      </c>
      <c r="BY232" t="str">
        <f>""</f>
        <v/>
      </c>
      <c r="BZ232" t="str">
        <f>""</f>
        <v/>
      </c>
      <c r="CA232" t="str">
        <f>""</f>
        <v/>
      </c>
      <c r="CB232" t="str">
        <f>""</f>
        <v/>
      </c>
      <c r="CC232" t="str">
        <f>""</f>
        <v/>
      </c>
      <c r="CD232" t="str">
        <f>""</f>
        <v/>
      </c>
      <c r="CE232" t="str">
        <f>""</f>
        <v/>
      </c>
      <c r="CF232" t="str">
        <f>""</f>
        <v/>
      </c>
      <c r="CG232" t="str">
        <f>""</f>
        <v/>
      </c>
      <c r="CH232" t="str">
        <f>""</f>
        <v/>
      </c>
      <c r="CI232" t="str">
        <f>""</f>
        <v/>
      </c>
      <c r="CJ232" t="str">
        <f>""</f>
        <v/>
      </c>
      <c r="CK232" t="str">
        <f>""</f>
        <v/>
      </c>
      <c r="CL232" t="str">
        <f>""</f>
        <v/>
      </c>
      <c r="CM232" t="str">
        <f>""</f>
        <v/>
      </c>
      <c r="CN232" t="str">
        <f>""</f>
        <v/>
      </c>
      <c r="CO232" t="str">
        <f>""</f>
        <v/>
      </c>
      <c r="CP232" t="str">
        <f>""</f>
        <v/>
      </c>
      <c r="CQ232" t="str">
        <f>""</f>
        <v/>
      </c>
      <c r="CR232" t="str">
        <f>""</f>
        <v/>
      </c>
      <c r="CS232" t="str">
        <f>""</f>
        <v/>
      </c>
      <c r="CT232" t="str">
        <f>""</f>
        <v/>
      </c>
      <c r="CU232" t="str">
        <f>""</f>
        <v/>
      </c>
      <c r="CV232" t="str">
        <f>""</f>
        <v/>
      </c>
      <c r="CW232" t="str">
        <f>""</f>
        <v/>
      </c>
      <c r="CX232" t="str">
        <f>""</f>
        <v/>
      </c>
      <c r="CY232" t="str">
        <f>""</f>
        <v/>
      </c>
      <c r="CZ232" t="str">
        <f>""</f>
        <v/>
      </c>
      <c r="DA232" t="str">
        <f>""</f>
        <v/>
      </c>
      <c r="DB232" t="str">
        <f>""</f>
        <v/>
      </c>
      <c r="DC232" t="str">
        <f>""</f>
        <v/>
      </c>
      <c r="DD232" t="str">
        <f>""</f>
        <v/>
      </c>
      <c r="DE232" t="str">
        <f>""</f>
        <v/>
      </c>
      <c r="DF232" t="str">
        <f>""</f>
        <v/>
      </c>
      <c r="DG232" t="str">
        <f>""</f>
        <v/>
      </c>
      <c r="DH232" t="str">
        <f>""</f>
        <v/>
      </c>
      <c r="DI232" t="str">
        <f>""</f>
        <v/>
      </c>
      <c r="DJ232" t="str">
        <f>""</f>
        <v/>
      </c>
      <c r="DK232" t="str">
        <f>""</f>
        <v/>
      </c>
      <c r="DL232" t="str">
        <f>""</f>
        <v/>
      </c>
      <c r="DM232" t="str">
        <f>""</f>
        <v/>
      </c>
      <c r="DN232" t="str">
        <f>""</f>
        <v/>
      </c>
      <c r="DO232" t="str">
        <f>""</f>
        <v/>
      </c>
      <c r="DP232" t="str">
        <f>""</f>
        <v/>
      </c>
      <c r="DQ232" t="str">
        <f>""</f>
        <v/>
      </c>
      <c r="DR232" t="str">
        <f>""</f>
        <v/>
      </c>
      <c r="DS232" t="str">
        <f>""</f>
        <v/>
      </c>
      <c r="DT232" t="str">
        <f>""</f>
        <v/>
      </c>
      <c r="DU232" t="str">
        <f>""</f>
        <v/>
      </c>
      <c r="DV232" t="str">
        <f>""</f>
        <v/>
      </c>
      <c r="DW232" t="str">
        <f>""</f>
        <v/>
      </c>
      <c r="DX232" t="str">
        <f>""</f>
        <v/>
      </c>
      <c r="DY232" t="str">
        <f>""</f>
        <v/>
      </c>
      <c r="DZ232" t="str">
        <f>""</f>
        <v/>
      </c>
      <c r="EA232" t="str">
        <f>""</f>
        <v/>
      </c>
      <c r="EB232" t="str">
        <f>""</f>
        <v/>
      </c>
      <c r="EC232" t="str">
        <f>""</f>
        <v/>
      </c>
      <c r="ED232" t="str">
        <f>""</f>
        <v/>
      </c>
      <c r="EE232" t="str">
        <f>""</f>
        <v/>
      </c>
      <c r="EF232" t="str">
        <f>""</f>
        <v/>
      </c>
      <c r="EG232" t="str">
        <f>""</f>
        <v/>
      </c>
      <c r="EH232" t="str">
        <f>""</f>
        <v/>
      </c>
      <c r="EI232" t="str">
        <f>""</f>
        <v/>
      </c>
      <c r="EJ232" t="str">
        <f>""</f>
        <v/>
      </c>
      <c r="EK232" t="str">
        <f>""</f>
        <v/>
      </c>
      <c r="EL232" t="str">
        <f>""</f>
        <v/>
      </c>
      <c r="EM232" t="str">
        <f>"(0.107)"</f>
        <v>(0.107)</v>
      </c>
      <c r="EN232" t="str">
        <f>"(0.0832)"</f>
        <v>(0.0832)</v>
      </c>
      <c r="EO232" t="str">
        <f>"(0.0415)"</f>
        <v>(0.0415)</v>
      </c>
      <c r="EP232" t="str">
        <f>""</f>
        <v/>
      </c>
      <c r="EQ232" t="str">
        <f>""</f>
        <v/>
      </c>
      <c r="ER232" t="str">
        <f>""</f>
        <v/>
      </c>
      <c r="ES232" t="str">
        <f>""</f>
        <v/>
      </c>
      <c r="ET232" t="str">
        <f>""</f>
        <v/>
      </c>
      <c r="EU232" t="str">
        <f>""</f>
        <v/>
      </c>
      <c r="EV232" t="str">
        <f>""</f>
        <v/>
      </c>
      <c r="EW232" t="str">
        <f>""</f>
        <v/>
      </c>
      <c r="EX232" t="str">
        <f>""</f>
        <v/>
      </c>
      <c r="EY232" t="str">
        <f>""</f>
        <v/>
      </c>
      <c r="EZ232" t="str">
        <f>""</f>
        <v/>
      </c>
      <c r="FA232" t="str">
        <f>""</f>
        <v/>
      </c>
      <c r="FB232" t="str">
        <f>""</f>
        <v/>
      </c>
      <c r="FC232" t="str">
        <f>""</f>
        <v/>
      </c>
      <c r="FD232" t="str">
        <f>""</f>
        <v/>
      </c>
      <c r="FE232" t="str">
        <f>""</f>
        <v/>
      </c>
      <c r="FF232" t="str">
        <f>""</f>
        <v/>
      </c>
      <c r="FG232" t="str">
        <f>""</f>
        <v/>
      </c>
      <c r="FH232" t="str">
        <f>""</f>
        <v/>
      </c>
      <c r="FI232" t="str">
        <f>""</f>
        <v/>
      </c>
      <c r="FJ232" t="str">
        <f>""</f>
        <v/>
      </c>
      <c r="FK232" t="str">
        <f>""</f>
        <v/>
      </c>
      <c r="FL232" t="str">
        <f>""</f>
        <v/>
      </c>
      <c r="FM232" t="str">
        <f>""</f>
        <v/>
      </c>
      <c r="FN232" t="str">
        <f>""</f>
        <v/>
      </c>
      <c r="FO232" t="str">
        <f>""</f>
        <v/>
      </c>
      <c r="FP232" t="str">
        <f>""</f>
        <v/>
      </c>
      <c r="FQ232" t="str">
        <f>""</f>
        <v/>
      </c>
      <c r="FR232" t="str">
        <f>""</f>
        <v/>
      </c>
      <c r="FS232" t="str">
        <f>""</f>
        <v/>
      </c>
      <c r="FT232" t="str">
        <f>""</f>
        <v/>
      </c>
      <c r="FU232" t="str">
        <f>""</f>
        <v/>
      </c>
      <c r="FV232" t="str">
        <f>""</f>
        <v/>
      </c>
      <c r="FW232" t="str">
        <f>""</f>
        <v/>
      </c>
      <c r="FX232" t="str">
        <f>""</f>
        <v/>
      </c>
      <c r="FY232" t="str">
        <f>""</f>
        <v/>
      </c>
      <c r="FZ232" t="str">
        <f>""</f>
        <v/>
      </c>
      <c r="GA232" t="str">
        <f>""</f>
        <v/>
      </c>
      <c r="GB232" t="str">
        <f>""</f>
        <v/>
      </c>
      <c r="GC232" t="str">
        <f>""</f>
        <v/>
      </c>
      <c r="GD232" t="str">
        <f>""</f>
        <v/>
      </c>
      <c r="GE232" t="str">
        <f>""</f>
        <v/>
      </c>
      <c r="GF232" t="str">
        <f>""</f>
        <v/>
      </c>
      <c r="GG232" t="str">
        <f>""</f>
        <v/>
      </c>
      <c r="GH232" t="str">
        <f>""</f>
        <v/>
      </c>
      <c r="GI232" t="str">
        <f>""</f>
        <v/>
      </c>
      <c r="GJ232" t="str">
        <f>""</f>
        <v/>
      </c>
      <c r="GK232" t="str">
        <f>""</f>
        <v/>
      </c>
      <c r="GL232" t="str">
        <f>""</f>
        <v/>
      </c>
      <c r="GM232" t="str">
        <f>""</f>
        <v/>
      </c>
      <c r="GN232" t="str">
        <f>""</f>
        <v/>
      </c>
      <c r="GO232" t="str">
        <f>""</f>
        <v/>
      </c>
      <c r="GP232" t="str">
        <f>""</f>
        <v/>
      </c>
      <c r="GQ232" t="str">
        <f>""</f>
        <v/>
      </c>
      <c r="GR232" t="str">
        <f>""</f>
        <v/>
      </c>
      <c r="GS232" t="str">
        <f>""</f>
        <v/>
      </c>
      <c r="GT232" t="str">
        <f>""</f>
        <v/>
      </c>
      <c r="GU232" t="str">
        <f>""</f>
        <v/>
      </c>
      <c r="GV232" t="str">
        <f>""</f>
        <v/>
      </c>
      <c r="GW232" t="str">
        <f>""</f>
        <v/>
      </c>
      <c r="GX232" t="str">
        <f>""</f>
        <v/>
      </c>
      <c r="GY232" t="str">
        <f>""</f>
        <v/>
      </c>
      <c r="GZ232" t="str">
        <f>""</f>
        <v/>
      </c>
      <c r="HA232" t="str">
        <f>""</f>
        <v/>
      </c>
      <c r="HB232" t="str">
        <f>""</f>
        <v/>
      </c>
      <c r="HC232" t="str">
        <f>""</f>
        <v/>
      </c>
      <c r="HD232" t="str">
        <f>""</f>
        <v/>
      </c>
      <c r="HE232" t="str">
        <f>""</f>
        <v/>
      </c>
      <c r="HF232" t="str">
        <f>""</f>
        <v/>
      </c>
      <c r="HG232" t="str">
        <f>""</f>
        <v/>
      </c>
      <c r="HH232" t="str">
        <f>""</f>
        <v/>
      </c>
      <c r="HI232" t="str">
        <f>""</f>
        <v/>
      </c>
      <c r="HJ232" t="str">
        <f>""</f>
        <v/>
      </c>
      <c r="HK232" t="str">
        <f>""</f>
        <v/>
      </c>
      <c r="HL232" t="str">
        <f>""</f>
        <v/>
      </c>
      <c r="HM232" t="str">
        <f>""</f>
        <v/>
      </c>
      <c r="HN232" t="str">
        <f>""</f>
        <v/>
      </c>
      <c r="HO232" t="str">
        <f>""</f>
        <v/>
      </c>
      <c r="HP232" t="str">
        <f>""</f>
        <v/>
      </c>
      <c r="HQ232" t="str">
        <f>""</f>
        <v/>
      </c>
      <c r="HR232" t="str">
        <f>""</f>
        <v/>
      </c>
      <c r="HS232" t="str">
        <f>""</f>
        <v/>
      </c>
      <c r="HT232" t="str">
        <f>""</f>
        <v/>
      </c>
      <c r="HU232" t="str">
        <f>""</f>
        <v/>
      </c>
      <c r="HV232" t="str">
        <f>""</f>
        <v/>
      </c>
      <c r="HW232" t="str">
        <f>""</f>
        <v/>
      </c>
      <c r="HX232" t="str">
        <f>""</f>
        <v/>
      </c>
      <c r="HY232" t="str">
        <f>""</f>
        <v/>
      </c>
      <c r="HZ232" t="str">
        <f>""</f>
        <v/>
      </c>
      <c r="IA232" t="str">
        <f>""</f>
        <v/>
      </c>
      <c r="IB232" t="str">
        <f>""</f>
        <v/>
      </c>
      <c r="IC232" t="str">
        <f>""</f>
        <v/>
      </c>
      <c r="ID232" t="str">
        <f>""</f>
        <v/>
      </c>
      <c r="IE232" t="str">
        <f>""</f>
        <v/>
      </c>
      <c r="IF232" t="str">
        <f>""</f>
        <v/>
      </c>
      <c r="IG232" t="str">
        <f>""</f>
        <v/>
      </c>
      <c r="IH232" t="str">
        <f>""</f>
        <v/>
      </c>
      <c r="II232" t="str">
        <f>""</f>
        <v/>
      </c>
      <c r="IJ232" t="str">
        <f>""</f>
        <v/>
      </c>
      <c r="IK232" t="str">
        <f>""</f>
        <v/>
      </c>
      <c r="IL232" t="str">
        <f>""</f>
        <v/>
      </c>
      <c r="IM232" t="str">
        <f>""</f>
        <v/>
      </c>
      <c r="IN232" t="str">
        <f>""</f>
        <v/>
      </c>
      <c r="IO232" t="str">
        <f>""</f>
        <v/>
      </c>
      <c r="IP232" t="str">
        <f>""</f>
        <v/>
      </c>
      <c r="IQ232" t="str">
        <f>""</f>
        <v/>
      </c>
      <c r="IR232" t="str">
        <f>""</f>
        <v/>
      </c>
      <c r="IS232" t="str">
        <f>""</f>
        <v/>
      </c>
      <c r="IT232" t="str">
        <f>""</f>
        <v/>
      </c>
      <c r="IU232" t="str">
        <f>""</f>
        <v/>
      </c>
      <c r="IV232" t="str">
        <f>""</f>
        <v/>
      </c>
      <c r="IW232" t="str">
        <f>""</f>
        <v/>
      </c>
      <c r="IX232" t="str">
        <f>""</f>
        <v/>
      </c>
      <c r="IY232" t="str">
        <f>""</f>
        <v/>
      </c>
      <c r="IZ232" t="str">
        <f>""</f>
        <v/>
      </c>
      <c r="JA232" t="str">
        <f>""</f>
        <v/>
      </c>
      <c r="JB232" t="str">
        <f>""</f>
        <v/>
      </c>
      <c r="JC232" t="str">
        <f>""</f>
        <v/>
      </c>
      <c r="JD232" t="str">
        <f>""</f>
        <v/>
      </c>
      <c r="JE232" t="str">
        <f>""</f>
        <v/>
      </c>
      <c r="JF232" t="str">
        <f>""</f>
        <v/>
      </c>
      <c r="JG232" t="str">
        <f>""</f>
        <v/>
      </c>
      <c r="JH232" t="str">
        <f>""</f>
        <v/>
      </c>
      <c r="JI232" t="str">
        <f>""</f>
        <v/>
      </c>
      <c r="JJ232" t="str">
        <f>""</f>
        <v/>
      </c>
      <c r="JK232" t="str">
        <f>""</f>
        <v/>
      </c>
    </row>
    <row r="234" spans="1:271" x14ac:dyDescent="0.3">
      <c r="A234" t="str">
        <f>"c.zMETAB4#c.PM4"</f>
        <v>c.zMETAB4#c.PM4</v>
      </c>
      <c r="B234" t="str">
        <f>""</f>
        <v/>
      </c>
      <c r="C234" t="str">
        <f>""</f>
        <v/>
      </c>
      <c r="D234" t="str">
        <f>""</f>
        <v/>
      </c>
      <c r="E234" t="str">
        <f>""</f>
        <v/>
      </c>
      <c r="F234" t="str">
        <f>""</f>
        <v/>
      </c>
      <c r="G234" t="str">
        <f>""</f>
        <v/>
      </c>
      <c r="H234" t="str">
        <f>""</f>
        <v/>
      </c>
      <c r="I234" t="str">
        <f>""</f>
        <v/>
      </c>
      <c r="J234" t="str">
        <f>""</f>
        <v/>
      </c>
      <c r="K234" t="str">
        <f>""</f>
        <v/>
      </c>
      <c r="L234" t="str">
        <f>""</f>
        <v/>
      </c>
      <c r="M234" t="str">
        <f>""</f>
        <v/>
      </c>
      <c r="N234" t="str">
        <f>""</f>
        <v/>
      </c>
      <c r="O234" t="str">
        <f>""</f>
        <v/>
      </c>
      <c r="P234" t="str">
        <f>""</f>
        <v/>
      </c>
      <c r="Q234" t="str">
        <f>""</f>
        <v/>
      </c>
      <c r="R234" t="str">
        <f>""</f>
        <v/>
      </c>
      <c r="S234" t="str">
        <f>""</f>
        <v/>
      </c>
      <c r="T234" t="str">
        <f>""</f>
        <v/>
      </c>
      <c r="U234" t="str">
        <f>""</f>
        <v/>
      </c>
      <c r="V234" t="str">
        <f>""</f>
        <v/>
      </c>
      <c r="W234" t="str">
        <f>""</f>
        <v/>
      </c>
      <c r="X234" t="str">
        <f>""</f>
        <v/>
      </c>
      <c r="Y234" t="str">
        <f>""</f>
        <v/>
      </c>
      <c r="Z234" t="str">
        <f>""</f>
        <v/>
      </c>
      <c r="AA234" t="str">
        <f>""</f>
        <v/>
      </c>
      <c r="AB234" t="str">
        <f>""</f>
        <v/>
      </c>
      <c r="AC234" t="str">
        <f>""</f>
        <v/>
      </c>
      <c r="AD234" t="str">
        <f>""</f>
        <v/>
      </c>
      <c r="AE234" t="str">
        <f>""</f>
        <v/>
      </c>
      <c r="AF234" t="str">
        <f>""</f>
        <v/>
      </c>
      <c r="AG234" t="str">
        <f>""</f>
        <v/>
      </c>
      <c r="AH234" t="str">
        <f>""</f>
        <v/>
      </c>
      <c r="AI234" t="str">
        <f>""</f>
        <v/>
      </c>
      <c r="AJ234" t="str">
        <f>""</f>
        <v/>
      </c>
      <c r="AK234" t="str">
        <f>""</f>
        <v/>
      </c>
      <c r="AL234" t="str">
        <f>""</f>
        <v/>
      </c>
      <c r="AM234" t="str">
        <f>""</f>
        <v/>
      </c>
      <c r="AN234" t="str">
        <f>""</f>
        <v/>
      </c>
      <c r="AO234" t="str">
        <f>""</f>
        <v/>
      </c>
      <c r="AP234" t="str">
        <f>""</f>
        <v/>
      </c>
      <c r="AQ234" t="str">
        <f>""</f>
        <v/>
      </c>
      <c r="AR234" t="str">
        <f>""</f>
        <v/>
      </c>
      <c r="AS234" t="str">
        <f>""</f>
        <v/>
      </c>
      <c r="AT234" t="str">
        <f>""</f>
        <v/>
      </c>
      <c r="AU234" t="str">
        <f>""</f>
        <v/>
      </c>
      <c r="AV234" t="str">
        <f>""</f>
        <v/>
      </c>
      <c r="AW234" t="str">
        <f>""</f>
        <v/>
      </c>
      <c r="AX234" t="str">
        <f>""</f>
        <v/>
      </c>
      <c r="AY234" t="str">
        <f>""</f>
        <v/>
      </c>
      <c r="AZ234" t="str">
        <f>""</f>
        <v/>
      </c>
      <c r="BA234" t="str">
        <f>""</f>
        <v/>
      </c>
      <c r="BB234" t="str">
        <f>""</f>
        <v/>
      </c>
      <c r="BC234" t="str">
        <f>""</f>
        <v/>
      </c>
      <c r="BD234" t="str">
        <f>""</f>
        <v/>
      </c>
      <c r="BE234" t="str">
        <f>""</f>
        <v/>
      </c>
      <c r="BF234" t="str">
        <f>""</f>
        <v/>
      </c>
      <c r="BG234" t="str">
        <f>""</f>
        <v/>
      </c>
      <c r="BH234" t="str">
        <f>""</f>
        <v/>
      </c>
      <c r="BI234" t="str">
        <f>""</f>
        <v/>
      </c>
      <c r="BJ234" t="str">
        <f>""</f>
        <v/>
      </c>
      <c r="BK234" t="str">
        <f>""</f>
        <v/>
      </c>
      <c r="BL234" t="str">
        <f>""</f>
        <v/>
      </c>
      <c r="BM234" t="str">
        <f>""</f>
        <v/>
      </c>
      <c r="BN234" t="str">
        <f>""</f>
        <v/>
      </c>
      <c r="BO234" t="str">
        <f>""</f>
        <v/>
      </c>
      <c r="BP234" t="str">
        <f>""</f>
        <v/>
      </c>
      <c r="BQ234" t="str">
        <f>""</f>
        <v/>
      </c>
      <c r="BR234" t="str">
        <f>""</f>
        <v/>
      </c>
      <c r="BS234" t="str">
        <f>""</f>
        <v/>
      </c>
      <c r="BT234" t="str">
        <f>""</f>
        <v/>
      </c>
      <c r="BU234" t="str">
        <f>""</f>
        <v/>
      </c>
      <c r="BV234" t="str">
        <f>""</f>
        <v/>
      </c>
      <c r="BW234" t="str">
        <f>""</f>
        <v/>
      </c>
      <c r="BX234" t="str">
        <f>""</f>
        <v/>
      </c>
      <c r="BY234" t="str">
        <f>""</f>
        <v/>
      </c>
      <c r="BZ234" t="str">
        <f>""</f>
        <v/>
      </c>
      <c r="CA234" t="str">
        <f>""</f>
        <v/>
      </c>
      <c r="CB234" t="str">
        <f>""</f>
        <v/>
      </c>
      <c r="CC234" t="str">
        <f>""</f>
        <v/>
      </c>
      <c r="CD234" t="str">
        <f>""</f>
        <v/>
      </c>
      <c r="CE234" t="str">
        <f>""</f>
        <v/>
      </c>
      <c r="CF234" t="str">
        <f>""</f>
        <v/>
      </c>
      <c r="CG234" t="str">
        <f>""</f>
        <v/>
      </c>
      <c r="CH234" t="str">
        <f>""</f>
        <v/>
      </c>
      <c r="CI234" t="str">
        <f>""</f>
        <v/>
      </c>
      <c r="CJ234" t="str">
        <f>""</f>
        <v/>
      </c>
      <c r="CK234" t="str">
        <f>""</f>
        <v/>
      </c>
      <c r="CL234" t="str">
        <f>""</f>
        <v/>
      </c>
      <c r="CM234" t="str">
        <f>""</f>
        <v/>
      </c>
      <c r="CN234" t="str">
        <f>""</f>
        <v/>
      </c>
      <c r="CO234" t="str">
        <f>""</f>
        <v/>
      </c>
      <c r="CP234" t="str">
        <f>""</f>
        <v/>
      </c>
      <c r="CQ234" t="str">
        <f>""</f>
        <v/>
      </c>
      <c r="CR234" t="str">
        <f>""</f>
        <v/>
      </c>
      <c r="CS234" t="str">
        <f>""</f>
        <v/>
      </c>
      <c r="CT234" t="str">
        <f>""</f>
        <v/>
      </c>
      <c r="CU234" t="str">
        <f>""</f>
        <v/>
      </c>
      <c r="CV234" t="str">
        <f>""</f>
        <v/>
      </c>
      <c r="CW234" t="str">
        <f>""</f>
        <v/>
      </c>
      <c r="CX234" t="str">
        <f>""</f>
        <v/>
      </c>
      <c r="CY234" t="str">
        <f>""</f>
        <v/>
      </c>
      <c r="CZ234" t="str">
        <f>""</f>
        <v/>
      </c>
      <c r="DA234" t="str">
        <f>""</f>
        <v/>
      </c>
      <c r="DB234" t="str">
        <f>""</f>
        <v/>
      </c>
      <c r="DC234" t="str">
        <f>""</f>
        <v/>
      </c>
      <c r="DD234" t="str">
        <f>""</f>
        <v/>
      </c>
      <c r="DE234" t="str">
        <f>""</f>
        <v/>
      </c>
      <c r="DF234" t="str">
        <f>""</f>
        <v/>
      </c>
      <c r="DG234" t="str">
        <f>""</f>
        <v/>
      </c>
      <c r="DH234" t="str">
        <f>""</f>
        <v/>
      </c>
      <c r="DI234" t="str">
        <f>""</f>
        <v/>
      </c>
      <c r="DJ234" t="str">
        <f>""</f>
        <v/>
      </c>
      <c r="DK234" t="str">
        <f>""</f>
        <v/>
      </c>
      <c r="DL234" t="str">
        <f>""</f>
        <v/>
      </c>
      <c r="DM234" t="str">
        <f>""</f>
        <v/>
      </c>
      <c r="DN234" t="str">
        <f>""</f>
        <v/>
      </c>
      <c r="DO234" t="str">
        <f>""</f>
        <v/>
      </c>
      <c r="DP234" t="str">
        <f>""</f>
        <v/>
      </c>
      <c r="DQ234" t="str">
        <f>""</f>
        <v/>
      </c>
      <c r="DR234" t="str">
        <f>""</f>
        <v/>
      </c>
      <c r="DS234" t="str">
        <f>""</f>
        <v/>
      </c>
      <c r="DT234" t="str">
        <f>""</f>
        <v/>
      </c>
      <c r="DU234" t="str">
        <f>""</f>
        <v/>
      </c>
      <c r="DV234" t="str">
        <f>""</f>
        <v/>
      </c>
      <c r="DW234" t="str">
        <f>""</f>
        <v/>
      </c>
      <c r="DX234" t="str">
        <f>""</f>
        <v/>
      </c>
      <c r="DY234" t="str">
        <f>""</f>
        <v/>
      </c>
      <c r="DZ234" t="str">
        <f>""</f>
        <v/>
      </c>
      <c r="EA234" t="str">
        <f>""</f>
        <v/>
      </c>
      <c r="EB234" t="str">
        <f>""</f>
        <v/>
      </c>
      <c r="EC234" t="str">
        <f>""</f>
        <v/>
      </c>
      <c r="ED234" t="str">
        <f>""</f>
        <v/>
      </c>
      <c r="EE234" t="str">
        <f>""</f>
        <v/>
      </c>
      <c r="EF234" t="str">
        <f>""</f>
        <v/>
      </c>
      <c r="EG234" t="str">
        <f>""</f>
        <v/>
      </c>
      <c r="EH234" t="str">
        <f>""</f>
        <v/>
      </c>
      <c r="EI234" t="str">
        <f>""</f>
        <v/>
      </c>
      <c r="EJ234" t="str">
        <f>""</f>
        <v/>
      </c>
      <c r="EK234" t="str">
        <f>""</f>
        <v/>
      </c>
      <c r="EL234" t="str">
        <f>""</f>
        <v/>
      </c>
      <c r="EM234" t="str">
        <f>""</f>
        <v/>
      </c>
      <c r="EN234" t="str">
        <f>""</f>
        <v/>
      </c>
      <c r="EO234" t="str">
        <f>""</f>
        <v/>
      </c>
      <c r="EP234" t="str">
        <f>"0.0211"</f>
        <v>0.0211</v>
      </c>
      <c r="EQ234" t="str">
        <f>"-0.0419"</f>
        <v>-0.0419</v>
      </c>
      <c r="ER234" t="str">
        <f>"-0.0514"</f>
        <v>-0.0514</v>
      </c>
      <c r="ES234" t="str">
        <f>""</f>
        <v/>
      </c>
      <c r="ET234" t="str">
        <f>""</f>
        <v/>
      </c>
      <c r="EU234" t="str">
        <f>""</f>
        <v/>
      </c>
      <c r="EV234" t="str">
        <f>""</f>
        <v/>
      </c>
      <c r="EW234" t="str">
        <f>""</f>
        <v/>
      </c>
      <c r="EX234" t="str">
        <f>""</f>
        <v/>
      </c>
      <c r="EY234" t="str">
        <f>""</f>
        <v/>
      </c>
      <c r="EZ234" t="str">
        <f>""</f>
        <v/>
      </c>
      <c r="FA234" t="str">
        <f>""</f>
        <v/>
      </c>
      <c r="FB234" t="str">
        <f>""</f>
        <v/>
      </c>
      <c r="FC234" t="str">
        <f>""</f>
        <v/>
      </c>
      <c r="FD234" t="str">
        <f>""</f>
        <v/>
      </c>
      <c r="FE234" t="str">
        <f>""</f>
        <v/>
      </c>
      <c r="FF234" t="str">
        <f>""</f>
        <v/>
      </c>
      <c r="FG234" t="str">
        <f>""</f>
        <v/>
      </c>
      <c r="FH234" t="str">
        <f>""</f>
        <v/>
      </c>
      <c r="FI234" t="str">
        <f>""</f>
        <v/>
      </c>
      <c r="FJ234" t="str">
        <f>""</f>
        <v/>
      </c>
      <c r="FK234" t="str">
        <f>""</f>
        <v/>
      </c>
      <c r="FL234" t="str">
        <f>""</f>
        <v/>
      </c>
      <c r="FM234" t="str">
        <f>""</f>
        <v/>
      </c>
      <c r="FN234" t="str">
        <f>""</f>
        <v/>
      </c>
      <c r="FO234" t="str">
        <f>""</f>
        <v/>
      </c>
      <c r="FP234" t="str">
        <f>""</f>
        <v/>
      </c>
      <c r="FQ234" t="str">
        <f>""</f>
        <v/>
      </c>
      <c r="FR234" t="str">
        <f>""</f>
        <v/>
      </c>
      <c r="FS234" t="str">
        <f>""</f>
        <v/>
      </c>
      <c r="FT234" t="str">
        <f>""</f>
        <v/>
      </c>
      <c r="FU234" t="str">
        <f>""</f>
        <v/>
      </c>
      <c r="FV234" t="str">
        <f>""</f>
        <v/>
      </c>
      <c r="FW234" t="str">
        <f>""</f>
        <v/>
      </c>
      <c r="FX234" t="str">
        <f>""</f>
        <v/>
      </c>
      <c r="FY234" t="str">
        <f>""</f>
        <v/>
      </c>
      <c r="FZ234" t="str">
        <f>""</f>
        <v/>
      </c>
      <c r="GA234" t="str">
        <f>""</f>
        <v/>
      </c>
      <c r="GB234" t="str">
        <f>""</f>
        <v/>
      </c>
      <c r="GC234" t="str">
        <f>""</f>
        <v/>
      </c>
      <c r="GD234" t="str">
        <f>""</f>
        <v/>
      </c>
      <c r="GE234" t="str">
        <f>""</f>
        <v/>
      </c>
      <c r="GF234" t="str">
        <f>""</f>
        <v/>
      </c>
      <c r="GG234" t="str">
        <f>""</f>
        <v/>
      </c>
      <c r="GH234" t="str">
        <f>""</f>
        <v/>
      </c>
      <c r="GI234" t="str">
        <f>""</f>
        <v/>
      </c>
      <c r="GJ234" t="str">
        <f>""</f>
        <v/>
      </c>
      <c r="GK234" t="str">
        <f>""</f>
        <v/>
      </c>
      <c r="GL234" t="str">
        <f>""</f>
        <v/>
      </c>
      <c r="GM234" t="str">
        <f>""</f>
        <v/>
      </c>
      <c r="GN234" t="str">
        <f>""</f>
        <v/>
      </c>
      <c r="GO234" t="str">
        <f>""</f>
        <v/>
      </c>
      <c r="GP234" t="str">
        <f>""</f>
        <v/>
      </c>
      <c r="GQ234" t="str">
        <f>""</f>
        <v/>
      </c>
      <c r="GR234" t="str">
        <f>""</f>
        <v/>
      </c>
      <c r="GS234" t="str">
        <f>""</f>
        <v/>
      </c>
      <c r="GT234" t="str">
        <f>""</f>
        <v/>
      </c>
      <c r="GU234" t="str">
        <f>""</f>
        <v/>
      </c>
      <c r="GV234" t="str">
        <f>""</f>
        <v/>
      </c>
      <c r="GW234" t="str">
        <f>""</f>
        <v/>
      </c>
      <c r="GX234" t="str">
        <f>""</f>
        <v/>
      </c>
      <c r="GY234" t="str">
        <f>""</f>
        <v/>
      </c>
      <c r="GZ234" t="str">
        <f>""</f>
        <v/>
      </c>
      <c r="HA234" t="str">
        <f>""</f>
        <v/>
      </c>
      <c r="HB234" t="str">
        <f>""</f>
        <v/>
      </c>
      <c r="HC234" t="str">
        <f>""</f>
        <v/>
      </c>
      <c r="HD234" t="str">
        <f>""</f>
        <v/>
      </c>
      <c r="HE234" t="str">
        <f>""</f>
        <v/>
      </c>
      <c r="HF234" t="str">
        <f>""</f>
        <v/>
      </c>
      <c r="HG234" t="str">
        <f>""</f>
        <v/>
      </c>
      <c r="HH234" t="str">
        <f>""</f>
        <v/>
      </c>
      <c r="HI234" t="str">
        <f>""</f>
        <v/>
      </c>
      <c r="HJ234" t="str">
        <f>""</f>
        <v/>
      </c>
      <c r="HK234" t="str">
        <f>""</f>
        <v/>
      </c>
      <c r="HL234" t="str">
        <f>""</f>
        <v/>
      </c>
      <c r="HM234" t="str">
        <f>""</f>
        <v/>
      </c>
      <c r="HN234" t="str">
        <f>""</f>
        <v/>
      </c>
      <c r="HO234" t="str">
        <f>""</f>
        <v/>
      </c>
      <c r="HP234" t="str">
        <f>""</f>
        <v/>
      </c>
      <c r="HQ234" t="str">
        <f>""</f>
        <v/>
      </c>
      <c r="HR234" t="str">
        <f>""</f>
        <v/>
      </c>
      <c r="HS234" t="str">
        <f>""</f>
        <v/>
      </c>
      <c r="HT234" t="str">
        <f>""</f>
        <v/>
      </c>
      <c r="HU234" t="str">
        <f>""</f>
        <v/>
      </c>
      <c r="HV234" t="str">
        <f>""</f>
        <v/>
      </c>
      <c r="HW234" t="str">
        <f>""</f>
        <v/>
      </c>
      <c r="HX234" t="str">
        <f>""</f>
        <v/>
      </c>
      <c r="HY234" t="str">
        <f>""</f>
        <v/>
      </c>
      <c r="HZ234" t="str">
        <f>""</f>
        <v/>
      </c>
      <c r="IA234" t="str">
        <f>""</f>
        <v/>
      </c>
      <c r="IB234" t="str">
        <f>""</f>
        <v/>
      </c>
      <c r="IC234" t="str">
        <f>""</f>
        <v/>
      </c>
      <c r="ID234" t="str">
        <f>""</f>
        <v/>
      </c>
      <c r="IE234" t="str">
        <f>""</f>
        <v/>
      </c>
      <c r="IF234" t="str">
        <f>""</f>
        <v/>
      </c>
      <c r="IG234" t="str">
        <f>""</f>
        <v/>
      </c>
      <c r="IH234" t="str">
        <f>""</f>
        <v/>
      </c>
      <c r="II234" t="str">
        <f>""</f>
        <v/>
      </c>
      <c r="IJ234" t="str">
        <f>""</f>
        <v/>
      </c>
      <c r="IK234" t="str">
        <f>""</f>
        <v/>
      </c>
      <c r="IL234" t="str">
        <f>""</f>
        <v/>
      </c>
      <c r="IM234" t="str">
        <f>""</f>
        <v/>
      </c>
      <c r="IN234" t="str">
        <f>""</f>
        <v/>
      </c>
      <c r="IO234" t="str">
        <f>""</f>
        <v/>
      </c>
      <c r="IP234" t="str">
        <f>""</f>
        <v/>
      </c>
      <c r="IQ234" t="str">
        <f>""</f>
        <v/>
      </c>
      <c r="IR234" t="str">
        <f>""</f>
        <v/>
      </c>
      <c r="IS234" t="str">
        <f>""</f>
        <v/>
      </c>
      <c r="IT234" t="str">
        <f>""</f>
        <v/>
      </c>
      <c r="IU234" t="str">
        <f>""</f>
        <v/>
      </c>
      <c r="IV234" t="str">
        <f>""</f>
        <v/>
      </c>
      <c r="IW234" t="str">
        <f>""</f>
        <v/>
      </c>
      <c r="IX234" t="str">
        <f>""</f>
        <v/>
      </c>
      <c r="IY234" t="str">
        <f>""</f>
        <v/>
      </c>
      <c r="IZ234" t="str">
        <f>""</f>
        <v/>
      </c>
      <c r="JA234" t="str">
        <f>""</f>
        <v/>
      </c>
      <c r="JB234" t="str">
        <f>""</f>
        <v/>
      </c>
      <c r="JC234" t="str">
        <f>""</f>
        <v/>
      </c>
      <c r="JD234" t="str">
        <f>""</f>
        <v/>
      </c>
      <c r="JE234" t="str">
        <f>""</f>
        <v/>
      </c>
      <c r="JF234" t="str">
        <f>""</f>
        <v/>
      </c>
      <c r="JG234" t="str">
        <f>""</f>
        <v/>
      </c>
      <c r="JH234" t="str">
        <f>""</f>
        <v/>
      </c>
      <c r="JI234" t="str">
        <f>""</f>
        <v/>
      </c>
      <c r="JJ234" t="str">
        <f>""</f>
        <v/>
      </c>
      <c r="JK234" t="str">
        <f>""</f>
        <v/>
      </c>
    </row>
    <row r="235" spans="1:271" x14ac:dyDescent="0.3">
      <c r="A235" t="str">
        <f>""</f>
        <v/>
      </c>
      <c r="B235" t="str">
        <f>""</f>
        <v/>
      </c>
      <c r="C235" t="str">
        <f>""</f>
        <v/>
      </c>
      <c r="D235" t="str">
        <f>""</f>
        <v/>
      </c>
      <c r="E235" t="str">
        <f>""</f>
        <v/>
      </c>
      <c r="F235" t="str">
        <f>""</f>
        <v/>
      </c>
      <c r="G235" t="str">
        <f>""</f>
        <v/>
      </c>
      <c r="H235" t="str">
        <f>""</f>
        <v/>
      </c>
      <c r="I235" t="str">
        <f>""</f>
        <v/>
      </c>
      <c r="J235" t="str">
        <f>""</f>
        <v/>
      </c>
      <c r="K235" t="str">
        <f>""</f>
        <v/>
      </c>
      <c r="L235" t="str">
        <f>""</f>
        <v/>
      </c>
      <c r="M235" t="str">
        <f>""</f>
        <v/>
      </c>
      <c r="N235" t="str">
        <f>""</f>
        <v/>
      </c>
      <c r="O235" t="str">
        <f>""</f>
        <v/>
      </c>
      <c r="P235" t="str">
        <f>""</f>
        <v/>
      </c>
      <c r="Q235" t="str">
        <f>""</f>
        <v/>
      </c>
      <c r="R235" t="str">
        <f>""</f>
        <v/>
      </c>
      <c r="S235" t="str">
        <f>""</f>
        <v/>
      </c>
      <c r="T235" t="str">
        <f>""</f>
        <v/>
      </c>
      <c r="U235" t="str">
        <f>""</f>
        <v/>
      </c>
      <c r="V235" t="str">
        <f>""</f>
        <v/>
      </c>
      <c r="W235" t="str">
        <f>""</f>
        <v/>
      </c>
      <c r="X235" t="str">
        <f>""</f>
        <v/>
      </c>
      <c r="Y235" t="str">
        <f>""</f>
        <v/>
      </c>
      <c r="Z235" t="str">
        <f>""</f>
        <v/>
      </c>
      <c r="AA235" t="str">
        <f>""</f>
        <v/>
      </c>
      <c r="AB235" t="str">
        <f>""</f>
        <v/>
      </c>
      <c r="AC235" t="str">
        <f>""</f>
        <v/>
      </c>
      <c r="AD235" t="str">
        <f>""</f>
        <v/>
      </c>
      <c r="AE235" t="str">
        <f>""</f>
        <v/>
      </c>
      <c r="AF235" t="str">
        <f>""</f>
        <v/>
      </c>
      <c r="AG235" t="str">
        <f>""</f>
        <v/>
      </c>
      <c r="AH235" t="str">
        <f>""</f>
        <v/>
      </c>
      <c r="AI235" t="str">
        <f>""</f>
        <v/>
      </c>
      <c r="AJ235" t="str">
        <f>""</f>
        <v/>
      </c>
      <c r="AK235" t="str">
        <f>""</f>
        <v/>
      </c>
      <c r="AL235" t="str">
        <f>""</f>
        <v/>
      </c>
      <c r="AM235" t="str">
        <f>""</f>
        <v/>
      </c>
      <c r="AN235" t="str">
        <f>""</f>
        <v/>
      </c>
      <c r="AO235" t="str">
        <f>""</f>
        <v/>
      </c>
      <c r="AP235" t="str">
        <f>""</f>
        <v/>
      </c>
      <c r="AQ235" t="str">
        <f>""</f>
        <v/>
      </c>
      <c r="AR235" t="str">
        <f>""</f>
        <v/>
      </c>
      <c r="AS235" t="str">
        <f>""</f>
        <v/>
      </c>
      <c r="AT235" t="str">
        <f>""</f>
        <v/>
      </c>
      <c r="AU235" t="str">
        <f>""</f>
        <v/>
      </c>
      <c r="AV235" t="str">
        <f>""</f>
        <v/>
      </c>
      <c r="AW235" t="str">
        <f>""</f>
        <v/>
      </c>
      <c r="AX235" t="str">
        <f>""</f>
        <v/>
      </c>
      <c r="AY235" t="str">
        <f>""</f>
        <v/>
      </c>
      <c r="AZ235" t="str">
        <f>""</f>
        <v/>
      </c>
      <c r="BA235" t="str">
        <f>""</f>
        <v/>
      </c>
      <c r="BB235" t="str">
        <f>""</f>
        <v/>
      </c>
      <c r="BC235" t="str">
        <f>""</f>
        <v/>
      </c>
      <c r="BD235" t="str">
        <f>""</f>
        <v/>
      </c>
      <c r="BE235" t="str">
        <f>""</f>
        <v/>
      </c>
      <c r="BF235" t="str">
        <f>""</f>
        <v/>
      </c>
      <c r="BG235" t="str">
        <f>""</f>
        <v/>
      </c>
      <c r="BH235" t="str">
        <f>""</f>
        <v/>
      </c>
      <c r="BI235" t="str">
        <f>""</f>
        <v/>
      </c>
      <c r="BJ235" t="str">
        <f>""</f>
        <v/>
      </c>
      <c r="BK235" t="str">
        <f>""</f>
        <v/>
      </c>
      <c r="BL235" t="str">
        <f>""</f>
        <v/>
      </c>
      <c r="BM235" t="str">
        <f>""</f>
        <v/>
      </c>
      <c r="BN235" t="str">
        <f>""</f>
        <v/>
      </c>
      <c r="BO235" t="str">
        <f>""</f>
        <v/>
      </c>
      <c r="BP235" t="str">
        <f>""</f>
        <v/>
      </c>
      <c r="BQ235" t="str">
        <f>""</f>
        <v/>
      </c>
      <c r="BR235" t="str">
        <f>""</f>
        <v/>
      </c>
      <c r="BS235" t="str">
        <f>""</f>
        <v/>
      </c>
      <c r="BT235" t="str">
        <f>""</f>
        <v/>
      </c>
      <c r="BU235" t="str">
        <f>""</f>
        <v/>
      </c>
      <c r="BV235" t="str">
        <f>""</f>
        <v/>
      </c>
      <c r="BW235" t="str">
        <f>""</f>
        <v/>
      </c>
      <c r="BX235" t="str">
        <f>""</f>
        <v/>
      </c>
      <c r="BY235" t="str">
        <f>""</f>
        <v/>
      </c>
      <c r="BZ235" t="str">
        <f>""</f>
        <v/>
      </c>
      <c r="CA235" t="str">
        <f>""</f>
        <v/>
      </c>
      <c r="CB235" t="str">
        <f>""</f>
        <v/>
      </c>
      <c r="CC235" t="str">
        <f>""</f>
        <v/>
      </c>
      <c r="CD235" t="str">
        <f>""</f>
        <v/>
      </c>
      <c r="CE235" t="str">
        <f>""</f>
        <v/>
      </c>
      <c r="CF235" t="str">
        <f>""</f>
        <v/>
      </c>
      <c r="CG235" t="str">
        <f>""</f>
        <v/>
      </c>
      <c r="CH235" t="str">
        <f>""</f>
        <v/>
      </c>
      <c r="CI235" t="str">
        <f>""</f>
        <v/>
      </c>
      <c r="CJ235" t="str">
        <f>""</f>
        <v/>
      </c>
      <c r="CK235" t="str">
        <f>""</f>
        <v/>
      </c>
      <c r="CL235" t="str">
        <f>""</f>
        <v/>
      </c>
      <c r="CM235" t="str">
        <f>""</f>
        <v/>
      </c>
      <c r="CN235" t="str">
        <f>""</f>
        <v/>
      </c>
      <c r="CO235" t="str">
        <f>""</f>
        <v/>
      </c>
      <c r="CP235" t="str">
        <f>""</f>
        <v/>
      </c>
      <c r="CQ235" t="str">
        <f>""</f>
        <v/>
      </c>
      <c r="CR235" t="str">
        <f>""</f>
        <v/>
      </c>
      <c r="CS235" t="str">
        <f>""</f>
        <v/>
      </c>
      <c r="CT235" t="str">
        <f>""</f>
        <v/>
      </c>
      <c r="CU235" t="str">
        <f>""</f>
        <v/>
      </c>
      <c r="CV235" t="str">
        <f>""</f>
        <v/>
      </c>
      <c r="CW235" t="str">
        <f>""</f>
        <v/>
      </c>
      <c r="CX235" t="str">
        <f>""</f>
        <v/>
      </c>
      <c r="CY235" t="str">
        <f>""</f>
        <v/>
      </c>
      <c r="CZ235" t="str">
        <f>""</f>
        <v/>
      </c>
      <c r="DA235" t="str">
        <f>""</f>
        <v/>
      </c>
      <c r="DB235" t="str">
        <f>""</f>
        <v/>
      </c>
      <c r="DC235" t="str">
        <f>""</f>
        <v/>
      </c>
      <c r="DD235" t="str">
        <f>""</f>
        <v/>
      </c>
      <c r="DE235" t="str">
        <f>""</f>
        <v/>
      </c>
      <c r="DF235" t="str">
        <f>""</f>
        <v/>
      </c>
      <c r="DG235" t="str">
        <f>""</f>
        <v/>
      </c>
      <c r="DH235" t="str">
        <f>""</f>
        <v/>
      </c>
      <c r="DI235" t="str">
        <f>""</f>
        <v/>
      </c>
      <c r="DJ235" t="str">
        <f>""</f>
        <v/>
      </c>
      <c r="DK235" t="str">
        <f>""</f>
        <v/>
      </c>
      <c r="DL235" t="str">
        <f>""</f>
        <v/>
      </c>
      <c r="DM235" t="str">
        <f>""</f>
        <v/>
      </c>
      <c r="DN235" t="str">
        <f>""</f>
        <v/>
      </c>
      <c r="DO235" t="str">
        <f>""</f>
        <v/>
      </c>
      <c r="DP235" t="str">
        <f>""</f>
        <v/>
      </c>
      <c r="DQ235" t="str">
        <f>""</f>
        <v/>
      </c>
      <c r="DR235" t="str">
        <f>""</f>
        <v/>
      </c>
      <c r="DS235" t="str">
        <f>""</f>
        <v/>
      </c>
      <c r="DT235" t="str">
        <f>""</f>
        <v/>
      </c>
      <c r="DU235" t="str">
        <f>""</f>
        <v/>
      </c>
      <c r="DV235" t="str">
        <f>""</f>
        <v/>
      </c>
      <c r="DW235" t="str">
        <f>""</f>
        <v/>
      </c>
      <c r="DX235" t="str">
        <f>""</f>
        <v/>
      </c>
      <c r="DY235" t="str">
        <f>""</f>
        <v/>
      </c>
      <c r="DZ235" t="str">
        <f>""</f>
        <v/>
      </c>
      <c r="EA235" t="str">
        <f>""</f>
        <v/>
      </c>
      <c r="EB235" t="str">
        <f>""</f>
        <v/>
      </c>
      <c r="EC235" t="str">
        <f>""</f>
        <v/>
      </c>
      <c r="ED235" t="str">
        <f>""</f>
        <v/>
      </c>
      <c r="EE235" t="str">
        <f>""</f>
        <v/>
      </c>
      <c r="EF235" t="str">
        <f>""</f>
        <v/>
      </c>
      <c r="EG235" t="str">
        <f>""</f>
        <v/>
      </c>
      <c r="EH235" t="str">
        <f>""</f>
        <v/>
      </c>
      <c r="EI235" t="str">
        <f>""</f>
        <v/>
      </c>
      <c r="EJ235" t="str">
        <f>""</f>
        <v/>
      </c>
      <c r="EK235" t="str">
        <f>""</f>
        <v/>
      </c>
      <c r="EL235" t="str">
        <f>""</f>
        <v/>
      </c>
      <c r="EM235" t="str">
        <f>""</f>
        <v/>
      </c>
      <c r="EN235" t="str">
        <f>""</f>
        <v/>
      </c>
      <c r="EO235" t="str">
        <f>""</f>
        <v/>
      </c>
      <c r="EP235" t="str">
        <f>"(0.103)"</f>
        <v>(0.103)</v>
      </c>
      <c r="EQ235" t="str">
        <f>"(0.0810)"</f>
        <v>(0.0810)</v>
      </c>
      <c r="ER235" t="str">
        <f>"(0.0437)"</f>
        <v>(0.0437)</v>
      </c>
      <c r="ES235" t="str">
        <f>""</f>
        <v/>
      </c>
      <c r="ET235" t="str">
        <f>""</f>
        <v/>
      </c>
      <c r="EU235" t="str">
        <f>""</f>
        <v/>
      </c>
      <c r="EV235" t="str">
        <f>""</f>
        <v/>
      </c>
      <c r="EW235" t="str">
        <f>""</f>
        <v/>
      </c>
      <c r="EX235" t="str">
        <f>""</f>
        <v/>
      </c>
      <c r="EY235" t="str">
        <f>""</f>
        <v/>
      </c>
      <c r="EZ235" t="str">
        <f>""</f>
        <v/>
      </c>
      <c r="FA235" t="str">
        <f>""</f>
        <v/>
      </c>
      <c r="FB235" t="str">
        <f>""</f>
        <v/>
      </c>
      <c r="FC235" t="str">
        <f>""</f>
        <v/>
      </c>
      <c r="FD235" t="str">
        <f>""</f>
        <v/>
      </c>
      <c r="FE235" t="str">
        <f>""</f>
        <v/>
      </c>
      <c r="FF235" t="str">
        <f>""</f>
        <v/>
      </c>
      <c r="FG235" t="str">
        <f>""</f>
        <v/>
      </c>
      <c r="FH235" t="str">
        <f>""</f>
        <v/>
      </c>
      <c r="FI235" t="str">
        <f>""</f>
        <v/>
      </c>
      <c r="FJ235" t="str">
        <f>""</f>
        <v/>
      </c>
      <c r="FK235" t="str">
        <f>""</f>
        <v/>
      </c>
      <c r="FL235" t="str">
        <f>""</f>
        <v/>
      </c>
      <c r="FM235" t="str">
        <f>""</f>
        <v/>
      </c>
      <c r="FN235" t="str">
        <f>""</f>
        <v/>
      </c>
      <c r="FO235" t="str">
        <f>""</f>
        <v/>
      </c>
      <c r="FP235" t="str">
        <f>""</f>
        <v/>
      </c>
      <c r="FQ235" t="str">
        <f>""</f>
        <v/>
      </c>
      <c r="FR235" t="str">
        <f>""</f>
        <v/>
      </c>
      <c r="FS235" t="str">
        <f>""</f>
        <v/>
      </c>
      <c r="FT235" t="str">
        <f>""</f>
        <v/>
      </c>
      <c r="FU235" t="str">
        <f>""</f>
        <v/>
      </c>
      <c r="FV235" t="str">
        <f>""</f>
        <v/>
      </c>
      <c r="FW235" t="str">
        <f>""</f>
        <v/>
      </c>
      <c r="FX235" t="str">
        <f>""</f>
        <v/>
      </c>
      <c r="FY235" t="str">
        <f>""</f>
        <v/>
      </c>
      <c r="FZ235" t="str">
        <f>""</f>
        <v/>
      </c>
      <c r="GA235" t="str">
        <f>""</f>
        <v/>
      </c>
      <c r="GB235" t="str">
        <f>""</f>
        <v/>
      </c>
      <c r="GC235" t="str">
        <f>""</f>
        <v/>
      </c>
      <c r="GD235" t="str">
        <f>""</f>
        <v/>
      </c>
      <c r="GE235" t="str">
        <f>""</f>
        <v/>
      </c>
      <c r="GF235" t="str">
        <f>""</f>
        <v/>
      </c>
      <c r="GG235" t="str">
        <f>""</f>
        <v/>
      </c>
      <c r="GH235" t="str">
        <f>""</f>
        <v/>
      </c>
      <c r="GI235" t="str">
        <f>""</f>
        <v/>
      </c>
      <c r="GJ235" t="str">
        <f>""</f>
        <v/>
      </c>
      <c r="GK235" t="str">
        <f>""</f>
        <v/>
      </c>
      <c r="GL235" t="str">
        <f>""</f>
        <v/>
      </c>
      <c r="GM235" t="str">
        <f>""</f>
        <v/>
      </c>
      <c r="GN235" t="str">
        <f>""</f>
        <v/>
      </c>
      <c r="GO235" t="str">
        <f>""</f>
        <v/>
      </c>
      <c r="GP235" t="str">
        <f>""</f>
        <v/>
      </c>
      <c r="GQ235" t="str">
        <f>""</f>
        <v/>
      </c>
      <c r="GR235" t="str">
        <f>""</f>
        <v/>
      </c>
      <c r="GS235" t="str">
        <f>""</f>
        <v/>
      </c>
      <c r="GT235" t="str">
        <f>""</f>
        <v/>
      </c>
      <c r="GU235" t="str">
        <f>""</f>
        <v/>
      </c>
      <c r="GV235" t="str">
        <f>""</f>
        <v/>
      </c>
      <c r="GW235" t="str">
        <f>""</f>
        <v/>
      </c>
      <c r="GX235" t="str">
        <f>""</f>
        <v/>
      </c>
      <c r="GY235" t="str">
        <f>""</f>
        <v/>
      </c>
      <c r="GZ235" t="str">
        <f>""</f>
        <v/>
      </c>
      <c r="HA235" t="str">
        <f>""</f>
        <v/>
      </c>
      <c r="HB235" t="str">
        <f>""</f>
        <v/>
      </c>
      <c r="HC235" t="str">
        <f>""</f>
        <v/>
      </c>
      <c r="HD235" t="str">
        <f>""</f>
        <v/>
      </c>
      <c r="HE235" t="str">
        <f>""</f>
        <v/>
      </c>
      <c r="HF235" t="str">
        <f>""</f>
        <v/>
      </c>
      <c r="HG235" t="str">
        <f>""</f>
        <v/>
      </c>
      <c r="HH235" t="str">
        <f>""</f>
        <v/>
      </c>
      <c r="HI235" t="str">
        <f>""</f>
        <v/>
      </c>
      <c r="HJ235" t="str">
        <f>""</f>
        <v/>
      </c>
      <c r="HK235" t="str">
        <f>""</f>
        <v/>
      </c>
      <c r="HL235" t="str">
        <f>""</f>
        <v/>
      </c>
      <c r="HM235" t="str">
        <f>""</f>
        <v/>
      </c>
      <c r="HN235" t="str">
        <f>""</f>
        <v/>
      </c>
      <c r="HO235" t="str">
        <f>""</f>
        <v/>
      </c>
      <c r="HP235" t="str">
        <f>""</f>
        <v/>
      </c>
      <c r="HQ235" t="str">
        <f>""</f>
        <v/>
      </c>
      <c r="HR235" t="str">
        <f>""</f>
        <v/>
      </c>
      <c r="HS235" t="str">
        <f>""</f>
        <v/>
      </c>
      <c r="HT235" t="str">
        <f>""</f>
        <v/>
      </c>
      <c r="HU235" t="str">
        <f>""</f>
        <v/>
      </c>
      <c r="HV235" t="str">
        <f>""</f>
        <v/>
      </c>
      <c r="HW235" t="str">
        <f>""</f>
        <v/>
      </c>
      <c r="HX235" t="str">
        <f>""</f>
        <v/>
      </c>
      <c r="HY235" t="str">
        <f>""</f>
        <v/>
      </c>
      <c r="HZ235" t="str">
        <f>""</f>
        <v/>
      </c>
      <c r="IA235" t="str">
        <f>""</f>
        <v/>
      </c>
      <c r="IB235" t="str">
        <f>""</f>
        <v/>
      </c>
      <c r="IC235" t="str">
        <f>""</f>
        <v/>
      </c>
      <c r="ID235" t="str">
        <f>""</f>
        <v/>
      </c>
      <c r="IE235" t="str">
        <f>""</f>
        <v/>
      </c>
      <c r="IF235" t="str">
        <f>""</f>
        <v/>
      </c>
      <c r="IG235" t="str">
        <f>""</f>
        <v/>
      </c>
      <c r="IH235" t="str">
        <f>""</f>
        <v/>
      </c>
      <c r="II235" t="str">
        <f>""</f>
        <v/>
      </c>
      <c r="IJ235" t="str">
        <f>""</f>
        <v/>
      </c>
      <c r="IK235" t="str">
        <f>""</f>
        <v/>
      </c>
      <c r="IL235" t="str">
        <f>""</f>
        <v/>
      </c>
      <c r="IM235" t="str">
        <f>""</f>
        <v/>
      </c>
      <c r="IN235" t="str">
        <f>""</f>
        <v/>
      </c>
      <c r="IO235" t="str">
        <f>""</f>
        <v/>
      </c>
      <c r="IP235" t="str">
        <f>""</f>
        <v/>
      </c>
      <c r="IQ235" t="str">
        <f>""</f>
        <v/>
      </c>
      <c r="IR235" t="str">
        <f>""</f>
        <v/>
      </c>
      <c r="IS235" t="str">
        <f>""</f>
        <v/>
      </c>
      <c r="IT235" t="str">
        <f>""</f>
        <v/>
      </c>
      <c r="IU235" t="str">
        <f>""</f>
        <v/>
      </c>
      <c r="IV235" t="str">
        <f>""</f>
        <v/>
      </c>
      <c r="IW235" t="str">
        <f>""</f>
        <v/>
      </c>
      <c r="IX235" t="str">
        <f>""</f>
        <v/>
      </c>
      <c r="IY235" t="str">
        <f>""</f>
        <v/>
      </c>
      <c r="IZ235" t="str">
        <f>""</f>
        <v/>
      </c>
      <c r="JA235" t="str">
        <f>""</f>
        <v/>
      </c>
      <c r="JB235" t="str">
        <f>""</f>
        <v/>
      </c>
      <c r="JC235" t="str">
        <f>""</f>
        <v/>
      </c>
      <c r="JD235" t="str">
        <f>""</f>
        <v/>
      </c>
      <c r="JE235" t="str">
        <f>""</f>
        <v/>
      </c>
      <c r="JF235" t="str">
        <f>""</f>
        <v/>
      </c>
      <c r="JG235" t="str">
        <f>""</f>
        <v/>
      </c>
      <c r="JH235" t="str">
        <f>""</f>
        <v/>
      </c>
      <c r="JI235" t="str">
        <f>""</f>
        <v/>
      </c>
      <c r="JJ235" t="str">
        <f>""</f>
        <v/>
      </c>
      <c r="JK235" t="str">
        <f>""</f>
        <v/>
      </c>
    </row>
    <row r="237" spans="1:271" x14ac:dyDescent="0.3">
      <c r="A237" t="str">
        <f>"c.zMETAB5#c.PM4"</f>
        <v>c.zMETAB5#c.PM4</v>
      </c>
      <c r="B237" t="str">
        <f>""</f>
        <v/>
      </c>
      <c r="C237" t="str">
        <f>""</f>
        <v/>
      </c>
      <c r="D237" t="str">
        <f>""</f>
        <v/>
      </c>
      <c r="E237" t="str">
        <f>""</f>
        <v/>
      </c>
      <c r="F237" t="str">
        <f>""</f>
        <v/>
      </c>
      <c r="G237" t="str">
        <f>""</f>
        <v/>
      </c>
      <c r="H237" t="str">
        <f>""</f>
        <v/>
      </c>
      <c r="I237" t="str">
        <f>""</f>
        <v/>
      </c>
      <c r="J237" t="str">
        <f>""</f>
        <v/>
      </c>
      <c r="K237" t="str">
        <f>""</f>
        <v/>
      </c>
      <c r="L237" t="str">
        <f>""</f>
        <v/>
      </c>
      <c r="M237" t="str">
        <f>""</f>
        <v/>
      </c>
      <c r="N237" t="str">
        <f>""</f>
        <v/>
      </c>
      <c r="O237" t="str">
        <f>""</f>
        <v/>
      </c>
      <c r="P237" t="str">
        <f>""</f>
        <v/>
      </c>
      <c r="Q237" t="str">
        <f>""</f>
        <v/>
      </c>
      <c r="R237" t="str">
        <f>""</f>
        <v/>
      </c>
      <c r="S237" t="str">
        <f>""</f>
        <v/>
      </c>
      <c r="T237" t="str">
        <f>""</f>
        <v/>
      </c>
      <c r="U237" t="str">
        <f>""</f>
        <v/>
      </c>
      <c r="V237" t="str">
        <f>""</f>
        <v/>
      </c>
      <c r="W237" t="str">
        <f>""</f>
        <v/>
      </c>
      <c r="X237" t="str">
        <f>""</f>
        <v/>
      </c>
      <c r="Y237" t="str">
        <f>""</f>
        <v/>
      </c>
      <c r="Z237" t="str">
        <f>""</f>
        <v/>
      </c>
      <c r="AA237" t="str">
        <f>""</f>
        <v/>
      </c>
      <c r="AB237" t="str">
        <f>""</f>
        <v/>
      </c>
      <c r="AC237" t="str">
        <f>""</f>
        <v/>
      </c>
      <c r="AD237" t="str">
        <f>""</f>
        <v/>
      </c>
      <c r="AE237" t="str">
        <f>""</f>
        <v/>
      </c>
      <c r="AF237" t="str">
        <f>""</f>
        <v/>
      </c>
      <c r="AG237" t="str">
        <f>""</f>
        <v/>
      </c>
      <c r="AH237" t="str">
        <f>""</f>
        <v/>
      </c>
      <c r="AI237" t="str">
        <f>""</f>
        <v/>
      </c>
      <c r="AJ237" t="str">
        <f>""</f>
        <v/>
      </c>
      <c r="AK237" t="str">
        <f>""</f>
        <v/>
      </c>
      <c r="AL237" t="str">
        <f>""</f>
        <v/>
      </c>
      <c r="AM237" t="str">
        <f>""</f>
        <v/>
      </c>
      <c r="AN237" t="str">
        <f>""</f>
        <v/>
      </c>
      <c r="AO237" t="str">
        <f>""</f>
        <v/>
      </c>
      <c r="AP237" t="str">
        <f>""</f>
        <v/>
      </c>
      <c r="AQ237" t="str">
        <f>""</f>
        <v/>
      </c>
      <c r="AR237" t="str">
        <f>""</f>
        <v/>
      </c>
      <c r="AS237" t="str">
        <f>""</f>
        <v/>
      </c>
      <c r="AT237" t="str">
        <f>""</f>
        <v/>
      </c>
      <c r="AU237" t="str">
        <f>""</f>
        <v/>
      </c>
      <c r="AV237" t="str">
        <f>""</f>
        <v/>
      </c>
      <c r="AW237" t="str">
        <f>""</f>
        <v/>
      </c>
      <c r="AX237" t="str">
        <f>""</f>
        <v/>
      </c>
      <c r="AY237" t="str">
        <f>""</f>
        <v/>
      </c>
      <c r="AZ237" t="str">
        <f>""</f>
        <v/>
      </c>
      <c r="BA237" t="str">
        <f>""</f>
        <v/>
      </c>
      <c r="BB237" t="str">
        <f>""</f>
        <v/>
      </c>
      <c r="BC237" t="str">
        <f>""</f>
        <v/>
      </c>
      <c r="BD237" t="str">
        <f>""</f>
        <v/>
      </c>
      <c r="BE237" t="str">
        <f>""</f>
        <v/>
      </c>
      <c r="BF237" t="str">
        <f>""</f>
        <v/>
      </c>
      <c r="BG237" t="str">
        <f>""</f>
        <v/>
      </c>
      <c r="BH237" t="str">
        <f>""</f>
        <v/>
      </c>
      <c r="BI237" t="str">
        <f>""</f>
        <v/>
      </c>
      <c r="BJ237" t="str">
        <f>""</f>
        <v/>
      </c>
      <c r="BK237" t="str">
        <f>""</f>
        <v/>
      </c>
      <c r="BL237" t="str">
        <f>""</f>
        <v/>
      </c>
      <c r="BM237" t="str">
        <f>""</f>
        <v/>
      </c>
      <c r="BN237" t="str">
        <f>""</f>
        <v/>
      </c>
      <c r="BO237" t="str">
        <f>""</f>
        <v/>
      </c>
      <c r="BP237" t="str">
        <f>""</f>
        <v/>
      </c>
      <c r="BQ237" t="str">
        <f>""</f>
        <v/>
      </c>
      <c r="BR237" t="str">
        <f>""</f>
        <v/>
      </c>
      <c r="BS237" t="str">
        <f>""</f>
        <v/>
      </c>
      <c r="BT237" t="str">
        <f>""</f>
        <v/>
      </c>
      <c r="BU237" t="str">
        <f>""</f>
        <v/>
      </c>
      <c r="BV237" t="str">
        <f>""</f>
        <v/>
      </c>
      <c r="BW237" t="str">
        <f>""</f>
        <v/>
      </c>
      <c r="BX237" t="str">
        <f>""</f>
        <v/>
      </c>
      <c r="BY237" t="str">
        <f>""</f>
        <v/>
      </c>
      <c r="BZ237" t="str">
        <f>""</f>
        <v/>
      </c>
      <c r="CA237" t="str">
        <f>""</f>
        <v/>
      </c>
      <c r="CB237" t="str">
        <f>""</f>
        <v/>
      </c>
      <c r="CC237" t="str">
        <f>""</f>
        <v/>
      </c>
      <c r="CD237" t="str">
        <f>""</f>
        <v/>
      </c>
      <c r="CE237" t="str">
        <f>""</f>
        <v/>
      </c>
      <c r="CF237" t="str">
        <f>""</f>
        <v/>
      </c>
      <c r="CG237" t="str">
        <f>""</f>
        <v/>
      </c>
      <c r="CH237" t="str">
        <f>""</f>
        <v/>
      </c>
      <c r="CI237" t="str">
        <f>""</f>
        <v/>
      </c>
      <c r="CJ237" t="str">
        <f>""</f>
        <v/>
      </c>
      <c r="CK237" t="str">
        <f>""</f>
        <v/>
      </c>
      <c r="CL237" t="str">
        <f>""</f>
        <v/>
      </c>
      <c r="CM237" t="str">
        <f>""</f>
        <v/>
      </c>
      <c r="CN237" t="str">
        <f>""</f>
        <v/>
      </c>
      <c r="CO237" t="str">
        <f>""</f>
        <v/>
      </c>
      <c r="CP237" t="str">
        <f>""</f>
        <v/>
      </c>
      <c r="CQ237" t="str">
        <f>""</f>
        <v/>
      </c>
      <c r="CR237" t="str">
        <f>""</f>
        <v/>
      </c>
      <c r="CS237" t="str">
        <f>""</f>
        <v/>
      </c>
      <c r="CT237" t="str">
        <f>""</f>
        <v/>
      </c>
      <c r="CU237" t="str">
        <f>""</f>
        <v/>
      </c>
      <c r="CV237" t="str">
        <f>""</f>
        <v/>
      </c>
      <c r="CW237" t="str">
        <f>""</f>
        <v/>
      </c>
      <c r="CX237" t="str">
        <f>""</f>
        <v/>
      </c>
      <c r="CY237" t="str">
        <f>""</f>
        <v/>
      </c>
      <c r="CZ237" t="str">
        <f>""</f>
        <v/>
      </c>
      <c r="DA237" t="str">
        <f>""</f>
        <v/>
      </c>
      <c r="DB237" t="str">
        <f>""</f>
        <v/>
      </c>
      <c r="DC237" t="str">
        <f>""</f>
        <v/>
      </c>
      <c r="DD237" t="str">
        <f>""</f>
        <v/>
      </c>
      <c r="DE237" t="str">
        <f>""</f>
        <v/>
      </c>
      <c r="DF237" t="str">
        <f>""</f>
        <v/>
      </c>
      <c r="DG237" t="str">
        <f>""</f>
        <v/>
      </c>
      <c r="DH237" t="str">
        <f>""</f>
        <v/>
      </c>
      <c r="DI237" t="str">
        <f>""</f>
        <v/>
      </c>
      <c r="DJ237" t="str">
        <f>""</f>
        <v/>
      </c>
      <c r="DK237" t="str">
        <f>""</f>
        <v/>
      </c>
      <c r="DL237" t="str">
        <f>""</f>
        <v/>
      </c>
      <c r="DM237" t="str">
        <f>""</f>
        <v/>
      </c>
      <c r="DN237" t="str">
        <f>""</f>
        <v/>
      </c>
      <c r="DO237" t="str">
        <f>""</f>
        <v/>
      </c>
      <c r="DP237" t="str">
        <f>""</f>
        <v/>
      </c>
      <c r="DQ237" t="str">
        <f>""</f>
        <v/>
      </c>
      <c r="DR237" t="str">
        <f>""</f>
        <v/>
      </c>
      <c r="DS237" t="str">
        <f>""</f>
        <v/>
      </c>
      <c r="DT237" t="str">
        <f>""</f>
        <v/>
      </c>
      <c r="DU237" t="str">
        <f>""</f>
        <v/>
      </c>
      <c r="DV237" t="str">
        <f>""</f>
        <v/>
      </c>
      <c r="DW237" t="str">
        <f>""</f>
        <v/>
      </c>
      <c r="DX237" t="str">
        <f>""</f>
        <v/>
      </c>
      <c r="DY237" t="str">
        <f>""</f>
        <v/>
      </c>
      <c r="DZ237" t="str">
        <f>""</f>
        <v/>
      </c>
      <c r="EA237" t="str">
        <f>""</f>
        <v/>
      </c>
      <c r="EB237" t="str">
        <f>""</f>
        <v/>
      </c>
      <c r="EC237" t="str">
        <f>""</f>
        <v/>
      </c>
      <c r="ED237" t="str">
        <f>""</f>
        <v/>
      </c>
      <c r="EE237" t="str">
        <f>""</f>
        <v/>
      </c>
      <c r="EF237" t="str">
        <f>""</f>
        <v/>
      </c>
      <c r="EG237" t="str">
        <f>""</f>
        <v/>
      </c>
      <c r="EH237" t="str">
        <f>""</f>
        <v/>
      </c>
      <c r="EI237" t="str">
        <f>""</f>
        <v/>
      </c>
      <c r="EJ237" t="str">
        <f>""</f>
        <v/>
      </c>
      <c r="EK237" t="str">
        <f>""</f>
        <v/>
      </c>
      <c r="EL237" t="str">
        <f>""</f>
        <v/>
      </c>
      <c r="EM237" t="str">
        <f>""</f>
        <v/>
      </c>
      <c r="EN237" t="str">
        <f>""</f>
        <v/>
      </c>
      <c r="EO237" t="str">
        <f>""</f>
        <v/>
      </c>
      <c r="EP237" t="str">
        <f>""</f>
        <v/>
      </c>
      <c r="EQ237" t="str">
        <f>""</f>
        <v/>
      </c>
      <c r="ER237" t="str">
        <f>""</f>
        <v/>
      </c>
      <c r="ES237" t="str">
        <f>"0.0778"</f>
        <v>0.0778</v>
      </c>
      <c r="ET237" t="str">
        <f>"-0.0480"</f>
        <v>-0.0480</v>
      </c>
      <c r="EU237" t="str">
        <f>"-0.0273"</f>
        <v>-0.0273</v>
      </c>
      <c r="EV237" t="str">
        <f>""</f>
        <v/>
      </c>
      <c r="EW237" t="str">
        <f>""</f>
        <v/>
      </c>
      <c r="EX237" t="str">
        <f>""</f>
        <v/>
      </c>
      <c r="EY237" t="str">
        <f>""</f>
        <v/>
      </c>
      <c r="EZ237" t="str">
        <f>""</f>
        <v/>
      </c>
      <c r="FA237" t="str">
        <f>""</f>
        <v/>
      </c>
      <c r="FB237" t="str">
        <f>""</f>
        <v/>
      </c>
      <c r="FC237" t="str">
        <f>""</f>
        <v/>
      </c>
      <c r="FD237" t="str">
        <f>""</f>
        <v/>
      </c>
      <c r="FE237" t="str">
        <f>""</f>
        <v/>
      </c>
      <c r="FF237" t="str">
        <f>""</f>
        <v/>
      </c>
      <c r="FG237" t="str">
        <f>""</f>
        <v/>
      </c>
      <c r="FH237" t="str">
        <f>""</f>
        <v/>
      </c>
      <c r="FI237" t="str">
        <f>""</f>
        <v/>
      </c>
      <c r="FJ237" t="str">
        <f>""</f>
        <v/>
      </c>
      <c r="FK237" t="str">
        <f>""</f>
        <v/>
      </c>
      <c r="FL237" t="str">
        <f>""</f>
        <v/>
      </c>
      <c r="FM237" t="str">
        <f>""</f>
        <v/>
      </c>
      <c r="FN237" t="str">
        <f>""</f>
        <v/>
      </c>
      <c r="FO237" t="str">
        <f>""</f>
        <v/>
      </c>
      <c r="FP237" t="str">
        <f>""</f>
        <v/>
      </c>
      <c r="FQ237" t="str">
        <f>""</f>
        <v/>
      </c>
      <c r="FR237" t="str">
        <f>""</f>
        <v/>
      </c>
      <c r="FS237" t="str">
        <f>""</f>
        <v/>
      </c>
      <c r="FT237" t="str">
        <f>""</f>
        <v/>
      </c>
      <c r="FU237" t="str">
        <f>""</f>
        <v/>
      </c>
      <c r="FV237" t="str">
        <f>""</f>
        <v/>
      </c>
      <c r="FW237" t="str">
        <f>""</f>
        <v/>
      </c>
      <c r="FX237" t="str">
        <f>""</f>
        <v/>
      </c>
      <c r="FY237" t="str">
        <f>""</f>
        <v/>
      </c>
      <c r="FZ237" t="str">
        <f>""</f>
        <v/>
      </c>
      <c r="GA237" t="str">
        <f>""</f>
        <v/>
      </c>
      <c r="GB237" t="str">
        <f>""</f>
        <v/>
      </c>
      <c r="GC237" t="str">
        <f>""</f>
        <v/>
      </c>
      <c r="GD237" t="str">
        <f>""</f>
        <v/>
      </c>
      <c r="GE237" t="str">
        <f>""</f>
        <v/>
      </c>
      <c r="GF237" t="str">
        <f>""</f>
        <v/>
      </c>
      <c r="GG237" t="str">
        <f>""</f>
        <v/>
      </c>
      <c r="GH237" t="str">
        <f>""</f>
        <v/>
      </c>
      <c r="GI237" t="str">
        <f>""</f>
        <v/>
      </c>
      <c r="GJ237" t="str">
        <f>""</f>
        <v/>
      </c>
      <c r="GK237" t="str">
        <f>""</f>
        <v/>
      </c>
      <c r="GL237" t="str">
        <f>""</f>
        <v/>
      </c>
      <c r="GM237" t="str">
        <f>""</f>
        <v/>
      </c>
      <c r="GN237" t="str">
        <f>""</f>
        <v/>
      </c>
      <c r="GO237" t="str">
        <f>""</f>
        <v/>
      </c>
      <c r="GP237" t="str">
        <f>""</f>
        <v/>
      </c>
      <c r="GQ237" t="str">
        <f>""</f>
        <v/>
      </c>
      <c r="GR237" t="str">
        <f>""</f>
        <v/>
      </c>
      <c r="GS237" t="str">
        <f>""</f>
        <v/>
      </c>
      <c r="GT237" t="str">
        <f>""</f>
        <v/>
      </c>
      <c r="GU237" t="str">
        <f>""</f>
        <v/>
      </c>
      <c r="GV237" t="str">
        <f>""</f>
        <v/>
      </c>
      <c r="GW237" t="str">
        <f>""</f>
        <v/>
      </c>
      <c r="GX237" t="str">
        <f>""</f>
        <v/>
      </c>
      <c r="GY237" t="str">
        <f>""</f>
        <v/>
      </c>
      <c r="GZ237" t="str">
        <f>""</f>
        <v/>
      </c>
      <c r="HA237" t="str">
        <f>""</f>
        <v/>
      </c>
      <c r="HB237" t="str">
        <f>""</f>
        <v/>
      </c>
      <c r="HC237" t="str">
        <f>""</f>
        <v/>
      </c>
      <c r="HD237" t="str">
        <f>""</f>
        <v/>
      </c>
      <c r="HE237" t="str">
        <f>""</f>
        <v/>
      </c>
      <c r="HF237" t="str">
        <f>""</f>
        <v/>
      </c>
      <c r="HG237" t="str">
        <f>""</f>
        <v/>
      </c>
      <c r="HH237" t="str">
        <f>""</f>
        <v/>
      </c>
      <c r="HI237" t="str">
        <f>""</f>
        <v/>
      </c>
      <c r="HJ237" t="str">
        <f>""</f>
        <v/>
      </c>
      <c r="HK237" t="str">
        <f>""</f>
        <v/>
      </c>
      <c r="HL237" t="str">
        <f>""</f>
        <v/>
      </c>
      <c r="HM237" t="str">
        <f>""</f>
        <v/>
      </c>
      <c r="HN237" t="str">
        <f>""</f>
        <v/>
      </c>
      <c r="HO237" t="str">
        <f>""</f>
        <v/>
      </c>
      <c r="HP237" t="str">
        <f>""</f>
        <v/>
      </c>
      <c r="HQ237" t="str">
        <f>""</f>
        <v/>
      </c>
      <c r="HR237" t="str">
        <f>""</f>
        <v/>
      </c>
      <c r="HS237" t="str">
        <f>""</f>
        <v/>
      </c>
      <c r="HT237" t="str">
        <f>""</f>
        <v/>
      </c>
      <c r="HU237" t="str">
        <f>""</f>
        <v/>
      </c>
      <c r="HV237" t="str">
        <f>""</f>
        <v/>
      </c>
      <c r="HW237" t="str">
        <f>""</f>
        <v/>
      </c>
      <c r="HX237" t="str">
        <f>""</f>
        <v/>
      </c>
      <c r="HY237" t="str">
        <f>""</f>
        <v/>
      </c>
      <c r="HZ237" t="str">
        <f>""</f>
        <v/>
      </c>
      <c r="IA237" t="str">
        <f>""</f>
        <v/>
      </c>
      <c r="IB237" t="str">
        <f>""</f>
        <v/>
      </c>
      <c r="IC237" t="str">
        <f>""</f>
        <v/>
      </c>
      <c r="ID237" t="str">
        <f>""</f>
        <v/>
      </c>
      <c r="IE237" t="str">
        <f>""</f>
        <v/>
      </c>
      <c r="IF237" t="str">
        <f>""</f>
        <v/>
      </c>
      <c r="IG237" t="str">
        <f>""</f>
        <v/>
      </c>
      <c r="IH237" t="str">
        <f>""</f>
        <v/>
      </c>
      <c r="II237" t="str">
        <f>""</f>
        <v/>
      </c>
      <c r="IJ237" t="str">
        <f>""</f>
        <v/>
      </c>
      <c r="IK237" t="str">
        <f>""</f>
        <v/>
      </c>
      <c r="IL237" t="str">
        <f>""</f>
        <v/>
      </c>
      <c r="IM237" t="str">
        <f>""</f>
        <v/>
      </c>
      <c r="IN237" t="str">
        <f>""</f>
        <v/>
      </c>
      <c r="IO237" t="str">
        <f>""</f>
        <v/>
      </c>
      <c r="IP237" t="str">
        <f>""</f>
        <v/>
      </c>
      <c r="IQ237" t="str">
        <f>""</f>
        <v/>
      </c>
      <c r="IR237" t="str">
        <f>""</f>
        <v/>
      </c>
      <c r="IS237" t="str">
        <f>""</f>
        <v/>
      </c>
      <c r="IT237" t="str">
        <f>""</f>
        <v/>
      </c>
      <c r="IU237" t="str">
        <f>""</f>
        <v/>
      </c>
      <c r="IV237" t="str">
        <f>""</f>
        <v/>
      </c>
      <c r="IW237" t="str">
        <f>""</f>
        <v/>
      </c>
      <c r="IX237" t="str">
        <f>""</f>
        <v/>
      </c>
      <c r="IY237" t="str">
        <f>""</f>
        <v/>
      </c>
      <c r="IZ237" t="str">
        <f>""</f>
        <v/>
      </c>
      <c r="JA237" t="str">
        <f>""</f>
        <v/>
      </c>
      <c r="JB237" t="str">
        <f>""</f>
        <v/>
      </c>
      <c r="JC237" t="str">
        <f>""</f>
        <v/>
      </c>
      <c r="JD237" t="str">
        <f>""</f>
        <v/>
      </c>
      <c r="JE237" t="str">
        <f>""</f>
        <v/>
      </c>
      <c r="JF237" t="str">
        <f>""</f>
        <v/>
      </c>
      <c r="JG237" t="str">
        <f>""</f>
        <v/>
      </c>
      <c r="JH237" t="str">
        <f>""</f>
        <v/>
      </c>
      <c r="JI237" t="str">
        <f>""</f>
        <v/>
      </c>
      <c r="JJ237" t="str">
        <f>""</f>
        <v/>
      </c>
      <c r="JK237" t="str">
        <f>""</f>
        <v/>
      </c>
    </row>
    <row r="238" spans="1:271" x14ac:dyDescent="0.3">
      <c r="A238" t="str">
        <f>""</f>
        <v/>
      </c>
      <c r="B238" t="str">
        <f>""</f>
        <v/>
      </c>
      <c r="C238" t="str">
        <f>""</f>
        <v/>
      </c>
      <c r="D238" t="str">
        <f>""</f>
        <v/>
      </c>
      <c r="E238" t="str">
        <f>""</f>
        <v/>
      </c>
      <c r="F238" t="str">
        <f>""</f>
        <v/>
      </c>
      <c r="G238" t="str">
        <f>""</f>
        <v/>
      </c>
      <c r="H238" t="str">
        <f>""</f>
        <v/>
      </c>
      <c r="I238" t="str">
        <f>""</f>
        <v/>
      </c>
      <c r="J238" t="str">
        <f>""</f>
        <v/>
      </c>
      <c r="K238" t="str">
        <f>""</f>
        <v/>
      </c>
      <c r="L238" t="str">
        <f>""</f>
        <v/>
      </c>
      <c r="M238" t="str">
        <f>""</f>
        <v/>
      </c>
      <c r="N238" t="str">
        <f>""</f>
        <v/>
      </c>
      <c r="O238" t="str">
        <f>""</f>
        <v/>
      </c>
      <c r="P238" t="str">
        <f>""</f>
        <v/>
      </c>
      <c r="Q238" t="str">
        <f>""</f>
        <v/>
      </c>
      <c r="R238" t="str">
        <f>""</f>
        <v/>
      </c>
      <c r="S238" t="str">
        <f>""</f>
        <v/>
      </c>
      <c r="T238" t="str">
        <f>""</f>
        <v/>
      </c>
      <c r="U238" t="str">
        <f>""</f>
        <v/>
      </c>
      <c r="V238" t="str">
        <f>""</f>
        <v/>
      </c>
      <c r="W238" t="str">
        <f>""</f>
        <v/>
      </c>
      <c r="X238" t="str">
        <f>""</f>
        <v/>
      </c>
      <c r="Y238" t="str">
        <f>""</f>
        <v/>
      </c>
      <c r="Z238" t="str">
        <f>""</f>
        <v/>
      </c>
      <c r="AA238" t="str">
        <f>""</f>
        <v/>
      </c>
      <c r="AB238" t="str">
        <f>""</f>
        <v/>
      </c>
      <c r="AC238" t="str">
        <f>""</f>
        <v/>
      </c>
      <c r="AD238" t="str">
        <f>""</f>
        <v/>
      </c>
      <c r="AE238" t="str">
        <f>""</f>
        <v/>
      </c>
      <c r="AF238" t="str">
        <f>""</f>
        <v/>
      </c>
      <c r="AG238" t="str">
        <f>""</f>
        <v/>
      </c>
      <c r="AH238" t="str">
        <f>""</f>
        <v/>
      </c>
      <c r="AI238" t="str">
        <f>""</f>
        <v/>
      </c>
      <c r="AJ238" t="str">
        <f>""</f>
        <v/>
      </c>
      <c r="AK238" t="str">
        <f>""</f>
        <v/>
      </c>
      <c r="AL238" t="str">
        <f>""</f>
        <v/>
      </c>
      <c r="AM238" t="str">
        <f>""</f>
        <v/>
      </c>
      <c r="AN238" t="str">
        <f>""</f>
        <v/>
      </c>
      <c r="AO238" t="str">
        <f>""</f>
        <v/>
      </c>
      <c r="AP238" t="str">
        <f>""</f>
        <v/>
      </c>
      <c r="AQ238" t="str">
        <f>""</f>
        <v/>
      </c>
      <c r="AR238" t="str">
        <f>""</f>
        <v/>
      </c>
      <c r="AS238" t="str">
        <f>""</f>
        <v/>
      </c>
      <c r="AT238" t="str">
        <f>""</f>
        <v/>
      </c>
      <c r="AU238" t="str">
        <f>""</f>
        <v/>
      </c>
      <c r="AV238" t="str">
        <f>""</f>
        <v/>
      </c>
      <c r="AW238" t="str">
        <f>""</f>
        <v/>
      </c>
      <c r="AX238" t="str">
        <f>""</f>
        <v/>
      </c>
      <c r="AY238" t="str">
        <f>""</f>
        <v/>
      </c>
      <c r="AZ238" t="str">
        <f>""</f>
        <v/>
      </c>
      <c r="BA238" t="str">
        <f>""</f>
        <v/>
      </c>
      <c r="BB238" t="str">
        <f>""</f>
        <v/>
      </c>
      <c r="BC238" t="str">
        <f>""</f>
        <v/>
      </c>
      <c r="BD238" t="str">
        <f>""</f>
        <v/>
      </c>
      <c r="BE238" t="str">
        <f>""</f>
        <v/>
      </c>
      <c r="BF238" t="str">
        <f>""</f>
        <v/>
      </c>
      <c r="BG238" t="str">
        <f>""</f>
        <v/>
      </c>
      <c r="BH238" t="str">
        <f>""</f>
        <v/>
      </c>
      <c r="BI238" t="str">
        <f>""</f>
        <v/>
      </c>
      <c r="BJ238" t="str">
        <f>""</f>
        <v/>
      </c>
      <c r="BK238" t="str">
        <f>""</f>
        <v/>
      </c>
      <c r="BL238" t="str">
        <f>""</f>
        <v/>
      </c>
      <c r="BM238" t="str">
        <f>""</f>
        <v/>
      </c>
      <c r="BN238" t="str">
        <f>""</f>
        <v/>
      </c>
      <c r="BO238" t="str">
        <f>""</f>
        <v/>
      </c>
      <c r="BP238" t="str">
        <f>""</f>
        <v/>
      </c>
      <c r="BQ238" t="str">
        <f>""</f>
        <v/>
      </c>
      <c r="BR238" t="str">
        <f>""</f>
        <v/>
      </c>
      <c r="BS238" t="str">
        <f>""</f>
        <v/>
      </c>
      <c r="BT238" t="str">
        <f>""</f>
        <v/>
      </c>
      <c r="BU238" t="str">
        <f>""</f>
        <v/>
      </c>
      <c r="BV238" t="str">
        <f>""</f>
        <v/>
      </c>
      <c r="BW238" t="str">
        <f>""</f>
        <v/>
      </c>
      <c r="BX238" t="str">
        <f>""</f>
        <v/>
      </c>
      <c r="BY238" t="str">
        <f>""</f>
        <v/>
      </c>
      <c r="BZ238" t="str">
        <f>""</f>
        <v/>
      </c>
      <c r="CA238" t="str">
        <f>""</f>
        <v/>
      </c>
      <c r="CB238" t="str">
        <f>""</f>
        <v/>
      </c>
      <c r="CC238" t="str">
        <f>""</f>
        <v/>
      </c>
      <c r="CD238" t="str">
        <f>""</f>
        <v/>
      </c>
      <c r="CE238" t="str">
        <f>""</f>
        <v/>
      </c>
      <c r="CF238" t="str">
        <f>""</f>
        <v/>
      </c>
      <c r="CG238" t="str">
        <f>""</f>
        <v/>
      </c>
      <c r="CH238" t="str">
        <f>""</f>
        <v/>
      </c>
      <c r="CI238" t="str">
        <f>""</f>
        <v/>
      </c>
      <c r="CJ238" t="str">
        <f>""</f>
        <v/>
      </c>
      <c r="CK238" t="str">
        <f>""</f>
        <v/>
      </c>
      <c r="CL238" t="str">
        <f>""</f>
        <v/>
      </c>
      <c r="CM238" t="str">
        <f>""</f>
        <v/>
      </c>
      <c r="CN238" t="str">
        <f>""</f>
        <v/>
      </c>
      <c r="CO238" t="str">
        <f>""</f>
        <v/>
      </c>
      <c r="CP238" t="str">
        <f>""</f>
        <v/>
      </c>
      <c r="CQ238" t="str">
        <f>""</f>
        <v/>
      </c>
      <c r="CR238" t="str">
        <f>""</f>
        <v/>
      </c>
      <c r="CS238" t="str">
        <f>""</f>
        <v/>
      </c>
      <c r="CT238" t="str">
        <f>""</f>
        <v/>
      </c>
      <c r="CU238" t="str">
        <f>""</f>
        <v/>
      </c>
      <c r="CV238" t="str">
        <f>""</f>
        <v/>
      </c>
      <c r="CW238" t="str">
        <f>""</f>
        <v/>
      </c>
      <c r="CX238" t="str">
        <f>""</f>
        <v/>
      </c>
      <c r="CY238" t="str">
        <f>""</f>
        <v/>
      </c>
      <c r="CZ238" t="str">
        <f>""</f>
        <v/>
      </c>
      <c r="DA238" t="str">
        <f>""</f>
        <v/>
      </c>
      <c r="DB238" t="str">
        <f>""</f>
        <v/>
      </c>
      <c r="DC238" t="str">
        <f>""</f>
        <v/>
      </c>
      <c r="DD238" t="str">
        <f>""</f>
        <v/>
      </c>
      <c r="DE238" t="str">
        <f>""</f>
        <v/>
      </c>
      <c r="DF238" t="str">
        <f>""</f>
        <v/>
      </c>
      <c r="DG238" t="str">
        <f>""</f>
        <v/>
      </c>
      <c r="DH238" t="str">
        <f>""</f>
        <v/>
      </c>
      <c r="DI238" t="str">
        <f>""</f>
        <v/>
      </c>
      <c r="DJ238" t="str">
        <f>""</f>
        <v/>
      </c>
      <c r="DK238" t="str">
        <f>""</f>
        <v/>
      </c>
      <c r="DL238" t="str">
        <f>""</f>
        <v/>
      </c>
      <c r="DM238" t="str">
        <f>""</f>
        <v/>
      </c>
      <c r="DN238" t="str">
        <f>""</f>
        <v/>
      </c>
      <c r="DO238" t="str">
        <f>""</f>
        <v/>
      </c>
      <c r="DP238" t="str">
        <f>""</f>
        <v/>
      </c>
      <c r="DQ238" t="str">
        <f>""</f>
        <v/>
      </c>
      <c r="DR238" t="str">
        <f>""</f>
        <v/>
      </c>
      <c r="DS238" t="str">
        <f>""</f>
        <v/>
      </c>
      <c r="DT238" t="str">
        <f>""</f>
        <v/>
      </c>
      <c r="DU238" t="str">
        <f>""</f>
        <v/>
      </c>
      <c r="DV238" t="str">
        <f>""</f>
        <v/>
      </c>
      <c r="DW238" t="str">
        <f>""</f>
        <v/>
      </c>
      <c r="DX238" t="str">
        <f>""</f>
        <v/>
      </c>
      <c r="DY238" t="str">
        <f>""</f>
        <v/>
      </c>
      <c r="DZ238" t="str">
        <f>""</f>
        <v/>
      </c>
      <c r="EA238" t="str">
        <f>""</f>
        <v/>
      </c>
      <c r="EB238" t="str">
        <f>""</f>
        <v/>
      </c>
      <c r="EC238" t="str">
        <f>""</f>
        <v/>
      </c>
      <c r="ED238" t="str">
        <f>""</f>
        <v/>
      </c>
      <c r="EE238" t="str">
        <f>""</f>
        <v/>
      </c>
      <c r="EF238" t="str">
        <f>""</f>
        <v/>
      </c>
      <c r="EG238" t="str">
        <f>""</f>
        <v/>
      </c>
      <c r="EH238" t="str">
        <f>""</f>
        <v/>
      </c>
      <c r="EI238" t="str">
        <f>""</f>
        <v/>
      </c>
      <c r="EJ238" t="str">
        <f>""</f>
        <v/>
      </c>
      <c r="EK238" t="str">
        <f>""</f>
        <v/>
      </c>
      <c r="EL238" t="str">
        <f>""</f>
        <v/>
      </c>
      <c r="EM238" t="str">
        <f>""</f>
        <v/>
      </c>
      <c r="EN238" t="str">
        <f>""</f>
        <v/>
      </c>
      <c r="EO238" t="str">
        <f>""</f>
        <v/>
      </c>
      <c r="EP238" t="str">
        <f>""</f>
        <v/>
      </c>
      <c r="EQ238" t="str">
        <f>""</f>
        <v/>
      </c>
      <c r="ER238" t="str">
        <f>""</f>
        <v/>
      </c>
      <c r="ES238" t="str">
        <f>"(0.104)"</f>
        <v>(0.104)</v>
      </c>
      <c r="ET238" t="str">
        <f>"(0.0814)"</f>
        <v>(0.0814)</v>
      </c>
      <c r="EU238" t="str">
        <f>"(0.0413)"</f>
        <v>(0.0413)</v>
      </c>
      <c r="EV238" t="str">
        <f>""</f>
        <v/>
      </c>
      <c r="EW238" t="str">
        <f>""</f>
        <v/>
      </c>
      <c r="EX238" t="str">
        <f>""</f>
        <v/>
      </c>
      <c r="EY238" t="str">
        <f>""</f>
        <v/>
      </c>
      <c r="EZ238" t="str">
        <f>""</f>
        <v/>
      </c>
      <c r="FA238" t="str">
        <f>""</f>
        <v/>
      </c>
      <c r="FB238" t="str">
        <f>""</f>
        <v/>
      </c>
      <c r="FC238" t="str">
        <f>""</f>
        <v/>
      </c>
      <c r="FD238" t="str">
        <f>""</f>
        <v/>
      </c>
      <c r="FE238" t="str">
        <f>""</f>
        <v/>
      </c>
      <c r="FF238" t="str">
        <f>""</f>
        <v/>
      </c>
      <c r="FG238" t="str">
        <f>""</f>
        <v/>
      </c>
      <c r="FH238" t="str">
        <f>""</f>
        <v/>
      </c>
      <c r="FI238" t="str">
        <f>""</f>
        <v/>
      </c>
      <c r="FJ238" t="str">
        <f>""</f>
        <v/>
      </c>
      <c r="FK238" t="str">
        <f>""</f>
        <v/>
      </c>
      <c r="FL238" t="str">
        <f>""</f>
        <v/>
      </c>
      <c r="FM238" t="str">
        <f>""</f>
        <v/>
      </c>
      <c r="FN238" t="str">
        <f>""</f>
        <v/>
      </c>
      <c r="FO238" t="str">
        <f>""</f>
        <v/>
      </c>
      <c r="FP238" t="str">
        <f>""</f>
        <v/>
      </c>
      <c r="FQ238" t="str">
        <f>""</f>
        <v/>
      </c>
      <c r="FR238" t="str">
        <f>""</f>
        <v/>
      </c>
      <c r="FS238" t="str">
        <f>""</f>
        <v/>
      </c>
      <c r="FT238" t="str">
        <f>""</f>
        <v/>
      </c>
      <c r="FU238" t="str">
        <f>""</f>
        <v/>
      </c>
      <c r="FV238" t="str">
        <f>""</f>
        <v/>
      </c>
      <c r="FW238" t="str">
        <f>""</f>
        <v/>
      </c>
      <c r="FX238" t="str">
        <f>""</f>
        <v/>
      </c>
      <c r="FY238" t="str">
        <f>""</f>
        <v/>
      </c>
      <c r="FZ238" t="str">
        <f>""</f>
        <v/>
      </c>
      <c r="GA238" t="str">
        <f>""</f>
        <v/>
      </c>
      <c r="GB238" t="str">
        <f>""</f>
        <v/>
      </c>
      <c r="GC238" t="str">
        <f>""</f>
        <v/>
      </c>
      <c r="GD238" t="str">
        <f>""</f>
        <v/>
      </c>
      <c r="GE238" t="str">
        <f>""</f>
        <v/>
      </c>
      <c r="GF238" t="str">
        <f>""</f>
        <v/>
      </c>
      <c r="GG238" t="str">
        <f>""</f>
        <v/>
      </c>
      <c r="GH238" t="str">
        <f>""</f>
        <v/>
      </c>
      <c r="GI238" t="str">
        <f>""</f>
        <v/>
      </c>
      <c r="GJ238" t="str">
        <f>""</f>
        <v/>
      </c>
      <c r="GK238" t="str">
        <f>""</f>
        <v/>
      </c>
      <c r="GL238" t="str">
        <f>""</f>
        <v/>
      </c>
      <c r="GM238" t="str">
        <f>""</f>
        <v/>
      </c>
      <c r="GN238" t="str">
        <f>""</f>
        <v/>
      </c>
      <c r="GO238" t="str">
        <f>""</f>
        <v/>
      </c>
      <c r="GP238" t="str">
        <f>""</f>
        <v/>
      </c>
      <c r="GQ238" t="str">
        <f>""</f>
        <v/>
      </c>
      <c r="GR238" t="str">
        <f>""</f>
        <v/>
      </c>
      <c r="GS238" t="str">
        <f>""</f>
        <v/>
      </c>
      <c r="GT238" t="str">
        <f>""</f>
        <v/>
      </c>
      <c r="GU238" t="str">
        <f>""</f>
        <v/>
      </c>
      <c r="GV238" t="str">
        <f>""</f>
        <v/>
      </c>
      <c r="GW238" t="str">
        <f>""</f>
        <v/>
      </c>
      <c r="GX238" t="str">
        <f>""</f>
        <v/>
      </c>
      <c r="GY238" t="str">
        <f>""</f>
        <v/>
      </c>
      <c r="GZ238" t="str">
        <f>""</f>
        <v/>
      </c>
      <c r="HA238" t="str">
        <f>""</f>
        <v/>
      </c>
      <c r="HB238" t="str">
        <f>""</f>
        <v/>
      </c>
      <c r="HC238" t="str">
        <f>""</f>
        <v/>
      </c>
      <c r="HD238" t="str">
        <f>""</f>
        <v/>
      </c>
      <c r="HE238" t="str">
        <f>""</f>
        <v/>
      </c>
      <c r="HF238" t="str">
        <f>""</f>
        <v/>
      </c>
      <c r="HG238" t="str">
        <f>""</f>
        <v/>
      </c>
      <c r="HH238" t="str">
        <f>""</f>
        <v/>
      </c>
      <c r="HI238" t="str">
        <f>""</f>
        <v/>
      </c>
      <c r="HJ238" t="str">
        <f>""</f>
        <v/>
      </c>
      <c r="HK238" t="str">
        <f>""</f>
        <v/>
      </c>
      <c r="HL238" t="str">
        <f>""</f>
        <v/>
      </c>
      <c r="HM238" t="str">
        <f>""</f>
        <v/>
      </c>
      <c r="HN238" t="str">
        <f>""</f>
        <v/>
      </c>
      <c r="HO238" t="str">
        <f>""</f>
        <v/>
      </c>
      <c r="HP238" t="str">
        <f>""</f>
        <v/>
      </c>
      <c r="HQ238" t="str">
        <f>""</f>
        <v/>
      </c>
      <c r="HR238" t="str">
        <f>""</f>
        <v/>
      </c>
      <c r="HS238" t="str">
        <f>""</f>
        <v/>
      </c>
      <c r="HT238" t="str">
        <f>""</f>
        <v/>
      </c>
      <c r="HU238" t="str">
        <f>""</f>
        <v/>
      </c>
      <c r="HV238" t="str">
        <f>""</f>
        <v/>
      </c>
      <c r="HW238" t="str">
        <f>""</f>
        <v/>
      </c>
      <c r="HX238" t="str">
        <f>""</f>
        <v/>
      </c>
      <c r="HY238" t="str">
        <f>""</f>
        <v/>
      </c>
      <c r="HZ238" t="str">
        <f>""</f>
        <v/>
      </c>
      <c r="IA238" t="str">
        <f>""</f>
        <v/>
      </c>
      <c r="IB238" t="str">
        <f>""</f>
        <v/>
      </c>
      <c r="IC238" t="str">
        <f>""</f>
        <v/>
      </c>
      <c r="ID238" t="str">
        <f>""</f>
        <v/>
      </c>
      <c r="IE238" t="str">
        <f>""</f>
        <v/>
      </c>
      <c r="IF238" t="str">
        <f>""</f>
        <v/>
      </c>
      <c r="IG238" t="str">
        <f>""</f>
        <v/>
      </c>
      <c r="IH238" t="str">
        <f>""</f>
        <v/>
      </c>
      <c r="II238" t="str">
        <f>""</f>
        <v/>
      </c>
      <c r="IJ238" t="str">
        <f>""</f>
        <v/>
      </c>
      <c r="IK238" t="str">
        <f>""</f>
        <v/>
      </c>
      <c r="IL238" t="str">
        <f>""</f>
        <v/>
      </c>
      <c r="IM238" t="str">
        <f>""</f>
        <v/>
      </c>
      <c r="IN238" t="str">
        <f>""</f>
        <v/>
      </c>
      <c r="IO238" t="str">
        <f>""</f>
        <v/>
      </c>
      <c r="IP238" t="str">
        <f>""</f>
        <v/>
      </c>
      <c r="IQ238" t="str">
        <f>""</f>
        <v/>
      </c>
      <c r="IR238" t="str">
        <f>""</f>
        <v/>
      </c>
      <c r="IS238" t="str">
        <f>""</f>
        <v/>
      </c>
      <c r="IT238" t="str">
        <f>""</f>
        <v/>
      </c>
      <c r="IU238" t="str">
        <f>""</f>
        <v/>
      </c>
      <c r="IV238" t="str">
        <f>""</f>
        <v/>
      </c>
      <c r="IW238" t="str">
        <f>""</f>
        <v/>
      </c>
      <c r="IX238" t="str">
        <f>""</f>
        <v/>
      </c>
      <c r="IY238" t="str">
        <f>""</f>
        <v/>
      </c>
      <c r="IZ238" t="str">
        <f>""</f>
        <v/>
      </c>
      <c r="JA238" t="str">
        <f>""</f>
        <v/>
      </c>
      <c r="JB238" t="str">
        <f>""</f>
        <v/>
      </c>
      <c r="JC238" t="str">
        <f>""</f>
        <v/>
      </c>
      <c r="JD238" t="str">
        <f>""</f>
        <v/>
      </c>
      <c r="JE238" t="str">
        <f>""</f>
        <v/>
      </c>
      <c r="JF238" t="str">
        <f>""</f>
        <v/>
      </c>
      <c r="JG238" t="str">
        <f>""</f>
        <v/>
      </c>
      <c r="JH238" t="str">
        <f>""</f>
        <v/>
      </c>
      <c r="JI238" t="str">
        <f>""</f>
        <v/>
      </c>
      <c r="JJ238" t="str">
        <f>""</f>
        <v/>
      </c>
      <c r="JK238" t="str">
        <f>""</f>
        <v/>
      </c>
    </row>
    <row r="240" spans="1:271" x14ac:dyDescent="0.3">
      <c r="A240" t="str">
        <f>"c.zMETAB6#c.PM4"</f>
        <v>c.zMETAB6#c.PM4</v>
      </c>
      <c r="B240" t="str">
        <f>""</f>
        <v/>
      </c>
      <c r="C240" t="str">
        <f>""</f>
        <v/>
      </c>
      <c r="D240" t="str">
        <f>""</f>
        <v/>
      </c>
      <c r="E240" t="str">
        <f>""</f>
        <v/>
      </c>
      <c r="F240" t="str">
        <f>""</f>
        <v/>
      </c>
      <c r="G240" t="str">
        <f>""</f>
        <v/>
      </c>
      <c r="H240" t="str">
        <f>""</f>
        <v/>
      </c>
      <c r="I240" t="str">
        <f>""</f>
        <v/>
      </c>
      <c r="J240" t="str">
        <f>""</f>
        <v/>
      </c>
      <c r="K240" t="str">
        <f>""</f>
        <v/>
      </c>
      <c r="L240" t="str">
        <f>""</f>
        <v/>
      </c>
      <c r="M240" t="str">
        <f>""</f>
        <v/>
      </c>
      <c r="N240" t="str">
        <f>""</f>
        <v/>
      </c>
      <c r="O240" t="str">
        <f>""</f>
        <v/>
      </c>
      <c r="P240" t="str">
        <f>""</f>
        <v/>
      </c>
      <c r="Q240" t="str">
        <f>""</f>
        <v/>
      </c>
      <c r="R240" t="str">
        <f>""</f>
        <v/>
      </c>
      <c r="S240" t="str">
        <f>""</f>
        <v/>
      </c>
      <c r="T240" t="str">
        <f>""</f>
        <v/>
      </c>
      <c r="U240" t="str">
        <f>""</f>
        <v/>
      </c>
      <c r="V240" t="str">
        <f>""</f>
        <v/>
      </c>
      <c r="W240" t="str">
        <f>""</f>
        <v/>
      </c>
      <c r="X240" t="str">
        <f>""</f>
        <v/>
      </c>
      <c r="Y240" t="str">
        <f>""</f>
        <v/>
      </c>
      <c r="Z240" t="str">
        <f>""</f>
        <v/>
      </c>
      <c r="AA240" t="str">
        <f>""</f>
        <v/>
      </c>
      <c r="AB240" t="str">
        <f>""</f>
        <v/>
      </c>
      <c r="AC240" t="str">
        <f>""</f>
        <v/>
      </c>
      <c r="AD240" t="str">
        <f>""</f>
        <v/>
      </c>
      <c r="AE240" t="str">
        <f>""</f>
        <v/>
      </c>
      <c r="AF240" t="str">
        <f>""</f>
        <v/>
      </c>
      <c r="AG240" t="str">
        <f>""</f>
        <v/>
      </c>
      <c r="AH240" t="str">
        <f>""</f>
        <v/>
      </c>
      <c r="AI240" t="str">
        <f>""</f>
        <v/>
      </c>
      <c r="AJ240" t="str">
        <f>""</f>
        <v/>
      </c>
      <c r="AK240" t="str">
        <f>""</f>
        <v/>
      </c>
      <c r="AL240" t="str">
        <f>""</f>
        <v/>
      </c>
      <c r="AM240" t="str">
        <f>""</f>
        <v/>
      </c>
      <c r="AN240" t="str">
        <f>""</f>
        <v/>
      </c>
      <c r="AO240" t="str">
        <f>""</f>
        <v/>
      </c>
      <c r="AP240" t="str">
        <f>""</f>
        <v/>
      </c>
      <c r="AQ240" t="str">
        <f>""</f>
        <v/>
      </c>
      <c r="AR240" t="str">
        <f>""</f>
        <v/>
      </c>
      <c r="AS240" t="str">
        <f>""</f>
        <v/>
      </c>
      <c r="AT240" t="str">
        <f>""</f>
        <v/>
      </c>
      <c r="AU240" t="str">
        <f>""</f>
        <v/>
      </c>
      <c r="AV240" t="str">
        <f>""</f>
        <v/>
      </c>
      <c r="AW240" t="str">
        <f>""</f>
        <v/>
      </c>
      <c r="AX240" t="str">
        <f>""</f>
        <v/>
      </c>
      <c r="AY240" t="str">
        <f>""</f>
        <v/>
      </c>
      <c r="AZ240" t="str">
        <f>""</f>
        <v/>
      </c>
      <c r="BA240" t="str">
        <f>""</f>
        <v/>
      </c>
      <c r="BB240" t="str">
        <f>""</f>
        <v/>
      </c>
      <c r="BC240" t="str">
        <f>""</f>
        <v/>
      </c>
      <c r="BD240" t="str">
        <f>""</f>
        <v/>
      </c>
      <c r="BE240" t="str">
        <f>""</f>
        <v/>
      </c>
      <c r="BF240" t="str">
        <f>""</f>
        <v/>
      </c>
      <c r="BG240" t="str">
        <f>""</f>
        <v/>
      </c>
      <c r="BH240" t="str">
        <f>""</f>
        <v/>
      </c>
      <c r="BI240" t="str">
        <f>""</f>
        <v/>
      </c>
      <c r="BJ240" t="str">
        <f>""</f>
        <v/>
      </c>
      <c r="BK240" t="str">
        <f>""</f>
        <v/>
      </c>
      <c r="BL240" t="str">
        <f>""</f>
        <v/>
      </c>
      <c r="BM240" t="str">
        <f>""</f>
        <v/>
      </c>
      <c r="BN240" t="str">
        <f>""</f>
        <v/>
      </c>
      <c r="BO240" t="str">
        <f>""</f>
        <v/>
      </c>
      <c r="BP240" t="str">
        <f>""</f>
        <v/>
      </c>
      <c r="BQ240" t="str">
        <f>""</f>
        <v/>
      </c>
      <c r="BR240" t="str">
        <f>""</f>
        <v/>
      </c>
      <c r="BS240" t="str">
        <f>""</f>
        <v/>
      </c>
      <c r="BT240" t="str">
        <f>""</f>
        <v/>
      </c>
      <c r="BU240" t="str">
        <f>""</f>
        <v/>
      </c>
      <c r="BV240" t="str">
        <f>""</f>
        <v/>
      </c>
      <c r="BW240" t="str">
        <f>""</f>
        <v/>
      </c>
      <c r="BX240" t="str">
        <f>""</f>
        <v/>
      </c>
      <c r="BY240" t="str">
        <f>""</f>
        <v/>
      </c>
      <c r="BZ240" t="str">
        <f>""</f>
        <v/>
      </c>
      <c r="CA240" t="str">
        <f>""</f>
        <v/>
      </c>
      <c r="CB240" t="str">
        <f>""</f>
        <v/>
      </c>
      <c r="CC240" t="str">
        <f>""</f>
        <v/>
      </c>
      <c r="CD240" t="str">
        <f>""</f>
        <v/>
      </c>
      <c r="CE240" t="str">
        <f>""</f>
        <v/>
      </c>
      <c r="CF240" t="str">
        <f>""</f>
        <v/>
      </c>
      <c r="CG240" t="str">
        <f>""</f>
        <v/>
      </c>
      <c r="CH240" t="str">
        <f>""</f>
        <v/>
      </c>
      <c r="CI240" t="str">
        <f>""</f>
        <v/>
      </c>
      <c r="CJ240" t="str">
        <f>""</f>
        <v/>
      </c>
      <c r="CK240" t="str">
        <f>""</f>
        <v/>
      </c>
      <c r="CL240" t="str">
        <f>""</f>
        <v/>
      </c>
      <c r="CM240" t="str">
        <f>""</f>
        <v/>
      </c>
      <c r="CN240" t="str">
        <f>""</f>
        <v/>
      </c>
      <c r="CO240" t="str">
        <f>""</f>
        <v/>
      </c>
      <c r="CP240" t="str">
        <f>""</f>
        <v/>
      </c>
      <c r="CQ240" t="str">
        <f>""</f>
        <v/>
      </c>
      <c r="CR240" t="str">
        <f>""</f>
        <v/>
      </c>
      <c r="CS240" t="str">
        <f>""</f>
        <v/>
      </c>
      <c r="CT240" t="str">
        <f>""</f>
        <v/>
      </c>
      <c r="CU240" t="str">
        <f>""</f>
        <v/>
      </c>
      <c r="CV240" t="str">
        <f>""</f>
        <v/>
      </c>
      <c r="CW240" t="str">
        <f>""</f>
        <v/>
      </c>
      <c r="CX240" t="str">
        <f>""</f>
        <v/>
      </c>
      <c r="CY240" t="str">
        <f>""</f>
        <v/>
      </c>
      <c r="CZ240" t="str">
        <f>""</f>
        <v/>
      </c>
      <c r="DA240" t="str">
        <f>""</f>
        <v/>
      </c>
      <c r="DB240" t="str">
        <f>""</f>
        <v/>
      </c>
      <c r="DC240" t="str">
        <f>""</f>
        <v/>
      </c>
      <c r="DD240" t="str">
        <f>""</f>
        <v/>
      </c>
      <c r="DE240" t="str">
        <f>""</f>
        <v/>
      </c>
      <c r="DF240" t="str">
        <f>""</f>
        <v/>
      </c>
      <c r="DG240" t="str">
        <f>""</f>
        <v/>
      </c>
      <c r="DH240" t="str">
        <f>""</f>
        <v/>
      </c>
      <c r="DI240" t="str">
        <f>""</f>
        <v/>
      </c>
      <c r="DJ240" t="str">
        <f>""</f>
        <v/>
      </c>
      <c r="DK240" t="str">
        <f>""</f>
        <v/>
      </c>
      <c r="DL240" t="str">
        <f>""</f>
        <v/>
      </c>
      <c r="DM240" t="str">
        <f>""</f>
        <v/>
      </c>
      <c r="DN240" t="str">
        <f>""</f>
        <v/>
      </c>
      <c r="DO240" t="str">
        <f>""</f>
        <v/>
      </c>
      <c r="DP240" t="str">
        <f>""</f>
        <v/>
      </c>
      <c r="DQ240" t="str">
        <f>""</f>
        <v/>
      </c>
      <c r="DR240" t="str">
        <f>""</f>
        <v/>
      </c>
      <c r="DS240" t="str">
        <f>""</f>
        <v/>
      </c>
      <c r="DT240" t="str">
        <f>""</f>
        <v/>
      </c>
      <c r="DU240" t="str">
        <f>""</f>
        <v/>
      </c>
      <c r="DV240" t="str">
        <f>""</f>
        <v/>
      </c>
      <c r="DW240" t="str">
        <f>""</f>
        <v/>
      </c>
      <c r="DX240" t="str">
        <f>""</f>
        <v/>
      </c>
      <c r="DY240" t="str">
        <f>""</f>
        <v/>
      </c>
      <c r="DZ240" t="str">
        <f>""</f>
        <v/>
      </c>
      <c r="EA240" t="str">
        <f>""</f>
        <v/>
      </c>
      <c r="EB240" t="str">
        <f>""</f>
        <v/>
      </c>
      <c r="EC240" t="str">
        <f>""</f>
        <v/>
      </c>
      <c r="ED240" t="str">
        <f>""</f>
        <v/>
      </c>
      <c r="EE240" t="str">
        <f>""</f>
        <v/>
      </c>
      <c r="EF240" t="str">
        <f>""</f>
        <v/>
      </c>
      <c r="EG240" t="str">
        <f>""</f>
        <v/>
      </c>
      <c r="EH240" t="str">
        <f>""</f>
        <v/>
      </c>
      <c r="EI240" t="str">
        <f>""</f>
        <v/>
      </c>
      <c r="EJ240" t="str">
        <f>""</f>
        <v/>
      </c>
      <c r="EK240" t="str">
        <f>""</f>
        <v/>
      </c>
      <c r="EL240" t="str">
        <f>""</f>
        <v/>
      </c>
      <c r="EM240" t="str">
        <f>""</f>
        <v/>
      </c>
      <c r="EN240" t="str">
        <f>""</f>
        <v/>
      </c>
      <c r="EO240" t="str">
        <f>""</f>
        <v/>
      </c>
      <c r="EP240" t="str">
        <f>""</f>
        <v/>
      </c>
      <c r="EQ240" t="str">
        <f>""</f>
        <v/>
      </c>
      <c r="ER240" t="str">
        <f>""</f>
        <v/>
      </c>
      <c r="ES240" t="str">
        <f>""</f>
        <v/>
      </c>
      <c r="ET240" t="str">
        <f>""</f>
        <v/>
      </c>
      <c r="EU240" t="str">
        <f>""</f>
        <v/>
      </c>
      <c r="EV240" t="str">
        <f>"0.0257"</f>
        <v>0.0257</v>
      </c>
      <c r="EW240" t="str">
        <f>"-0.0539"</f>
        <v>-0.0539</v>
      </c>
      <c r="EX240" t="str">
        <f>"-0.0142"</f>
        <v>-0.0142</v>
      </c>
      <c r="EY240" t="str">
        <f>""</f>
        <v/>
      </c>
      <c r="EZ240" t="str">
        <f>""</f>
        <v/>
      </c>
      <c r="FA240" t="str">
        <f>""</f>
        <v/>
      </c>
      <c r="FB240" t="str">
        <f>""</f>
        <v/>
      </c>
      <c r="FC240" t="str">
        <f>""</f>
        <v/>
      </c>
      <c r="FD240" t="str">
        <f>""</f>
        <v/>
      </c>
      <c r="FE240" t="str">
        <f>""</f>
        <v/>
      </c>
      <c r="FF240" t="str">
        <f>""</f>
        <v/>
      </c>
      <c r="FG240" t="str">
        <f>""</f>
        <v/>
      </c>
      <c r="FH240" t="str">
        <f>""</f>
        <v/>
      </c>
      <c r="FI240" t="str">
        <f>""</f>
        <v/>
      </c>
      <c r="FJ240" t="str">
        <f>""</f>
        <v/>
      </c>
      <c r="FK240" t="str">
        <f>""</f>
        <v/>
      </c>
      <c r="FL240" t="str">
        <f>""</f>
        <v/>
      </c>
      <c r="FM240" t="str">
        <f>""</f>
        <v/>
      </c>
      <c r="FN240" t="str">
        <f>""</f>
        <v/>
      </c>
      <c r="FO240" t="str">
        <f>""</f>
        <v/>
      </c>
      <c r="FP240" t="str">
        <f>""</f>
        <v/>
      </c>
      <c r="FQ240" t="str">
        <f>""</f>
        <v/>
      </c>
      <c r="FR240" t="str">
        <f>""</f>
        <v/>
      </c>
      <c r="FS240" t="str">
        <f>""</f>
        <v/>
      </c>
      <c r="FT240" t="str">
        <f>""</f>
        <v/>
      </c>
      <c r="FU240" t="str">
        <f>""</f>
        <v/>
      </c>
      <c r="FV240" t="str">
        <f>""</f>
        <v/>
      </c>
      <c r="FW240" t="str">
        <f>""</f>
        <v/>
      </c>
      <c r="FX240" t="str">
        <f>""</f>
        <v/>
      </c>
      <c r="FY240" t="str">
        <f>""</f>
        <v/>
      </c>
      <c r="FZ240" t="str">
        <f>""</f>
        <v/>
      </c>
      <c r="GA240" t="str">
        <f>""</f>
        <v/>
      </c>
      <c r="GB240" t="str">
        <f>""</f>
        <v/>
      </c>
      <c r="GC240" t="str">
        <f>""</f>
        <v/>
      </c>
      <c r="GD240" t="str">
        <f>""</f>
        <v/>
      </c>
      <c r="GE240" t="str">
        <f>""</f>
        <v/>
      </c>
      <c r="GF240" t="str">
        <f>""</f>
        <v/>
      </c>
      <c r="GG240" t="str">
        <f>""</f>
        <v/>
      </c>
      <c r="GH240" t="str">
        <f>""</f>
        <v/>
      </c>
      <c r="GI240" t="str">
        <f>""</f>
        <v/>
      </c>
      <c r="GJ240" t="str">
        <f>""</f>
        <v/>
      </c>
      <c r="GK240" t="str">
        <f>""</f>
        <v/>
      </c>
      <c r="GL240" t="str">
        <f>""</f>
        <v/>
      </c>
      <c r="GM240" t="str">
        <f>""</f>
        <v/>
      </c>
      <c r="GN240" t="str">
        <f>""</f>
        <v/>
      </c>
      <c r="GO240" t="str">
        <f>""</f>
        <v/>
      </c>
      <c r="GP240" t="str">
        <f>""</f>
        <v/>
      </c>
      <c r="GQ240" t="str">
        <f>""</f>
        <v/>
      </c>
      <c r="GR240" t="str">
        <f>""</f>
        <v/>
      </c>
      <c r="GS240" t="str">
        <f>""</f>
        <v/>
      </c>
      <c r="GT240" t="str">
        <f>""</f>
        <v/>
      </c>
      <c r="GU240" t="str">
        <f>""</f>
        <v/>
      </c>
      <c r="GV240" t="str">
        <f>""</f>
        <v/>
      </c>
      <c r="GW240" t="str">
        <f>""</f>
        <v/>
      </c>
      <c r="GX240" t="str">
        <f>""</f>
        <v/>
      </c>
      <c r="GY240" t="str">
        <f>""</f>
        <v/>
      </c>
      <c r="GZ240" t="str">
        <f>""</f>
        <v/>
      </c>
      <c r="HA240" t="str">
        <f>""</f>
        <v/>
      </c>
      <c r="HB240" t="str">
        <f>""</f>
        <v/>
      </c>
      <c r="HC240" t="str">
        <f>""</f>
        <v/>
      </c>
      <c r="HD240" t="str">
        <f>""</f>
        <v/>
      </c>
      <c r="HE240" t="str">
        <f>""</f>
        <v/>
      </c>
      <c r="HF240" t="str">
        <f>""</f>
        <v/>
      </c>
      <c r="HG240" t="str">
        <f>""</f>
        <v/>
      </c>
      <c r="HH240" t="str">
        <f>""</f>
        <v/>
      </c>
      <c r="HI240" t="str">
        <f>""</f>
        <v/>
      </c>
      <c r="HJ240" t="str">
        <f>""</f>
        <v/>
      </c>
      <c r="HK240" t="str">
        <f>""</f>
        <v/>
      </c>
      <c r="HL240" t="str">
        <f>""</f>
        <v/>
      </c>
      <c r="HM240" t="str">
        <f>""</f>
        <v/>
      </c>
      <c r="HN240" t="str">
        <f>""</f>
        <v/>
      </c>
      <c r="HO240" t="str">
        <f>""</f>
        <v/>
      </c>
      <c r="HP240" t="str">
        <f>""</f>
        <v/>
      </c>
      <c r="HQ240" t="str">
        <f>""</f>
        <v/>
      </c>
      <c r="HR240" t="str">
        <f>""</f>
        <v/>
      </c>
      <c r="HS240" t="str">
        <f>""</f>
        <v/>
      </c>
      <c r="HT240" t="str">
        <f>""</f>
        <v/>
      </c>
      <c r="HU240" t="str">
        <f>""</f>
        <v/>
      </c>
      <c r="HV240" t="str">
        <f>""</f>
        <v/>
      </c>
      <c r="HW240" t="str">
        <f>""</f>
        <v/>
      </c>
      <c r="HX240" t="str">
        <f>""</f>
        <v/>
      </c>
      <c r="HY240" t="str">
        <f>""</f>
        <v/>
      </c>
      <c r="HZ240" t="str">
        <f>""</f>
        <v/>
      </c>
      <c r="IA240" t="str">
        <f>""</f>
        <v/>
      </c>
      <c r="IB240" t="str">
        <f>""</f>
        <v/>
      </c>
      <c r="IC240" t="str">
        <f>""</f>
        <v/>
      </c>
      <c r="ID240" t="str">
        <f>""</f>
        <v/>
      </c>
      <c r="IE240" t="str">
        <f>""</f>
        <v/>
      </c>
      <c r="IF240" t="str">
        <f>""</f>
        <v/>
      </c>
      <c r="IG240" t="str">
        <f>""</f>
        <v/>
      </c>
      <c r="IH240" t="str">
        <f>""</f>
        <v/>
      </c>
      <c r="II240" t="str">
        <f>""</f>
        <v/>
      </c>
      <c r="IJ240" t="str">
        <f>""</f>
        <v/>
      </c>
      <c r="IK240" t="str">
        <f>""</f>
        <v/>
      </c>
      <c r="IL240" t="str">
        <f>""</f>
        <v/>
      </c>
      <c r="IM240" t="str">
        <f>""</f>
        <v/>
      </c>
      <c r="IN240" t="str">
        <f>""</f>
        <v/>
      </c>
      <c r="IO240" t="str">
        <f>""</f>
        <v/>
      </c>
      <c r="IP240" t="str">
        <f>""</f>
        <v/>
      </c>
      <c r="IQ240" t="str">
        <f>""</f>
        <v/>
      </c>
      <c r="IR240" t="str">
        <f>""</f>
        <v/>
      </c>
      <c r="IS240" t="str">
        <f>""</f>
        <v/>
      </c>
      <c r="IT240" t="str">
        <f>""</f>
        <v/>
      </c>
      <c r="IU240" t="str">
        <f>""</f>
        <v/>
      </c>
      <c r="IV240" t="str">
        <f>""</f>
        <v/>
      </c>
      <c r="IW240" t="str">
        <f>""</f>
        <v/>
      </c>
      <c r="IX240" t="str">
        <f>""</f>
        <v/>
      </c>
      <c r="IY240" t="str">
        <f>""</f>
        <v/>
      </c>
      <c r="IZ240" t="str">
        <f>""</f>
        <v/>
      </c>
      <c r="JA240" t="str">
        <f>""</f>
        <v/>
      </c>
      <c r="JB240" t="str">
        <f>""</f>
        <v/>
      </c>
      <c r="JC240" t="str">
        <f>""</f>
        <v/>
      </c>
      <c r="JD240" t="str">
        <f>""</f>
        <v/>
      </c>
      <c r="JE240" t="str">
        <f>""</f>
        <v/>
      </c>
      <c r="JF240" t="str">
        <f>""</f>
        <v/>
      </c>
      <c r="JG240" t="str">
        <f>""</f>
        <v/>
      </c>
      <c r="JH240" t="str">
        <f>""</f>
        <v/>
      </c>
      <c r="JI240" t="str">
        <f>""</f>
        <v/>
      </c>
      <c r="JJ240" t="str">
        <f>""</f>
        <v/>
      </c>
      <c r="JK240" t="str">
        <f>""</f>
        <v/>
      </c>
    </row>
    <row r="241" spans="1:271" x14ac:dyDescent="0.3">
      <c r="A241" t="str">
        <f>""</f>
        <v/>
      </c>
      <c r="B241" t="str">
        <f>""</f>
        <v/>
      </c>
      <c r="C241" t="str">
        <f>""</f>
        <v/>
      </c>
      <c r="D241" t="str">
        <f>""</f>
        <v/>
      </c>
      <c r="E241" t="str">
        <f>""</f>
        <v/>
      </c>
      <c r="F241" t="str">
        <f>""</f>
        <v/>
      </c>
      <c r="G241" t="str">
        <f>""</f>
        <v/>
      </c>
      <c r="H241" t="str">
        <f>""</f>
        <v/>
      </c>
      <c r="I241" t="str">
        <f>""</f>
        <v/>
      </c>
      <c r="J241" t="str">
        <f>""</f>
        <v/>
      </c>
      <c r="K241" t="str">
        <f>""</f>
        <v/>
      </c>
      <c r="L241" t="str">
        <f>""</f>
        <v/>
      </c>
      <c r="M241" t="str">
        <f>""</f>
        <v/>
      </c>
      <c r="N241" t="str">
        <f>""</f>
        <v/>
      </c>
      <c r="O241" t="str">
        <f>""</f>
        <v/>
      </c>
      <c r="P241" t="str">
        <f>""</f>
        <v/>
      </c>
      <c r="Q241" t="str">
        <f>""</f>
        <v/>
      </c>
      <c r="R241" t="str">
        <f>""</f>
        <v/>
      </c>
      <c r="S241" t="str">
        <f>""</f>
        <v/>
      </c>
      <c r="T241" t="str">
        <f>""</f>
        <v/>
      </c>
      <c r="U241" t="str">
        <f>""</f>
        <v/>
      </c>
      <c r="V241" t="str">
        <f>""</f>
        <v/>
      </c>
      <c r="W241" t="str">
        <f>""</f>
        <v/>
      </c>
      <c r="X241" t="str">
        <f>""</f>
        <v/>
      </c>
      <c r="Y241" t="str">
        <f>""</f>
        <v/>
      </c>
      <c r="Z241" t="str">
        <f>""</f>
        <v/>
      </c>
      <c r="AA241" t="str">
        <f>""</f>
        <v/>
      </c>
      <c r="AB241" t="str">
        <f>""</f>
        <v/>
      </c>
      <c r="AC241" t="str">
        <f>""</f>
        <v/>
      </c>
      <c r="AD241" t="str">
        <f>""</f>
        <v/>
      </c>
      <c r="AE241" t="str">
        <f>""</f>
        <v/>
      </c>
      <c r="AF241" t="str">
        <f>""</f>
        <v/>
      </c>
      <c r="AG241" t="str">
        <f>""</f>
        <v/>
      </c>
      <c r="AH241" t="str">
        <f>""</f>
        <v/>
      </c>
      <c r="AI241" t="str">
        <f>""</f>
        <v/>
      </c>
      <c r="AJ241" t="str">
        <f>""</f>
        <v/>
      </c>
      <c r="AK241" t="str">
        <f>""</f>
        <v/>
      </c>
      <c r="AL241" t="str">
        <f>""</f>
        <v/>
      </c>
      <c r="AM241" t="str">
        <f>""</f>
        <v/>
      </c>
      <c r="AN241" t="str">
        <f>""</f>
        <v/>
      </c>
      <c r="AO241" t="str">
        <f>""</f>
        <v/>
      </c>
      <c r="AP241" t="str">
        <f>""</f>
        <v/>
      </c>
      <c r="AQ241" t="str">
        <f>""</f>
        <v/>
      </c>
      <c r="AR241" t="str">
        <f>""</f>
        <v/>
      </c>
      <c r="AS241" t="str">
        <f>""</f>
        <v/>
      </c>
      <c r="AT241" t="str">
        <f>""</f>
        <v/>
      </c>
      <c r="AU241" t="str">
        <f>""</f>
        <v/>
      </c>
      <c r="AV241" t="str">
        <f>""</f>
        <v/>
      </c>
      <c r="AW241" t="str">
        <f>""</f>
        <v/>
      </c>
      <c r="AX241" t="str">
        <f>""</f>
        <v/>
      </c>
      <c r="AY241" t="str">
        <f>""</f>
        <v/>
      </c>
      <c r="AZ241" t="str">
        <f>""</f>
        <v/>
      </c>
      <c r="BA241" t="str">
        <f>""</f>
        <v/>
      </c>
      <c r="BB241" t="str">
        <f>""</f>
        <v/>
      </c>
      <c r="BC241" t="str">
        <f>""</f>
        <v/>
      </c>
      <c r="BD241" t="str">
        <f>""</f>
        <v/>
      </c>
      <c r="BE241" t="str">
        <f>""</f>
        <v/>
      </c>
      <c r="BF241" t="str">
        <f>""</f>
        <v/>
      </c>
      <c r="BG241" t="str">
        <f>""</f>
        <v/>
      </c>
      <c r="BH241" t="str">
        <f>""</f>
        <v/>
      </c>
      <c r="BI241" t="str">
        <f>""</f>
        <v/>
      </c>
      <c r="BJ241" t="str">
        <f>""</f>
        <v/>
      </c>
      <c r="BK241" t="str">
        <f>""</f>
        <v/>
      </c>
      <c r="BL241" t="str">
        <f>""</f>
        <v/>
      </c>
      <c r="BM241" t="str">
        <f>""</f>
        <v/>
      </c>
      <c r="BN241" t="str">
        <f>""</f>
        <v/>
      </c>
      <c r="BO241" t="str">
        <f>""</f>
        <v/>
      </c>
      <c r="BP241" t="str">
        <f>""</f>
        <v/>
      </c>
      <c r="BQ241" t="str">
        <f>""</f>
        <v/>
      </c>
      <c r="BR241" t="str">
        <f>""</f>
        <v/>
      </c>
      <c r="BS241" t="str">
        <f>""</f>
        <v/>
      </c>
      <c r="BT241" t="str">
        <f>""</f>
        <v/>
      </c>
      <c r="BU241" t="str">
        <f>""</f>
        <v/>
      </c>
      <c r="BV241" t="str">
        <f>""</f>
        <v/>
      </c>
      <c r="BW241" t="str">
        <f>""</f>
        <v/>
      </c>
      <c r="BX241" t="str">
        <f>""</f>
        <v/>
      </c>
      <c r="BY241" t="str">
        <f>""</f>
        <v/>
      </c>
      <c r="BZ241" t="str">
        <f>""</f>
        <v/>
      </c>
      <c r="CA241" t="str">
        <f>""</f>
        <v/>
      </c>
      <c r="CB241" t="str">
        <f>""</f>
        <v/>
      </c>
      <c r="CC241" t="str">
        <f>""</f>
        <v/>
      </c>
      <c r="CD241" t="str">
        <f>""</f>
        <v/>
      </c>
      <c r="CE241" t="str">
        <f>""</f>
        <v/>
      </c>
      <c r="CF241" t="str">
        <f>""</f>
        <v/>
      </c>
      <c r="CG241" t="str">
        <f>""</f>
        <v/>
      </c>
      <c r="CH241" t="str">
        <f>""</f>
        <v/>
      </c>
      <c r="CI241" t="str">
        <f>""</f>
        <v/>
      </c>
      <c r="CJ241" t="str">
        <f>""</f>
        <v/>
      </c>
      <c r="CK241" t="str">
        <f>""</f>
        <v/>
      </c>
      <c r="CL241" t="str">
        <f>""</f>
        <v/>
      </c>
      <c r="CM241" t="str">
        <f>""</f>
        <v/>
      </c>
      <c r="CN241" t="str">
        <f>""</f>
        <v/>
      </c>
      <c r="CO241" t="str">
        <f>""</f>
        <v/>
      </c>
      <c r="CP241" t="str">
        <f>""</f>
        <v/>
      </c>
      <c r="CQ241" t="str">
        <f>""</f>
        <v/>
      </c>
      <c r="CR241" t="str">
        <f>""</f>
        <v/>
      </c>
      <c r="CS241" t="str">
        <f>""</f>
        <v/>
      </c>
      <c r="CT241" t="str">
        <f>""</f>
        <v/>
      </c>
      <c r="CU241" t="str">
        <f>""</f>
        <v/>
      </c>
      <c r="CV241" t="str">
        <f>""</f>
        <v/>
      </c>
      <c r="CW241" t="str">
        <f>""</f>
        <v/>
      </c>
      <c r="CX241" t="str">
        <f>""</f>
        <v/>
      </c>
      <c r="CY241" t="str">
        <f>""</f>
        <v/>
      </c>
      <c r="CZ241" t="str">
        <f>""</f>
        <v/>
      </c>
      <c r="DA241" t="str">
        <f>""</f>
        <v/>
      </c>
      <c r="DB241" t="str">
        <f>""</f>
        <v/>
      </c>
      <c r="DC241" t="str">
        <f>""</f>
        <v/>
      </c>
      <c r="DD241" t="str">
        <f>""</f>
        <v/>
      </c>
      <c r="DE241" t="str">
        <f>""</f>
        <v/>
      </c>
      <c r="DF241" t="str">
        <f>""</f>
        <v/>
      </c>
      <c r="DG241" t="str">
        <f>""</f>
        <v/>
      </c>
      <c r="DH241" t="str">
        <f>""</f>
        <v/>
      </c>
      <c r="DI241" t="str">
        <f>""</f>
        <v/>
      </c>
      <c r="DJ241" t="str">
        <f>""</f>
        <v/>
      </c>
      <c r="DK241" t="str">
        <f>""</f>
        <v/>
      </c>
      <c r="DL241" t="str">
        <f>""</f>
        <v/>
      </c>
      <c r="DM241" t="str">
        <f>""</f>
        <v/>
      </c>
      <c r="DN241" t="str">
        <f>""</f>
        <v/>
      </c>
      <c r="DO241" t="str">
        <f>""</f>
        <v/>
      </c>
      <c r="DP241" t="str">
        <f>""</f>
        <v/>
      </c>
      <c r="DQ241" t="str">
        <f>""</f>
        <v/>
      </c>
      <c r="DR241" t="str">
        <f>""</f>
        <v/>
      </c>
      <c r="DS241" t="str">
        <f>""</f>
        <v/>
      </c>
      <c r="DT241" t="str">
        <f>""</f>
        <v/>
      </c>
      <c r="DU241" t="str">
        <f>""</f>
        <v/>
      </c>
      <c r="DV241" t="str">
        <f>""</f>
        <v/>
      </c>
      <c r="DW241" t="str">
        <f>""</f>
        <v/>
      </c>
      <c r="DX241" t="str">
        <f>""</f>
        <v/>
      </c>
      <c r="DY241" t="str">
        <f>""</f>
        <v/>
      </c>
      <c r="DZ241" t="str">
        <f>""</f>
        <v/>
      </c>
      <c r="EA241" t="str">
        <f>""</f>
        <v/>
      </c>
      <c r="EB241" t="str">
        <f>""</f>
        <v/>
      </c>
      <c r="EC241" t="str">
        <f>""</f>
        <v/>
      </c>
      <c r="ED241" t="str">
        <f>""</f>
        <v/>
      </c>
      <c r="EE241" t="str">
        <f>""</f>
        <v/>
      </c>
      <c r="EF241" t="str">
        <f>""</f>
        <v/>
      </c>
      <c r="EG241" t="str">
        <f>""</f>
        <v/>
      </c>
      <c r="EH241" t="str">
        <f>""</f>
        <v/>
      </c>
      <c r="EI241" t="str">
        <f>""</f>
        <v/>
      </c>
      <c r="EJ241" t="str">
        <f>""</f>
        <v/>
      </c>
      <c r="EK241" t="str">
        <f>""</f>
        <v/>
      </c>
      <c r="EL241" t="str">
        <f>""</f>
        <v/>
      </c>
      <c r="EM241" t="str">
        <f>""</f>
        <v/>
      </c>
      <c r="EN241" t="str">
        <f>""</f>
        <v/>
      </c>
      <c r="EO241" t="str">
        <f>""</f>
        <v/>
      </c>
      <c r="EP241" t="str">
        <f>""</f>
        <v/>
      </c>
      <c r="EQ241" t="str">
        <f>""</f>
        <v/>
      </c>
      <c r="ER241" t="str">
        <f>""</f>
        <v/>
      </c>
      <c r="ES241" t="str">
        <f>""</f>
        <v/>
      </c>
      <c r="ET241" t="str">
        <f>""</f>
        <v/>
      </c>
      <c r="EU241" t="str">
        <f>""</f>
        <v/>
      </c>
      <c r="EV241" t="str">
        <f>"(0.104)"</f>
        <v>(0.104)</v>
      </c>
      <c r="EW241" t="str">
        <f>"(0.0812)"</f>
        <v>(0.0812)</v>
      </c>
      <c r="EX241" t="str">
        <f>"(0.0438)"</f>
        <v>(0.0438)</v>
      </c>
      <c r="EY241" t="str">
        <f>""</f>
        <v/>
      </c>
      <c r="EZ241" t="str">
        <f>""</f>
        <v/>
      </c>
      <c r="FA241" t="str">
        <f>""</f>
        <v/>
      </c>
      <c r="FB241" t="str">
        <f>""</f>
        <v/>
      </c>
      <c r="FC241" t="str">
        <f>""</f>
        <v/>
      </c>
      <c r="FD241" t="str">
        <f>""</f>
        <v/>
      </c>
      <c r="FE241" t="str">
        <f>""</f>
        <v/>
      </c>
      <c r="FF241" t="str">
        <f>""</f>
        <v/>
      </c>
      <c r="FG241" t="str">
        <f>""</f>
        <v/>
      </c>
      <c r="FH241" t="str">
        <f>""</f>
        <v/>
      </c>
      <c r="FI241" t="str">
        <f>""</f>
        <v/>
      </c>
      <c r="FJ241" t="str">
        <f>""</f>
        <v/>
      </c>
      <c r="FK241" t="str">
        <f>""</f>
        <v/>
      </c>
      <c r="FL241" t="str">
        <f>""</f>
        <v/>
      </c>
      <c r="FM241" t="str">
        <f>""</f>
        <v/>
      </c>
      <c r="FN241" t="str">
        <f>""</f>
        <v/>
      </c>
      <c r="FO241" t="str">
        <f>""</f>
        <v/>
      </c>
      <c r="FP241" t="str">
        <f>""</f>
        <v/>
      </c>
      <c r="FQ241" t="str">
        <f>""</f>
        <v/>
      </c>
      <c r="FR241" t="str">
        <f>""</f>
        <v/>
      </c>
      <c r="FS241" t="str">
        <f>""</f>
        <v/>
      </c>
      <c r="FT241" t="str">
        <f>""</f>
        <v/>
      </c>
      <c r="FU241" t="str">
        <f>""</f>
        <v/>
      </c>
      <c r="FV241" t="str">
        <f>""</f>
        <v/>
      </c>
      <c r="FW241" t="str">
        <f>""</f>
        <v/>
      </c>
      <c r="FX241" t="str">
        <f>""</f>
        <v/>
      </c>
      <c r="FY241" t="str">
        <f>""</f>
        <v/>
      </c>
      <c r="FZ241" t="str">
        <f>""</f>
        <v/>
      </c>
      <c r="GA241" t="str">
        <f>""</f>
        <v/>
      </c>
      <c r="GB241" t="str">
        <f>""</f>
        <v/>
      </c>
      <c r="GC241" t="str">
        <f>""</f>
        <v/>
      </c>
      <c r="GD241" t="str">
        <f>""</f>
        <v/>
      </c>
      <c r="GE241" t="str">
        <f>""</f>
        <v/>
      </c>
      <c r="GF241" t="str">
        <f>""</f>
        <v/>
      </c>
      <c r="GG241" t="str">
        <f>""</f>
        <v/>
      </c>
      <c r="GH241" t="str">
        <f>""</f>
        <v/>
      </c>
      <c r="GI241" t="str">
        <f>""</f>
        <v/>
      </c>
      <c r="GJ241" t="str">
        <f>""</f>
        <v/>
      </c>
      <c r="GK241" t="str">
        <f>""</f>
        <v/>
      </c>
      <c r="GL241" t="str">
        <f>""</f>
        <v/>
      </c>
      <c r="GM241" t="str">
        <f>""</f>
        <v/>
      </c>
      <c r="GN241" t="str">
        <f>""</f>
        <v/>
      </c>
      <c r="GO241" t="str">
        <f>""</f>
        <v/>
      </c>
      <c r="GP241" t="str">
        <f>""</f>
        <v/>
      </c>
      <c r="GQ241" t="str">
        <f>""</f>
        <v/>
      </c>
      <c r="GR241" t="str">
        <f>""</f>
        <v/>
      </c>
      <c r="GS241" t="str">
        <f>""</f>
        <v/>
      </c>
      <c r="GT241" t="str">
        <f>""</f>
        <v/>
      </c>
      <c r="GU241" t="str">
        <f>""</f>
        <v/>
      </c>
      <c r="GV241" t="str">
        <f>""</f>
        <v/>
      </c>
      <c r="GW241" t="str">
        <f>""</f>
        <v/>
      </c>
      <c r="GX241" t="str">
        <f>""</f>
        <v/>
      </c>
      <c r="GY241" t="str">
        <f>""</f>
        <v/>
      </c>
      <c r="GZ241" t="str">
        <f>""</f>
        <v/>
      </c>
      <c r="HA241" t="str">
        <f>""</f>
        <v/>
      </c>
      <c r="HB241" t="str">
        <f>""</f>
        <v/>
      </c>
      <c r="HC241" t="str">
        <f>""</f>
        <v/>
      </c>
      <c r="HD241" t="str">
        <f>""</f>
        <v/>
      </c>
      <c r="HE241" t="str">
        <f>""</f>
        <v/>
      </c>
      <c r="HF241" t="str">
        <f>""</f>
        <v/>
      </c>
      <c r="HG241" t="str">
        <f>""</f>
        <v/>
      </c>
      <c r="HH241" t="str">
        <f>""</f>
        <v/>
      </c>
      <c r="HI241" t="str">
        <f>""</f>
        <v/>
      </c>
      <c r="HJ241" t="str">
        <f>""</f>
        <v/>
      </c>
      <c r="HK241" t="str">
        <f>""</f>
        <v/>
      </c>
      <c r="HL241" t="str">
        <f>""</f>
        <v/>
      </c>
      <c r="HM241" t="str">
        <f>""</f>
        <v/>
      </c>
      <c r="HN241" t="str">
        <f>""</f>
        <v/>
      </c>
      <c r="HO241" t="str">
        <f>""</f>
        <v/>
      </c>
      <c r="HP241" t="str">
        <f>""</f>
        <v/>
      </c>
      <c r="HQ241" t="str">
        <f>""</f>
        <v/>
      </c>
      <c r="HR241" t="str">
        <f>""</f>
        <v/>
      </c>
      <c r="HS241" t="str">
        <f>""</f>
        <v/>
      </c>
      <c r="HT241" t="str">
        <f>""</f>
        <v/>
      </c>
      <c r="HU241" t="str">
        <f>""</f>
        <v/>
      </c>
      <c r="HV241" t="str">
        <f>""</f>
        <v/>
      </c>
      <c r="HW241" t="str">
        <f>""</f>
        <v/>
      </c>
      <c r="HX241" t="str">
        <f>""</f>
        <v/>
      </c>
      <c r="HY241" t="str">
        <f>""</f>
        <v/>
      </c>
      <c r="HZ241" t="str">
        <f>""</f>
        <v/>
      </c>
      <c r="IA241" t="str">
        <f>""</f>
        <v/>
      </c>
      <c r="IB241" t="str">
        <f>""</f>
        <v/>
      </c>
      <c r="IC241" t="str">
        <f>""</f>
        <v/>
      </c>
      <c r="ID241" t="str">
        <f>""</f>
        <v/>
      </c>
      <c r="IE241" t="str">
        <f>""</f>
        <v/>
      </c>
      <c r="IF241" t="str">
        <f>""</f>
        <v/>
      </c>
      <c r="IG241" t="str">
        <f>""</f>
        <v/>
      </c>
      <c r="IH241" t="str">
        <f>""</f>
        <v/>
      </c>
      <c r="II241" t="str">
        <f>""</f>
        <v/>
      </c>
      <c r="IJ241" t="str">
        <f>""</f>
        <v/>
      </c>
      <c r="IK241" t="str">
        <f>""</f>
        <v/>
      </c>
      <c r="IL241" t="str">
        <f>""</f>
        <v/>
      </c>
      <c r="IM241" t="str">
        <f>""</f>
        <v/>
      </c>
      <c r="IN241" t="str">
        <f>""</f>
        <v/>
      </c>
      <c r="IO241" t="str">
        <f>""</f>
        <v/>
      </c>
      <c r="IP241" t="str">
        <f>""</f>
        <v/>
      </c>
      <c r="IQ241" t="str">
        <f>""</f>
        <v/>
      </c>
      <c r="IR241" t="str">
        <f>""</f>
        <v/>
      </c>
      <c r="IS241" t="str">
        <f>""</f>
        <v/>
      </c>
      <c r="IT241" t="str">
        <f>""</f>
        <v/>
      </c>
      <c r="IU241" t="str">
        <f>""</f>
        <v/>
      </c>
      <c r="IV241" t="str">
        <f>""</f>
        <v/>
      </c>
      <c r="IW241" t="str">
        <f>""</f>
        <v/>
      </c>
      <c r="IX241" t="str">
        <f>""</f>
        <v/>
      </c>
      <c r="IY241" t="str">
        <f>""</f>
        <v/>
      </c>
      <c r="IZ241" t="str">
        <f>""</f>
        <v/>
      </c>
      <c r="JA241" t="str">
        <f>""</f>
        <v/>
      </c>
      <c r="JB241" t="str">
        <f>""</f>
        <v/>
      </c>
      <c r="JC241" t="str">
        <f>""</f>
        <v/>
      </c>
      <c r="JD241" t="str">
        <f>""</f>
        <v/>
      </c>
      <c r="JE241" t="str">
        <f>""</f>
        <v/>
      </c>
      <c r="JF241" t="str">
        <f>""</f>
        <v/>
      </c>
      <c r="JG241" t="str">
        <f>""</f>
        <v/>
      </c>
      <c r="JH241" t="str">
        <f>""</f>
        <v/>
      </c>
      <c r="JI241" t="str">
        <f>""</f>
        <v/>
      </c>
      <c r="JJ241" t="str">
        <f>""</f>
        <v/>
      </c>
      <c r="JK241" t="str">
        <f>""</f>
        <v/>
      </c>
    </row>
    <row r="243" spans="1:271" x14ac:dyDescent="0.3">
      <c r="A243" t="str">
        <f>"c.zMETAB7#c.PM4"</f>
        <v>c.zMETAB7#c.PM4</v>
      </c>
      <c r="B243" t="str">
        <f>""</f>
        <v/>
      </c>
      <c r="C243" t="str">
        <f>""</f>
        <v/>
      </c>
      <c r="D243" t="str">
        <f>""</f>
        <v/>
      </c>
      <c r="E243" t="str">
        <f>""</f>
        <v/>
      </c>
      <c r="F243" t="str">
        <f>""</f>
        <v/>
      </c>
      <c r="G243" t="str">
        <f>""</f>
        <v/>
      </c>
      <c r="H243" t="str">
        <f>""</f>
        <v/>
      </c>
      <c r="I243" t="str">
        <f>""</f>
        <v/>
      </c>
      <c r="J243" t="str">
        <f>""</f>
        <v/>
      </c>
      <c r="K243" t="str">
        <f>""</f>
        <v/>
      </c>
      <c r="L243" t="str">
        <f>""</f>
        <v/>
      </c>
      <c r="M243" t="str">
        <f>""</f>
        <v/>
      </c>
      <c r="N243" t="str">
        <f>""</f>
        <v/>
      </c>
      <c r="O243" t="str">
        <f>""</f>
        <v/>
      </c>
      <c r="P243" t="str">
        <f>""</f>
        <v/>
      </c>
      <c r="Q243" t="str">
        <f>""</f>
        <v/>
      </c>
      <c r="R243" t="str">
        <f>""</f>
        <v/>
      </c>
      <c r="S243" t="str">
        <f>""</f>
        <v/>
      </c>
      <c r="T243" t="str">
        <f>""</f>
        <v/>
      </c>
      <c r="U243" t="str">
        <f>""</f>
        <v/>
      </c>
      <c r="V243" t="str">
        <f>""</f>
        <v/>
      </c>
      <c r="W243" t="str">
        <f>""</f>
        <v/>
      </c>
      <c r="X243" t="str">
        <f>""</f>
        <v/>
      </c>
      <c r="Y243" t="str">
        <f>""</f>
        <v/>
      </c>
      <c r="Z243" t="str">
        <f>""</f>
        <v/>
      </c>
      <c r="AA243" t="str">
        <f>""</f>
        <v/>
      </c>
      <c r="AB243" t="str">
        <f>""</f>
        <v/>
      </c>
      <c r="AC243" t="str">
        <f>""</f>
        <v/>
      </c>
      <c r="AD243" t="str">
        <f>""</f>
        <v/>
      </c>
      <c r="AE243" t="str">
        <f>""</f>
        <v/>
      </c>
      <c r="AF243" t="str">
        <f>""</f>
        <v/>
      </c>
      <c r="AG243" t="str">
        <f>""</f>
        <v/>
      </c>
      <c r="AH243" t="str">
        <f>""</f>
        <v/>
      </c>
      <c r="AI243" t="str">
        <f>""</f>
        <v/>
      </c>
      <c r="AJ243" t="str">
        <f>""</f>
        <v/>
      </c>
      <c r="AK243" t="str">
        <f>""</f>
        <v/>
      </c>
      <c r="AL243" t="str">
        <f>""</f>
        <v/>
      </c>
      <c r="AM243" t="str">
        <f>""</f>
        <v/>
      </c>
      <c r="AN243" t="str">
        <f>""</f>
        <v/>
      </c>
      <c r="AO243" t="str">
        <f>""</f>
        <v/>
      </c>
      <c r="AP243" t="str">
        <f>""</f>
        <v/>
      </c>
      <c r="AQ243" t="str">
        <f>""</f>
        <v/>
      </c>
      <c r="AR243" t="str">
        <f>""</f>
        <v/>
      </c>
      <c r="AS243" t="str">
        <f>""</f>
        <v/>
      </c>
      <c r="AT243" t="str">
        <f>""</f>
        <v/>
      </c>
      <c r="AU243" t="str">
        <f>""</f>
        <v/>
      </c>
      <c r="AV243" t="str">
        <f>""</f>
        <v/>
      </c>
      <c r="AW243" t="str">
        <f>""</f>
        <v/>
      </c>
      <c r="AX243" t="str">
        <f>""</f>
        <v/>
      </c>
      <c r="AY243" t="str">
        <f>""</f>
        <v/>
      </c>
      <c r="AZ243" t="str">
        <f>""</f>
        <v/>
      </c>
      <c r="BA243" t="str">
        <f>""</f>
        <v/>
      </c>
      <c r="BB243" t="str">
        <f>""</f>
        <v/>
      </c>
      <c r="BC243" t="str">
        <f>""</f>
        <v/>
      </c>
      <c r="BD243" t="str">
        <f>""</f>
        <v/>
      </c>
      <c r="BE243" t="str">
        <f>""</f>
        <v/>
      </c>
      <c r="BF243" t="str">
        <f>""</f>
        <v/>
      </c>
      <c r="BG243" t="str">
        <f>""</f>
        <v/>
      </c>
      <c r="BH243" t="str">
        <f>""</f>
        <v/>
      </c>
      <c r="BI243" t="str">
        <f>""</f>
        <v/>
      </c>
      <c r="BJ243" t="str">
        <f>""</f>
        <v/>
      </c>
      <c r="BK243" t="str">
        <f>""</f>
        <v/>
      </c>
      <c r="BL243" t="str">
        <f>""</f>
        <v/>
      </c>
      <c r="BM243" t="str">
        <f>""</f>
        <v/>
      </c>
      <c r="BN243" t="str">
        <f>""</f>
        <v/>
      </c>
      <c r="BO243" t="str">
        <f>""</f>
        <v/>
      </c>
      <c r="BP243" t="str">
        <f>""</f>
        <v/>
      </c>
      <c r="BQ243" t="str">
        <f>""</f>
        <v/>
      </c>
      <c r="BR243" t="str">
        <f>""</f>
        <v/>
      </c>
      <c r="BS243" t="str">
        <f>""</f>
        <v/>
      </c>
      <c r="BT243" t="str">
        <f>""</f>
        <v/>
      </c>
      <c r="BU243" t="str">
        <f>""</f>
        <v/>
      </c>
      <c r="BV243" t="str">
        <f>""</f>
        <v/>
      </c>
      <c r="BW243" t="str">
        <f>""</f>
        <v/>
      </c>
      <c r="BX243" t="str">
        <f>""</f>
        <v/>
      </c>
      <c r="BY243" t="str">
        <f>""</f>
        <v/>
      </c>
      <c r="BZ243" t="str">
        <f>""</f>
        <v/>
      </c>
      <c r="CA243" t="str">
        <f>""</f>
        <v/>
      </c>
      <c r="CB243" t="str">
        <f>""</f>
        <v/>
      </c>
      <c r="CC243" t="str">
        <f>""</f>
        <v/>
      </c>
      <c r="CD243" t="str">
        <f>""</f>
        <v/>
      </c>
      <c r="CE243" t="str">
        <f>""</f>
        <v/>
      </c>
      <c r="CF243" t="str">
        <f>""</f>
        <v/>
      </c>
      <c r="CG243" t="str">
        <f>""</f>
        <v/>
      </c>
      <c r="CH243" t="str">
        <f>""</f>
        <v/>
      </c>
      <c r="CI243" t="str">
        <f>""</f>
        <v/>
      </c>
      <c r="CJ243" t="str">
        <f>""</f>
        <v/>
      </c>
      <c r="CK243" t="str">
        <f>""</f>
        <v/>
      </c>
      <c r="CL243" t="str">
        <f>""</f>
        <v/>
      </c>
      <c r="CM243" t="str">
        <f>""</f>
        <v/>
      </c>
      <c r="CN243" t="str">
        <f>""</f>
        <v/>
      </c>
      <c r="CO243" t="str">
        <f>""</f>
        <v/>
      </c>
      <c r="CP243" t="str">
        <f>""</f>
        <v/>
      </c>
      <c r="CQ243" t="str">
        <f>""</f>
        <v/>
      </c>
      <c r="CR243" t="str">
        <f>""</f>
        <v/>
      </c>
      <c r="CS243" t="str">
        <f>""</f>
        <v/>
      </c>
      <c r="CT243" t="str">
        <f>""</f>
        <v/>
      </c>
      <c r="CU243" t="str">
        <f>""</f>
        <v/>
      </c>
      <c r="CV243" t="str">
        <f>""</f>
        <v/>
      </c>
      <c r="CW243" t="str">
        <f>""</f>
        <v/>
      </c>
      <c r="CX243" t="str">
        <f>""</f>
        <v/>
      </c>
      <c r="CY243" t="str">
        <f>""</f>
        <v/>
      </c>
      <c r="CZ243" t="str">
        <f>""</f>
        <v/>
      </c>
      <c r="DA243" t="str">
        <f>""</f>
        <v/>
      </c>
      <c r="DB243" t="str">
        <f>""</f>
        <v/>
      </c>
      <c r="DC243" t="str">
        <f>""</f>
        <v/>
      </c>
      <c r="DD243" t="str">
        <f>""</f>
        <v/>
      </c>
      <c r="DE243" t="str">
        <f>""</f>
        <v/>
      </c>
      <c r="DF243" t="str">
        <f>""</f>
        <v/>
      </c>
      <c r="DG243" t="str">
        <f>""</f>
        <v/>
      </c>
      <c r="DH243" t="str">
        <f>""</f>
        <v/>
      </c>
      <c r="DI243" t="str">
        <f>""</f>
        <v/>
      </c>
      <c r="DJ243" t="str">
        <f>""</f>
        <v/>
      </c>
      <c r="DK243" t="str">
        <f>""</f>
        <v/>
      </c>
      <c r="DL243" t="str">
        <f>""</f>
        <v/>
      </c>
      <c r="DM243" t="str">
        <f>""</f>
        <v/>
      </c>
      <c r="DN243" t="str">
        <f>""</f>
        <v/>
      </c>
      <c r="DO243" t="str">
        <f>""</f>
        <v/>
      </c>
      <c r="DP243" t="str">
        <f>""</f>
        <v/>
      </c>
      <c r="DQ243" t="str">
        <f>""</f>
        <v/>
      </c>
      <c r="DR243" t="str">
        <f>""</f>
        <v/>
      </c>
      <c r="DS243" t="str">
        <f>""</f>
        <v/>
      </c>
      <c r="DT243" t="str">
        <f>""</f>
        <v/>
      </c>
      <c r="DU243" t="str">
        <f>""</f>
        <v/>
      </c>
      <c r="DV243" t="str">
        <f>""</f>
        <v/>
      </c>
      <c r="DW243" t="str">
        <f>""</f>
        <v/>
      </c>
      <c r="DX243" t="str">
        <f>""</f>
        <v/>
      </c>
      <c r="DY243" t="str">
        <f>""</f>
        <v/>
      </c>
      <c r="DZ243" t="str">
        <f>""</f>
        <v/>
      </c>
      <c r="EA243" t="str">
        <f>""</f>
        <v/>
      </c>
      <c r="EB243" t="str">
        <f>""</f>
        <v/>
      </c>
      <c r="EC243" t="str">
        <f>""</f>
        <v/>
      </c>
      <c r="ED243" t="str">
        <f>""</f>
        <v/>
      </c>
      <c r="EE243" t="str">
        <f>""</f>
        <v/>
      </c>
      <c r="EF243" t="str">
        <f>""</f>
        <v/>
      </c>
      <c r="EG243" t="str">
        <f>""</f>
        <v/>
      </c>
      <c r="EH243" t="str">
        <f>""</f>
        <v/>
      </c>
      <c r="EI243" t="str">
        <f>""</f>
        <v/>
      </c>
      <c r="EJ243" t="str">
        <f>""</f>
        <v/>
      </c>
      <c r="EK243" t="str">
        <f>""</f>
        <v/>
      </c>
      <c r="EL243" t="str">
        <f>""</f>
        <v/>
      </c>
      <c r="EM243" t="str">
        <f>""</f>
        <v/>
      </c>
      <c r="EN243" t="str">
        <f>""</f>
        <v/>
      </c>
      <c r="EO243" t="str">
        <f>""</f>
        <v/>
      </c>
      <c r="EP243" t="str">
        <f>""</f>
        <v/>
      </c>
      <c r="EQ243" t="str">
        <f>""</f>
        <v/>
      </c>
      <c r="ER243" t="str">
        <f>""</f>
        <v/>
      </c>
      <c r="ES243" t="str">
        <f>""</f>
        <v/>
      </c>
      <c r="ET243" t="str">
        <f>""</f>
        <v/>
      </c>
      <c r="EU243" t="str">
        <f>""</f>
        <v/>
      </c>
      <c r="EV243" t="str">
        <f>""</f>
        <v/>
      </c>
      <c r="EW243" t="str">
        <f>""</f>
        <v/>
      </c>
      <c r="EX243" t="str">
        <f>""</f>
        <v/>
      </c>
      <c r="EY243" t="str">
        <f>"0.0677"</f>
        <v>0.0677</v>
      </c>
      <c r="EZ243" t="str">
        <f>"-0.0626"</f>
        <v>-0.0626</v>
      </c>
      <c r="FA243" t="str">
        <f>"-0.0548"</f>
        <v>-0.0548</v>
      </c>
      <c r="FB243" t="str">
        <f>""</f>
        <v/>
      </c>
      <c r="FC243" t="str">
        <f>""</f>
        <v/>
      </c>
      <c r="FD243" t="str">
        <f>""</f>
        <v/>
      </c>
      <c r="FE243" t="str">
        <f>""</f>
        <v/>
      </c>
      <c r="FF243" t="str">
        <f>""</f>
        <v/>
      </c>
      <c r="FG243" t="str">
        <f>""</f>
        <v/>
      </c>
      <c r="FH243" t="str">
        <f>""</f>
        <v/>
      </c>
      <c r="FI243" t="str">
        <f>""</f>
        <v/>
      </c>
      <c r="FJ243" t="str">
        <f>""</f>
        <v/>
      </c>
      <c r="FK243" t="str">
        <f>""</f>
        <v/>
      </c>
      <c r="FL243" t="str">
        <f>""</f>
        <v/>
      </c>
      <c r="FM243" t="str">
        <f>""</f>
        <v/>
      </c>
      <c r="FN243" t="str">
        <f>""</f>
        <v/>
      </c>
      <c r="FO243" t="str">
        <f>""</f>
        <v/>
      </c>
      <c r="FP243" t="str">
        <f>""</f>
        <v/>
      </c>
      <c r="FQ243" t="str">
        <f>""</f>
        <v/>
      </c>
      <c r="FR243" t="str">
        <f>""</f>
        <v/>
      </c>
      <c r="FS243" t="str">
        <f>""</f>
        <v/>
      </c>
      <c r="FT243" t="str">
        <f>""</f>
        <v/>
      </c>
      <c r="FU243" t="str">
        <f>""</f>
        <v/>
      </c>
      <c r="FV243" t="str">
        <f>""</f>
        <v/>
      </c>
      <c r="FW243" t="str">
        <f>""</f>
        <v/>
      </c>
      <c r="FX243" t="str">
        <f>""</f>
        <v/>
      </c>
      <c r="FY243" t="str">
        <f>""</f>
        <v/>
      </c>
      <c r="FZ243" t="str">
        <f>""</f>
        <v/>
      </c>
      <c r="GA243" t="str">
        <f>""</f>
        <v/>
      </c>
      <c r="GB243" t="str">
        <f>""</f>
        <v/>
      </c>
      <c r="GC243" t="str">
        <f>""</f>
        <v/>
      </c>
      <c r="GD243" t="str">
        <f>""</f>
        <v/>
      </c>
      <c r="GE243" t="str">
        <f>""</f>
        <v/>
      </c>
      <c r="GF243" t="str">
        <f>""</f>
        <v/>
      </c>
      <c r="GG243" t="str">
        <f>""</f>
        <v/>
      </c>
      <c r="GH243" t="str">
        <f>""</f>
        <v/>
      </c>
      <c r="GI243" t="str">
        <f>""</f>
        <v/>
      </c>
      <c r="GJ243" t="str">
        <f>""</f>
        <v/>
      </c>
      <c r="GK243" t="str">
        <f>""</f>
        <v/>
      </c>
      <c r="GL243" t="str">
        <f>""</f>
        <v/>
      </c>
      <c r="GM243" t="str">
        <f>""</f>
        <v/>
      </c>
      <c r="GN243" t="str">
        <f>""</f>
        <v/>
      </c>
      <c r="GO243" t="str">
        <f>""</f>
        <v/>
      </c>
      <c r="GP243" t="str">
        <f>""</f>
        <v/>
      </c>
      <c r="GQ243" t="str">
        <f>""</f>
        <v/>
      </c>
      <c r="GR243" t="str">
        <f>""</f>
        <v/>
      </c>
      <c r="GS243" t="str">
        <f>""</f>
        <v/>
      </c>
      <c r="GT243" t="str">
        <f>""</f>
        <v/>
      </c>
      <c r="GU243" t="str">
        <f>""</f>
        <v/>
      </c>
      <c r="GV243" t="str">
        <f>""</f>
        <v/>
      </c>
      <c r="GW243" t="str">
        <f>""</f>
        <v/>
      </c>
      <c r="GX243" t="str">
        <f>""</f>
        <v/>
      </c>
      <c r="GY243" t="str">
        <f>""</f>
        <v/>
      </c>
      <c r="GZ243" t="str">
        <f>""</f>
        <v/>
      </c>
      <c r="HA243" t="str">
        <f>""</f>
        <v/>
      </c>
      <c r="HB243" t="str">
        <f>""</f>
        <v/>
      </c>
      <c r="HC243" t="str">
        <f>""</f>
        <v/>
      </c>
      <c r="HD243" t="str">
        <f>""</f>
        <v/>
      </c>
      <c r="HE243" t="str">
        <f>""</f>
        <v/>
      </c>
      <c r="HF243" t="str">
        <f>""</f>
        <v/>
      </c>
      <c r="HG243" t="str">
        <f>""</f>
        <v/>
      </c>
      <c r="HH243" t="str">
        <f>""</f>
        <v/>
      </c>
      <c r="HI243" t="str">
        <f>""</f>
        <v/>
      </c>
      <c r="HJ243" t="str">
        <f>""</f>
        <v/>
      </c>
      <c r="HK243" t="str">
        <f>""</f>
        <v/>
      </c>
      <c r="HL243" t="str">
        <f>""</f>
        <v/>
      </c>
      <c r="HM243" t="str">
        <f>""</f>
        <v/>
      </c>
      <c r="HN243" t="str">
        <f>""</f>
        <v/>
      </c>
      <c r="HO243" t="str">
        <f>""</f>
        <v/>
      </c>
      <c r="HP243" t="str">
        <f>""</f>
        <v/>
      </c>
      <c r="HQ243" t="str">
        <f>""</f>
        <v/>
      </c>
      <c r="HR243" t="str">
        <f>""</f>
        <v/>
      </c>
      <c r="HS243" t="str">
        <f>""</f>
        <v/>
      </c>
      <c r="HT243" t="str">
        <f>""</f>
        <v/>
      </c>
      <c r="HU243" t="str">
        <f>""</f>
        <v/>
      </c>
      <c r="HV243" t="str">
        <f>""</f>
        <v/>
      </c>
      <c r="HW243" t="str">
        <f>""</f>
        <v/>
      </c>
      <c r="HX243" t="str">
        <f>""</f>
        <v/>
      </c>
      <c r="HY243" t="str">
        <f>""</f>
        <v/>
      </c>
      <c r="HZ243" t="str">
        <f>""</f>
        <v/>
      </c>
      <c r="IA243" t="str">
        <f>""</f>
        <v/>
      </c>
      <c r="IB243" t="str">
        <f>""</f>
        <v/>
      </c>
      <c r="IC243" t="str">
        <f>""</f>
        <v/>
      </c>
      <c r="ID243" t="str">
        <f>""</f>
        <v/>
      </c>
      <c r="IE243" t="str">
        <f>""</f>
        <v/>
      </c>
      <c r="IF243" t="str">
        <f>""</f>
        <v/>
      </c>
      <c r="IG243" t="str">
        <f>""</f>
        <v/>
      </c>
      <c r="IH243" t="str">
        <f>""</f>
        <v/>
      </c>
      <c r="II243" t="str">
        <f>""</f>
        <v/>
      </c>
      <c r="IJ243" t="str">
        <f>""</f>
        <v/>
      </c>
      <c r="IK243" t="str">
        <f>""</f>
        <v/>
      </c>
      <c r="IL243" t="str">
        <f>""</f>
        <v/>
      </c>
      <c r="IM243" t="str">
        <f>""</f>
        <v/>
      </c>
      <c r="IN243" t="str">
        <f>""</f>
        <v/>
      </c>
      <c r="IO243" t="str">
        <f>""</f>
        <v/>
      </c>
      <c r="IP243" t="str">
        <f>""</f>
        <v/>
      </c>
      <c r="IQ243" t="str">
        <f>""</f>
        <v/>
      </c>
      <c r="IR243" t="str">
        <f>""</f>
        <v/>
      </c>
      <c r="IS243" t="str">
        <f>""</f>
        <v/>
      </c>
      <c r="IT243" t="str">
        <f>""</f>
        <v/>
      </c>
      <c r="IU243" t="str">
        <f>""</f>
        <v/>
      </c>
      <c r="IV243" t="str">
        <f>""</f>
        <v/>
      </c>
      <c r="IW243" t="str">
        <f>""</f>
        <v/>
      </c>
      <c r="IX243" t="str">
        <f>""</f>
        <v/>
      </c>
      <c r="IY243" t="str">
        <f>""</f>
        <v/>
      </c>
      <c r="IZ243" t="str">
        <f>""</f>
        <v/>
      </c>
      <c r="JA243" t="str">
        <f>""</f>
        <v/>
      </c>
      <c r="JB243" t="str">
        <f>""</f>
        <v/>
      </c>
      <c r="JC243" t="str">
        <f>""</f>
        <v/>
      </c>
      <c r="JD243" t="str">
        <f>""</f>
        <v/>
      </c>
      <c r="JE243" t="str">
        <f>""</f>
        <v/>
      </c>
      <c r="JF243" t="str">
        <f>""</f>
        <v/>
      </c>
      <c r="JG243" t="str">
        <f>""</f>
        <v/>
      </c>
      <c r="JH243" t="str">
        <f>""</f>
        <v/>
      </c>
      <c r="JI243" t="str">
        <f>""</f>
        <v/>
      </c>
      <c r="JJ243" t="str">
        <f>""</f>
        <v/>
      </c>
      <c r="JK243" t="str">
        <f>""</f>
        <v/>
      </c>
    </row>
    <row r="244" spans="1:271" x14ac:dyDescent="0.3">
      <c r="A244" t="str">
        <f>""</f>
        <v/>
      </c>
      <c r="B244" t="str">
        <f>""</f>
        <v/>
      </c>
      <c r="C244" t="str">
        <f>""</f>
        <v/>
      </c>
      <c r="D244" t="str">
        <f>""</f>
        <v/>
      </c>
      <c r="E244" t="str">
        <f>""</f>
        <v/>
      </c>
      <c r="F244" t="str">
        <f>""</f>
        <v/>
      </c>
      <c r="G244" t="str">
        <f>""</f>
        <v/>
      </c>
      <c r="H244" t="str">
        <f>""</f>
        <v/>
      </c>
      <c r="I244" t="str">
        <f>""</f>
        <v/>
      </c>
      <c r="J244" t="str">
        <f>""</f>
        <v/>
      </c>
      <c r="K244" t="str">
        <f>""</f>
        <v/>
      </c>
      <c r="L244" t="str">
        <f>""</f>
        <v/>
      </c>
      <c r="M244" t="str">
        <f>""</f>
        <v/>
      </c>
      <c r="N244" t="str">
        <f>""</f>
        <v/>
      </c>
      <c r="O244" t="str">
        <f>""</f>
        <v/>
      </c>
      <c r="P244" t="str">
        <f>""</f>
        <v/>
      </c>
      <c r="Q244" t="str">
        <f>""</f>
        <v/>
      </c>
      <c r="R244" t="str">
        <f>""</f>
        <v/>
      </c>
      <c r="S244" t="str">
        <f>""</f>
        <v/>
      </c>
      <c r="T244" t="str">
        <f>""</f>
        <v/>
      </c>
      <c r="U244" t="str">
        <f>""</f>
        <v/>
      </c>
      <c r="V244" t="str">
        <f>""</f>
        <v/>
      </c>
      <c r="W244" t="str">
        <f>""</f>
        <v/>
      </c>
      <c r="X244" t="str">
        <f>""</f>
        <v/>
      </c>
      <c r="Y244" t="str">
        <f>""</f>
        <v/>
      </c>
      <c r="Z244" t="str">
        <f>""</f>
        <v/>
      </c>
      <c r="AA244" t="str">
        <f>""</f>
        <v/>
      </c>
      <c r="AB244" t="str">
        <f>""</f>
        <v/>
      </c>
      <c r="AC244" t="str">
        <f>""</f>
        <v/>
      </c>
      <c r="AD244" t="str">
        <f>""</f>
        <v/>
      </c>
      <c r="AE244" t="str">
        <f>""</f>
        <v/>
      </c>
      <c r="AF244" t="str">
        <f>""</f>
        <v/>
      </c>
      <c r="AG244" t="str">
        <f>""</f>
        <v/>
      </c>
      <c r="AH244" t="str">
        <f>""</f>
        <v/>
      </c>
      <c r="AI244" t="str">
        <f>""</f>
        <v/>
      </c>
      <c r="AJ244" t="str">
        <f>""</f>
        <v/>
      </c>
      <c r="AK244" t="str">
        <f>""</f>
        <v/>
      </c>
      <c r="AL244" t="str">
        <f>""</f>
        <v/>
      </c>
      <c r="AM244" t="str">
        <f>""</f>
        <v/>
      </c>
      <c r="AN244" t="str">
        <f>""</f>
        <v/>
      </c>
      <c r="AO244" t="str">
        <f>""</f>
        <v/>
      </c>
      <c r="AP244" t="str">
        <f>""</f>
        <v/>
      </c>
      <c r="AQ244" t="str">
        <f>""</f>
        <v/>
      </c>
      <c r="AR244" t="str">
        <f>""</f>
        <v/>
      </c>
      <c r="AS244" t="str">
        <f>""</f>
        <v/>
      </c>
      <c r="AT244" t="str">
        <f>""</f>
        <v/>
      </c>
      <c r="AU244" t="str">
        <f>""</f>
        <v/>
      </c>
      <c r="AV244" t="str">
        <f>""</f>
        <v/>
      </c>
      <c r="AW244" t="str">
        <f>""</f>
        <v/>
      </c>
      <c r="AX244" t="str">
        <f>""</f>
        <v/>
      </c>
      <c r="AY244" t="str">
        <f>""</f>
        <v/>
      </c>
      <c r="AZ244" t="str">
        <f>""</f>
        <v/>
      </c>
      <c r="BA244" t="str">
        <f>""</f>
        <v/>
      </c>
      <c r="BB244" t="str">
        <f>""</f>
        <v/>
      </c>
      <c r="BC244" t="str">
        <f>""</f>
        <v/>
      </c>
      <c r="BD244" t="str">
        <f>""</f>
        <v/>
      </c>
      <c r="BE244" t="str">
        <f>""</f>
        <v/>
      </c>
      <c r="BF244" t="str">
        <f>""</f>
        <v/>
      </c>
      <c r="BG244" t="str">
        <f>""</f>
        <v/>
      </c>
      <c r="BH244" t="str">
        <f>""</f>
        <v/>
      </c>
      <c r="BI244" t="str">
        <f>""</f>
        <v/>
      </c>
      <c r="BJ244" t="str">
        <f>""</f>
        <v/>
      </c>
      <c r="BK244" t="str">
        <f>""</f>
        <v/>
      </c>
      <c r="BL244" t="str">
        <f>""</f>
        <v/>
      </c>
      <c r="BM244" t="str">
        <f>""</f>
        <v/>
      </c>
      <c r="BN244" t="str">
        <f>""</f>
        <v/>
      </c>
      <c r="BO244" t="str">
        <f>""</f>
        <v/>
      </c>
      <c r="BP244" t="str">
        <f>""</f>
        <v/>
      </c>
      <c r="BQ244" t="str">
        <f>""</f>
        <v/>
      </c>
      <c r="BR244" t="str">
        <f>""</f>
        <v/>
      </c>
      <c r="BS244" t="str">
        <f>""</f>
        <v/>
      </c>
      <c r="BT244" t="str">
        <f>""</f>
        <v/>
      </c>
      <c r="BU244" t="str">
        <f>""</f>
        <v/>
      </c>
      <c r="BV244" t="str">
        <f>""</f>
        <v/>
      </c>
      <c r="BW244" t="str">
        <f>""</f>
        <v/>
      </c>
      <c r="BX244" t="str">
        <f>""</f>
        <v/>
      </c>
      <c r="BY244" t="str">
        <f>""</f>
        <v/>
      </c>
      <c r="BZ244" t="str">
        <f>""</f>
        <v/>
      </c>
      <c r="CA244" t="str">
        <f>""</f>
        <v/>
      </c>
      <c r="CB244" t="str">
        <f>""</f>
        <v/>
      </c>
      <c r="CC244" t="str">
        <f>""</f>
        <v/>
      </c>
      <c r="CD244" t="str">
        <f>""</f>
        <v/>
      </c>
      <c r="CE244" t="str">
        <f>""</f>
        <v/>
      </c>
      <c r="CF244" t="str">
        <f>""</f>
        <v/>
      </c>
      <c r="CG244" t="str">
        <f>""</f>
        <v/>
      </c>
      <c r="CH244" t="str">
        <f>""</f>
        <v/>
      </c>
      <c r="CI244" t="str">
        <f>""</f>
        <v/>
      </c>
      <c r="CJ244" t="str">
        <f>""</f>
        <v/>
      </c>
      <c r="CK244" t="str">
        <f>""</f>
        <v/>
      </c>
      <c r="CL244" t="str">
        <f>""</f>
        <v/>
      </c>
      <c r="CM244" t="str">
        <f>""</f>
        <v/>
      </c>
      <c r="CN244" t="str">
        <f>""</f>
        <v/>
      </c>
      <c r="CO244" t="str">
        <f>""</f>
        <v/>
      </c>
      <c r="CP244" t="str">
        <f>""</f>
        <v/>
      </c>
      <c r="CQ244" t="str">
        <f>""</f>
        <v/>
      </c>
      <c r="CR244" t="str">
        <f>""</f>
        <v/>
      </c>
      <c r="CS244" t="str">
        <f>""</f>
        <v/>
      </c>
      <c r="CT244" t="str">
        <f>""</f>
        <v/>
      </c>
      <c r="CU244" t="str">
        <f>""</f>
        <v/>
      </c>
      <c r="CV244" t="str">
        <f>""</f>
        <v/>
      </c>
      <c r="CW244" t="str">
        <f>""</f>
        <v/>
      </c>
      <c r="CX244" t="str">
        <f>""</f>
        <v/>
      </c>
      <c r="CY244" t="str">
        <f>""</f>
        <v/>
      </c>
      <c r="CZ244" t="str">
        <f>""</f>
        <v/>
      </c>
      <c r="DA244" t="str">
        <f>""</f>
        <v/>
      </c>
      <c r="DB244" t="str">
        <f>""</f>
        <v/>
      </c>
      <c r="DC244" t="str">
        <f>""</f>
        <v/>
      </c>
      <c r="DD244" t="str">
        <f>""</f>
        <v/>
      </c>
      <c r="DE244" t="str">
        <f>""</f>
        <v/>
      </c>
      <c r="DF244" t="str">
        <f>""</f>
        <v/>
      </c>
      <c r="DG244" t="str">
        <f>""</f>
        <v/>
      </c>
      <c r="DH244" t="str">
        <f>""</f>
        <v/>
      </c>
      <c r="DI244" t="str">
        <f>""</f>
        <v/>
      </c>
      <c r="DJ244" t="str">
        <f>""</f>
        <v/>
      </c>
      <c r="DK244" t="str">
        <f>""</f>
        <v/>
      </c>
      <c r="DL244" t="str">
        <f>""</f>
        <v/>
      </c>
      <c r="DM244" t="str">
        <f>""</f>
        <v/>
      </c>
      <c r="DN244" t="str">
        <f>""</f>
        <v/>
      </c>
      <c r="DO244" t="str">
        <f>""</f>
        <v/>
      </c>
      <c r="DP244" t="str">
        <f>""</f>
        <v/>
      </c>
      <c r="DQ244" t="str">
        <f>""</f>
        <v/>
      </c>
      <c r="DR244" t="str">
        <f>""</f>
        <v/>
      </c>
      <c r="DS244" t="str">
        <f>""</f>
        <v/>
      </c>
      <c r="DT244" t="str">
        <f>""</f>
        <v/>
      </c>
      <c r="DU244" t="str">
        <f>""</f>
        <v/>
      </c>
      <c r="DV244" t="str">
        <f>""</f>
        <v/>
      </c>
      <c r="DW244" t="str">
        <f>""</f>
        <v/>
      </c>
      <c r="DX244" t="str">
        <f>""</f>
        <v/>
      </c>
      <c r="DY244" t="str">
        <f>""</f>
        <v/>
      </c>
      <c r="DZ244" t="str">
        <f>""</f>
        <v/>
      </c>
      <c r="EA244" t="str">
        <f>""</f>
        <v/>
      </c>
      <c r="EB244" t="str">
        <f>""</f>
        <v/>
      </c>
      <c r="EC244" t="str">
        <f>""</f>
        <v/>
      </c>
      <c r="ED244" t="str">
        <f>""</f>
        <v/>
      </c>
      <c r="EE244" t="str">
        <f>""</f>
        <v/>
      </c>
      <c r="EF244" t="str">
        <f>""</f>
        <v/>
      </c>
      <c r="EG244" t="str">
        <f>""</f>
        <v/>
      </c>
      <c r="EH244" t="str">
        <f>""</f>
        <v/>
      </c>
      <c r="EI244" t="str">
        <f>""</f>
        <v/>
      </c>
      <c r="EJ244" t="str">
        <f>""</f>
        <v/>
      </c>
      <c r="EK244" t="str">
        <f>""</f>
        <v/>
      </c>
      <c r="EL244" t="str">
        <f>""</f>
        <v/>
      </c>
      <c r="EM244" t="str">
        <f>""</f>
        <v/>
      </c>
      <c r="EN244" t="str">
        <f>""</f>
        <v/>
      </c>
      <c r="EO244" t="str">
        <f>""</f>
        <v/>
      </c>
      <c r="EP244" t="str">
        <f>""</f>
        <v/>
      </c>
      <c r="EQ244" t="str">
        <f>""</f>
        <v/>
      </c>
      <c r="ER244" t="str">
        <f>""</f>
        <v/>
      </c>
      <c r="ES244" t="str">
        <f>""</f>
        <v/>
      </c>
      <c r="ET244" t="str">
        <f>""</f>
        <v/>
      </c>
      <c r="EU244" t="str">
        <f>""</f>
        <v/>
      </c>
      <c r="EV244" t="str">
        <f>""</f>
        <v/>
      </c>
      <c r="EW244" t="str">
        <f>""</f>
        <v/>
      </c>
      <c r="EX244" t="str">
        <f>""</f>
        <v/>
      </c>
      <c r="EY244" t="str">
        <f>"(0.104)"</f>
        <v>(0.104)</v>
      </c>
      <c r="EZ244" t="str">
        <f>"(0.0825)"</f>
        <v>(0.0825)</v>
      </c>
      <c r="FA244" t="str">
        <f>"(0.0454)"</f>
        <v>(0.0454)</v>
      </c>
      <c r="FB244" t="str">
        <f>""</f>
        <v/>
      </c>
      <c r="FC244" t="str">
        <f>""</f>
        <v/>
      </c>
      <c r="FD244" t="str">
        <f>""</f>
        <v/>
      </c>
      <c r="FE244" t="str">
        <f>""</f>
        <v/>
      </c>
      <c r="FF244" t="str">
        <f>""</f>
        <v/>
      </c>
      <c r="FG244" t="str">
        <f>""</f>
        <v/>
      </c>
      <c r="FH244" t="str">
        <f>""</f>
        <v/>
      </c>
      <c r="FI244" t="str">
        <f>""</f>
        <v/>
      </c>
      <c r="FJ244" t="str">
        <f>""</f>
        <v/>
      </c>
      <c r="FK244" t="str">
        <f>""</f>
        <v/>
      </c>
      <c r="FL244" t="str">
        <f>""</f>
        <v/>
      </c>
      <c r="FM244" t="str">
        <f>""</f>
        <v/>
      </c>
      <c r="FN244" t="str">
        <f>""</f>
        <v/>
      </c>
      <c r="FO244" t="str">
        <f>""</f>
        <v/>
      </c>
      <c r="FP244" t="str">
        <f>""</f>
        <v/>
      </c>
      <c r="FQ244" t="str">
        <f>""</f>
        <v/>
      </c>
      <c r="FR244" t="str">
        <f>""</f>
        <v/>
      </c>
      <c r="FS244" t="str">
        <f>""</f>
        <v/>
      </c>
      <c r="FT244" t="str">
        <f>""</f>
        <v/>
      </c>
      <c r="FU244" t="str">
        <f>""</f>
        <v/>
      </c>
      <c r="FV244" t="str">
        <f>""</f>
        <v/>
      </c>
      <c r="FW244" t="str">
        <f>""</f>
        <v/>
      </c>
      <c r="FX244" t="str">
        <f>""</f>
        <v/>
      </c>
      <c r="FY244" t="str">
        <f>""</f>
        <v/>
      </c>
      <c r="FZ244" t="str">
        <f>""</f>
        <v/>
      </c>
      <c r="GA244" t="str">
        <f>""</f>
        <v/>
      </c>
      <c r="GB244" t="str">
        <f>""</f>
        <v/>
      </c>
      <c r="GC244" t="str">
        <f>""</f>
        <v/>
      </c>
      <c r="GD244" t="str">
        <f>""</f>
        <v/>
      </c>
      <c r="GE244" t="str">
        <f>""</f>
        <v/>
      </c>
      <c r="GF244" t="str">
        <f>""</f>
        <v/>
      </c>
      <c r="GG244" t="str">
        <f>""</f>
        <v/>
      </c>
      <c r="GH244" t="str">
        <f>""</f>
        <v/>
      </c>
      <c r="GI244" t="str">
        <f>""</f>
        <v/>
      </c>
      <c r="GJ244" t="str">
        <f>""</f>
        <v/>
      </c>
      <c r="GK244" t="str">
        <f>""</f>
        <v/>
      </c>
      <c r="GL244" t="str">
        <f>""</f>
        <v/>
      </c>
      <c r="GM244" t="str">
        <f>""</f>
        <v/>
      </c>
      <c r="GN244" t="str">
        <f>""</f>
        <v/>
      </c>
      <c r="GO244" t="str">
        <f>""</f>
        <v/>
      </c>
      <c r="GP244" t="str">
        <f>""</f>
        <v/>
      </c>
      <c r="GQ244" t="str">
        <f>""</f>
        <v/>
      </c>
      <c r="GR244" t="str">
        <f>""</f>
        <v/>
      </c>
      <c r="GS244" t="str">
        <f>""</f>
        <v/>
      </c>
      <c r="GT244" t="str">
        <f>""</f>
        <v/>
      </c>
      <c r="GU244" t="str">
        <f>""</f>
        <v/>
      </c>
      <c r="GV244" t="str">
        <f>""</f>
        <v/>
      </c>
      <c r="GW244" t="str">
        <f>""</f>
        <v/>
      </c>
      <c r="GX244" t="str">
        <f>""</f>
        <v/>
      </c>
      <c r="GY244" t="str">
        <f>""</f>
        <v/>
      </c>
      <c r="GZ244" t="str">
        <f>""</f>
        <v/>
      </c>
      <c r="HA244" t="str">
        <f>""</f>
        <v/>
      </c>
      <c r="HB244" t="str">
        <f>""</f>
        <v/>
      </c>
      <c r="HC244" t="str">
        <f>""</f>
        <v/>
      </c>
      <c r="HD244" t="str">
        <f>""</f>
        <v/>
      </c>
      <c r="HE244" t="str">
        <f>""</f>
        <v/>
      </c>
      <c r="HF244" t="str">
        <f>""</f>
        <v/>
      </c>
      <c r="HG244" t="str">
        <f>""</f>
        <v/>
      </c>
      <c r="HH244" t="str">
        <f>""</f>
        <v/>
      </c>
      <c r="HI244" t="str">
        <f>""</f>
        <v/>
      </c>
      <c r="HJ244" t="str">
        <f>""</f>
        <v/>
      </c>
      <c r="HK244" t="str">
        <f>""</f>
        <v/>
      </c>
      <c r="HL244" t="str">
        <f>""</f>
        <v/>
      </c>
      <c r="HM244" t="str">
        <f>""</f>
        <v/>
      </c>
      <c r="HN244" t="str">
        <f>""</f>
        <v/>
      </c>
      <c r="HO244" t="str">
        <f>""</f>
        <v/>
      </c>
      <c r="HP244" t="str">
        <f>""</f>
        <v/>
      </c>
      <c r="HQ244" t="str">
        <f>""</f>
        <v/>
      </c>
      <c r="HR244" t="str">
        <f>""</f>
        <v/>
      </c>
      <c r="HS244" t="str">
        <f>""</f>
        <v/>
      </c>
      <c r="HT244" t="str">
        <f>""</f>
        <v/>
      </c>
      <c r="HU244" t="str">
        <f>""</f>
        <v/>
      </c>
      <c r="HV244" t="str">
        <f>""</f>
        <v/>
      </c>
      <c r="HW244" t="str">
        <f>""</f>
        <v/>
      </c>
      <c r="HX244" t="str">
        <f>""</f>
        <v/>
      </c>
      <c r="HY244" t="str">
        <f>""</f>
        <v/>
      </c>
      <c r="HZ244" t="str">
        <f>""</f>
        <v/>
      </c>
      <c r="IA244" t="str">
        <f>""</f>
        <v/>
      </c>
      <c r="IB244" t="str">
        <f>""</f>
        <v/>
      </c>
      <c r="IC244" t="str">
        <f>""</f>
        <v/>
      </c>
      <c r="ID244" t="str">
        <f>""</f>
        <v/>
      </c>
      <c r="IE244" t="str">
        <f>""</f>
        <v/>
      </c>
      <c r="IF244" t="str">
        <f>""</f>
        <v/>
      </c>
      <c r="IG244" t="str">
        <f>""</f>
        <v/>
      </c>
      <c r="IH244" t="str">
        <f>""</f>
        <v/>
      </c>
      <c r="II244" t="str">
        <f>""</f>
        <v/>
      </c>
      <c r="IJ244" t="str">
        <f>""</f>
        <v/>
      </c>
      <c r="IK244" t="str">
        <f>""</f>
        <v/>
      </c>
      <c r="IL244" t="str">
        <f>""</f>
        <v/>
      </c>
      <c r="IM244" t="str">
        <f>""</f>
        <v/>
      </c>
      <c r="IN244" t="str">
        <f>""</f>
        <v/>
      </c>
      <c r="IO244" t="str">
        <f>""</f>
        <v/>
      </c>
      <c r="IP244" t="str">
        <f>""</f>
        <v/>
      </c>
      <c r="IQ244" t="str">
        <f>""</f>
        <v/>
      </c>
      <c r="IR244" t="str">
        <f>""</f>
        <v/>
      </c>
      <c r="IS244" t="str">
        <f>""</f>
        <v/>
      </c>
      <c r="IT244" t="str">
        <f>""</f>
        <v/>
      </c>
      <c r="IU244" t="str">
        <f>""</f>
        <v/>
      </c>
      <c r="IV244" t="str">
        <f>""</f>
        <v/>
      </c>
      <c r="IW244" t="str">
        <f>""</f>
        <v/>
      </c>
      <c r="IX244" t="str">
        <f>""</f>
        <v/>
      </c>
      <c r="IY244" t="str">
        <f>""</f>
        <v/>
      </c>
      <c r="IZ244" t="str">
        <f>""</f>
        <v/>
      </c>
      <c r="JA244" t="str">
        <f>""</f>
        <v/>
      </c>
      <c r="JB244" t="str">
        <f>""</f>
        <v/>
      </c>
      <c r="JC244" t="str">
        <f>""</f>
        <v/>
      </c>
      <c r="JD244" t="str">
        <f>""</f>
        <v/>
      </c>
      <c r="JE244" t="str">
        <f>""</f>
        <v/>
      </c>
      <c r="JF244" t="str">
        <f>""</f>
        <v/>
      </c>
      <c r="JG244" t="str">
        <f>""</f>
        <v/>
      </c>
      <c r="JH244" t="str">
        <f>""</f>
        <v/>
      </c>
      <c r="JI244" t="str">
        <f>""</f>
        <v/>
      </c>
      <c r="JJ244" t="str">
        <f>""</f>
        <v/>
      </c>
      <c r="JK244" t="str">
        <f>""</f>
        <v/>
      </c>
    </row>
    <row r="246" spans="1:271" x14ac:dyDescent="0.3">
      <c r="A246" t="str">
        <f>"c.zMETAB8#c.PM4"</f>
        <v>c.zMETAB8#c.PM4</v>
      </c>
      <c r="B246" t="str">
        <f>""</f>
        <v/>
      </c>
      <c r="C246" t="str">
        <f>""</f>
        <v/>
      </c>
      <c r="D246" t="str">
        <f>""</f>
        <v/>
      </c>
      <c r="E246" t="str">
        <f>""</f>
        <v/>
      </c>
      <c r="F246" t="str">
        <f>""</f>
        <v/>
      </c>
      <c r="G246" t="str">
        <f>""</f>
        <v/>
      </c>
      <c r="H246" t="str">
        <f>""</f>
        <v/>
      </c>
      <c r="I246" t="str">
        <f>""</f>
        <v/>
      </c>
      <c r="J246" t="str">
        <f>""</f>
        <v/>
      </c>
      <c r="K246" t="str">
        <f>""</f>
        <v/>
      </c>
      <c r="L246" t="str">
        <f>""</f>
        <v/>
      </c>
      <c r="M246" t="str">
        <f>""</f>
        <v/>
      </c>
      <c r="N246" t="str">
        <f>""</f>
        <v/>
      </c>
      <c r="O246" t="str">
        <f>""</f>
        <v/>
      </c>
      <c r="P246" t="str">
        <f>""</f>
        <v/>
      </c>
      <c r="Q246" t="str">
        <f>""</f>
        <v/>
      </c>
      <c r="R246" t="str">
        <f>""</f>
        <v/>
      </c>
      <c r="S246" t="str">
        <f>""</f>
        <v/>
      </c>
      <c r="T246" t="str">
        <f>""</f>
        <v/>
      </c>
      <c r="U246" t="str">
        <f>""</f>
        <v/>
      </c>
      <c r="V246" t="str">
        <f>""</f>
        <v/>
      </c>
      <c r="W246" t="str">
        <f>""</f>
        <v/>
      </c>
      <c r="X246" t="str">
        <f>""</f>
        <v/>
      </c>
      <c r="Y246" t="str">
        <f>""</f>
        <v/>
      </c>
      <c r="Z246" t="str">
        <f>""</f>
        <v/>
      </c>
      <c r="AA246" t="str">
        <f>""</f>
        <v/>
      </c>
      <c r="AB246" t="str">
        <f>""</f>
        <v/>
      </c>
      <c r="AC246" t="str">
        <f>""</f>
        <v/>
      </c>
      <c r="AD246" t="str">
        <f>""</f>
        <v/>
      </c>
      <c r="AE246" t="str">
        <f>""</f>
        <v/>
      </c>
      <c r="AF246" t="str">
        <f>""</f>
        <v/>
      </c>
      <c r="AG246" t="str">
        <f>""</f>
        <v/>
      </c>
      <c r="AH246" t="str">
        <f>""</f>
        <v/>
      </c>
      <c r="AI246" t="str">
        <f>""</f>
        <v/>
      </c>
      <c r="AJ246" t="str">
        <f>""</f>
        <v/>
      </c>
      <c r="AK246" t="str">
        <f>""</f>
        <v/>
      </c>
      <c r="AL246" t="str">
        <f>""</f>
        <v/>
      </c>
      <c r="AM246" t="str">
        <f>""</f>
        <v/>
      </c>
      <c r="AN246" t="str">
        <f>""</f>
        <v/>
      </c>
      <c r="AO246" t="str">
        <f>""</f>
        <v/>
      </c>
      <c r="AP246" t="str">
        <f>""</f>
        <v/>
      </c>
      <c r="AQ246" t="str">
        <f>""</f>
        <v/>
      </c>
      <c r="AR246" t="str">
        <f>""</f>
        <v/>
      </c>
      <c r="AS246" t="str">
        <f>""</f>
        <v/>
      </c>
      <c r="AT246" t="str">
        <f>""</f>
        <v/>
      </c>
      <c r="AU246" t="str">
        <f>""</f>
        <v/>
      </c>
      <c r="AV246" t="str">
        <f>""</f>
        <v/>
      </c>
      <c r="AW246" t="str">
        <f>""</f>
        <v/>
      </c>
      <c r="AX246" t="str">
        <f>""</f>
        <v/>
      </c>
      <c r="AY246" t="str">
        <f>""</f>
        <v/>
      </c>
      <c r="AZ246" t="str">
        <f>""</f>
        <v/>
      </c>
      <c r="BA246" t="str">
        <f>""</f>
        <v/>
      </c>
      <c r="BB246" t="str">
        <f>""</f>
        <v/>
      </c>
      <c r="BC246" t="str">
        <f>""</f>
        <v/>
      </c>
      <c r="BD246" t="str">
        <f>""</f>
        <v/>
      </c>
      <c r="BE246" t="str">
        <f>""</f>
        <v/>
      </c>
      <c r="BF246" t="str">
        <f>""</f>
        <v/>
      </c>
      <c r="BG246" t="str">
        <f>""</f>
        <v/>
      </c>
      <c r="BH246" t="str">
        <f>""</f>
        <v/>
      </c>
      <c r="BI246" t="str">
        <f>""</f>
        <v/>
      </c>
      <c r="BJ246" t="str">
        <f>""</f>
        <v/>
      </c>
      <c r="BK246" t="str">
        <f>""</f>
        <v/>
      </c>
      <c r="BL246" t="str">
        <f>""</f>
        <v/>
      </c>
      <c r="BM246" t="str">
        <f>""</f>
        <v/>
      </c>
      <c r="BN246" t="str">
        <f>""</f>
        <v/>
      </c>
      <c r="BO246" t="str">
        <f>""</f>
        <v/>
      </c>
      <c r="BP246" t="str">
        <f>""</f>
        <v/>
      </c>
      <c r="BQ246" t="str">
        <f>""</f>
        <v/>
      </c>
      <c r="BR246" t="str">
        <f>""</f>
        <v/>
      </c>
      <c r="BS246" t="str">
        <f>""</f>
        <v/>
      </c>
      <c r="BT246" t="str">
        <f>""</f>
        <v/>
      </c>
      <c r="BU246" t="str">
        <f>""</f>
        <v/>
      </c>
      <c r="BV246" t="str">
        <f>""</f>
        <v/>
      </c>
      <c r="BW246" t="str">
        <f>""</f>
        <v/>
      </c>
      <c r="BX246" t="str">
        <f>""</f>
        <v/>
      </c>
      <c r="BY246" t="str">
        <f>""</f>
        <v/>
      </c>
      <c r="BZ246" t="str">
        <f>""</f>
        <v/>
      </c>
      <c r="CA246" t="str">
        <f>""</f>
        <v/>
      </c>
      <c r="CB246" t="str">
        <f>""</f>
        <v/>
      </c>
      <c r="CC246" t="str">
        <f>""</f>
        <v/>
      </c>
      <c r="CD246" t="str">
        <f>""</f>
        <v/>
      </c>
      <c r="CE246" t="str">
        <f>""</f>
        <v/>
      </c>
      <c r="CF246" t="str">
        <f>""</f>
        <v/>
      </c>
      <c r="CG246" t="str">
        <f>""</f>
        <v/>
      </c>
      <c r="CH246" t="str">
        <f>""</f>
        <v/>
      </c>
      <c r="CI246" t="str">
        <f>""</f>
        <v/>
      </c>
      <c r="CJ246" t="str">
        <f>""</f>
        <v/>
      </c>
      <c r="CK246" t="str">
        <f>""</f>
        <v/>
      </c>
      <c r="CL246" t="str">
        <f>""</f>
        <v/>
      </c>
      <c r="CM246" t="str">
        <f>""</f>
        <v/>
      </c>
      <c r="CN246" t="str">
        <f>""</f>
        <v/>
      </c>
      <c r="CO246" t="str">
        <f>""</f>
        <v/>
      </c>
      <c r="CP246" t="str">
        <f>""</f>
        <v/>
      </c>
      <c r="CQ246" t="str">
        <f>""</f>
        <v/>
      </c>
      <c r="CR246" t="str">
        <f>""</f>
        <v/>
      </c>
      <c r="CS246" t="str">
        <f>""</f>
        <v/>
      </c>
      <c r="CT246" t="str">
        <f>""</f>
        <v/>
      </c>
      <c r="CU246" t="str">
        <f>""</f>
        <v/>
      </c>
      <c r="CV246" t="str">
        <f>""</f>
        <v/>
      </c>
      <c r="CW246" t="str">
        <f>""</f>
        <v/>
      </c>
      <c r="CX246" t="str">
        <f>""</f>
        <v/>
      </c>
      <c r="CY246" t="str">
        <f>""</f>
        <v/>
      </c>
      <c r="CZ246" t="str">
        <f>""</f>
        <v/>
      </c>
      <c r="DA246" t="str">
        <f>""</f>
        <v/>
      </c>
      <c r="DB246" t="str">
        <f>""</f>
        <v/>
      </c>
      <c r="DC246" t="str">
        <f>""</f>
        <v/>
      </c>
      <c r="DD246" t="str">
        <f>""</f>
        <v/>
      </c>
      <c r="DE246" t="str">
        <f>""</f>
        <v/>
      </c>
      <c r="DF246" t="str">
        <f>""</f>
        <v/>
      </c>
      <c r="DG246" t="str">
        <f>""</f>
        <v/>
      </c>
      <c r="DH246" t="str">
        <f>""</f>
        <v/>
      </c>
      <c r="DI246" t="str">
        <f>""</f>
        <v/>
      </c>
      <c r="DJ246" t="str">
        <f>""</f>
        <v/>
      </c>
      <c r="DK246" t="str">
        <f>""</f>
        <v/>
      </c>
      <c r="DL246" t="str">
        <f>""</f>
        <v/>
      </c>
      <c r="DM246" t="str">
        <f>""</f>
        <v/>
      </c>
      <c r="DN246" t="str">
        <f>""</f>
        <v/>
      </c>
      <c r="DO246" t="str">
        <f>""</f>
        <v/>
      </c>
      <c r="DP246" t="str">
        <f>""</f>
        <v/>
      </c>
      <c r="DQ246" t="str">
        <f>""</f>
        <v/>
      </c>
      <c r="DR246" t="str">
        <f>""</f>
        <v/>
      </c>
      <c r="DS246" t="str">
        <f>""</f>
        <v/>
      </c>
      <c r="DT246" t="str">
        <f>""</f>
        <v/>
      </c>
      <c r="DU246" t="str">
        <f>""</f>
        <v/>
      </c>
      <c r="DV246" t="str">
        <f>""</f>
        <v/>
      </c>
      <c r="DW246" t="str">
        <f>""</f>
        <v/>
      </c>
      <c r="DX246" t="str">
        <f>""</f>
        <v/>
      </c>
      <c r="DY246" t="str">
        <f>""</f>
        <v/>
      </c>
      <c r="DZ246" t="str">
        <f>""</f>
        <v/>
      </c>
      <c r="EA246" t="str">
        <f>""</f>
        <v/>
      </c>
      <c r="EB246" t="str">
        <f>""</f>
        <v/>
      </c>
      <c r="EC246" t="str">
        <f>""</f>
        <v/>
      </c>
      <c r="ED246" t="str">
        <f>""</f>
        <v/>
      </c>
      <c r="EE246" t="str">
        <f>""</f>
        <v/>
      </c>
      <c r="EF246" t="str">
        <f>""</f>
        <v/>
      </c>
      <c r="EG246" t="str">
        <f>""</f>
        <v/>
      </c>
      <c r="EH246" t="str">
        <f>""</f>
        <v/>
      </c>
      <c r="EI246" t="str">
        <f>""</f>
        <v/>
      </c>
      <c r="EJ246" t="str">
        <f>""</f>
        <v/>
      </c>
      <c r="EK246" t="str">
        <f>""</f>
        <v/>
      </c>
      <c r="EL246" t="str">
        <f>""</f>
        <v/>
      </c>
      <c r="EM246" t="str">
        <f>""</f>
        <v/>
      </c>
      <c r="EN246" t="str">
        <f>""</f>
        <v/>
      </c>
      <c r="EO246" t="str">
        <f>""</f>
        <v/>
      </c>
      <c r="EP246" t="str">
        <f>""</f>
        <v/>
      </c>
      <c r="EQ246" t="str">
        <f>""</f>
        <v/>
      </c>
      <c r="ER246" t="str">
        <f>""</f>
        <v/>
      </c>
      <c r="ES246" t="str">
        <f>""</f>
        <v/>
      </c>
      <c r="ET246" t="str">
        <f>""</f>
        <v/>
      </c>
      <c r="EU246" t="str">
        <f>""</f>
        <v/>
      </c>
      <c r="EV246" t="str">
        <f>""</f>
        <v/>
      </c>
      <c r="EW246" t="str">
        <f>""</f>
        <v/>
      </c>
      <c r="EX246" t="str">
        <f>""</f>
        <v/>
      </c>
      <c r="EY246" t="str">
        <f>""</f>
        <v/>
      </c>
      <c r="EZ246" t="str">
        <f>""</f>
        <v/>
      </c>
      <c r="FA246" t="str">
        <f>""</f>
        <v/>
      </c>
      <c r="FB246" t="str">
        <f>"-0.0473"</f>
        <v>-0.0473</v>
      </c>
      <c r="FC246" t="str">
        <f>"0.0481"</f>
        <v>0.0481</v>
      </c>
      <c r="FD246" t="str">
        <f>"0.0499"</f>
        <v>0.0499</v>
      </c>
      <c r="FE246" t="str">
        <f>""</f>
        <v/>
      </c>
      <c r="FF246" t="str">
        <f>""</f>
        <v/>
      </c>
      <c r="FG246" t="str">
        <f>""</f>
        <v/>
      </c>
      <c r="FH246" t="str">
        <f>""</f>
        <v/>
      </c>
      <c r="FI246" t="str">
        <f>""</f>
        <v/>
      </c>
      <c r="FJ246" t="str">
        <f>""</f>
        <v/>
      </c>
      <c r="FK246" t="str">
        <f>""</f>
        <v/>
      </c>
      <c r="FL246" t="str">
        <f>""</f>
        <v/>
      </c>
      <c r="FM246" t="str">
        <f>""</f>
        <v/>
      </c>
      <c r="FN246" t="str">
        <f>""</f>
        <v/>
      </c>
      <c r="FO246" t="str">
        <f>""</f>
        <v/>
      </c>
      <c r="FP246" t="str">
        <f>""</f>
        <v/>
      </c>
      <c r="FQ246" t="str">
        <f>""</f>
        <v/>
      </c>
      <c r="FR246" t="str">
        <f>""</f>
        <v/>
      </c>
      <c r="FS246" t="str">
        <f>""</f>
        <v/>
      </c>
      <c r="FT246" t="str">
        <f>""</f>
        <v/>
      </c>
      <c r="FU246" t="str">
        <f>""</f>
        <v/>
      </c>
      <c r="FV246" t="str">
        <f>""</f>
        <v/>
      </c>
      <c r="FW246" t="str">
        <f>""</f>
        <v/>
      </c>
      <c r="FX246" t="str">
        <f>""</f>
        <v/>
      </c>
      <c r="FY246" t="str">
        <f>""</f>
        <v/>
      </c>
      <c r="FZ246" t="str">
        <f>""</f>
        <v/>
      </c>
      <c r="GA246" t="str">
        <f>""</f>
        <v/>
      </c>
      <c r="GB246" t="str">
        <f>""</f>
        <v/>
      </c>
      <c r="GC246" t="str">
        <f>""</f>
        <v/>
      </c>
      <c r="GD246" t="str">
        <f>""</f>
        <v/>
      </c>
      <c r="GE246" t="str">
        <f>""</f>
        <v/>
      </c>
      <c r="GF246" t="str">
        <f>""</f>
        <v/>
      </c>
      <c r="GG246" t="str">
        <f>""</f>
        <v/>
      </c>
      <c r="GH246" t="str">
        <f>""</f>
        <v/>
      </c>
      <c r="GI246" t="str">
        <f>""</f>
        <v/>
      </c>
      <c r="GJ246" t="str">
        <f>""</f>
        <v/>
      </c>
      <c r="GK246" t="str">
        <f>""</f>
        <v/>
      </c>
      <c r="GL246" t="str">
        <f>""</f>
        <v/>
      </c>
      <c r="GM246" t="str">
        <f>""</f>
        <v/>
      </c>
      <c r="GN246" t="str">
        <f>""</f>
        <v/>
      </c>
      <c r="GO246" t="str">
        <f>""</f>
        <v/>
      </c>
      <c r="GP246" t="str">
        <f>""</f>
        <v/>
      </c>
      <c r="GQ246" t="str">
        <f>""</f>
        <v/>
      </c>
      <c r="GR246" t="str">
        <f>""</f>
        <v/>
      </c>
      <c r="GS246" t="str">
        <f>""</f>
        <v/>
      </c>
      <c r="GT246" t="str">
        <f>""</f>
        <v/>
      </c>
      <c r="GU246" t="str">
        <f>""</f>
        <v/>
      </c>
      <c r="GV246" t="str">
        <f>""</f>
        <v/>
      </c>
      <c r="GW246" t="str">
        <f>""</f>
        <v/>
      </c>
      <c r="GX246" t="str">
        <f>""</f>
        <v/>
      </c>
      <c r="GY246" t="str">
        <f>""</f>
        <v/>
      </c>
      <c r="GZ246" t="str">
        <f>""</f>
        <v/>
      </c>
      <c r="HA246" t="str">
        <f>""</f>
        <v/>
      </c>
      <c r="HB246" t="str">
        <f>""</f>
        <v/>
      </c>
      <c r="HC246" t="str">
        <f>""</f>
        <v/>
      </c>
      <c r="HD246" t="str">
        <f>""</f>
        <v/>
      </c>
      <c r="HE246" t="str">
        <f>""</f>
        <v/>
      </c>
      <c r="HF246" t="str">
        <f>""</f>
        <v/>
      </c>
      <c r="HG246" t="str">
        <f>""</f>
        <v/>
      </c>
      <c r="HH246" t="str">
        <f>""</f>
        <v/>
      </c>
      <c r="HI246" t="str">
        <f>""</f>
        <v/>
      </c>
      <c r="HJ246" t="str">
        <f>""</f>
        <v/>
      </c>
      <c r="HK246" t="str">
        <f>""</f>
        <v/>
      </c>
      <c r="HL246" t="str">
        <f>""</f>
        <v/>
      </c>
      <c r="HM246" t="str">
        <f>""</f>
        <v/>
      </c>
      <c r="HN246" t="str">
        <f>""</f>
        <v/>
      </c>
      <c r="HO246" t="str">
        <f>""</f>
        <v/>
      </c>
      <c r="HP246" t="str">
        <f>""</f>
        <v/>
      </c>
      <c r="HQ246" t="str">
        <f>""</f>
        <v/>
      </c>
      <c r="HR246" t="str">
        <f>""</f>
        <v/>
      </c>
      <c r="HS246" t="str">
        <f>""</f>
        <v/>
      </c>
      <c r="HT246" t="str">
        <f>""</f>
        <v/>
      </c>
      <c r="HU246" t="str">
        <f>""</f>
        <v/>
      </c>
      <c r="HV246" t="str">
        <f>""</f>
        <v/>
      </c>
      <c r="HW246" t="str">
        <f>""</f>
        <v/>
      </c>
      <c r="HX246" t="str">
        <f>""</f>
        <v/>
      </c>
      <c r="HY246" t="str">
        <f>""</f>
        <v/>
      </c>
      <c r="HZ246" t="str">
        <f>""</f>
        <v/>
      </c>
      <c r="IA246" t="str">
        <f>""</f>
        <v/>
      </c>
      <c r="IB246" t="str">
        <f>""</f>
        <v/>
      </c>
      <c r="IC246" t="str">
        <f>""</f>
        <v/>
      </c>
      <c r="ID246" t="str">
        <f>""</f>
        <v/>
      </c>
      <c r="IE246" t="str">
        <f>""</f>
        <v/>
      </c>
      <c r="IF246" t="str">
        <f>""</f>
        <v/>
      </c>
      <c r="IG246" t="str">
        <f>""</f>
        <v/>
      </c>
      <c r="IH246" t="str">
        <f>""</f>
        <v/>
      </c>
      <c r="II246" t="str">
        <f>""</f>
        <v/>
      </c>
      <c r="IJ246" t="str">
        <f>""</f>
        <v/>
      </c>
      <c r="IK246" t="str">
        <f>""</f>
        <v/>
      </c>
      <c r="IL246" t="str">
        <f>""</f>
        <v/>
      </c>
      <c r="IM246" t="str">
        <f>""</f>
        <v/>
      </c>
      <c r="IN246" t="str">
        <f>""</f>
        <v/>
      </c>
      <c r="IO246" t="str">
        <f>""</f>
        <v/>
      </c>
      <c r="IP246" t="str">
        <f>""</f>
        <v/>
      </c>
      <c r="IQ246" t="str">
        <f>""</f>
        <v/>
      </c>
      <c r="IR246" t="str">
        <f>""</f>
        <v/>
      </c>
      <c r="IS246" t="str">
        <f>""</f>
        <v/>
      </c>
      <c r="IT246" t="str">
        <f>""</f>
        <v/>
      </c>
      <c r="IU246" t="str">
        <f>""</f>
        <v/>
      </c>
      <c r="IV246" t="str">
        <f>""</f>
        <v/>
      </c>
      <c r="IW246" t="str">
        <f>""</f>
        <v/>
      </c>
      <c r="IX246" t="str">
        <f>""</f>
        <v/>
      </c>
      <c r="IY246" t="str">
        <f>""</f>
        <v/>
      </c>
      <c r="IZ246" t="str">
        <f>""</f>
        <v/>
      </c>
      <c r="JA246" t="str">
        <f>""</f>
        <v/>
      </c>
      <c r="JB246" t="str">
        <f>""</f>
        <v/>
      </c>
      <c r="JC246" t="str">
        <f>""</f>
        <v/>
      </c>
      <c r="JD246" t="str">
        <f>""</f>
        <v/>
      </c>
      <c r="JE246" t="str">
        <f>""</f>
        <v/>
      </c>
      <c r="JF246" t="str">
        <f>""</f>
        <v/>
      </c>
      <c r="JG246" t="str">
        <f>""</f>
        <v/>
      </c>
      <c r="JH246" t="str">
        <f>""</f>
        <v/>
      </c>
      <c r="JI246" t="str">
        <f>""</f>
        <v/>
      </c>
      <c r="JJ246" t="str">
        <f>""</f>
        <v/>
      </c>
      <c r="JK246" t="str">
        <f>""</f>
        <v/>
      </c>
    </row>
    <row r="247" spans="1:271" x14ac:dyDescent="0.3">
      <c r="A247" t="str">
        <f>""</f>
        <v/>
      </c>
      <c r="B247" t="str">
        <f>""</f>
        <v/>
      </c>
      <c r="C247" t="str">
        <f>""</f>
        <v/>
      </c>
      <c r="D247" t="str">
        <f>""</f>
        <v/>
      </c>
      <c r="E247" t="str">
        <f>""</f>
        <v/>
      </c>
      <c r="F247" t="str">
        <f>""</f>
        <v/>
      </c>
      <c r="G247" t="str">
        <f>""</f>
        <v/>
      </c>
      <c r="H247" t="str">
        <f>""</f>
        <v/>
      </c>
      <c r="I247" t="str">
        <f>""</f>
        <v/>
      </c>
      <c r="J247" t="str">
        <f>""</f>
        <v/>
      </c>
      <c r="K247" t="str">
        <f>""</f>
        <v/>
      </c>
      <c r="L247" t="str">
        <f>""</f>
        <v/>
      </c>
      <c r="M247" t="str">
        <f>""</f>
        <v/>
      </c>
      <c r="N247" t="str">
        <f>""</f>
        <v/>
      </c>
      <c r="O247" t="str">
        <f>""</f>
        <v/>
      </c>
      <c r="P247" t="str">
        <f>""</f>
        <v/>
      </c>
      <c r="Q247" t="str">
        <f>""</f>
        <v/>
      </c>
      <c r="R247" t="str">
        <f>""</f>
        <v/>
      </c>
      <c r="S247" t="str">
        <f>""</f>
        <v/>
      </c>
      <c r="T247" t="str">
        <f>""</f>
        <v/>
      </c>
      <c r="U247" t="str">
        <f>""</f>
        <v/>
      </c>
      <c r="V247" t="str">
        <f>""</f>
        <v/>
      </c>
      <c r="W247" t="str">
        <f>""</f>
        <v/>
      </c>
      <c r="X247" t="str">
        <f>""</f>
        <v/>
      </c>
      <c r="Y247" t="str">
        <f>""</f>
        <v/>
      </c>
      <c r="Z247" t="str">
        <f>""</f>
        <v/>
      </c>
      <c r="AA247" t="str">
        <f>""</f>
        <v/>
      </c>
      <c r="AB247" t="str">
        <f>""</f>
        <v/>
      </c>
      <c r="AC247" t="str">
        <f>""</f>
        <v/>
      </c>
      <c r="AD247" t="str">
        <f>""</f>
        <v/>
      </c>
      <c r="AE247" t="str">
        <f>""</f>
        <v/>
      </c>
      <c r="AF247" t="str">
        <f>""</f>
        <v/>
      </c>
      <c r="AG247" t="str">
        <f>""</f>
        <v/>
      </c>
      <c r="AH247" t="str">
        <f>""</f>
        <v/>
      </c>
      <c r="AI247" t="str">
        <f>""</f>
        <v/>
      </c>
      <c r="AJ247" t="str">
        <f>""</f>
        <v/>
      </c>
      <c r="AK247" t="str">
        <f>""</f>
        <v/>
      </c>
      <c r="AL247" t="str">
        <f>""</f>
        <v/>
      </c>
      <c r="AM247" t="str">
        <f>""</f>
        <v/>
      </c>
      <c r="AN247" t="str">
        <f>""</f>
        <v/>
      </c>
      <c r="AO247" t="str">
        <f>""</f>
        <v/>
      </c>
      <c r="AP247" t="str">
        <f>""</f>
        <v/>
      </c>
      <c r="AQ247" t="str">
        <f>""</f>
        <v/>
      </c>
      <c r="AR247" t="str">
        <f>""</f>
        <v/>
      </c>
      <c r="AS247" t="str">
        <f>""</f>
        <v/>
      </c>
      <c r="AT247" t="str">
        <f>""</f>
        <v/>
      </c>
      <c r="AU247" t="str">
        <f>""</f>
        <v/>
      </c>
      <c r="AV247" t="str">
        <f>""</f>
        <v/>
      </c>
      <c r="AW247" t="str">
        <f>""</f>
        <v/>
      </c>
      <c r="AX247" t="str">
        <f>""</f>
        <v/>
      </c>
      <c r="AY247" t="str">
        <f>""</f>
        <v/>
      </c>
      <c r="AZ247" t="str">
        <f>""</f>
        <v/>
      </c>
      <c r="BA247" t="str">
        <f>""</f>
        <v/>
      </c>
      <c r="BB247" t="str">
        <f>""</f>
        <v/>
      </c>
      <c r="BC247" t="str">
        <f>""</f>
        <v/>
      </c>
      <c r="BD247" t="str">
        <f>""</f>
        <v/>
      </c>
      <c r="BE247" t="str">
        <f>""</f>
        <v/>
      </c>
      <c r="BF247" t="str">
        <f>""</f>
        <v/>
      </c>
      <c r="BG247" t="str">
        <f>""</f>
        <v/>
      </c>
      <c r="BH247" t="str">
        <f>""</f>
        <v/>
      </c>
      <c r="BI247" t="str">
        <f>""</f>
        <v/>
      </c>
      <c r="BJ247" t="str">
        <f>""</f>
        <v/>
      </c>
      <c r="BK247" t="str">
        <f>""</f>
        <v/>
      </c>
      <c r="BL247" t="str">
        <f>""</f>
        <v/>
      </c>
      <c r="BM247" t="str">
        <f>""</f>
        <v/>
      </c>
      <c r="BN247" t="str">
        <f>""</f>
        <v/>
      </c>
      <c r="BO247" t="str">
        <f>""</f>
        <v/>
      </c>
      <c r="BP247" t="str">
        <f>""</f>
        <v/>
      </c>
      <c r="BQ247" t="str">
        <f>""</f>
        <v/>
      </c>
      <c r="BR247" t="str">
        <f>""</f>
        <v/>
      </c>
      <c r="BS247" t="str">
        <f>""</f>
        <v/>
      </c>
      <c r="BT247" t="str">
        <f>""</f>
        <v/>
      </c>
      <c r="BU247" t="str">
        <f>""</f>
        <v/>
      </c>
      <c r="BV247" t="str">
        <f>""</f>
        <v/>
      </c>
      <c r="BW247" t="str">
        <f>""</f>
        <v/>
      </c>
      <c r="BX247" t="str">
        <f>""</f>
        <v/>
      </c>
      <c r="BY247" t="str">
        <f>""</f>
        <v/>
      </c>
      <c r="BZ247" t="str">
        <f>""</f>
        <v/>
      </c>
      <c r="CA247" t="str">
        <f>""</f>
        <v/>
      </c>
      <c r="CB247" t="str">
        <f>""</f>
        <v/>
      </c>
      <c r="CC247" t="str">
        <f>""</f>
        <v/>
      </c>
      <c r="CD247" t="str">
        <f>""</f>
        <v/>
      </c>
      <c r="CE247" t="str">
        <f>""</f>
        <v/>
      </c>
      <c r="CF247" t="str">
        <f>""</f>
        <v/>
      </c>
      <c r="CG247" t="str">
        <f>""</f>
        <v/>
      </c>
      <c r="CH247" t="str">
        <f>""</f>
        <v/>
      </c>
      <c r="CI247" t="str">
        <f>""</f>
        <v/>
      </c>
      <c r="CJ247" t="str">
        <f>""</f>
        <v/>
      </c>
      <c r="CK247" t="str">
        <f>""</f>
        <v/>
      </c>
      <c r="CL247" t="str">
        <f>""</f>
        <v/>
      </c>
      <c r="CM247" t="str">
        <f>""</f>
        <v/>
      </c>
      <c r="CN247" t="str">
        <f>""</f>
        <v/>
      </c>
      <c r="CO247" t="str">
        <f>""</f>
        <v/>
      </c>
      <c r="CP247" t="str">
        <f>""</f>
        <v/>
      </c>
      <c r="CQ247" t="str">
        <f>""</f>
        <v/>
      </c>
      <c r="CR247" t="str">
        <f>""</f>
        <v/>
      </c>
      <c r="CS247" t="str">
        <f>""</f>
        <v/>
      </c>
      <c r="CT247" t="str">
        <f>""</f>
        <v/>
      </c>
      <c r="CU247" t="str">
        <f>""</f>
        <v/>
      </c>
      <c r="CV247" t="str">
        <f>""</f>
        <v/>
      </c>
      <c r="CW247" t="str">
        <f>""</f>
        <v/>
      </c>
      <c r="CX247" t="str">
        <f>""</f>
        <v/>
      </c>
      <c r="CY247" t="str">
        <f>""</f>
        <v/>
      </c>
      <c r="CZ247" t="str">
        <f>""</f>
        <v/>
      </c>
      <c r="DA247" t="str">
        <f>""</f>
        <v/>
      </c>
      <c r="DB247" t="str">
        <f>""</f>
        <v/>
      </c>
      <c r="DC247" t="str">
        <f>""</f>
        <v/>
      </c>
      <c r="DD247" t="str">
        <f>""</f>
        <v/>
      </c>
      <c r="DE247" t="str">
        <f>""</f>
        <v/>
      </c>
      <c r="DF247" t="str">
        <f>""</f>
        <v/>
      </c>
      <c r="DG247" t="str">
        <f>""</f>
        <v/>
      </c>
      <c r="DH247" t="str">
        <f>""</f>
        <v/>
      </c>
      <c r="DI247" t="str">
        <f>""</f>
        <v/>
      </c>
      <c r="DJ247" t="str">
        <f>""</f>
        <v/>
      </c>
      <c r="DK247" t="str">
        <f>""</f>
        <v/>
      </c>
      <c r="DL247" t="str">
        <f>""</f>
        <v/>
      </c>
      <c r="DM247" t="str">
        <f>""</f>
        <v/>
      </c>
      <c r="DN247" t="str">
        <f>""</f>
        <v/>
      </c>
      <c r="DO247" t="str">
        <f>""</f>
        <v/>
      </c>
      <c r="DP247" t="str">
        <f>""</f>
        <v/>
      </c>
      <c r="DQ247" t="str">
        <f>""</f>
        <v/>
      </c>
      <c r="DR247" t="str">
        <f>""</f>
        <v/>
      </c>
      <c r="DS247" t="str">
        <f>""</f>
        <v/>
      </c>
      <c r="DT247" t="str">
        <f>""</f>
        <v/>
      </c>
      <c r="DU247" t="str">
        <f>""</f>
        <v/>
      </c>
      <c r="DV247" t="str">
        <f>""</f>
        <v/>
      </c>
      <c r="DW247" t="str">
        <f>""</f>
        <v/>
      </c>
      <c r="DX247" t="str">
        <f>""</f>
        <v/>
      </c>
      <c r="DY247" t="str">
        <f>""</f>
        <v/>
      </c>
      <c r="DZ247" t="str">
        <f>""</f>
        <v/>
      </c>
      <c r="EA247" t="str">
        <f>""</f>
        <v/>
      </c>
      <c r="EB247" t="str">
        <f>""</f>
        <v/>
      </c>
      <c r="EC247" t="str">
        <f>""</f>
        <v/>
      </c>
      <c r="ED247" t="str">
        <f>""</f>
        <v/>
      </c>
      <c r="EE247" t="str">
        <f>""</f>
        <v/>
      </c>
      <c r="EF247" t="str">
        <f>""</f>
        <v/>
      </c>
      <c r="EG247" t="str">
        <f>""</f>
        <v/>
      </c>
      <c r="EH247" t="str">
        <f>""</f>
        <v/>
      </c>
      <c r="EI247" t="str">
        <f>""</f>
        <v/>
      </c>
      <c r="EJ247" t="str">
        <f>""</f>
        <v/>
      </c>
      <c r="EK247" t="str">
        <f>""</f>
        <v/>
      </c>
      <c r="EL247" t="str">
        <f>""</f>
        <v/>
      </c>
      <c r="EM247" t="str">
        <f>""</f>
        <v/>
      </c>
      <c r="EN247" t="str">
        <f>""</f>
        <v/>
      </c>
      <c r="EO247" t="str">
        <f>""</f>
        <v/>
      </c>
      <c r="EP247" t="str">
        <f>""</f>
        <v/>
      </c>
      <c r="EQ247" t="str">
        <f>""</f>
        <v/>
      </c>
      <c r="ER247" t="str">
        <f>""</f>
        <v/>
      </c>
      <c r="ES247" t="str">
        <f>""</f>
        <v/>
      </c>
      <c r="ET247" t="str">
        <f>""</f>
        <v/>
      </c>
      <c r="EU247" t="str">
        <f>""</f>
        <v/>
      </c>
      <c r="EV247" t="str">
        <f>""</f>
        <v/>
      </c>
      <c r="EW247" t="str">
        <f>""</f>
        <v/>
      </c>
      <c r="EX247" t="str">
        <f>""</f>
        <v/>
      </c>
      <c r="EY247" t="str">
        <f>""</f>
        <v/>
      </c>
      <c r="EZ247" t="str">
        <f>""</f>
        <v/>
      </c>
      <c r="FA247" t="str">
        <f>""</f>
        <v/>
      </c>
      <c r="FB247" t="str">
        <f>"(0.109)"</f>
        <v>(0.109)</v>
      </c>
      <c r="FC247" t="str">
        <f>"(0.0859)"</f>
        <v>(0.0859)</v>
      </c>
      <c r="FD247" t="str">
        <f>"(0.0453)"</f>
        <v>(0.0453)</v>
      </c>
      <c r="FE247" t="str">
        <f>""</f>
        <v/>
      </c>
      <c r="FF247" t="str">
        <f>""</f>
        <v/>
      </c>
      <c r="FG247" t="str">
        <f>""</f>
        <v/>
      </c>
      <c r="FH247" t="str">
        <f>""</f>
        <v/>
      </c>
      <c r="FI247" t="str">
        <f>""</f>
        <v/>
      </c>
      <c r="FJ247" t="str">
        <f>""</f>
        <v/>
      </c>
      <c r="FK247" t="str">
        <f>""</f>
        <v/>
      </c>
      <c r="FL247" t="str">
        <f>""</f>
        <v/>
      </c>
      <c r="FM247" t="str">
        <f>""</f>
        <v/>
      </c>
      <c r="FN247" t="str">
        <f>""</f>
        <v/>
      </c>
      <c r="FO247" t="str">
        <f>""</f>
        <v/>
      </c>
      <c r="FP247" t="str">
        <f>""</f>
        <v/>
      </c>
      <c r="FQ247" t="str">
        <f>""</f>
        <v/>
      </c>
      <c r="FR247" t="str">
        <f>""</f>
        <v/>
      </c>
      <c r="FS247" t="str">
        <f>""</f>
        <v/>
      </c>
      <c r="FT247" t="str">
        <f>""</f>
        <v/>
      </c>
      <c r="FU247" t="str">
        <f>""</f>
        <v/>
      </c>
      <c r="FV247" t="str">
        <f>""</f>
        <v/>
      </c>
      <c r="FW247" t="str">
        <f>""</f>
        <v/>
      </c>
      <c r="FX247" t="str">
        <f>""</f>
        <v/>
      </c>
      <c r="FY247" t="str">
        <f>""</f>
        <v/>
      </c>
      <c r="FZ247" t="str">
        <f>""</f>
        <v/>
      </c>
      <c r="GA247" t="str">
        <f>""</f>
        <v/>
      </c>
      <c r="GB247" t="str">
        <f>""</f>
        <v/>
      </c>
      <c r="GC247" t="str">
        <f>""</f>
        <v/>
      </c>
      <c r="GD247" t="str">
        <f>""</f>
        <v/>
      </c>
      <c r="GE247" t="str">
        <f>""</f>
        <v/>
      </c>
      <c r="GF247" t="str">
        <f>""</f>
        <v/>
      </c>
      <c r="GG247" t="str">
        <f>""</f>
        <v/>
      </c>
      <c r="GH247" t="str">
        <f>""</f>
        <v/>
      </c>
      <c r="GI247" t="str">
        <f>""</f>
        <v/>
      </c>
      <c r="GJ247" t="str">
        <f>""</f>
        <v/>
      </c>
      <c r="GK247" t="str">
        <f>""</f>
        <v/>
      </c>
      <c r="GL247" t="str">
        <f>""</f>
        <v/>
      </c>
      <c r="GM247" t="str">
        <f>""</f>
        <v/>
      </c>
      <c r="GN247" t="str">
        <f>""</f>
        <v/>
      </c>
      <c r="GO247" t="str">
        <f>""</f>
        <v/>
      </c>
      <c r="GP247" t="str">
        <f>""</f>
        <v/>
      </c>
      <c r="GQ247" t="str">
        <f>""</f>
        <v/>
      </c>
      <c r="GR247" t="str">
        <f>""</f>
        <v/>
      </c>
      <c r="GS247" t="str">
        <f>""</f>
        <v/>
      </c>
      <c r="GT247" t="str">
        <f>""</f>
        <v/>
      </c>
      <c r="GU247" t="str">
        <f>""</f>
        <v/>
      </c>
      <c r="GV247" t="str">
        <f>""</f>
        <v/>
      </c>
      <c r="GW247" t="str">
        <f>""</f>
        <v/>
      </c>
      <c r="GX247" t="str">
        <f>""</f>
        <v/>
      </c>
      <c r="GY247" t="str">
        <f>""</f>
        <v/>
      </c>
      <c r="GZ247" t="str">
        <f>""</f>
        <v/>
      </c>
      <c r="HA247" t="str">
        <f>""</f>
        <v/>
      </c>
      <c r="HB247" t="str">
        <f>""</f>
        <v/>
      </c>
      <c r="HC247" t="str">
        <f>""</f>
        <v/>
      </c>
      <c r="HD247" t="str">
        <f>""</f>
        <v/>
      </c>
      <c r="HE247" t="str">
        <f>""</f>
        <v/>
      </c>
      <c r="HF247" t="str">
        <f>""</f>
        <v/>
      </c>
      <c r="HG247" t="str">
        <f>""</f>
        <v/>
      </c>
      <c r="HH247" t="str">
        <f>""</f>
        <v/>
      </c>
      <c r="HI247" t="str">
        <f>""</f>
        <v/>
      </c>
      <c r="HJ247" t="str">
        <f>""</f>
        <v/>
      </c>
      <c r="HK247" t="str">
        <f>""</f>
        <v/>
      </c>
      <c r="HL247" t="str">
        <f>""</f>
        <v/>
      </c>
      <c r="HM247" t="str">
        <f>""</f>
        <v/>
      </c>
      <c r="HN247" t="str">
        <f>""</f>
        <v/>
      </c>
      <c r="HO247" t="str">
        <f>""</f>
        <v/>
      </c>
      <c r="HP247" t="str">
        <f>""</f>
        <v/>
      </c>
      <c r="HQ247" t="str">
        <f>""</f>
        <v/>
      </c>
      <c r="HR247" t="str">
        <f>""</f>
        <v/>
      </c>
      <c r="HS247" t="str">
        <f>""</f>
        <v/>
      </c>
      <c r="HT247" t="str">
        <f>""</f>
        <v/>
      </c>
      <c r="HU247" t="str">
        <f>""</f>
        <v/>
      </c>
      <c r="HV247" t="str">
        <f>""</f>
        <v/>
      </c>
      <c r="HW247" t="str">
        <f>""</f>
        <v/>
      </c>
      <c r="HX247" t="str">
        <f>""</f>
        <v/>
      </c>
      <c r="HY247" t="str">
        <f>""</f>
        <v/>
      </c>
      <c r="HZ247" t="str">
        <f>""</f>
        <v/>
      </c>
      <c r="IA247" t="str">
        <f>""</f>
        <v/>
      </c>
      <c r="IB247" t="str">
        <f>""</f>
        <v/>
      </c>
      <c r="IC247" t="str">
        <f>""</f>
        <v/>
      </c>
      <c r="ID247" t="str">
        <f>""</f>
        <v/>
      </c>
      <c r="IE247" t="str">
        <f>""</f>
        <v/>
      </c>
      <c r="IF247" t="str">
        <f>""</f>
        <v/>
      </c>
      <c r="IG247" t="str">
        <f>""</f>
        <v/>
      </c>
      <c r="IH247" t="str">
        <f>""</f>
        <v/>
      </c>
      <c r="II247" t="str">
        <f>""</f>
        <v/>
      </c>
      <c r="IJ247" t="str">
        <f>""</f>
        <v/>
      </c>
      <c r="IK247" t="str">
        <f>""</f>
        <v/>
      </c>
      <c r="IL247" t="str">
        <f>""</f>
        <v/>
      </c>
      <c r="IM247" t="str">
        <f>""</f>
        <v/>
      </c>
      <c r="IN247" t="str">
        <f>""</f>
        <v/>
      </c>
      <c r="IO247" t="str">
        <f>""</f>
        <v/>
      </c>
      <c r="IP247" t="str">
        <f>""</f>
        <v/>
      </c>
      <c r="IQ247" t="str">
        <f>""</f>
        <v/>
      </c>
      <c r="IR247" t="str">
        <f>""</f>
        <v/>
      </c>
      <c r="IS247" t="str">
        <f>""</f>
        <v/>
      </c>
      <c r="IT247" t="str">
        <f>""</f>
        <v/>
      </c>
      <c r="IU247" t="str">
        <f>""</f>
        <v/>
      </c>
      <c r="IV247" t="str">
        <f>""</f>
        <v/>
      </c>
      <c r="IW247" t="str">
        <f>""</f>
        <v/>
      </c>
      <c r="IX247" t="str">
        <f>""</f>
        <v/>
      </c>
      <c r="IY247" t="str">
        <f>""</f>
        <v/>
      </c>
      <c r="IZ247" t="str">
        <f>""</f>
        <v/>
      </c>
      <c r="JA247" t="str">
        <f>""</f>
        <v/>
      </c>
      <c r="JB247" t="str">
        <f>""</f>
        <v/>
      </c>
      <c r="JC247" t="str">
        <f>""</f>
        <v/>
      </c>
      <c r="JD247" t="str">
        <f>""</f>
        <v/>
      </c>
      <c r="JE247" t="str">
        <f>""</f>
        <v/>
      </c>
      <c r="JF247" t="str">
        <f>""</f>
        <v/>
      </c>
      <c r="JG247" t="str">
        <f>""</f>
        <v/>
      </c>
      <c r="JH247" t="str">
        <f>""</f>
        <v/>
      </c>
      <c r="JI247" t="str">
        <f>""</f>
        <v/>
      </c>
      <c r="JJ247" t="str">
        <f>""</f>
        <v/>
      </c>
      <c r="JK247" t="str">
        <f>""</f>
        <v/>
      </c>
    </row>
    <row r="249" spans="1:271" x14ac:dyDescent="0.3">
      <c r="A249" t="str">
        <f>"c.zMETAB9#c.PM4"</f>
        <v>c.zMETAB9#c.PM4</v>
      </c>
      <c r="B249" t="str">
        <f>""</f>
        <v/>
      </c>
      <c r="C249" t="str">
        <f>""</f>
        <v/>
      </c>
      <c r="D249" t="str">
        <f>""</f>
        <v/>
      </c>
      <c r="E249" t="str">
        <f>""</f>
        <v/>
      </c>
      <c r="F249" t="str">
        <f>""</f>
        <v/>
      </c>
      <c r="G249" t="str">
        <f>""</f>
        <v/>
      </c>
      <c r="H249" t="str">
        <f>""</f>
        <v/>
      </c>
      <c r="I249" t="str">
        <f>""</f>
        <v/>
      </c>
      <c r="J249" t="str">
        <f>""</f>
        <v/>
      </c>
      <c r="K249" t="str">
        <f>""</f>
        <v/>
      </c>
      <c r="L249" t="str">
        <f>""</f>
        <v/>
      </c>
      <c r="M249" t="str">
        <f>""</f>
        <v/>
      </c>
      <c r="N249" t="str">
        <f>""</f>
        <v/>
      </c>
      <c r="O249" t="str">
        <f>""</f>
        <v/>
      </c>
      <c r="P249" t="str">
        <f>""</f>
        <v/>
      </c>
      <c r="Q249" t="str">
        <f>""</f>
        <v/>
      </c>
      <c r="R249" t="str">
        <f>""</f>
        <v/>
      </c>
      <c r="S249" t="str">
        <f>""</f>
        <v/>
      </c>
      <c r="T249" t="str">
        <f>""</f>
        <v/>
      </c>
      <c r="U249" t="str">
        <f>""</f>
        <v/>
      </c>
      <c r="V249" t="str">
        <f>""</f>
        <v/>
      </c>
      <c r="W249" t="str">
        <f>""</f>
        <v/>
      </c>
      <c r="X249" t="str">
        <f>""</f>
        <v/>
      </c>
      <c r="Y249" t="str">
        <f>""</f>
        <v/>
      </c>
      <c r="Z249" t="str">
        <f>""</f>
        <v/>
      </c>
      <c r="AA249" t="str">
        <f>""</f>
        <v/>
      </c>
      <c r="AB249" t="str">
        <f>""</f>
        <v/>
      </c>
      <c r="AC249" t="str">
        <f>""</f>
        <v/>
      </c>
      <c r="AD249" t="str">
        <f>""</f>
        <v/>
      </c>
      <c r="AE249" t="str">
        <f>""</f>
        <v/>
      </c>
      <c r="AF249" t="str">
        <f>""</f>
        <v/>
      </c>
      <c r="AG249" t="str">
        <f>""</f>
        <v/>
      </c>
      <c r="AH249" t="str">
        <f>""</f>
        <v/>
      </c>
      <c r="AI249" t="str">
        <f>""</f>
        <v/>
      </c>
      <c r="AJ249" t="str">
        <f>""</f>
        <v/>
      </c>
      <c r="AK249" t="str">
        <f>""</f>
        <v/>
      </c>
      <c r="AL249" t="str">
        <f>""</f>
        <v/>
      </c>
      <c r="AM249" t="str">
        <f>""</f>
        <v/>
      </c>
      <c r="AN249" t="str">
        <f>""</f>
        <v/>
      </c>
      <c r="AO249" t="str">
        <f>""</f>
        <v/>
      </c>
      <c r="AP249" t="str">
        <f>""</f>
        <v/>
      </c>
      <c r="AQ249" t="str">
        <f>""</f>
        <v/>
      </c>
      <c r="AR249" t="str">
        <f>""</f>
        <v/>
      </c>
      <c r="AS249" t="str">
        <f>""</f>
        <v/>
      </c>
      <c r="AT249" t="str">
        <f>""</f>
        <v/>
      </c>
      <c r="AU249" t="str">
        <f>""</f>
        <v/>
      </c>
      <c r="AV249" t="str">
        <f>""</f>
        <v/>
      </c>
      <c r="AW249" t="str">
        <f>""</f>
        <v/>
      </c>
      <c r="AX249" t="str">
        <f>""</f>
        <v/>
      </c>
      <c r="AY249" t="str">
        <f>""</f>
        <v/>
      </c>
      <c r="AZ249" t="str">
        <f>""</f>
        <v/>
      </c>
      <c r="BA249" t="str">
        <f>""</f>
        <v/>
      </c>
      <c r="BB249" t="str">
        <f>""</f>
        <v/>
      </c>
      <c r="BC249" t="str">
        <f>""</f>
        <v/>
      </c>
      <c r="BD249" t="str">
        <f>""</f>
        <v/>
      </c>
      <c r="BE249" t="str">
        <f>""</f>
        <v/>
      </c>
      <c r="BF249" t="str">
        <f>""</f>
        <v/>
      </c>
      <c r="BG249" t="str">
        <f>""</f>
        <v/>
      </c>
      <c r="BH249" t="str">
        <f>""</f>
        <v/>
      </c>
      <c r="BI249" t="str">
        <f>""</f>
        <v/>
      </c>
      <c r="BJ249" t="str">
        <f>""</f>
        <v/>
      </c>
      <c r="BK249" t="str">
        <f>""</f>
        <v/>
      </c>
      <c r="BL249" t="str">
        <f>""</f>
        <v/>
      </c>
      <c r="BM249" t="str">
        <f>""</f>
        <v/>
      </c>
      <c r="BN249" t="str">
        <f>""</f>
        <v/>
      </c>
      <c r="BO249" t="str">
        <f>""</f>
        <v/>
      </c>
      <c r="BP249" t="str">
        <f>""</f>
        <v/>
      </c>
      <c r="BQ249" t="str">
        <f>""</f>
        <v/>
      </c>
      <c r="BR249" t="str">
        <f>""</f>
        <v/>
      </c>
      <c r="BS249" t="str">
        <f>""</f>
        <v/>
      </c>
      <c r="BT249" t="str">
        <f>""</f>
        <v/>
      </c>
      <c r="BU249" t="str">
        <f>""</f>
        <v/>
      </c>
      <c r="BV249" t="str">
        <f>""</f>
        <v/>
      </c>
      <c r="BW249" t="str">
        <f>""</f>
        <v/>
      </c>
      <c r="BX249" t="str">
        <f>""</f>
        <v/>
      </c>
      <c r="BY249" t="str">
        <f>""</f>
        <v/>
      </c>
      <c r="BZ249" t="str">
        <f>""</f>
        <v/>
      </c>
      <c r="CA249" t="str">
        <f>""</f>
        <v/>
      </c>
      <c r="CB249" t="str">
        <f>""</f>
        <v/>
      </c>
      <c r="CC249" t="str">
        <f>""</f>
        <v/>
      </c>
      <c r="CD249" t="str">
        <f>""</f>
        <v/>
      </c>
      <c r="CE249" t="str">
        <f>""</f>
        <v/>
      </c>
      <c r="CF249" t="str">
        <f>""</f>
        <v/>
      </c>
      <c r="CG249" t="str">
        <f>""</f>
        <v/>
      </c>
      <c r="CH249" t="str">
        <f>""</f>
        <v/>
      </c>
      <c r="CI249" t="str">
        <f>""</f>
        <v/>
      </c>
      <c r="CJ249" t="str">
        <f>""</f>
        <v/>
      </c>
      <c r="CK249" t="str">
        <f>""</f>
        <v/>
      </c>
      <c r="CL249" t="str">
        <f>""</f>
        <v/>
      </c>
      <c r="CM249" t="str">
        <f>""</f>
        <v/>
      </c>
      <c r="CN249" t="str">
        <f>""</f>
        <v/>
      </c>
      <c r="CO249" t="str">
        <f>""</f>
        <v/>
      </c>
      <c r="CP249" t="str">
        <f>""</f>
        <v/>
      </c>
      <c r="CQ249" t="str">
        <f>""</f>
        <v/>
      </c>
      <c r="CR249" t="str">
        <f>""</f>
        <v/>
      </c>
      <c r="CS249" t="str">
        <f>""</f>
        <v/>
      </c>
      <c r="CT249" t="str">
        <f>""</f>
        <v/>
      </c>
      <c r="CU249" t="str">
        <f>""</f>
        <v/>
      </c>
      <c r="CV249" t="str">
        <f>""</f>
        <v/>
      </c>
      <c r="CW249" t="str">
        <f>""</f>
        <v/>
      </c>
      <c r="CX249" t="str">
        <f>""</f>
        <v/>
      </c>
      <c r="CY249" t="str">
        <f>""</f>
        <v/>
      </c>
      <c r="CZ249" t="str">
        <f>""</f>
        <v/>
      </c>
      <c r="DA249" t="str">
        <f>""</f>
        <v/>
      </c>
      <c r="DB249" t="str">
        <f>""</f>
        <v/>
      </c>
      <c r="DC249" t="str">
        <f>""</f>
        <v/>
      </c>
      <c r="DD249" t="str">
        <f>""</f>
        <v/>
      </c>
      <c r="DE249" t="str">
        <f>""</f>
        <v/>
      </c>
      <c r="DF249" t="str">
        <f>""</f>
        <v/>
      </c>
      <c r="DG249" t="str">
        <f>""</f>
        <v/>
      </c>
      <c r="DH249" t="str">
        <f>""</f>
        <v/>
      </c>
      <c r="DI249" t="str">
        <f>""</f>
        <v/>
      </c>
      <c r="DJ249" t="str">
        <f>""</f>
        <v/>
      </c>
      <c r="DK249" t="str">
        <f>""</f>
        <v/>
      </c>
      <c r="DL249" t="str">
        <f>""</f>
        <v/>
      </c>
      <c r="DM249" t="str">
        <f>""</f>
        <v/>
      </c>
      <c r="DN249" t="str">
        <f>""</f>
        <v/>
      </c>
      <c r="DO249" t="str">
        <f>""</f>
        <v/>
      </c>
      <c r="DP249" t="str">
        <f>""</f>
        <v/>
      </c>
      <c r="DQ249" t="str">
        <f>""</f>
        <v/>
      </c>
      <c r="DR249" t="str">
        <f>""</f>
        <v/>
      </c>
      <c r="DS249" t="str">
        <f>""</f>
        <v/>
      </c>
      <c r="DT249" t="str">
        <f>""</f>
        <v/>
      </c>
      <c r="DU249" t="str">
        <f>""</f>
        <v/>
      </c>
      <c r="DV249" t="str">
        <f>""</f>
        <v/>
      </c>
      <c r="DW249" t="str">
        <f>""</f>
        <v/>
      </c>
      <c r="DX249" t="str">
        <f>""</f>
        <v/>
      </c>
      <c r="DY249" t="str">
        <f>""</f>
        <v/>
      </c>
      <c r="DZ249" t="str">
        <f>""</f>
        <v/>
      </c>
      <c r="EA249" t="str">
        <f>""</f>
        <v/>
      </c>
      <c r="EB249" t="str">
        <f>""</f>
        <v/>
      </c>
      <c r="EC249" t="str">
        <f>""</f>
        <v/>
      </c>
      <c r="ED249" t="str">
        <f>""</f>
        <v/>
      </c>
      <c r="EE249" t="str">
        <f>""</f>
        <v/>
      </c>
      <c r="EF249" t="str">
        <f>""</f>
        <v/>
      </c>
      <c r="EG249" t="str">
        <f>""</f>
        <v/>
      </c>
      <c r="EH249" t="str">
        <f>""</f>
        <v/>
      </c>
      <c r="EI249" t="str">
        <f>""</f>
        <v/>
      </c>
      <c r="EJ249" t="str">
        <f>""</f>
        <v/>
      </c>
      <c r="EK249" t="str">
        <f>""</f>
        <v/>
      </c>
      <c r="EL249" t="str">
        <f>""</f>
        <v/>
      </c>
      <c r="EM249" t="str">
        <f>""</f>
        <v/>
      </c>
      <c r="EN249" t="str">
        <f>""</f>
        <v/>
      </c>
      <c r="EO249" t="str">
        <f>""</f>
        <v/>
      </c>
      <c r="EP249" t="str">
        <f>""</f>
        <v/>
      </c>
      <c r="EQ249" t="str">
        <f>""</f>
        <v/>
      </c>
      <c r="ER249" t="str">
        <f>""</f>
        <v/>
      </c>
      <c r="ES249" t="str">
        <f>""</f>
        <v/>
      </c>
      <c r="ET249" t="str">
        <f>""</f>
        <v/>
      </c>
      <c r="EU249" t="str">
        <f>""</f>
        <v/>
      </c>
      <c r="EV249" t="str">
        <f>""</f>
        <v/>
      </c>
      <c r="EW249" t="str">
        <f>""</f>
        <v/>
      </c>
      <c r="EX249" t="str">
        <f>""</f>
        <v/>
      </c>
      <c r="EY249" t="str">
        <f>""</f>
        <v/>
      </c>
      <c r="EZ249" t="str">
        <f>""</f>
        <v/>
      </c>
      <c r="FA249" t="str">
        <f>""</f>
        <v/>
      </c>
      <c r="FB249" t="str">
        <f>""</f>
        <v/>
      </c>
      <c r="FC249" t="str">
        <f>""</f>
        <v/>
      </c>
      <c r="FD249" t="str">
        <f>""</f>
        <v/>
      </c>
      <c r="FE249" t="str">
        <f>"0.0617"</f>
        <v>0.0617</v>
      </c>
      <c r="FF249" t="str">
        <f>"0.0632"</f>
        <v>0.0632</v>
      </c>
      <c r="FG249" t="str">
        <f>"-0.0158"</f>
        <v>-0.0158</v>
      </c>
      <c r="FH249" t="str">
        <f>""</f>
        <v/>
      </c>
      <c r="FI249" t="str">
        <f>""</f>
        <v/>
      </c>
      <c r="FJ249" t="str">
        <f>""</f>
        <v/>
      </c>
      <c r="FK249" t="str">
        <f>""</f>
        <v/>
      </c>
      <c r="FL249" t="str">
        <f>""</f>
        <v/>
      </c>
      <c r="FM249" t="str">
        <f>""</f>
        <v/>
      </c>
      <c r="FN249" t="str">
        <f>""</f>
        <v/>
      </c>
      <c r="FO249" t="str">
        <f>""</f>
        <v/>
      </c>
      <c r="FP249" t="str">
        <f>""</f>
        <v/>
      </c>
      <c r="FQ249" t="str">
        <f>""</f>
        <v/>
      </c>
      <c r="FR249" t="str">
        <f>""</f>
        <v/>
      </c>
      <c r="FS249" t="str">
        <f>""</f>
        <v/>
      </c>
      <c r="FT249" t="str">
        <f>""</f>
        <v/>
      </c>
      <c r="FU249" t="str">
        <f>""</f>
        <v/>
      </c>
      <c r="FV249" t="str">
        <f>""</f>
        <v/>
      </c>
      <c r="FW249" t="str">
        <f>""</f>
        <v/>
      </c>
      <c r="FX249" t="str">
        <f>""</f>
        <v/>
      </c>
      <c r="FY249" t="str">
        <f>""</f>
        <v/>
      </c>
      <c r="FZ249" t="str">
        <f>""</f>
        <v/>
      </c>
      <c r="GA249" t="str">
        <f>""</f>
        <v/>
      </c>
      <c r="GB249" t="str">
        <f>""</f>
        <v/>
      </c>
      <c r="GC249" t="str">
        <f>""</f>
        <v/>
      </c>
      <c r="GD249" t="str">
        <f>""</f>
        <v/>
      </c>
      <c r="GE249" t="str">
        <f>""</f>
        <v/>
      </c>
      <c r="GF249" t="str">
        <f>""</f>
        <v/>
      </c>
      <c r="GG249" t="str">
        <f>""</f>
        <v/>
      </c>
      <c r="GH249" t="str">
        <f>""</f>
        <v/>
      </c>
      <c r="GI249" t="str">
        <f>""</f>
        <v/>
      </c>
      <c r="GJ249" t="str">
        <f>""</f>
        <v/>
      </c>
      <c r="GK249" t="str">
        <f>""</f>
        <v/>
      </c>
      <c r="GL249" t="str">
        <f>""</f>
        <v/>
      </c>
      <c r="GM249" t="str">
        <f>""</f>
        <v/>
      </c>
      <c r="GN249" t="str">
        <f>""</f>
        <v/>
      </c>
      <c r="GO249" t="str">
        <f>""</f>
        <v/>
      </c>
      <c r="GP249" t="str">
        <f>""</f>
        <v/>
      </c>
      <c r="GQ249" t="str">
        <f>""</f>
        <v/>
      </c>
      <c r="GR249" t="str">
        <f>""</f>
        <v/>
      </c>
      <c r="GS249" t="str">
        <f>""</f>
        <v/>
      </c>
      <c r="GT249" t="str">
        <f>""</f>
        <v/>
      </c>
      <c r="GU249" t="str">
        <f>""</f>
        <v/>
      </c>
      <c r="GV249" t="str">
        <f>""</f>
        <v/>
      </c>
      <c r="GW249" t="str">
        <f>""</f>
        <v/>
      </c>
      <c r="GX249" t="str">
        <f>""</f>
        <v/>
      </c>
      <c r="GY249" t="str">
        <f>""</f>
        <v/>
      </c>
      <c r="GZ249" t="str">
        <f>""</f>
        <v/>
      </c>
      <c r="HA249" t="str">
        <f>""</f>
        <v/>
      </c>
      <c r="HB249" t="str">
        <f>""</f>
        <v/>
      </c>
      <c r="HC249" t="str">
        <f>""</f>
        <v/>
      </c>
      <c r="HD249" t="str">
        <f>""</f>
        <v/>
      </c>
      <c r="HE249" t="str">
        <f>""</f>
        <v/>
      </c>
      <c r="HF249" t="str">
        <f>""</f>
        <v/>
      </c>
      <c r="HG249" t="str">
        <f>""</f>
        <v/>
      </c>
      <c r="HH249" t="str">
        <f>""</f>
        <v/>
      </c>
      <c r="HI249" t="str">
        <f>""</f>
        <v/>
      </c>
      <c r="HJ249" t="str">
        <f>""</f>
        <v/>
      </c>
      <c r="HK249" t="str">
        <f>""</f>
        <v/>
      </c>
      <c r="HL249" t="str">
        <f>""</f>
        <v/>
      </c>
      <c r="HM249" t="str">
        <f>""</f>
        <v/>
      </c>
      <c r="HN249" t="str">
        <f>""</f>
        <v/>
      </c>
      <c r="HO249" t="str">
        <f>""</f>
        <v/>
      </c>
      <c r="HP249" t="str">
        <f>""</f>
        <v/>
      </c>
      <c r="HQ249" t="str">
        <f>""</f>
        <v/>
      </c>
      <c r="HR249" t="str">
        <f>""</f>
        <v/>
      </c>
      <c r="HS249" t="str">
        <f>""</f>
        <v/>
      </c>
      <c r="HT249" t="str">
        <f>""</f>
        <v/>
      </c>
      <c r="HU249" t="str">
        <f>""</f>
        <v/>
      </c>
      <c r="HV249" t="str">
        <f>""</f>
        <v/>
      </c>
      <c r="HW249" t="str">
        <f>""</f>
        <v/>
      </c>
      <c r="HX249" t="str">
        <f>""</f>
        <v/>
      </c>
      <c r="HY249" t="str">
        <f>""</f>
        <v/>
      </c>
      <c r="HZ249" t="str">
        <f>""</f>
        <v/>
      </c>
      <c r="IA249" t="str">
        <f>""</f>
        <v/>
      </c>
      <c r="IB249" t="str">
        <f>""</f>
        <v/>
      </c>
      <c r="IC249" t="str">
        <f>""</f>
        <v/>
      </c>
      <c r="ID249" t="str">
        <f>""</f>
        <v/>
      </c>
      <c r="IE249" t="str">
        <f>""</f>
        <v/>
      </c>
      <c r="IF249" t="str">
        <f>""</f>
        <v/>
      </c>
      <c r="IG249" t="str">
        <f>""</f>
        <v/>
      </c>
      <c r="IH249" t="str">
        <f>""</f>
        <v/>
      </c>
      <c r="II249" t="str">
        <f>""</f>
        <v/>
      </c>
      <c r="IJ249" t="str">
        <f>""</f>
        <v/>
      </c>
      <c r="IK249" t="str">
        <f>""</f>
        <v/>
      </c>
      <c r="IL249" t="str">
        <f>""</f>
        <v/>
      </c>
      <c r="IM249" t="str">
        <f>""</f>
        <v/>
      </c>
      <c r="IN249" t="str">
        <f>""</f>
        <v/>
      </c>
      <c r="IO249" t="str">
        <f>""</f>
        <v/>
      </c>
      <c r="IP249" t="str">
        <f>""</f>
        <v/>
      </c>
      <c r="IQ249" t="str">
        <f>""</f>
        <v/>
      </c>
      <c r="IR249" t="str">
        <f>""</f>
        <v/>
      </c>
      <c r="IS249" t="str">
        <f>""</f>
        <v/>
      </c>
      <c r="IT249" t="str">
        <f>""</f>
        <v/>
      </c>
      <c r="IU249" t="str">
        <f>""</f>
        <v/>
      </c>
      <c r="IV249" t="str">
        <f>""</f>
        <v/>
      </c>
      <c r="IW249" t="str">
        <f>""</f>
        <v/>
      </c>
      <c r="IX249" t="str">
        <f>""</f>
        <v/>
      </c>
      <c r="IY249" t="str">
        <f>""</f>
        <v/>
      </c>
      <c r="IZ249" t="str">
        <f>""</f>
        <v/>
      </c>
      <c r="JA249" t="str">
        <f>""</f>
        <v/>
      </c>
      <c r="JB249" t="str">
        <f>""</f>
        <v/>
      </c>
      <c r="JC249" t="str">
        <f>""</f>
        <v/>
      </c>
      <c r="JD249" t="str">
        <f>""</f>
        <v/>
      </c>
      <c r="JE249" t="str">
        <f>""</f>
        <v/>
      </c>
      <c r="JF249" t="str">
        <f>""</f>
        <v/>
      </c>
      <c r="JG249" t="str">
        <f>""</f>
        <v/>
      </c>
      <c r="JH249" t="str">
        <f>""</f>
        <v/>
      </c>
      <c r="JI249" t="str">
        <f>""</f>
        <v/>
      </c>
      <c r="JJ249" t="str">
        <f>""</f>
        <v/>
      </c>
      <c r="JK249" t="str">
        <f>""</f>
        <v/>
      </c>
    </row>
    <row r="250" spans="1:271" x14ac:dyDescent="0.3">
      <c r="A250" t="str">
        <f>""</f>
        <v/>
      </c>
      <c r="B250" t="str">
        <f>""</f>
        <v/>
      </c>
      <c r="C250" t="str">
        <f>""</f>
        <v/>
      </c>
      <c r="D250" t="str">
        <f>""</f>
        <v/>
      </c>
      <c r="E250" t="str">
        <f>""</f>
        <v/>
      </c>
      <c r="F250" t="str">
        <f>""</f>
        <v/>
      </c>
      <c r="G250" t="str">
        <f>""</f>
        <v/>
      </c>
      <c r="H250" t="str">
        <f>""</f>
        <v/>
      </c>
      <c r="I250" t="str">
        <f>""</f>
        <v/>
      </c>
      <c r="J250" t="str">
        <f>""</f>
        <v/>
      </c>
      <c r="K250" t="str">
        <f>""</f>
        <v/>
      </c>
      <c r="L250" t="str">
        <f>""</f>
        <v/>
      </c>
      <c r="M250" t="str">
        <f>""</f>
        <v/>
      </c>
      <c r="N250" t="str">
        <f>""</f>
        <v/>
      </c>
      <c r="O250" t="str">
        <f>""</f>
        <v/>
      </c>
      <c r="P250" t="str">
        <f>""</f>
        <v/>
      </c>
      <c r="Q250" t="str">
        <f>""</f>
        <v/>
      </c>
      <c r="R250" t="str">
        <f>""</f>
        <v/>
      </c>
      <c r="S250" t="str">
        <f>""</f>
        <v/>
      </c>
      <c r="T250" t="str">
        <f>""</f>
        <v/>
      </c>
      <c r="U250" t="str">
        <f>""</f>
        <v/>
      </c>
      <c r="V250" t="str">
        <f>""</f>
        <v/>
      </c>
      <c r="W250" t="str">
        <f>""</f>
        <v/>
      </c>
      <c r="X250" t="str">
        <f>""</f>
        <v/>
      </c>
      <c r="Y250" t="str">
        <f>""</f>
        <v/>
      </c>
      <c r="Z250" t="str">
        <f>""</f>
        <v/>
      </c>
      <c r="AA250" t="str">
        <f>""</f>
        <v/>
      </c>
      <c r="AB250" t="str">
        <f>""</f>
        <v/>
      </c>
      <c r="AC250" t="str">
        <f>""</f>
        <v/>
      </c>
      <c r="AD250" t="str">
        <f>""</f>
        <v/>
      </c>
      <c r="AE250" t="str">
        <f>""</f>
        <v/>
      </c>
      <c r="AF250" t="str">
        <f>""</f>
        <v/>
      </c>
      <c r="AG250" t="str">
        <f>""</f>
        <v/>
      </c>
      <c r="AH250" t="str">
        <f>""</f>
        <v/>
      </c>
      <c r="AI250" t="str">
        <f>""</f>
        <v/>
      </c>
      <c r="AJ250" t="str">
        <f>""</f>
        <v/>
      </c>
      <c r="AK250" t="str">
        <f>""</f>
        <v/>
      </c>
      <c r="AL250" t="str">
        <f>""</f>
        <v/>
      </c>
      <c r="AM250" t="str">
        <f>""</f>
        <v/>
      </c>
      <c r="AN250" t="str">
        <f>""</f>
        <v/>
      </c>
      <c r="AO250" t="str">
        <f>""</f>
        <v/>
      </c>
      <c r="AP250" t="str">
        <f>""</f>
        <v/>
      </c>
      <c r="AQ250" t="str">
        <f>""</f>
        <v/>
      </c>
      <c r="AR250" t="str">
        <f>""</f>
        <v/>
      </c>
      <c r="AS250" t="str">
        <f>""</f>
        <v/>
      </c>
      <c r="AT250" t="str">
        <f>""</f>
        <v/>
      </c>
      <c r="AU250" t="str">
        <f>""</f>
        <v/>
      </c>
      <c r="AV250" t="str">
        <f>""</f>
        <v/>
      </c>
      <c r="AW250" t="str">
        <f>""</f>
        <v/>
      </c>
      <c r="AX250" t="str">
        <f>""</f>
        <v/>
      </c>
      <c r="AY250" t="str">
        <f>""</f>
        <v/>
      </c>
      <c r="AZ250" t="str">
        <f>""</f>
        <v/>
      </c>
      <c r="BA250" t="str">
        <f>""</f>
        <v/>
      </c>
      <c r="BB250" t="str">
        <f>""</f>
        <v/>
      </c>
      <c r="BC250" t="str">
        <f>""</f>
        <v/>
      </c>
      <c r="BD250" t="str">
        <f>""</f>
        <v/>
      </c>
      <c r="BE250" t="str">
        <f>""</f>
        <v/>
      </c>
      <c r="BF250" t="str">
        <f>""</f>
        <v/>
      </c>
      <c r="BG250" t="str">
        <f>""</f>
        <v/>
      </c>
      <c r="BH250" t="str">
        <f>""</f>
        <v/>
      </c>
      <c r="BI250" t="str">
        <f>""</f>
        <v/>
      </c>
      <c r="BJ250" t="str">
        <f>""</f>
        <v/>
      </c>
      <c r="BK250" t="str">
        <f>""</f>
        <v/>
      </c>
      <c r="BL250" t="str">
        <f>""</f>
        <v/>
      </c>
      <c r="BM250" t="str">
        <f>""</f>
        <v/>
      </c>
      <c r="BN250" t="str">
        <f>""</f>
        <v/>
      </c>
      <c r="BO250" t="str">
        <f>""</f>
        <v/>
      </c>
      <c r="BP250" t="str">
        <f>""</f>
        <v/>
      </c>
      <c r="BQ250" t="str">
        <f>""</f>
        <v/>
      </c>
      <c r="BR250" t="str">
        <f>""</f>
        <v/>
      </c>
      <c r="BS250" t="str">
        <f>""</f>
        <v/>
      </c>
      <c r="BT250" t="str">
        <f>""</f>
        <v/>
      </c>
      <c r="BU250" t="str">
        <f>""</f>
        <v/>
      </c>
      <c r="BV250" t="str">
        <f>""</f>
        <v/>
      </c>
      <c r="BW250" t="str">
        <f>""</f>
        <v/>
      </c>
      <c r="BX250" t="str">
        <f>""</f>
        <v/>
      </c>
      <c r="BY250" t="str">
        <f>""</f>
        <v/>
      </c>
      <c r="BZ250" t="str">
        <f>""</f>
        <v/>
      </c>
      <c r="CA250" t="str">
        <f>""</f>
        <v/>
      </c>
      <c r="CB250" t="str">
        <f>""</f>
        <v/>
      </c>
      <c r="CC250" t="str">
        <f>""</f>
        <v/>
      </c>
      <c r="CD250" t="str">
        <f>""</f>
        <v/>
      </c>
      <c r="CE250" t="str">
        <f>""</f>
        <v/>
      </c>
      <c r="CF250" t="str">
        <f>""</f>
        <v/>
      </c>
      <c r="CG250" t="str">
        <f>""</f>
        <v/>
      </c>
      <c r="CH250" t="str">
        <f>""</f>
        <v/>
      </c>
      <c r="CI250" t="str">
        <f>""</f>
        <v/>
      </c>
      <c r="CJ250" t="str">
        <f>""</f>
        <v/>
      </c>
      <c r="CK250" t="str">
        <f>""</f>
        <v/>
      </c>
      <c r="CL250" t="str">
        <f>""</f>
        <v/>
      </c>
      <c r="CM250" t="str">
        <f>""</f>
        <v/>
      </c>
      <c r="CN250" t="str">
        <f>""</f>
        <v/>
      </c>
      <c r="CO250" t="str">
        <f>""</f>
        <v/>
      </c>
      <c r="CP250" t="str">
        <f>""</f>
        <v/>
      </c>
      <c r="CQ250" t="str">
        <f>""</f>
        <v/>
      </c>
      <c r="CR250" t="str">
        <f>""</f>
        <v/>
      </c>
      <c r="CS250" t="str">
        <f>""</f>
        <v/>
      </c>
      <c r="CT250" t="str">
        <f>""</f>
        <v/>
      </c>
      <c r="CU250" t="str">
        <f>""</f>
        <v/>
      </c>
      <c r="CV250" t="str">
        <f>""</f>
        <v/>
      </c>
      <c r="CW250" t="str">
        <f>""</f>
        <v/>
      </c>
      <c r="CX250" t="str">
        <f>""</f>
        <v/>
      </c>
      <c r="CY250" t="str">
        <f>""</f>
        <v/>
      </c>
      <c r="CZ250" t="str">
        <f>""</f>
        <v/>
      </c>
      <c r="DA250" t="str">
        <f>""</f>
        <v/>
      </c>
      <c r="DB250" t="str">
        <f>""</f>
        <v/>
      </c>
      <c r="DC250" t="str">
        <f>""</f>
        <v/>
      </c>
      <c r="DD250" t="str">
        <f>""</f>
        <v/>
      </c>
      <c r="DE250" t="str">
        <f>""</f>
        <v/>
      </c>
      <c r="DF250" t="str">
        <f>""</f>
        <v/>
      </c>
      <c r="DG250" t="str">
        <f>""</f>
        <v/>
      </c>
      <c r="DH250" t="str">
        <f>""</f>
        <v/>
      </c>
      <c r="DI250" t="str">
        <f>""</f>
        <v/>
      </c>
      <c r="DJ250" t="str">
        <f>""</f>
        <v/>
      </c>
      <c r="DK250" t="str">
        <f>""</f>
        <v/>
      </c>
      <c r="DL250" t="str">
        <f>""</f>
        <v/>
      </c>
      <c r="DM250" t="str">
        <f>""</f>
        <v/>
      </c>
      <c r="DN250" t="str">
        <f>""</f>
        <v/>
      </c>
      <c r="DO250" t="str">
        <f>""</f>
        <v/>
      </c>
      <c r="DP250" t="str">
        <f>""</f>
        <v/>
      </c>
      <c r="DQ250" t="str">
        <f>""</f>
        <v/>
      </c>
      <c r="DR250" t="str">
        <f>""</f>
        <v/>
      </c>
      <c r="DS250" t="str">
        <f>""</f>
        <v/>
      </c>
      <c r="DT250" t="str">
        <f>""</f>
        <v/>
      </c>
      <c r="DU250" t="str">
        <f>""</f>
        <v/>
      </c>
      <c r="DV250" t="str">
        <f>""</f>
        <v/>
      </c>
      <c r="DW250" t="str">
        <f>""</f>
        <v/>
      </c>
      <c r="DX250" t="str">
        <f>""</f>
        <v/>
      </c>
      <c r="DY250" t="str">
        <f>""</f>
        <v/>
      </c>
      <c r="DZ250" t="str">
        <f>""</f>
        <v/>
      </c>
      <c r="EA250" t="str">
        <f>""</f>
        <v/>
      </c>
      <c r="EB250" t="str">
        <f>""</f>
        <v/>
      </c>
      <c r="EC250" t="str">
        <f>""</f>
        <v/>
      </c>
      <c r="ED250" t="str">
        <f>""</f>
        <v/>
      </c>
      <c r="EE250" t="str">
        <f>""</f>
        <v/>
      </c>
      <c r="EF250" t="str">
        <f>""</f>
        <v/>
      </c>
      <c r="EG250" t="str">
        <f>""</f>
        <v/>
      </c>
      <c r="EH250" t="str">
        <f>""</f>
        <v/>
      </c>
      <c r="EI250" t="str">
        <f>""</f>
        <v/>
      </c>
      <c r="EJ250" t="str">
        <f>""</f>
        <v/>
      </c>
      <c r="EK250" t="str">
        <f>""</f>
        <v/>
      </c>
      <c r="EL250" t="str">
        <f>""</f>
        <v/>
      </c>
      <c r="EM250" t="str">
        <f>""</f>
        <v/>
      </c>
      <c r="EN250" t="str">
        <f>""</f>
        <v/>
      </c>
      <c r="EO250" t="str">
        <f>""</f>
        <v/>
      </c>
      <c r="EP250" t="str">
        <f>""</f>
        <v/>
      </c>
      <c r="EQ250" t="str">
        <f>""</f>
        <v/>
      </c>
      <c r="ER250" t="str">
        <f>""</f>
        <v/>
      </c>
      <c r="ES250" t="str">
        <f>""</f>
        <v/>
      </c>
      <c r="ET250" t="str">
        <f>""</f>
        <v/>
      </c>
      <c r="EU250" t="str">
        <f>""</f>
        <v/>
      </c>
      <c r="EV250" t="str">
        <f>""</f>
        <v/>
      </c>
      <c r="EW250" t="str">
        <f>""</f>
        <v/>
      </c>
      <c r="EX250" t="str">
        <f>""</f>
        <v/>
      </c>
      <c r="EY250" t="str">
        <f>""</f>
        <v/>
      </c>
      <c r="EZ250" t="str">
        <f>""</f>
        <v/>
      </c>
      <c r="FA250" t="str">
        <f>""</f>
        <v/>
      </c>
      <c r="FB250" t="str">
        <f>""</f>
        <v/>
      </c>
      <c r="FC250" t="str">
        <f>""</f>
        <v/>
      </c>
      <c r="FD250" t="str">
        <f>""</f>
        <v/>
      </c>
      <c r="FE250" t="str">
        <f>"(0.106)"</f>
        <v>(0.106)</v>
      </c>
      <c r="FF250" t="str">
        <f>"(0.0825)"</f>
        <v>(0.0825)</v>
      </c>
      <c r="FG250" t="str">
        <f>"(0.0455)"</f>
        <v>(0.0455)</v>
      </c>
      <c r="FH250" t="str">
        <f>""</f>
        <v/>
      </c>
      <c r="FI250" t="str">
        <f>""</f>
        <v/>
      </c>
      <c r="FJ250" t="str">
        <f>""</f>
        <v/>
      </c>
      <c r="FK250" t="str">
        <f>""</f>
        <v/>
      </c>
      <c r="FL250" t="str">
        <f>""</f>
        <v/>
      </c>
      <c r="FM250" t="str">
        <f>""</f>
        <v/>
      </c>
      <c r="FN250" t="str">
        <f>""</f>
        <v/>
      </c>
      <c r="FO250" t="str">
        <f>""</f>
        <v/>
      </c>
      <c r="FP250" t="str">
        <f>""</f>
        <v/>
      </c>
      <c r="FQ250" t="str">
        <f>""</f>
        <v/>
      </c>
      <c r="FR250" t="str">
        <f>""</f>
        <v/>
      </c>
      <c r="FS250" t="str">
        <f>""</f>
        <v/>
      </c>
      <c r="FT250" t="str">
        <f>""</f>
        <v/>
      </c>
      <c r="FU250" t="str">
        <f>""</f>
        <v/>
      </c>
      <c r="FV250" t="str">
        <f>""</f>
        <v/>
      </c>
      <c r="FW250" t="str">
        <f>""</f>
        <v/>
      </c>
      <c r="FX250" t="str">
        <f>""</f>
        <v/>
      </c>
      <c r="FY250" t="str">
        <f>""</f>
        <v/>
      </c>
      <c r="FZ250" t="str">
        <f>""</f>
        <v/>
      </c>
      <c r="GA250" t="str">
        <f>""</f>
        <v/>
      </c>
      <c r="GB250" t="str">
        <f>""</f>
        <v/>
      </c>
      <c r="GC250" t="str">
        <f>""</f>
        <v/>
      </c>
      <c r="GD250" t="str">
        <f>""</f>
        <v/>
      </c>
      <c r="GE250" t="str">
        <f>""</f>
        <v/>
      </c>
      <c r="GF250" t="str">
        <f>""</f>
        <v/>
      </c>
      <c r="GG250" t="str">
        <f>""</f>
        <v/>
      </c>
      <c r="GH250" t="str">
        <f>""</f>
        <v/>
      </c>
      <c r="GI250" t="str">
        <f>""</f>
        <v/>
      </c>
      <c r="GJ250" t="str">
        <f>""</f>
        <v/>
      </c>
      <c r="GK250" t="str">
        <f>""</f>
        <v/>
      </c>
      <c r="GL250" t="str">
        <f>""</f>
        <v/>
      </c>
      <c r="GM250" t="str">
        <f>""</f>
        <v/>
      </c>
      <c r="GN250" t="str">
        <f>""</f>
        <v/>
      </c>
      <c r="GO250" t="str">
        <f>""</f>
        <v/>
      </c>
      <c r="GP250" t="str">
        <f>""</f>
        <v/>
      </c>
      <c r="GQ250" t="str">
        <f>""</f>
        <v/>
      </c>
      <c r="GR250" t="str">
        <f>""</f>
        <v/>
      </c>
      <c r="GS250" t="str">
        <f>""</f>
        <v/>
      </c>
      <c r="GT250" t="str">
        <f>""</f>
        <v/>
      </c>
      <c r="GU250" t="str">
        <f>""</f>
        <v/>
      </c>
      <c r="GV250" t="str">
        <f>""</f>
        <v/>
      </c>
      <c r="GW250" t="str">
        <f>""</f>
        <v/>
      </c>
      <c r="GX250" t="str">
        <f>""</f>
        <v/>
      </c>
      <c r="GY250" t="str">
        <f>""</f>
        <v/>
      </c>
      <c r="GZ250" t="str">
        <f>""</f>
        <v/>
      </c>
      <c r="HA250" t="str">
        <f>""</f>
        <v/>
      </c>
      <c r="HB250" t="str">
        <f>""</f>
        <v/>
      </c>
      <c r="HC250" t="str">
        <f>""</f>
        <v/>
      </c>
      <c r="HD250" t="str">
        <f>""</f>
        <v/>
      </c>
      <c r="HE250" t="str">
        <f>""</f>
        <v/>
      </c>
      <c r="HF250" t="str">
        <f>""</f>
        <v/>
      </c>
      <c r="HG250" t="str">
        <f>""</f>
        <v/>
      </c>
      <c r="HH250" t="str">
        <f>""</f>
        <v/>
      </c>
      <c r="HI250" t="str">
        <f>""</f>
        <v/>
      </c>
      <c r="HJ250" t="str">
        <f>""</f>
        <v/>
      </c>
      <c r="HK250" t="str">
        <f>""</f>
        <v/>
      </c>
      <c r="HL250" t="str">
        <f>""</f>
        <v/>
      </c>
      <c r="HM250" t="str">
        <f>""</f>
        <v/>
      </c>
      <c r="HN250" t="str">
        <f>""</f>
        <v/>
      </c>
      <c r="HO250" t="str">
        <f>""</f>
        <v/>
      </c>
      <c r="HP250" t="str">
        <f>""</f>
        <v/>
      </c>
      <c r="HQ250" t="str">
        <f>""</f>
        <v/>
      </c>
      <c r="HR250" t="str">
        <f>""</f>
        <v/>
      </c>
      <c r="HS250" t="str">
        <f>""</f>
        <v/>
      </c>
      <c r="HT250" t="str">
        <f>""</f>
        <v/>
      </c>
      <c r="HU250" t="str">
        <f>""</f>
        <v/>
      </c>
      <c r="HV250" t="str">
        <f>""</f>
        <v/>
      </c>
      <c r="HW250" t="str">
        <f>""</f>
        <v/>
      </c>
      <c r="HX250" t="str">
        <f>""</f>
        <v/>
      </c>
      <c r="HY250" t="str">
        <f>""</f>
        <v/>
      </c>
      <c r="HZ250" t="str">
        <f>""</f>
        <v/>
      </c>
      <c r="IA250" t="str">
        <f>""</f>
        <v/>
      </c>
      <c r="IB250" t="str">
        <f>""</f>
        <v/>
      </c>
      <c r="IC250" t="str">
        <f>""</f>
        <v/>
      </c>
      <c r="ID250" t="str">
        <f>""</f>
        <v/>
      </c>
      <c r="IE250" t="str">
        <f>""</f>
        <v/>
      </c>
      <c r="IF250" t="str">
        <f>""</f>
        <v/>
      </c>
      <c r="IG250" t="str">
        <f>""</f>
        <v/>
      </c>
      <c r="IH250" t="str">
        <f>""</f>
        <v/>
      </c>
      <c r="II250" t="str">
        <f>""</f>
        <v/>
      </c>
      <c r="IJ250" t="str">
        <f>""</f>
        <v/>
      </c>
      <c r="IK250" t="str">
        <f>""</f>
        <v/>
      </c>
      <c r="IL250" t="str">
        <f>""</f>
        <v/>
      </c>
      <c r="IM250" t="str">
        <f>""</f>
        <v/>
      </c>
      <c r="IN250" t="str">
        <f>""</f>
        <v/>
      </c>
      <c r="IO250" t="str">
        <f>""</f>
        <v/>
      </c>
      <c r="IP250" t="str">
        <f>""</f>
        <v/>
      </c>
      <c r="IQ250" t="str">
        <f>""</f>
        <v/>
      </c>
      <c r="IR250" t="str">
        <f>""</f>
        <v/>
      </c>
      <c r="IS250" t="str">
        <f>""</f>
        <v/>
      </c>
      <c r="IT250" t="str">
        <f>""</f>
        <v/>
      </c>
      <c r="IU250" t="str">
        <f>""</f>
        <v/>
      </c>
      <c r="IV250" t="str">
        <f>""</f>
        <v/>
      </c>
      <c r="IW250" t="str">
        <f>""</f>
        <v/>
      </c>
      <c r="IX250" t="str">
        <f>""</f>
        <v/>
      </c>
      <c r="IY250" t="str">
        <f>""</f>
        <v/>
      </c>
      <c r="IZ250" t="str">
        <f>""</f>
        <v/>
      </c>
      <c r="JA250" t="str">
        <f>""</f>
        <v/>
      </c>
      <c r="JB250" t="str">
        <f>""</f>
        <v/>
      </c>
      <c r="JC250" t="str">
        <f>""</f>
        <v/>
      </c>
      <c r="JD250" t="str">
        <f>""</f>
        <v/>
      </c>
      <c r="JE250" t="str">
        <f>""</f>
        <v/>
      </c>
      <c r="JF250" t="str">
        <f>""</f>
        <v/>
      </c>
      <c r="JG250" t="str">
        <f>""</f>
        <v/>
      </c>
      <c r="JH250" t="str">
        <f>""</f>
        <v/>
      </c>
      <c r="JI250" t="str">
        <f>""</f>
        <v/>
      </c>
      <c r="JJ250" t="str">
        <f>""</f>
        <v/>
      </c>
      <c r="JK250" t="str">
        <f>""</f>
        <v/>
      </c>
    </row>
    <row r="252" spans="1:271" x14ac:dyDescent="0.3">
      <c r="A252" t="str">
        <f>"c.zMETAB10#c.PM4"</f>
        <v>c.zMETAB10#c.PM4</v>
      </c>
      <c r="B252" t="str">
        <f>""</f>
        <v/>
      </c>
      <c r="C252" t="str">
        <f>""</f>
        <v/>
      </c>
      <c r="D252" t="str">
        <f>""</f>
        <v/>
      </c>
      <c r="E252" t="str">
        <f>""</f>
        <v/>
      </c>
      <c r="F252" t="str">
        <f>""</f>
        <v/>
      </c>
      <c r="G252" t="str">
        <f>""</f>
        <v/>
      </c>
      <c r="H252" t="str">
        <f>""</f>
        <v/>
      </c>
      <c r="I252" t="str">
        <f>""</f>
        <v/>
      </c>
      <c r="J252" t="str">
        <f>""</f>
        <v/>
      </c>
      <c r="K252" t="str">
        <f>""</f>
        <v/>
      </c>
      <c r="L252" t="str">
        <f>""</f>
        <v/>
      </c>
      <c r="M252" t="str">
        <f>""</f>
        <v/>
      </c>
      <c r="N252" t="str">
        <f>""</f>
        <v/>
      </c>
      <c r="O252" t="str">
        <f>""</f>
        <v/>
      </c>
      <c r="P252" t="str">
        <f>""</f>
        <v/>
      </c>
      <c r="Q252" t="str">
        <f>""</f>
        <v/>
      </c>
      <c r="R252" t="str">
        <f>""</f>
        <v/>
      </c>
      <c r="S252" t="str">
        <f>""</f>
        <v/>
      </c>
      <c r="T252" t="str">
        <f>""</f>
        <v/>
      </c>
      <c r="U252" t="str">
        <f>""</f>
        <v/>
      </c>
      <c r="V252" t="str">
        <f>""</f>
        <v/>
      </c>
      <c r="W252" t="str">
        <f>""</f>
        <v/>
      </c>
      <c r="X252" t="str">
        <f>""</f>
        <v/>
      </c>
      <c r="Y252" t="str">
        <f>""</f>
        <v/>
      </c>
      <c r="Z252" t="str">
        <f>""</f>
        <v/>
      </c>
      <c r="AA252" t="str">
        <f>""</f>
        <v/>
      </c>
      <c r="AB252" t="str">
        <f>""</f>
        <v/>
      </c>
      <c r="AC252" t="str">
        <f>""</f>
        <v/>
      </c>
      <c r="AD252" t="str">
        <f>""</f>
        <v/>
      </c>
      <c r="AE252" t="str">
        <f>""</f>
        <v/>
      </c>
      <c r="AF252" t="str">
        <f>""</f>
        <v/>
      </c>
      <c r="AG252" t="str">
        <f>""</f>
        <v/>
      </c>
      <c r="AH252" t="str">
        <f>""</f>
        <v/>
      </c>
      <c r="AI252" t="str">
        <f>""</f>
        <v/>
      </c>
      <c r="AJ252" t="str">
        <f>""</f>
        <v/>
      </c>
      <c r="AK252" t="str">
        <f>""</f>
        <v/>
      </c>
      <c r="AL252" t="str">
        <f>""</f>
        <v/>
      </c>
      <c r="AM252" t="str">
        <f>""</f>
        <v/>
      </c>
      <c r="AN252" t="str">
        <f>""</f>
        <v/>
      </c>
      <c r="AO252" t="str">
        <f>""</f>
        <v/>
      </c>
      <c r="AP252" t="str">
        <f>""</f>
        <v/>
      </c>
      <c r="AQ252" t="str">
        <f>""</f>
        <v/>
      </c>
      <c r="AR252" t="str">
        <f>""</f>
        <v/>
      </c>
      <c r="AS252" t="str">
        <f>""</f>
        <v/>
      </c>
      <c r="AT252" t="str">
        <f>""</f>
        <v/>
      </c>
      <c r="AU252" t="str">
        <f>""</f>
        <v/>
      </c>
      <c r="AV252" t="str">
        <f>""</f>
        <v/>
      </c>
      <c r="AW252" t="str">
        <f>""</f>
        <v/>
      </c>
      <c r="AX252" t="str">
        <f>""</f>
        <v/>
      </c>
      <c r="AY252" t="str">
        <f>""</f>
        <v/>
      </c>
      <c r="AZ252" t="str">
        <f>""</f>
        <v/>
      </c>
      <c r="BA252" t="str">
        <f>""</f>
        <v/>
      </c>
      <c r="BB252" t="str">
        <f>""</f>
        <v/>
      </c>
      <c r="BC252" t="str">
        <f>""</f>
        <v/>
      </c>
      <c r="BD252" t="str">
        <f>""</f>
        <v/>
      </c>
      <c r="BE252" t="str">
        <f>""</f>
        <v/>
      </c>
      <c r="BF252" t="str">
        <f>""</f>
        <v/>
      </c>
      <c r="BG252" t="str">
        <f>""</f>
        <v/>
      </c>
      <c r="BH252" t="str">
        <f>""</f>
        <v/>
      </c>
      <c r="BI252" t="str">
        <f>""</f>
        <v/>
      </c>
      <c r="BJ252" t="str">
        <f>""</f>
        <v/>
      </c>
      <c r="BK252" t="str">
        <f>""</f>
        <v/>
      </c>
      <c r="BL252" t="str">
        <f>""</f>
        <v/>
      </c>
      <c r="BM252" t="str">
        <f>""</f>
        <v/>
      </c>
      <c r="BN252" t="str">
        <f>""</f>
        <v/>
      </c>
      <c r="BO252" t="str">
        <f>""</f>
        <v/>
      </c>
      <c r="BP252" t="str">
        <f>""</f>
        <v/>
      </c>
      <c r="BQ252" t="str">
        <f>""</f>
        <v/>
      </c>
      <c r="BR252" t="str">
        <f>""</f>
        <v/>
      </c>
      <c r="BS252" t="str">
        <f>""</f>
        <v/>
      </c>
      <c r="BT252" t="str">
        <f>""</f>
        <v/>
      </c>
      <c r="BU252" t="str">
        <f>""</f>
        <v/>
      </c>
      <c r="BV252" t="str">
        <f>""</f>
        <v/>
      </c>
      <c r="BW252" t="str">
        <f>""</f>
        <v/>
      </c>
      <c r="BX252" t="str">
        <f>""</f>
        <v/>
      </c>
      <c r="BY252" t="str">
        <f>""</f>
        <v/>
      </c>
      <c r="BZ252" t="str">
        <f>""</f>
        <v/>
      </c>
      <c r="CA252" t="str">
        <f>""</f>
        <v/>
      </c>
      <c r="CB252" t="str">
        <f>""</f>
        <v/>
      </c>
      <c r="CC252" t="str">
        <f>""</f>
        <v/>
      </c>
      <c r="CD252" t="str">
        <f>""</f>
        <v/>
      </c>
      <c r="CE252" t="str">
        <f>""</f>
        <v/>
      </c>
      <c r="CF252" t="str">
        <f>""</f>
        <v/>
      </c>
      <c r="CG252" t="str">
        <f>""</f>
        <v/>
      </c>
      <c r="CH252" t="str">
        <f>""</f>
        <v/>
      </c>
      <c r="CI252" t="str">
        <f>""</f>
        <v/>
      </c>
      <c r="CJ252" t="str">
        <f>""</f>
        <v/>
      </c>
      <c r="CK252" t="str">
        <f>""</f>
        <v/>
      </c>
      <c r="CL252" t="str">
        <f>""</f>
        <v/>
      </c>
      <c r="CM252" t="str">
        <f>""</f>
        <v/>
      </c>
      <c r="CN252" t="str">
        <f>""</f>
        <v/>
      </c>
      <c r="CO252" t="str">
        <f>""</f>
        <v/>
      </c>
      <c r="CP252" t="str">
        <f>""</f>
        <v/>
      </c>
      <c r="CQ252" t="str">
        <f>""</f>
        <v/>
      </c>
      <c r="CR252" t="str">
        <f>""</f>
        <v/>
      </c>
      <c r="CS252" t="str">
        <f>""</f>
        <v/>
      </c>
      <c r="CT252" t="str">
        <f>""</f>
        <v/>
      </c>
      <c r="CU252" t="str">
        <f>""</f>
        <v/>
      </c>
      <c r="CV252" t="str">
        <f>""</f>
        <v/>
      </c>
      <c r="CW252" t="str">
        <f>""</f>
        <v/>
      </c>
      <c r="CX252" t="str">
        <f>""</f>
        <v/>
      </c>
      <c r="CY252" t="str">
        <f>""</f>
        <v/>
      </c>
      <c r="CZ252" t="str">
        <f>""</f>
        <v/>
      </c>
      <c r="DA252" t="str">
        <f>""</f>
        <v/>
      </c>
      <c r="DB252" t="str">
        <f>""</f>
        <v/>
      </c>
      <c r="DC252" t="str">
        <f>""</f>
        <v/>
      </c>
      <c r="DD252" t="str">
        <f>""</f>
        <v/>
      </c>
      <c r="DE252" t="str">
        <f>""</f>
        <v/>
      </c>
      <c r="DF252" t="str">
        <f>""</f>
        <v/>
      </c>
      <c r="DG252" t="str">
        <f>""</f>
        <v/>
      </c>
      <c r="DH252" t="str">
        <f>""</f>
        <v/>
      </c>
      <c r="DI252" t="str">
        <f>""</f>
        <v/>
      </c>
      <c r="DJ252" t="str">
        <f>""</f>
        <v/>
      </c>
      <c r="DK252" t="str">
        <f>""</f>
        <v/>
      </c>
      <c r="DL252" t="str">
        <f>""</f>
        <v/>
      </c>
      <c r="DM252" t="str">
        <f>""</f>
        <v/>
      </c>
      <c r="DN252" t="str">
        <f>""</f>
        <v/>
      </c>
      <c r="DO252" t="str">
        <f>""</f>
        <v/>
      </c>
      <c r="DP252" t="str">
        <f>""</f>
        <v/>
      </c>
      <c r="DQ252" t="str">
        <f>""</f>
        <v/>
      </c>
      <c r="DR252" t="str">
        <f>""</f>
        <v/>
      </c>
      <c r="DS252" t="str">
        <f>""</f>
        <v/>
      </c>
      <c r="DT252" t="str">
        <f>""</f>
        <v/>
      </c>
      <c r="DU252" t="str">
        <f>""</f>
        <v/>
      </c>
      <c r="DV252" t="str">
        <f>""</f>
        <v/>
      </c>
      <c r="DW252" t="str">
        <f>""</f>
        <v/>
      </c>
      <c r="DX252" t="str">
        <f>""</f>
        <v/>
      </c>
      <c r="DY252" t="str">
        <f>""</f>
        <v/>
      </c>
      <c r="DZ252" t="str">
        <f>""</f>
        <v/>
      </c>
      <c r="EA252" t="str">
        <f>""</f>
        <v/>
      </c>
      <c r="EB252" t="str">
        <f>""</f>
        <v/>
      </c>
      <c r="EC252" t="str">
        <f>""</f>
        <v/>
      </c>
      <c r="ED252" t="str">
        <f>""</f>
        <v/>
      </c>
      <c r="EE252" t="str">
        <f>""</f>
        <v/>
      </c>
      <c r="EF252" t="str">
        <f>""</f>
        <v/>
      </c>
      <c r="EG252" t="str">
        <f>""</f>
        <v/>
      </c>
      <c r="EH252" t="str">
        <f>""</f>
        <v/>
      </c>
      <c r="EI252" t="str">
        <f>""</f>
        <v/>
      </c>
      <c r="EJ252" t="str">
        <f>""</f>
        <v/>
      </c>
      <c r="EK252" t="str">
        <f>""</f>
        <v/>
      </c>
      <c r="EL252" t="str">
        <f>""</f>
        <v/>
      </c>
      <c r="EM252" t="str">
        <f>""</f>
        <v/>
      </c>
      <c r="EN252" t="str">
        <f>""</f>
        <v/>
      </c>
      <c r="EO252" t="str">
        <f>""</f>
        <v/>
      </c>
      <c r="EP252" t="str">
        <f>""</f>
        <v/>
      </c>
      <c r="EQ252" t="str">
        <f>""</f>
        <v/>
      </c>
      <c r="ER252" t="str">
        <f>""</f>
        <v/>
      </c>
      <c r="ES252" t="str">
        <f>""</f>
        <v/>
      </c>
      <c r="ET252" t="str">
        <f>""</f>
        <v/>
      </c>
      <c r="EU252" t="str">
        <f>""</f>
        <v/>
      </c>
      <c r="EV252" t="str">
        <f>""</f>
        <v/>
      </c>
      <c r="EW252" t="str">
        <f>""</f>
        <v/>
      </c>
      <c r="EX252" t="str">
        <f>""</f>
        <v/>
      </c>
      <c r="EY252" t="str">
        <f>""</f>
        <v/>
      </c>
      <c r="EZ252" t="str">
        <f>""</f>
        <v/>
      </c>
      <c r="FA252" t="str">
        <f>""</f>
        <v/>
      </c>
      <c r="FB252" t="str">
        <f>""</f>
        <v/>
      </c>
      <c r="FC252" t="str">
        <f>""</f>
        <v/>
      </c>
      <c r="FD252" t="str">
        <f>""</f>
        <v/>
      </c>
      <c r="FE252" t="str">
        <f>""</f>
        <v/>
      </c>
      <c r="FF252" t="str">
        <f>""</f>
        <v/>
      </c>
      <c r="FG252" t="str">
        <f>""</f>
        <v/>
      </c>
      <c r="FH252" t="str">
        <f>"0.0907"</f>
        <v>0.0907</v>
      </c>
      <c r="FI252" t="str">
        <f>"-0.00167"</f>
        <v>-0.00167</v>
      </c>
      <c r="FJ252" t="str">
        <f>"0.00741"</f>
        <v>0.00741</v>
      </c>
      <c r="FK252" t="str">
        <f>""</f>
        <v/>
      </c>
      <c r="FL252" t="str">
        <f>""</f>
        <v/>
      </c>
      <c r="FM252" t="str">
        <f>""</f>
        <v/>
      </c>
      <c r="FN252" t="str">
        <f>""</f>
        <v/>
      </c>
      <c r="FO252" t="str">
        <f>""</f>
        <v/>
      </c>
      <c r="FP252" t="str">
        <f>""</f>
        <v/>
      </c>
      <c r="FQ252" t="str">
        <f>""</f>
        <v/>
      </c>
      <c r="FR252" t="str">
        <f>""</f>
        <v/>
      </c>
      <c r="FS252" t="str">
        <f>""</f>
        <v/>
      </c>
      <c r="FT252" t="str">
        <f>""</f>
        <v/>
      </c>
      <c r="FU252" t="str">
        <f>""</f>
        <v/>
      </c>
      <c r="FV252" t="str">
        <f>""</f>
        <v/>
      </c>
      <c r="FW252" t="str">
        <f>""</f>
        <v/>
      </c>
      <c r="FX252" t="str">
        <f>""</f>
        <v/>
      </c>
      <c r="FY252" t="str">
        <f>""</f>
        <v/>
      </c>
      <c r="FZ252" t="str">
        <f>""</f>
        <v/>
      </c>
      <c r="GA252" t="str">
        <f>""</f>
        <v/>
      </c>
      <c r="GB252" t="str">
        <f>""</f>
        <v/>
      </c>
      <c r="GC252" t="str">
        <f>""</f>
        <v/>
      </c>
      <c r="GD252" t="str">
        <f>""</f>
        <v/>
      </c>
      <c r="GE252" t="str">
        <f>""</f>
        <v/>
      </c>
      <c r="GF252" t="str">
        <f>""</f>
        <v/>
      </c>
      <c r="GG252" t="str">
        <f>""</f>
        <v/>
      </c>
      <c r="GH252" t="str">
        <f>""</f>
        <v/>
      </c>
      <c r="GI252" t="str">
        <f>""</f>
        <v/>
      </c>
      <c r="GJ252" t="str">
        <f>""</f>
        <v/>
      </c>
      <c r="GK252" t="str">
        <f>""</f>
        <v/>
      </c>
      <c r="GL252" t="str">
        <f>""</f>
        <v/>
      </c>
      <c r="GM252" t="str">
        <f>""</f>
        <v/>
      </c>
      <c r="GN252" t="str">
        <f>""</f>
        <v/>
      </c>
      <c r="GO252" t="str">
        <f>""</f>
        <v/>
      </c>
      <c r="GP252" t="str">
        <f>""</f>
        <v/>
      </c>
      <c r="GQ252" t="str">
        <f>""</f>
        <v/>
      </c>
      <c r="GR252" t="str">
        <f>""</f>
        <v/>
      </c>
      <c r="GS252" t="str">
        <f>""</f>
        <v/>
      </c>
      <c r="GT252" t="str">
        <f>""</f>
        <v/>
      </c>
      <c r="GU252" t="str">
        <f>""</f>
        <v/>
      </c>
      <c r="GV252" t="str">
        <f>""</f>
        <v/>
      </c>
      <c r="GW252" t="str">
        <f>""</f>
        <v/>
      </c>
      <c r="GX252" t="str">
        <f>""</f>
        <v/>
      </c>
      <c r="GY252" t="str">
        <f>""</f>
        <v/>
      </c>
      <c r="GZ252" t="str">
        <f>""</f>
        <v/>
      </c>
      <c r="HA252" t="str">
        <f>""</f>
        <v/>
      </c>
      <c r="HB252" t="str">
        <f>""</f>
        <v/>
      </c>
      <c r="HC252" t="str">
        <f>""</f>
        <v/>
      </c>
      <c r="HD252" t="str">
        <f>""</f>
        <v/>
      </c>
      <c r="HE252" t="str">
        <f>""</f>
        <v/>
      </c>
      <c r="HF252" t="str">
        <f>""</f>
        <v/>
      </c>
      <c r="HG252" t="str">
        <f>""</f>
        <v/>
      </c>
      <c r="HH252" t="str">
        <f>""</f>
        <v/>
      </c>
      <c r="HI252" t="str">
        <f>""</f>
        <v/>
      </c>
      <c r="HJ252" t="str">
        <f>""</f>
        <v/>
      </c>
      <c r="HK252" t="str">
        <f>""</f>
        <v/>
      </c>
      <c r="HL252" t="str">
        <f>""</f>
        <v/>
      </c>
      <c r="HM252" t="str">
        <f>""</f>
        <v/>
      </c>
      <c r="HN252" t="str">
        <f>""</f>
        <v/>
      </c>
      <c r="HO252" t="str">
        <f>""</f>
        <v/>
      </c>
      <c r="HP252" t="str">
        <f>""</f>
        <v/>
      </c>
      <c r="HQ252" t="str">
        <f>""</f>
        <v/>
      </c>
      <c r="HR252" t="str">
        <f>""</f>
        <v/>
      </c>
      <c r="HS252" t="str">
        <f>""</f>
        <v/>
      </c>
      <c r="HT252" t="str">
        <f>""</f>
        <v/>
      </c>
      <c r="HU252" t="str">
        <f>""</f>
        <v/>
      </c>
      <c r="HV252" t="str">
        <f>""</f>
        <v/>
      </c>
      <c r="HW252" t="str">
        <f>""</f>
        <v/>
      </c>
      <c r="HX252" t="str">
        <f>""</f>
        <v/>
      </c>
      <c r="HY252" t="str">
        <f>""</f>
        <v/>
      </c>
      <c r="HZ252" t="str">
        <f>""</f>
        <v/>
      </c>
      <c r="IA252" t="str">
        <f>""</f>
        <v/>
      </c>
      <c r="IB252" t="str">
        <f>""</f>
        <v/>
      </c>
      <c r="IC252" t="str">
        <f>""</f>
        <v/>
      </c>
      <c r="ID252" t="str">
        <f>""</f>
        <v/>
      </c>
      <c r="IE252" t="str">
        <f>""</f>
        <v/>
      </c>
      <c r="IF252" t="str">
        <f>""</f>
        <v/>
      </c>
      <c r="IG252" t="str">
        <f>""</f>
        <v/>
      </c>
      <c r="IH252" t="str">
        <f>""</f>
        <v/>
      </c>
      <c r="II252" t="str">
        <f>""</f>
        <v/>
      </c>
      <c r="IJ252" t="str">
        <f>""</f>
        <v/>
      </c>
      <c r="IK252" t="str">
        <f>""</f>
        <v/>
      </c>
      <c r="IL252" t="str">
        <f>""</f>
        <v/>
      </c>
      <c r="IM252" t="str">
        <f>""</f>
        <v/>
      </c>
      <c r="IN252" t="str">
        <f>""</f>
        <v/>
      </c>
      <c r="IO252" t="str">
        <f>""</f>
        <v/>
      </c>
      <c r="IP252" t="str">
        <f>""</f>
        <v/>
      </c>
      <c r="IQ252" t="str">
        <f>""</f>
        <v/>
      </c>
      <c r="IR252" t="str">
        <f>""</f>
        <v/>
      </c>
      <c r="IS252" t="str">
        <f>""</f>
        <v/>
      </c>
      <c r="IT252" t="str">
        <f>""</f>
        <v/>
      </c>
      <c r="IU252" t="str">
        <f>""</f>
        <v/>
      </c>
      <c r="IV252" t="str">
        <f>""</f>
        <v/>
      </c>
      <c r="IW252" t="str">
        <f>""</f>
        <v/>
      </c>
      <c r="IX252" t="str">
        <f>""</f>
        <v/>
      </c>
      <c r="IY252" t="str">
        <f>""</f>
        <v/>
      </c>
      <c r="IZ252" t="str">
        <f>""</f>
        <v/>
      </c>
      <c r="JA252" t="str">
        <f>""</f>
        <v/>
      </c>
      <c r="JB252" t="str">
        <f>""</f>
        <v/>
      </c>
      <c r="JC252" t="str">
        <f>""</f>
        <v/>
      </c>
      <c r="JD252" t="str">
        <f>""</f>
        <v/>
      </c>
      <c r="JE252" t="str">
        <f>""</f>
        <v/>
      </c>
      <c r="JF252" t="str">
        <f>""</f>
        <v/>
      </c>
      <c r="JG252" t="str">
        <f>""</f>
        <v/>
      </c>
      <c r="JH252" t="str">
        <f>""</f>
        <v/>
      </c>
      <c r="JI252" t="str">
        <f>""</f>
        <v/>
      </c>
      <c r="JJ252" t="str">
        <f>""</f>
        <v/>
      </c>
      <c r="JK252" t="str">
        <f>""</f>
        <v/>
      </c>
    </row>
    <row r="253" spans="1:271" x14ac:dyDescent="0.3">
      <c r="A253" t="str">
        <f>""</f>
        <v/>
      </c>
      <c r="B253" t="str">
        <f>""</f>
        <v/>
      </c>
      <c r="C253" t="str">
        <f>""</f>
        <v/>
      </c>
      <c r="D253" t="str">
        <f>""</f>
        <v/>
      </c>
      <c r="E253" t="str">
        <f>""</f>
        <v/>
      </c>
      <c r="F253" t="str">
        <f>""</f>
        <v/>
      </c>
      <c r="G253" t="str">
        <f>""</f>
        <v/>
      </c>
      <c r="H253" t="str">
        <f>""</f>
        <v/>
      </c>
      <c r="I253" t="str">
        <f>""</f>
        <v/>
      </c>
      <c r="J253" t="str">
        <f>""</f>
        <v/>
      </c>
      <c r="K253" t="str">
        <f>""</f>
        <v/>
      </c>
      <c r="L253" t="str">
        <f>""</f>
        <v/>
      </c>
      <c r="M253" t="str">
        <f>""</f>
        <v/>
      </c>
      <c r="N253" t="str">
        <f>""</f>
        <v/>
      </c>
      <c r="O253" t="str">
        <f>""</f>
        <v/>
      </c>
      <c r="P253" t="str">
        <f>""</f>
        <v/>
      </c>
      <c r="Q253" t="str">
        <f>""</f>
        <v/>
      </c>
      <c r="R253" t="str">
        <f>""</f>
        <v/>
      </c>
      <c r="S253" t="str">
        <f>""</f>
        <v/>
      </c>
      <c r="T253" t="str">
        <f>""</f>
        <v/>
      </c>
      <c r="U253" t="str">
        <f>""</f>
        <v/>
      </c>
      <c r="V253" t="str">
        <f>""</f>
        <v/>
      </c>
      <c r="W253" t="str">
        <f>""</f>
        <v/>
      </c>
      <c r="X253" t="str">
        <f>""</f>
        <v/>
      </c>
      <c r="Y253" t="str">
        <f>""</f>
        <v/>
      </c>
      <c r="Z253" t="str">
        <f>""</f>
        <v/>
      </c>
      <c r="AA253" t="str">
        <f>""</f>
        <v/>
      </c>
      <c r="AB253" t="str">
        <f>""</f>
        <v/>
      </c>
      <c r="AC253" t="str">
        <f>""</f>
        <v/>
      </c>
      <c r="AD253" t="str">
        <f>""</f>
        <v/>
      </c>
      <c r="AE253" t="str">
        <f>""</f>
        <v/>
      </c>
      <c r="AF253" t="str">
        <f>""</f>
        <v/>
      </c>
      <c r="AG253" t="str">
        <f>""</f>
        <v/>
      </c>
      <c r="AH253" t="str">
        <f>""</f>
        <v/>
      </c>
      <c r="AI253" t="str">
        <f>""</f>
        <v/>
      </c>
      <c r="AJ253" t="str">
        <f>""</f>
        <v/>
      </c>
      <c r="AK253" t="str">
        <f>""</f>
        <v/>
      </c>
      <c r="AL253" t="str">
        <f>""</f>
        <v/>
      </c>
      <c r="AM253" t="str">
        <f>""</f>
        <v/>
      </c>
      <c r="AN253" t="str">
        <f>""</f>
        <v/>
      </c>
      <c r="AO253" t="str">
        <f>""</f>
        <v/>
      </c>
      <c r="AP253" t="str">
        <f>""</f>
        <v/>
      </c>
      <c r="AQ253" t="str">
        <f>""</f>
        <v/>
      </c>
      <c r="AR253" t="str">
        <f>""</f>
        <v/>
      </c>
      <c r="AS253" t="str">
        <f>""</f>
        <v/>
      </c>
      <c r="AT253" t="str">
        <f>""</f>
        <v/>
      </c>
      <c r="AU253" t="str">
        <f>""</f>
        <v/>
      </c>
      <c r="AV253" t="str">
        <f>""</f>
        <v/>
      </c>
      <c r="AW253" t="str">
        <f>""</f>
        <v/>
      </c>
      <c r="AX253" t="str">
        <f>""</f>
        <v/>
      </c>
      <c r="AY253" t="str">
        <f>""</f>
        <v/>
      </c>
      <c r="AZ253" t="str">
        <f>""</f>
        <v/>
      </c>
      <c r="BA253" t="str">
        <f>""</f>
        <v/>
      </c>
      <c r="BB253" t="str">
        <f>""</f>
        <v/>
      </c>
      <c r="BC253" t="str">
        <f>""</f>
        <v/>
      </c>
      <c r="BD253" t="str">
        <f>""</f>
        <v/>
      </c>
      <c r="BE253" t="str">
        <f>""</f>
        <v/>
      </c>
      <c r="BF253" t="str">
        <f>""</f>
        <v/>
      </c>
      <c r="BG253" t="str">
        <f>""</f>
        <v/>
      </c>
      <c r="BH253" t="str">
        <f>""</f>
        <v/>
      </c>
      <c r="BI253" t="str">
        <f>""</f>
        <v/>
      </c>
      <c r="BJ253" t="str">
        <f>""</f>
        <v/>
      </c>
      <c r="BK253" t="str">
        <f>""</f>
        <v/>
      </c>
      <c r="BL253" t="str">
        <f>""</f>
        <v/>
      </c>
      <c r="BM253" t="str">
        <f>""</f>
        <v/>
      </c>
      <c r="BN253" t="str">
        <f>""</f>
        <v/>
      </c>
      <c r="BO253" t="str">
        <f>""</f>
        <v/>
      </c>
      <c r="BP253" t="str">
        <f>""</f>
        <v/>
      </c>
      <c r="BQ253" t="str">
        <f>""</f>
        <v/>
      </c>
      <c r="BR253" t="str">
        <f>""</f>
        <v/>
      </c>
      <c r="BS253" t="str">
        <f>""</f>
        <v/>
      </c>
      <c r="BT253" t="str">
        <f>""</f>
        <v/>
      </c>
      <c r="BU253" t="str">
        <f>""</f>
        <v/>
      </c>
      <c r="BV253" t="str">
        <f>""</f>
        <v/>
      </c>
      <c r="BW253" t="str">
        <f>""</f>
        <v/>
      </c>
      <c r="BX253" t="str">
        <f>""</f>
        <v/>
      </c>
      <c r="BY253" t="str">
        <f>""</f>
        <v/>
      </c>
      <c r="BZ253" t="str">
        <f>""</f>
        <v/>
      </c>
      <c r="CA253" t="str">
        <f>""</f>
        <v/>
      </c>
      <c r="CB253" t="str">
        <f>""</f>
        <v/>
      </c>
      <c r="CC253" t="str">
        <f>""</f>
        <v/>
      </c>
      <c r="CD253" t="str">
        <f>""</f>
        <v/>
      </c>
      <c r="CE253" t="str">
        <f>""</f>
        <v/>
      </c>
      <c r="CF253" t="str">
        <f>""</f>
        <v/>
      </c>
      <c r="CG253" t="str">
        <f>""</f>
        <v/>
      </c>
      <c r="CH253" t="str">
        <f>""</f>
        <v/>
      </c>
      <c r="CI253" t="str">
        <f>""</f>
        <v/>
      </c>
      <c r="CJ253" t="str">
        <f>""</f>
        <v/>
      </c>
      <c r="CK253" t="str">
        <f>""</f>
        <v/>
      </c>
      <c r="CL253" t="str">
        <f>""</f>
        <v/>
      </c>
      <c r="CM253" t="str">
        <f>""</f>
        <v/>
      </c>
      <c r="CN253" t="str">
        <f>""</f>
        <v/>
      </c>
      <c r="CO253" t="str">
        <f>""</f>
        <v/>
      </c>
      <c r="CP253" t="str">
        <f>""</f>
        <v/>
      </c>
      <c r="CQ253" t="str">
        <f>""</f>
        <v/>
      </c>
      <c r="CR253" t="str">
        <f>""</f>
        <v/>
      </c>
      <c r="CS253" t="str">
        <f>""</f>
        <v/>
      </c>
      <c r="CT253" t="str">
        <f>""</f>
        <v/>
      </c>
      <c r="CU253" t="str">
        <f>""</f>
        <v/>
      </c>
      <c r="CV253" t="str">
        <f>""</f>
        <v/>
      </c>
      <c r="CW253" t="str">
        <f>""</f>
        <v/>
      </c>
      <c r="CX253" t="str">
        <f>""</f>
        <v/>
      </c>
      <c r="CY253" t="str">
        <f>""</f>
        <v/>
      </c>
      <c r="CZ253" t="str">
        <f>""</f>
        <v/>
      </c>
      <c r="DA253" t="str">
        <f>""</f>
        <v/>
      </c>
      <c r="DB253" t="str">
        <f>""</f>
        <v/>
      </c>
      <c r="DC253" t="str">
        <f>""</f>
        <v/>
      </c>
      <c r="DD253" t="str">
        <f>""</f>
        <v/>
      </c>
      <c r="DE253" t="str">
        <f>""</f>
        <v/>
      </c>
      <c r="DF253" t="str">
        <f>""</f>
        <v/>
      </c>
      <c r="DG253" t="str">
        <f>""</f>
        <v/>
      </c>
      <c r="DH253" t="str">
        <f>""</f>
        <v/>
      </c>
      <c r="DI253" t="str">
        <f>""</f>
        <v/>
      </c>
      <c r="DJ253" t="str">
        <f>""</f>
        <v/>
      </c>
      <c r="DK253" t="str">
        <f>""</f>
        <v/>
      </c>
      <c r="DL253" t="str">
        <f>""</f>
        <v/>
      </c>
      <c r="DM253" t="str">
        <f>""</f>
        <v/>
      </c>
      <c r="DN253" t="str">
        <f>""</f>
        <v/>
      </c>
      <c r="DO253" t="str">
        <f>""</f>
        <v/>
      </c>
      <c r="DP253" t="str">
        <f>""</f>
        <v/>
      </c>
      <c r="DQ253" t="str">
        <f>""</f>
        <v/>
      </c>
      <c r="DR253" t="str">
        <f>""</f>
        <v/>
      </c>
      <c r="DS253" t="str">
        <f>""</f>
        <v/>
      </c>
      <c r="DT253" t="str">
        <f>""</f>
        <v/>
      </c>
      <c r="DU253" t="str">
        <f>""</f>
        <v/>
      </c>
      <c r="DV253" t="str">
        <f>""</f>
        <v/>
      </c>
      <c r="DW253" t="str">
        <f>""</f>
        <v/>
      </c>
      <c r="DX253" t="str">
        <f>""</f>
        <v/>
      </c>
      <c r="DY253" t="str">
        <f>""</f>
        <v/>
      </c>
      <c r="DZ253" t="str">
        <f>""</f>
        <v/>
      </c>
      <c r="EA253" t="str">
        <f>""</f>
        <v/>
      </c>
      <c r="EB253" t="str">
        <f>""</f>
        <v/>
      </c>
      <c r="EC253" t="str">
        <f>""</f>
        <v/>
      </c>
      <c r="ED253" t="str">
        <f>""</f>
        <v/>
      </c>
      <c r="EE253" t="str">
        <f>""</f>
        <v/>
      </c>
      <c r="EF253" t="str">
        <f>""</f>
        <v/>
      </c>
      <c r="EG253" t="str">
        <f>""</f>
        <v/>
      </c>
      <c r="EH253" t="str">
        <f>""</f>
        <v/>
      </c>
      <c r="EI253" t="str">
        <f>""</f>
        <v/>
      </c>
      <c r="EJ253" t="str">
        <f>""</f>
        <v/>
      </c>
      <c r="EK253" t="str">
        <f>""</f>
        <v/>
      </c>
      <c r="EL253" t="str">
        <f>""</f>
        <v/>
      </c>
      <c r="EM253" t="str">
        <f>""</f>
        <v/>
      </c>
      <c r="EN253" t="str">
        <f>""</f>
        <v/>
      </c>
      <c r="EO253" t="str">
        <f>""</f>
        <v/>
      </c>
      <c r="EP253" t="str">
        <f>""</f>
        <v/>
      </c>
      <c r="EQ253" t="str">
        <f>""</f>
        <v/>
      </c>
      <c r="ER253" t="str">
        <f>""</f>
        <v/>
      </c>
      <c r="ES253" t="str">
        <f>""</f>
        <v/>
      </c>
      <c r="ET253" t="str">
        <f>""</f>
        <v/>
      </c>
      <c r="EU253" t="str">
        <f>""</f>
        <v/>
      </c>
      <c r="EV253" t="str">
        <f>""</f>
        <v/>
      </c>
      <c r="EW253" t="str">
        <f>""</f>
        <v/>
      </c>
      <c r="EX253" t="str">
        <f>""</f>
        <v/>
      </c>
      <c r="EY253" t="str">
        <f>""</f>
        <v/>
      </c>
      <c r="EZ253" t="str">
        <f>""</f>
        <v/>
      </c>
      <c r="FA253" t="str">
        <f>""</f>
        <v/>
      </c>
      <c r="FB253" t="str">
        <f>""</f>
        <v/>
      </c>
      <c r="FC253" t="str">
        <f>""</f>
        <v/>
      </c>
      <c r="FD253" t="str">
        <f>""</f>
        <v/>
      </c>
      <c r="FE253" t="str">
        <f>""</f>
        <v/>
      </c>
      <c r="FF253" t="str">
        <f>""</f>
        <v/>
      </c>
      <c r="FG253" t="str">
        <f>""</f>
        <v/>
      </c>
      <c r="FH253" t="str">
        <f>"(0.103)"</f>
        <v>(0.103)</v>
      </c>
      <c r="FI253" t="str">
        <f>"(0.0823)"</f>
        <v>(0.0823)</v>
      </c>
      <c r="FJ253" t="str">
        <f>"(0.0436)"</f>
        <v>(0.0436)</v>
      </c>
      <c r="FK253" t="str">
        <f>""</f>
        <v/>
      </c>
      <c r="FL253" t="str">
        <f>""</f>
        <v/>
      </c>
      <c r="FM253" t="str">
        <f>""</f>
        <v/>
      </c>
      <c r="FN253" t="str">
        <f>""</f>
        <v/>
      </c>
      <c r="FO253" t="str">
        <f>""</f>
        <v/>
      </c>
      <c r="FP253" t="str">
        <f>""</f>
        <v/>
      </c>
      <c r="FQ253" t="str">
        <f>""</f>
        <v/>
      </c>
      <c r="FR253" t="str">
        <f>""</f>
        <v/>
      </c>
      <c r="FS253" t="str">
        <f>""</f>
        <v/>
      </c>
      <c r="FT253" t="str">
        <f>""</f>
        <v/>
      </c>
      <c r="FU253" t="str">
        <f>""</f>
        <v/>
      </c>
      <c r="FV253" t="str">
        <f>""</f>
        <v/>
      </c>
      <c r="FW253" t="str">
        <f>""</f>
        <v/>
      </c>
      <c r="FX253" t="str">
        <f>""</f>
        <v/>
      </c>
      <c r="FY253" t="str">
        <f>""</f>
        <v/>
      </c>
      <c r="FZ253" t="str">
        <f>""</f>
        <v/>
      </c>
      <c r="GA253" t="str">
        <f>""</f>
        <v/>
      </c>
      <c r="GB253" t="str">
        <f>""</f>
        <v/>
      </c>
      <c r="GC253" t="str">
        <f>""</f>
        <v/>
      </c>
      <c r="GD253" t="str">
        <f>""</f>
        <v/>
      </c>
      <c r="GE253" t="str">
        <f>""</f>
        <v/>
      </c>
      <c r="GF253" t="str">
        <f>""</f>
        <v/>
      </c>
      <c r="GG253" t="str">
        <f>""</f>
        <v/>
      </c>
      <c r="GH253" t="str">
        <f>""</f>
        <v/>
      </c>
      <c r="GI253" t="str">
        <f>""</f>
        <v/>
      </c>
      <c r="GJ253" t="str">
        <f>""</f>
        <v/>
      </c>
      <c r="GK253" t="str">
        <f>""</f>
        <v/>
      </c>
      <c r="GL253" t="str">
        <f>""</f>
        <v/>
      </c>
      <c r="GM253" t="str">
        <f>""</f>
        <v/>
      </c>
      <c r="GN253" t="str">
        <f>""</f>
        <v/>
      </c>
      <c r="GO253" t="str">
        <f>""</f>
        <v/>
      </c>
      <c r="GP253" t="str">
        <f>""</f>
        <v/>
      </c>
      <c r="GQ253" t="str">
        <f>""</f>
        <v/>
      </c>
      <c r="GR253" t="str">
        <f>""</f>
        <v/>
      </c>
      <c r="GS253" t="str">
        <f>""</f>
        <v/>
      </c>
      <c r="GT253" t="str">
        <f>""</f>
        <v/>
      </c>
      <c r="GU253" t="str">
        <f>""</f>
        <v/>
      </c>
      <c r="GV253" t="str">
        <f>""</f>
        <v/>
      </c>
      <c r="GW253" t="str">
        <f>""</f>
        <v/>
      </c>
      <c r="GX253" t="str">
        <f>""</f>
        <v/>
      </c>
      <c r="GY253" t="str">
        <f>""</f>
        <v/>
      </c>
      <c r="GZ253" t="str">
        <f>""</f>
        <v/>
      </c>
      <c r="HA253" t="str">
        <f>""</f>
        <v/>
      </c>
      <c r="HB253" t="str">
        <f>""</f>
        <v/>
      </c>
      <c r="HC253" t="str">
        <f>""</f>
        <v/>
      </c>
      <c r="HD253" t="str">
        <f>""</f>
        <v/>
      </c>
      <c r="HE253" t="str">
        <f>""</f>
        <v/>
      </c>
      <c r="HF253" t="str">
        <f>""</f>
        <v/>
      </c>
      <c r="HG253" t="str">
        <f>""</f>
        <v/>
      </c>
      <c r="HH253" t="str">
        <f>""</f>
        <v/>
      </c>
      <c r="HI253" t="str">
        <f>""</f>
        <v/>
      </c>
      <c r="HJ253" t="str">
        <f>""</f>
        <v/>
      </c>
      <c r="HK253" t="str">
        <f>""</f>
        <v/>
      </c>
      <c r="HL253" t="str">
        <f>""</f>
        <v/>
      </c>
      <c r="HM253" t="str">
        <f>""</f>
        <v/>
      </c>
      <c r="HN253" t="str">
        <f>""</f>
        <v/>
      </c>
      <c r="HO253" t="str">
        <f>""</f>
        <v/>
      </c>
      <c r="HP253" t="str">
        <f>""</f>
        <v/>
      </c>
      <c r="HQ253" t="str">
        <f>""</f>
        <v/>
      </c>
      <c r="HR253" t="str">
        <f>""</f>
        <v/>
      </c>
      <c r="HS253" t="str">
        <f>""</f>
        <v/>
      </c>
      <c r="HT253" t="str">
        <f>""</f>
        <v/>
      </c>
      <c r="HU253" t="str">
        <f>""</f>
        <v/>
      </c>
      <c r="HV253" t="str">
        <f>""</f>
        <v/>
      </c>
      <c r="HW253" t="str">
        <f>""</f>
        <v/>
      </c>
      <c r="HX253" t="str">
        <f>""</f>
        <v/>
      </c>
      <c r="HY253" t="str">
        <f>""</f>
        <v/>
      </c>
      <c r="HZ253" t="str">
        <f>""</f>
        <v/>
      </c>
      <c r="IA253" t="str">
        <f>""</f>
        <v/>
      </c>
      <c r="IB253" t="str">
        <f>""</f>
        <v/>
      </c>
      <c r="IC253" t="str">
        <f>""</f>
        <v/>
      </c>
      <c r="ID253" t="str">
        <f>""</f>
        <v/>
      </c>
      <c r="IE253" t="str">
        <f>""</f>
        <v/>
      </c>
      <c r="IF253" t="str">
        <f>""</f>
        <v/>
      </c>
      <c r="IG253" t="str">
        <f>""</f>
        <v/>
      </c>
      <c r="IH253" t="str">
        <f>""</f>
        <v/>
      </c>
      <c r="II253" t="str">
        <f>""</f>
        <v/>
      </c>
      <c r="IJ253" t="str">
        <f>""</f>
        <v/>
      </c>
      <c r="IK253" t="str">
        <f>""</f>
        <v/>
      </c>
      <c r="IL253" t="str">
        <f>""</f>
        <v/>
      </c>
      <c r="IM253" t="str">
        <f>""</f>
        <v/>
      </c>
      <c r="IN253" t="str">
        <f>""</f>
        <v/>
      </c>
      <c r="IO253" t="str">
        <f>""</f>
        <v/>
      </c>
      <c r="IP253" t="str">
        <f>""</f>
        <v/>
      </c>
      <c r="IQ253" t="str">
        <f>""</f>
        <v/>
      </c>
      <c r="IR253" t="str">
        <f>""</f>
        <v/>
      </c>
      <c r="IS253" t="str">
        <f>""</f>
        <v/>
      </c>
      <c r="IT253" t="str">
        <f>""</f>
        <v/>
      </c>
      <c r="IU253" t="str">
        <f>""</f>
        <v/>
      </c>
      <c r="IV253" t="str">
        <f>""</f>
        <v/>
      </c>
      <c r="IW253" t="str">
        <f>""</f>
        <v/>
      </c>
      <c r="IX253" t="str">
        <f>""</f>
        <v/>
      </c>
      <c r="IY253" t="str">
        <f>""</f>
        <v/>
      </c>
      <c r="IZ253" t="str">
        <f>""</f>
        <v/>
      </c>
      <c r="JA253" t="str">
        <f>""</f>
        <v/>
      </c>
      <c r="JB253" t="str">
        <f>""</f>
        <v/>
      </c>
      <c r="JC253" t="str">
        <f>""</f>
        <v/>
      </c>
      <c r="JD253" t="str">
        <f>""</f>
        <v/>
      </c>
      <c r="JE253" t="str">
        <f>""</f>
        <v/>
      </c>
      <c r="JF253" t="str">
        <f>""</f>
        <v/>
      </c>
      <c r="JG253" t="str">
        <f>""</f>
        <v/>
      </c>
      <c r="JH253" t="str">
        <f>""</f>
        <v/>
      </c>
      <c r="JI253" t="str">
        <f>""</f>
        <v/>
      </c>
      <c r="JJ253" t="str">
        <f>""</f>
        <v/>
      </c>
      <c r="JK253" t="str">
        <f>""</f>
        <v/>
      </c>
    </row>
    <row r="255" spans="1:271" x14ac:dyDescent="0.3">
      <c r="A255" t="str">
        <f>"c.zMETAB11#c.PM4"</f>
        <v>c.zMETAB11#c.PM4</v>
      </c>
      <c r="B255" t="str">
        <f>""</f>
        <v/>
      </c>
      <c r="C255" t="str">
        <f>""</f>
        <v/>
      </c>
      <c r="D255" t="str">
        <f>""</f>
        <v/>
      </c>
      <c r="E255" t="str">
        <f>""</f>
        <v/>
      </c>
      <c r="F255" t="str">
        <f>""</f>
        <v/>
      </c>
      <c r="G255" t="str">
        <f>""</f>
        <v/>
      </c>
      <c r="H255" t="str">
        <f>""</f>
        <v/>
      </c>
      <c r="I255" t="str">
        <f>""</f>
        <v/>
      </c>
      <c r="J255" t="str">
        <f>""</f>
        <v/>
      </c>
      <c r="K255" t="str">
        <f>""</f>
        <v/>
      </c>
      <c r="L255" t="str">
        <f>""</f>
        <v/>
      </c>
      <c r="M255" t="str">
        <f>""</f>
        <v/>
      </c>
      <c r="N255" t="str">
        <f>""</f>
        <v/>
      </c>
      <c r="O255" t="str">
        <f>""</f>
        <v/>
      </c>
      <c r="P255" t="str">
        <f>""</f>
        <v/>
      </c>
      <c r="Q255" t="str">
        <f>""</f>
        <v/>
      </c>
      <c r="R255" t="str">
        <f>""</f>
        <v/>
      </c>
      <c r="S255" t="str">
        <f>""</f>
        <v/>
      </c>
      <c r="T255" t="str">
        <f>""</f>
        <v/>
      </c>
      <c r="U255" t="str">
        <f>""</f>
        <v/>
      </c>
      <c r="V255" t="str">
        <f>""</f>
        <v/>
      </c>
      <c r="W255" t="str">
        <f>""</f>
        <v/>
      </c>
      <c r="X255" t="str">
        <f>""</f>
        <v/>
      </c>
      <c r="Y255" t="str">
        <f>""</f>
        <v/>
      </c>
      <c r="Z255" t="str">
        <f>""</f>
        <v/>
      </c>
      <c r="AA255" t="str">
        <f>""</f>
        <v/>
      </c>
      <c r="AB255" t="str">
        <f>""</f>
        <v/>
      </c>
      <c r="AC255" t="str">
        <f>""</f>
        <v/>
      </c>
      <c r="AD255" t="str">
        <f>""</f>
        <v/>
      </c>
      <c r="AE255" t="str">
        <f>""</f>
        <v/>
      </c>
      <c r="AF255" t="str">
        <f>""</f>
        <v/>
      </c>
      <c r="AG255" t="str">
        <f>""</f>
        <v/>
      </c>
      <c r="AH255" t="str">
        <f>""</f>
        <v/>
      </c>
      <c r="AI255" t="str">
        <f>""</f>
        <v/>
      </c>
      <c r="AJ255" t="str">
        <f>""</f>
        <v/>
      </c>
      <c r="AK255" t="str">
        <f>""</f>
        <v/>
      </c>
      <c r="AL255" t="str">
        <f>""</f>
        <v/>
      </c>
      <c r="AM255" t="str">
        <f>""</f>
        <v/>
      </c>
      <c r="AN255" t="str">
        <f>""</f>
        <v/>
      </c>
      <c r="AO255" t="str">
        <f>""</f>
        <v/>
      </c>
      <c r="AP255" t="str">
        <f>""</f>
        <v/>
      </c>
      <c r="AQ255" t="str">
        <f>""</f>
        <v/>
      </c>
      <c r="AR255" t="str">
        <f>""</f>
        <v/>
      </c>
      <c r="AS255" t="str">
        <f>""</f>
        <v/>
      </c>
      <c r="AT255" t="str">
        <f>""</f>
        <v/>
      </c>
      <c r="AU255" t="str">
        <f>""</f>
        <v/>
      </c>
      <c r="AV255" t="str">
        <f>""</f>
        <v/>
      </c>
      <c r="AW255" t="str">
        <f>""</f>
        <v/>
      </c>
      <c r="AX255" t="str">
        <f>""</f>
        <v/>
      </c>
      <c r="AY255" t="str">
        <f>""</f>
        <v/>
      </c>
      <c r="AZ255" t="str">
        <f>""</f>
        <v/>
      </c>
      <c r="BA255" t="str">
        <f>""</f>
        <v/>
      </c>
      <c r="BB255" t="str">
        <f>""</f>
        <v/>
      </c>
      <c r="BC255" t="str">
        <f>""</f>
        <v/>
      </c>
      <c r="BD255" t="str">
        <f>""</f>
        <v/>
      </c>
      <c r="BE255" t="str">
        <f>""</f>
        <v/>
      </c>
      <c r="BF255" t="str">
        <f>""</f>
        <v/>
      </c>
      <c r="BG255" t="str">
        <f>""</f>
        <v/>
      </c>
      <c r="BH255" t="str">
        <f>""</f>
        <v/>
      </c>
      <c r="BI255" t="str">
        <f>""</f>
        <v/>
      </c>
      <c r="BJ255" t="str">
        <f>""</f>
        <v/>
      </c>
      <c r="BK255" t="str">
        <f>""</f>
        <v/>
      </c>
      <c r="BL255" t="str">
        <f>""</f>
        <v/>
      </c>
      <c r="BM255" t="str">
        <f>""</f>
        <v/>
      </c>
      <c r="BN255" t="str">
        <f>""</f>
        <v/>
      </c>
      <c r="BO255" t="str">
        <f>""</f>
        <v/>
      </c>
      <c r="BP255" t="str">
        <f>""</f>
        <v/>
      </c>
      <c r="BQ255" t="str">
        <f>""</f>
        <v/>
      </c>
      <c r="BR255" t="str">
        <f>""</f>
        <v/>
      </c>
      <c r="BS255" t="str">
        <f>""</f>
        <v/>
      </c>
      <c r="BT255" t="str">
        <f>""</f>
        <v/>
      </c>
      <c r="BU255" t="str">
        <f>""</f>
        <v/>
      </c>
      <c r="BV255" t="str">
        <f>""</f>
        <v/>
      </c>
      <c r="BW255" t="str">
        <f>""</f>
        <v/>
      </c>
      <c r="BX255" t="str">
        <f>""</f>
        <v/>
      </c>
      <c r="BY255" t="str">
        <f>""</f>
        <v/>
      </c>
      <c r="BZ255" t="str">
        <f>""</f>
        <v/>
      </c>
      <c r="CA255" t="str">
        <f>""</f>
        <v/>
      </c>
      <c r="CB255" t="str">
        <f>""</f>
        <v/>
      </c>
      <c r="CC255" t="str">
        <f>""</f>
        <v/>
      </c>
      <c r="CD255" t="str">
        <f>""</f>
        <v/>
      </c>
      <c r="CE255" t="str">
        <f>""</f>
        <v/>
      </c>
      <c r="CF255" t="str">
        <f>""</f>
        <v/>
      </c>
      <c r="CG255" t="str">
        <f>""</f>
        <v/>
      </c>
      <c r="CH255" t="str">
        <f>""</f>
        <v/>
      </c>
      <c r="CI255" t="str">
        <f>""</f>
        <v/>
      </c>
      <c r="CJ255" t="str">
        <f>""</f>
        <v/>
      </c>
      <c r="CK255" t="str">
        <f>""</f>
        <v/>
      </c>
      <c r="CL255" t="str">
        <f>""</f>
        <v/>
      </c>
      <c r="CM255" t="str">
        <f>""</f>
        <v/>
      </c>
      <c r="CN255" t="str">
        <f>""</f>
        <v/>
      </c>
      <c r="CO255" t="str">
        <f>""</f>
        <v/>
      </c>
      <c r="CP255" t="str">
        <f>""</f>
        <v/>
      </c>
      <c r="CQ255" t="str">
        <f>""</f>
        <v/>
      </c>
      <c r="CR255" t="str">
        <f>""</f>
        <v/>
      </c>
      <c r="CS255" t="str">
        <f>""</f>
        <v/>
      </c>
      <c r="CT255" t="str">
        <f>""</f>
        <v/>
      </c>
      <c r="CU255" t="str">
        <f>""</f>
        <v/>
      </c>
      <c r="CV255" t="str">
        <f>""</f>
        <v/>
      </c>
      <c r="CW255" t="str">
        <f>""</f>
        <v/>
      </c>
      <c r="CX255" t="str">
        <f>""</f>
        <v/>
      </c>
      <c r="CY255" t="str">
        <f>""</f>
        <v/>
      </c>
      <c r="CZ255" t="str">
        <f>""</f>
        <v/>
      </c>
      <c r="DA255" t="str">
        <f>""</f>
        <v/>
      </c>
      <c r="DB255" t="str">
        <f>""</f>
        <v/>
      </c>
      <c r="DC255" t="str">
        <f>""</f>
        <v/>
      </c>
      <c r="DD255" t="str">
        <f>""</f>
        <v/>
      </c>
      <c r="DE255" t="str">
        <f>""</f>
        <v/>
      </c>
      <c r="DF255" t="str">
        <f>""</f>
        <v/>
      </c>
      <c r="DG255" t="str">
        <f>""</f>
        <v/>
      </c>
      <c r="DH255" t="str">
        <f>""</f>
        <v/>
      </c>
      <c r="DI255" t="str">
        <f>""</f>
        <v/>
      </c>
      <c r="DJ255" t="str">
        <f>""</f>
        <v/>
      </c>
      <c r="DK255" t="str">
        <f>""</f>
        <v/>
      </c>
      <c r="DL255" t="str">
        <f>""</f>
        <v/>
      </c>
      <c r="DM255" t="str">
        <f>""</f>
        <v/>
      </c>
      <c r="DN255" t="str">
        <f>""</f>
        <v/>
      </c>
      <c r="DO255" t="str">
        <f>""</f>
        <v/>
      </c>
      <c r="DP255" t="str">
        <f>""</f>
        <v/>
      </c>
      <c r="DQ255" t="str">
        <f>""</f>
        <v/>
      </c>
      <c r="DR255" t="str">
        <f>""</f>
        <v/>
      </c>
      <c r="DS255" t="str">
        <f>""</f>
        <v/>
      </c>
      <c r="DT255" t="str">
        <f>""</f>
        <v/>
      </c>
      <c r="DU255" t="str">
        <f>""</f>
        <v/>
      </c>
      <c r="DV255" t="str">
        <f>""</f>
        <v/>
      </c>
      <c r="DW255" t="str">
        <f>""</f>
        <v/>
      </c>
      <c r="DX255" t="str">
        <f>""</f>
        <v/>
      </c>
      <c r="DY255" t="str">
        <f>""</f>
        <v/>
      </c>
      <c r="DZ255" t="str">
        <f>""</f>
        <v/>
      </c>
      <c r="EA255" t="str">
        <f>""</f>
        <v/>
      </c>
      <c r="EB255" t="str">
        <f>""</f>
        <v/>
      </c>
      <c r="EC255" t="str">
        <f>""</f>
        <v/>
      </c>
      <c r="ED255" t="str">
        <f>""</f>
        <v/>
      </c>
      <c r="EE255" t="str">
        <f>""</f>
        <v/>
      </c>
      <c r="EF255" t="str">
        <f>""</f>
        <v/>
      </c>
      <c r="EG255" t="str">
        <f>""</f>
        <v/>
      </c>
      <c r="EH255" t="str">
        <f>""</f>
        <v/>
      </c>
      <c r="EI255" t="str">
        <f>""</f>
        <v/>
      </c>
      <c r="EJ255" t="str">
        <f>""</f>
        <v/>
      </c>
      <c r="EK255" t="str">
        <f>""</f>
        <v/>
      </c>
      <c r="EL255" t="str">
        <f>""</f>
        <v/>
      </c>
      <c r="EM255" t="str">
        <f>""</f>
        <v/>
      </c>
      <c r="EN255" t="str">
        <f>""</f>
        <v/>
      </c>
      <c r="EO255" t="str">
        <f>""</f>
        <v/>
      </c>
      <c r="EP255" t="str">
        <f>""</f>
        <v/>
      </c>
      <c r="EQ255" t="str">
        <f>""</f>
        <v/>
      </c>
      <c r="ER255" t="str">
        <f>""</f>
        <v/>
      </c>
      <c r="ES255" t="str">
        <f>""</f>
        <v/>
      </c>
      <c r="ET255" t="str">
        <f>""</f>
        <v/>
      </c>
      <c r="EU255" t="str">
        <f>""</f>
        <v/>
      </c>
      <c r="EV255" t="str">
        <f>""</f>
        <v/>
      </c>
      <c r="EW255" t="str">
        <f>""</f>
        <v/>
      </c>
      <c r="EX255" t="str">
        <f>""</f>
        <v/>
      </c>
      <c r="EY255" t="str">
        <f>""</f>
        <v/>
      </c>
      <c r="EZ255" t="str">
        <f>""</f>
        <v/>
      </c>
      <c r="FA255" t="str">
        <f>""</f>
        <v/>
      </c>
      <c r="FB255" t="str">
        <f>""</f>
        <v/>
      </c>
      <c r="FC255" t="str">
        <f>""</f>
        <v/>
      </c>
      <c r="FD255" t="str">
        <f>""</f>
        <v/>
      </c>
      <c r="FE255" t="str">
        <f>""</f>
        <v/>
      </c>
      <c r="FF255" t="str">
        <f>""</f>
        <v/>
      </c>
      <c r="FG255" t="str">
        <f>""</f>
        <v/>
      </c>
      <c r="FH255" t="str">
        <f>""</f>
        <v/>
      </c>
      <c r="FI255" t="str">
        <f>""</f>
        <v/>
      </c>
      <c r="FJ255" t="str">
        <f>""</f>
        <v/>
      </c>
      <c r="FK255" t="str">
        <f>"-0.150"</f>
        <v>-0.150</v>
      </c>
      <c r="FL255" t="str">
        <f>"-0.00268"</f>
        <v>-0.00268</v>
      </c>
      <c r="FM255" t="str">
        <f>"-0.0139"</f>
        <v>-0.0139</v>
      </c>
      <c r="FN255" t="str">
        <f>""</f>
        <v/>
      </c>
      <c r="FO255" t="str">
        <f>""</f>
        <v/>
      </c>
      <c r="FP255" t="str">
        <f>""</f>
        <v/>
      </c>
      <c r="FQ255" t="str">
        <f>""</f>
        <v/>
      </c>
      <c r="FR255" t="str">
        <f>""</f>
        <v/>
      </c>
      <c r="FS255" t="str">
        <f>""</f>
        <v/>
      </c>
      <c r="FT255" t="str">
        <f>""</f>
        <v/>
      </c>
      <c r="FU255" t="str">
        <f>""</f>
        <v/>
      </c>
      <c r="FV255" t="str">
        <f>""</f>
        <v/>
      </c>
      <c r="FW255" t="str">
        <f>""</f>
        <v/>
      </c>
      <c r="FX255" t="str">
        <f>""</f>
        <v/>
      </c>
      <c r="FY255" t="str">
        <f>""</f>
        <v/>
      </c>
      <c r="FZ255" t="str">
        <f>""</f>
        <v/>
      </c>
      <c r="GA255" t="str">
        <f>""</f>
        <v/>
      </c>
      <c r="GB255" t="str">
        <f>""</f>
        <v/>
      </c>
      <c r="GC255" t="str">
        <f>""</f>
        <v/>
      </c>
      <c r="GD255" t="str">
        <f>""</f>
        <v/>
      </c>
      <c r="GE255" t="str">
        <f>""</f>
        <v/>
      </c>
      <c r="GF255" t="str">
        <f>""</f>
        <v/>
      </c>
      <c r="GG255" t="str">
        <f>""</f>
        <v/>
      </c>
      <c r="GH255" t="str">
        <f>""</f>
        <v/>
      </c>
      <c r="GI255" t="str">
        <f>""</f>
        <v/>
      </c>
      <c r="GJ255" t="str">
        <f>""</f>
        <v/>
      </c>
      <c r="GK255" t="str">
        <f>""</f>
        <v/>
      </c>
      <c r="GL255" t="str">
        <f>""</f>
        <v/>
      </c>
      <c r="GM255" t="str">
        <f>""</f>
        <v/>
      </c>
      <c r="GN255" t="str">
        <f>""</f>
        <v/>
      </c>
      <c r="GO255" t="str">
        <f>""</f>
        <v/>
      </c>
      <c r="GP255" t="str">
        <f>""</f>
        <v/>
      </c>
      <c r="GQ255" t="str">
        <f>""</f>
        <v/>
      </c>
      <c r="GR255" t="str">
        <f>""</f>
        <v/>
      </c>
      <c r="GS255" t="str">
        <f>""</f>
        <v/>
      </c>
      <c r="GT255" t="str">
        <f>""</f>
        <v/>
      </c>
      <c r="GU255" t="str">
        <f>""</f>
        <v/>
      </c>
      <c r="GV255" t="str">
        <f>""</f>
        <v/>
      </c>
      <c r="GW255" t="str">
        <f>""</f>
        <v/>
      </c>
      <c r="GX255" t="str">
        <f>""</f>
        <v/>
      </c>
      <c r="GY255" t="str">
        <f>""</f>
        <v/>
      </c>
      <c r="GZ255" t="str">
        <f>""</f>
        <v/>
      </c>
      <c r="HA255" t="str">
        <f>""</f>
        <v/>
      </c>
      <c r="HB255" t="str">
        <f>""</f>
        <v/>
      </c>
      <c r="HC255" t="str">
        <f>""</f>
        <v/>
      </c>
      <c r="HD255" t="str">
        <f>""</f>
        <v/>
      </c>
      <c r="HE255" t="str">
        <f>""</f>
        <v/>
      </c>
      <c r="HF255" t="str">
        <f>""</f>
        <v/>
      </c>
      <c r="HG255" t="str">
        <f>""</f>
        <v/>
      </c>
      <c r="HH255" t="str">
        <f>""</f>
        <v/>
      </c>
      <c r="HI255" t="str">
        <f>""</f>
        <v/>
      </c>
      <c r="HJ255" t="str">
        <f>""</f>
        <v/>
      </c>
      <c r="HK255" t="str">
        <f>""</f>
        <v/>
      </c>
      <c r="HL255" t="str">
        <f>""</f>
        <v/>
      </c>
      <c r="HM255" t="str">
        <f>""</f>
        <v/>
      </c>
      <c r="HN255" t="str">
        <f>""</f>
        <v/>
      </c>
      <c r="HO255" t="str">
        <f>""</f>
        <v/>
      </c>
      <c r="HP255" t="str">
        <f>""</f>
        <v/>
      </c>
      <c r="HQ255" t="str">
        <f>""</f>
        <v/>
      </c>
      <c r="HR255" t="str">
        <f>""</f>
        <v/>
      </c>
      <c r="HS255" t="str">
        <f>""</f>
        <v/>
      </c>
      <c r="HT255" t="str">
        <f>""</f>
        <v/>
      </c>
      <c r="HU255" t="str">
        <f>""</f>
        <v/>
      </c>
      <c r="HV255" t="str">
        <f>""</f>
        <v/>
      </c>
      <c r="HW255" t="str">
        <f>""</f>
        <v/>
      </c>
      <c r="HX255" t="str">
        <f>""</f>
        <v/>
      </c>
      <c r="HY255" t="str">
        <f>""</f>
        <v/>
      </c>
      <c r="HZ255" t="str">
        <f>""</f>
        <v/>
      </c>
      <c r="IA255" t="str">
        <f>""</f>
        <v/>
      </c>
      <c r="IB255" t="str">
        <f>""</f>
        <v/>
      </c>
      <c r="IC255" t="str">
        <f>""</f>
        <v/>
      </c>
      <c r="ID255" t="str">
        <f>""</f>
        <v/>
      </c>
      <c r="IE255" t="str">
        <f>""</f>
        <v/>
      </c>
      <c r="IF255" t="str">
        <f>""</f>
        <v/>
      </c>
      <c r="IG255" t="str">
        <f>""</f>
        <v/>
      </c>
      <c r="IH255" t="str">
        <f>""</f>
        <v/>
      </c>
      <c r="II255" t="str">
        <f>""</f>
        <v/>
      </c>
      <c r="IJ255" t="str">
        <f>""</f>
        <v/>
      </c>
      <c r="IK255" t="str">
        <f>""</f>
        <v/>
      </c>
      <c r="IL255" t="str">
        <f>""</f>
        <v/>
      </c>
      <c r="IM255" t="str">
        <f>""</f>
        <v/>
      </c>
      <c r="IN255" t="str">
        <f>""</f>
        <v/>
      </c>
      <c r="IO255" t="str">
        <f>""</f>
        <v/>
      </c>
      <c r="IP255" t="str">
        <f>""</f>
        <v/>
      </c>
      <c r="IQ255" t="str">
        <f>""</f>
        <v/>
      </c>
      <c r="IR255" t="str">
        <f>""</f>
        <v/>
      </c>
      <c r="IS255" t="str">
        <f>""</f>
        <v/>
      </c>
      <c r="IT255" t="str">
        <f>""</f>
        <v/>
      </c>
      <c r="IU255" t="str">
        <f>""</f>
        <v/>
      </c>
      <c r="IV255" t="str">
        <f>""</f>
        <v/>
      </c>
      <c r="IW255" t="str">
        <f>""</f>
        <v/>
      </c>
      <c r="IX255" t="str">
        <f>""</f>
        <v/>
      </c>
      <c r="IY255" t="str">
        <f>""</f>
        <v/>
      </c>
      <c r="IZ255" t="str">
        <f>""</f>
        <v/>
      </c>
      <c r="JA255" t="str">
        <f>""</f>
        <v/>
      </c>
      <c r="JB255" t="str">
        <f>""</f>
        <v/>
      </c>
      <c r="JC255" t="str">
        <f>""</f>
        <v/>
      </c>
      <c r="JD255" t="str">
        <f>""</f>
        <v/>
      </c>
      <c r="JE255" t="str">
        <f>""</f>
        <v/>
      </c>
      <c r="JF255" t="str">
        <f>""</f>
        <v/>
      </c>
      <c r="JG255" t="str">
        <f>""</f>
        <v/>
      </c>
      <c r="JH255" t="str">
        <f>""</f>
        <v/>
      </c>
      <c r="JI255" t="str">
        <f>""</f>
        <v/>
      </c>
      <c r="JJ255" t="str">
        <f>""</f>
        <v/>
      </c>
      <c r="JK255" t="str">
        <f>""</f>
        <v/>
      </c>
    </row>
    <row r="256" spans="1:271" x14ac:dyDescent="0.3">
      <c r="A256" t="str">
        <f>""</f>
        <v/>
      </c>
      <c r="B256" t="str">
        <f>""</f>
        <v/>
      </c>
      <c r="C256" t="str">
        <f>""</f>
        <v/>
      </c>
      <c r="D256" t="str">
        <f>""</f>
        <v/>
      </c>
      <c r="E256" t="str">
        <f>""</f>
        <v/>
      </c>
      <c r="F256" t="str">
        <f>""</f>
        <v/>
      </c>
      <c r="G256" t="str">
        <f>""</f>
        <v/>
      </c>
      <c r="H256" t="str">
        <f>""</f>
        <v/>
      </c>
      <c r="I256" t="str">
        <f>""</f>
        <v/>
      </c>
      <c r="J256" t="str">
        <f>""</f>
        <v/>
      </c>
      <c r="K256" t="str">
        <f>""</f>
        <v/>
      </c>
      <c r="L256" t="str">
        <f>""</f>
        <v/>
      </c>
      <c r="M256" t="str">
        <f>""</f>
        <v/>
      </c>
      <c r="N256" t="str">
        <f>""</f>
        <v/>
      </c>
      <c r="O256" t="str">
        <f>""</f>
        <v/>
      </c>
      <c r="P256" t="str">
        <f>""</f>
        <v/>
      </c>
      <c r="Q256" t="str">
        <f>""</f>
        <v/>
      </c>
      <c r="R256" t="str">
        <f>""</f>
        <v/>
      </c>
      <c r="S256" t="str">
        <f>""</f>
        <v/>
      </c>
      <c r="T256" t="str">
        <f>""</f>
        <v/>
      </c>
      <c r="U256" t="str">
        <f>""</f>
        <v/>
      </c>
      <c r="V256" t="str">
        <f>""</f>
        <v/>
      </c>
      <c r="W256" t="str">
        <f>""</f>
        <v/>
      </c>
      <c r="X256" t="str">
        <f>""</f>
        <v/>
      </c>
      <c r="Y256" t="str">
        <f>""</f>
        <v/>
      </c>
      <c r="Z256" t="str">
        <f>""</f>
        <v/>
      </c>
      <c r="AA256" t="str">
        <f>""</f>
        <v/>
      </c>
      <c r="AB256" t="str">
        <f>""</f>
        <v/>
      </c>
      <c r="AC256" t="str">
        <f>""</f>
        <v/>
      </c>
      <c r="AD256" t="str">
        <f>""</f>
        <v/>
      </c>
      <c r="AE256" t="str">
        <f>""</f>
        <v/>
      </c>
      <c r="AF256" t="str">
        <f>""</f>
        <v/>
      </c>
      <c r="AG256" t="str">
        <f>""</f>
        <v/>
      </c>
      <c r="AH256" t="str">
        <f>""</f>
        <v/>
      </c>
      <c r="AI256" t="str">
        <f>""</f>
        <v/>
      </c>
      <c r="AJ256" t="str">
        <f>""</f>
        <v/>
      </c>
      <c r="AK256" t="str">
        <f>""</f>
        <v/>
      </c>
      <c r="AL256" t="str">
        <f>""</f>
        <v/>
      </c>
      <c r="AM256" t="str">
        <f>""</f>
        <v/>
      </c>
      <c r="AN256" t="str">
        <f>""</f>
        <v/>
      </c>
      <c r="AO256" t="str">
        <f>""</f>
        <v/>
      </c>
      <c r="AP256" t="str">
        <f>""</f>
        <v/>
      </c>
      <c r="AQ256" t="str">
        <f>""</f>
        <v/>
      </c>
      <c r="AR256" t="str">
        <f>""</f>
        <v/>
      </c>
      <c r="AS256" t="str">
        <f>""</f>
        <v/>
      </c>
      <c r="AT256" t="str">
        <f>""</f>
        <v/>
      </c>
      <c r="AU256" t="str">
        <f>""</f>
        <v/>
      </c>
      <c r="AV256" t="str">
        <f>""</f>
        <v/>
      </c>
      <c r="AW256" t="str">
        <f>""</f>
        <v/>
      </c>
      <c r="AX256" t="str">
        <f>""</f>
        <v/>
      </c>
      <c r="AY256" t="str">
        <f>""</f>
        <v/>
      </c>
      <c r="AZ256" t="str">
        <f>""</f>
        <v/>
      </c>
      <c r="BA256" t="str">
        <f>""</f>
        <v/>
      </c>
      <c r="BB256" t="str">
        <f>""</f>
        <v/>
      </c>
      <c r="BC256" t="str">
        <f>""</f>
        <v/>
      </c>
      <c r="BD256" t="str">
        <f>""</f>
        <v/>
      </c>
      <c r="BE256" t="str">
        <f>""</f>
        <v/>
      </c>
      <c r="BF256" t="str">
        <f>""</f>
        <v/>
      </c>
      <c r="BG256" t="str">
        <f>""</f>
        <v/>
      </c>
      <c r="BH256" t="str">
        <f>""</f>
        <v/>
      </c>
      <c r="BI256" t="str">
        <f>""</f>
        <v/>
      </c>
      <c r="BJ256" t="str">
        <f>""</f>
        <v/>
      </c>
      <c r="BK256" t="str">
        <f>""</f>
        <v/>
      </c>
      <c r="BL256" t="str">
        <f>""</f>
        <v/>
      </c>
      <c r="BM256" t="str">
        <f>""</f>
        <v/>
      </c>
      <c r="BN256" t="str">
        <f>""</f>
        <v/>
      </c>
      <c r="BO256" t="str">
        <f>""</f>
        <v/>
      </c>
      <c r="BP256" t="str">
        <f>""</f>
        <v/>
      </c>
      <c r="BQ256" t="str">
        <f>""</f>
        <v/>
      </c>
      <c r="BR256" t="str">
        <f>""</f>
        <v/>
      </c>
      <c r="BS256" t="str">
        <f>""</f>
        <v/>
      </c>
      <c r="BT256" t="str">
        <f>""</f>
        <v/>
      </c>
      <c r="BU256" t="str">
        <f>""</f>
        <v/>
      </c>
      <c r="BV256" t="str">
        <f>""</f>
        <v/>
      </c>
      <c r="BW256" t="str">
        <f>""</f>
        <v/>
      </c>
      <c r="BX256" t="str">
        <f>""</f>
        <v/>
      </c>
      <c r="BY256" t="str">
        <f>""</f>
        <v/>
      </c>
      <c r="BZ256" t="str">
        <f>""</f>
        <v/>
      </c>
      <c r="CA256" t="str">
        <f>""</f>
        <v/>
      </c>
      <c r="CB256" t="str">
        <f>""</f>
        <v/>
      </c>
      <c r="CC256" t="str">
        <f>""</f>
        <v/>
      </c>
      <c r="CD256" t="str">
        <f>""</f>
        <v/>
      </c>
      <c r="CE256" t="str">
        <f>""</f>
        <v/>
      </c>
      <c r="CF256" t="str">
        <f>""</f>
        <v/>
      </c>
      <c r="CG256" t="str">
        <f>""</f>
        <v/>
      </c>
      <c r="CH256" t="str">
        <f>""</f>
        <v/>
      </c>
      <c r="CI256" t="str">
        <f>""</f>
        <v/>
      </c>
      <c r="CJ256" t="str">
        <f>""</f>
        <v/>
      </c>
      <c r="CK256" t="str">
        <f>""</f>
        <v/>
      </c>
      <c r="CL256" t="str">
        <f>""</f>
        <v/>
      </c>
      <c r="CM256" t="str">
        <f>""</f>
        <v/>
      </c>
      <c r="CN256" t="str">
        <f>""</f>
        <v/>
      </c>
      <c r="CO256" t="str">
        <f>""</f>
        <v/>
      </c>
      <c r="CP256" t="str">
        <f>""</f>
        <v/>
      </c>
      <c r="CQ256" t="str">
        <f>""</f>
        <v/>
      </c>
      <c r="CR256" t="str">
        <f>""</f>
        <v/>
      </c>
      <c r="CS256" t="str">
        <f>""</f>
        <v/>
      </c>
      <c r="CT256" t="str">
        <f>""</f>
        <v/>
      </c>
      <c r="CU256" t="str">
        <f>""</f>
        <v/>
      </c>
      <c r="CV256" t="str">
        <f>""</f>
        <v/>
      </c>
      <c r="CW256" t="str">
        <f>""</f>
        <v/>
      </c>
      <c r="CX256" t="str">
        <f>""</f>
        <v/>
      </c>
      <c r="CY256" t="str">
        <f>""</f>
        <v/>
      </c>
      <c r="CZ256" t="str">
        <f>""</f>
        <v/>
      </c>
      <c r="DA256" t="str">
        <f>""</f>
        <v/>
      </c>
      <c r="DB256" t="str">
        <f>""</f>
        <v/>
      </c>
      <c r="DC256" t="str">
        <f>""</f>
        <v/>
      </c>
      <c r="DD256" t="str">
        <f>""</f>
        <v/>
      </c>
      <c r="DE256" t="str">
        <f>""</f>
        <v/>
      </c>
      <c r="DF256" t="str">
        <f>""</f>
        <v/>
      </c>
      <c r="DG256" t="str">
        <f>""</f>
        <v/>
      </c>
      <c r="DH256" t="str">
        <f>""</f>
        <v/>
      </c>
      <c r="DI256" t="str">
        <f>""</f>
        <v/>
      </c>
      <c r="DJ256" t="str">
        <f>""</f>
        <v/>
      </c>
      <c r="DK256" t="str">
        <f>""</f>
        <v/>
      </c>
      <c r="DL256" t="str">
        <f>""</f>
        <v/>
      </c>
      <c r="DM256" t="str">
        <f>""</f>
        <v/>
      </c>
      <c r="DN256" t="str">
        <f>""</f>
        <v/>
      </c>
      <c r="DO256" t="str">
        <f>""</f>
        <v/>
      </c>
      <c r="DP256" t="str">
        <f>""</f>
        <v/>
      </c>
      <c r="DQ256" t="str">
        <f>""</f>
        <v/>
      </c>
      <c r="DR256" t="str">
        <f>""</f>
        <v/>
      </c>
      <c r="DS256" t="str">
        <f>""</f>
        <v/>
      </c>
      <c r="DT256" t="str">
        <f>""</f>
        <v/>
      </c>
      <c r="DU256" t="str">
        <f>""</f>
        <v/>
      </c>
      <c r="DV256" t="str">
        <f>""</f>
        <v/>
      </c>
      <c r="DW256" t="str">
        <f>""</f>
        <v/>
      </c>
      <c r="DX256" t="str">
        <f>""</f>
        <v/>
      </c>
      <c r="DY256" t="str">
        <f>""</f>
        <v/>
      </c>
      <c r="DZ256" t="str">
        <f>""</f>
        <v/>
      </c>
      <c r="EA256" t="str">
        <f>""</f>
        <v/>
      </c>
      <c r="EB256" t="str">
        <f>""</f>
        <v/>
      </c>
      <c r="EC256" t="str">
        <f>""</f>
        <v/>
      </c>
      <c r="ED256" t="str">
        <f>""</f>
        <v/>
      </c>
      <c r="EE256" t="str">
        <f>""</f>
        <v/>
      </c>
      <c r="EF256" t="str">
        <f>""</f>
        <v/>
      </c>
      <c r="EG256" t="str">
        <f>""</f>
        <v/>
      </c>
      <c r="EH256" t="str">
        <f>""</f>
        <v/>
      </c>
      <c r="EI256" t="str">
        <f>""</f>
        <v/>
      </c>
      <c r="EJ256" t="str">
        <f>""</f>
        <v/>
      </c>
      <c r="EK256" t="str">
        <f>""</f>
        <v/>
      </c>
      <c r="EL256" t="str">
        <f>""</f>
        <v/>
      </c>
      <c r="EM256" t="str">
        <f>""</f>
        <v/>
      </c>
      <c r="EN256" t="str">
        <f>""</f>
        <v/>
      </c>
      <c r="EO256" t="str">
        <f>""</f>
        <v/>
      </c>
      <c r="EP256" t="str">
        <f>""</f>
        <v/>
      </c>
      <c r="EQ256" t="str">
        <f>""</f>
        <v/>
      </c>
      <c r="ER256" t="str">
        <f>""</f>
        <v/>
      </c>
      <c r="ES256" t="str">
        <f>""</f>
        <v/>
      </c>
      <c r="ET256" t="str">
        <f>""</f>
        <v/>
      </c>
      <c r="EU256" t="str">
        <f>""</f>
        <v/>
      </c>
      <c r="EV256" t="str">
        <f>""</f>
        <v/>
      </c>
      <c r="EW256" t="str">
        <f>""</f>
        <v/>
      </c>
      <c r="EX256" t="str">
        <f>""</f>
        <v/>
      </c>
      <c r="EY256" t="str">
        <f>""</f>
        <v/>
      </c>
      <c r="EZ256" t="str">
        <f>""</f>
        <v/>
      </c>
      <c r="FA256" t="str">
        <f>""</f>
        <v/>
      </c>
      <c r="FB256" t="str">
        <f>""</f>
        <v/>
      </c>
      <c r="FC256" t="str">
        <f>""</f>
        <v/>
      </c>
      <c r="FD256" t="str">
        <f>""</f>
        <v/>
      </c>
      <c r="FE256" t="str">
        <f>""</f>
        <v/>
      </c>
      <c r="FF256" t="str">
        <f>""</f>
        <v/>
      </c>
      <c r="FG256" t="str">
        <f>""</f>
        <v/>
      </c>
      <c r="FH256" t="str">
        <f>""</f>
        <v/>
      </c>
      <c r="FI256" t="str">
        <f>""</f>
        <v/>
      </c>
      <c r="FJ256" t="str">
        <f>""</f>
        <v/>
      </c>
      <c r="FK256" t="str">
        <f>"(0.101)"</f>
        <v>(0.101)</v>
      </c>
      <c r="FL256" t="str">
        <f>"(0.0804)"</f>
        <v>(0.0804)</v>
      </c>
      <c r="FM256" t="str">
        <f>"(0.0411)"</f>
        <v>(0.0411)</v>
      </c>
      <c r="FN256" t="str">
        <f>""</f>
        <v/>
      </c>
      <c r="FO256" t="str">
        <f>""</f>
        <v/>
      </c>
      <c r="FP256" t="str">
        <f>""</f>
        <v/>
      </c>
      <c r="FQ256" t="str">
        <f>""</f>
        <v/>
      </c>
      <c r="FR256" t="str">
        <f>""</f>
        <v/>
      </c>
      <c r="FS256" t="str">
        <f>""</f>
        <v/>
      </c>
      <c r="FT256" t="str">
        <f>""</f>
        <v/>
      </c>
      <c r="FU256" t="str">
        <f>""</f>
        <v/>
      </c>
      <c r="FV256" t="str">
        <f>""</f>
        <v/>
      </c>
      <c r="FW256" t="str">
        <f>""</f>
        <v/>
      </c>
      <c r="FX256" t="str">
        <f>""</f>
        <v/>
      </c>
      <c r="FY256" t="str">
        <f>""</f>
        <v/>
      </c>
      <c r="FZ256" t="str">
        <f>""</f>
        <v/>
      </c>
      <c r="GA256" t="str">
        <f>""</f>
        <v/>
      </c>
      <c r="GB256" t="str">
        <f>""</f>
        <v/>
      </c>
      <c r="GC256" t="str">
        <f>""</f>
        <v/>
      </c>
      <c r="GD256" t="str">
        <f>""</f>
        <v/>
      </c>
      <c r="GE256" t="str">
        <f>""</f>
        <v/>
      </c>
      <c r="GF256" t="str">
        <f>""</f>
        <v/>
      </c>
      <c r="GG256" t="str">
        <f>""</f>
        <v/>
      </c>
      <c r="GH256" t="str">
        <f>""</f>
        <v/>
      </c>
      <c r="GI256" t="str">
        <f>""</f>
        <v/>
      </c>
      <c r="GJ256" t="str">
        <f>""</f>
        <v/>
      </c>
      <c r="GK256" t="str">
        <f>""</f>
        <v/>
      </c>
      <c r="GL256" t="str">
        <f>""</f>
        <v/>
      </c>
      <c r="GM256" t="str">
        <f>""</f>
        <v/>
      </c>
      <c r="GN256" t="str">
        <f>""</f>
        <v/>
      </c>
      <c r="GO256" t="str">
        <f>""</f>
        <v/>
      </c>
      <c r="GP256" t="str">
        <f>""</f>
        <v/>
      </c>
      <c r="GQ256" t="str">
        <f>""</f>
        <v/>
      </c>
      <c r="GR256" t="str">
        <f>""</f>
        <v/>
      </c>
      <c r="GS256" t="str">
        <f>""</f>
        <v/>
      </c>
      <c r="GT256" t="str">
        <f>""</f>
        <v/>
      </c>
      <c r="GU256" t="str">
        <f>""</f>
        <v/>
      </c>
      <c r="GV256" t="str">
        <f>""</f>
        <v/>
      </c>
      <c r="GW256" t="str">
        <f>""</f>
        <v/>
      </c>
      <c r="GX256" t="str">
        <f>""</f>
        <v/>
      </c>
      <c r="GY256" t="str">
        <f>""</f>
        <v/>
      </c>
      <c r="GZ256" t="str">
        <f>""</f>
        <v/>
      </c>
      <c r="HA256" t="str">
        <f>""</f>
        <v/>
      </c>
      <c r="HB256" t="str">
        <f>""</f>
        <v/>
      </c>
      <c r="HC256" t="str">
        <f>""</f>
        <v/>
      </c>
      <c r="HD256" t="str">
        <f>""</f>
        <v/>
      </c>
      <c r="HE256" t="str">
        <f>""</f>
        <v/>
      </c>
      <c r="HF256" t="str">
        <f>""</f>
        <v/>
      </c>
      <c r="HG256" t="str">
        <f>""</f>
        <v/>
      </c>
      <c r="HH256" t="str">
        <f>""</f>
        <v/>
      </c>
      <c r="HI256" t="str">
        <f>""</f>
        <v/>
      </c>
      <c r="HJ256" t="str">
        <f>""</f>
        <v/>
      </c>
      <c r="HK256" t="str">
        <f>""</f>
        <v/>
      </c>
      <c r="HL256" t="str">
        <f>""</f>
        <v/>
      </c>
      <c r="HM256" t="str">
        <f>""</f>
        <v/>
      </c>
      <c r="HN256" t="str">
        <f>""</f>
        <v/>
      </c>
      <c r="HO256" t="str">
        <f>""</f>
        <v/>
      </c>
      <c r="HP256" t="str">
        <f>""</f>
        <v/>
      </c>
      <c r="HQ256" t="str">
        <f>""</f>
        <v/>
      </c>
      <c r="HR256" t="str">
        <f>""</f>
        <v/>
      </c>
      <c r="HS256" t="str">
        <f>""</f>
        <v/>
      </c>
      <c r="HT256" t="str">
        <f>""</f>
        <v/>
      </c>
      <c r="HU256" t="str">
        <f>""</f>
        <v/>
      </c>
      <c r="HV256" t="str">
        <f>""</f>
        <v/>
      </c>
      <c r="HW256" t="str">
        <f>""</f>
        <v/>
      </c>
      <c r="HX256" t="str">
        <f>""</f>
        <v/>
      </c>
      <c r="HY256" t="str">
        <f>""</f>
        <v/>
      </c>
      <c r="HZ256" t="str">
        <f>""</f>
        <v/>
      </c>
      <c r="IA256" t="str">
        <f>""</f>
        <v/>
      </c>
      <c r="IB256" t="str">
        <f>""</f>
        <v/>
      </c>
      <c r="IC256" t="str">
        <f>""</f>
        <v/>
      </c>
      <c r="ID256" t="str">
        <f>""</f>
        <v/>
      </c>
      <c r="IE256" t="str">
        <f>""</f>
        <v/>
      </c>
      <c r="IF256" t="str">
        <f>""</f>
        <v/>
      </c>
      <c r="IG256" t="str">
        <f>""</f>
        <v/>
      </c>
      <c r="IH256" t="str">
        <f>""</f>
        <v/>
      </c>
      <c r="II256" t="str">
        <f>""</f>
        <v/>
      </c>
      <c r="IJ256" t="str">
        <f>""</f>
        <v/>
      </c>
      <c r="IK256" t="str">
        <f>""</f>
        <v/>
      </c>
      <c r="IL256" t="str">
        <f>""</f>
        <v/>
      </c>
      <c r="IM256" t="str">
        <f>""</f>
        <v/>
      </c>
      <c r="IN256" t="str">
        <f>""</f>
        <v/>
      </c>
      <c r="IO256" t="str">
        <f>""</f>
        <v/>
      </c>
      <c r="IP256" t="str">
        <f>""</f>
        <v/>
      </c>
      <c r="IQ256" t="str">
        <f>""</f>
        <v/>
      </c>
      <c r="IR256" t="str">
        <f>""</f>
        <v/>
      </c>
      <c r="IS256" t="str">
        <f>""</f>
        <v/>
      </c>
      <c r="IT256" t="str">
        <f>""</f>
        <v/>
      </c>
      <c r="IU256" t="str">
        <f>""</f>
        <v/>
      </c>
      <c r="IV256" t="str">
        <f>""</f>
        <v/>
      </c>
      <c r="IW256" t="str">
        <f>""</f>
        <v/>
      </c>
      <c r="IX256" t="str">
        <f>""</f>
        <v/>
      </c>
      <c r="IY256" t="str">
        <f>""</f>
        <v/>
      </c>
      <c r="IZ256" t="str">
        <f>""</f>
        <v/>
      </c>
      <c r="JA256" t="str">
        <f>""</f>
        <v/>
      </c>
      <c r="JB256" t="str">
        <f>""</f>
        <v/>
      </c>
      <c r="JC256" t="str">
        <f>""</f>
        <v/>
      </c>
      <c r="JD256" t="str">
        <f>""</f>
        <v/>
      </c>
      <c r="JE256" t="str">
        <f>""</f>
        <v/>
      </c>
      <c r="JF256" t="str">
        <f>""</f>
        <v/>
      </c>
      <c r="JG256" t="str">
        <f>""</f>
        <v/>
      </c>
      <c r="JH256" t="str">
        <f>""</f>
        <v/>
      </c>
      <c r="JI256" t="str">
        <f>""</f>
        <v/>
      </c>
      <c r="JJ256" t="str">
        <f>""</f>
        <v/>
      </c>
      <c r="JK256" t="str">
        <f>""</f>
        <v/>
      </c>
    </row>
    <row r="258" spans="1:271" x14ac:dyDescent="0.3">
      <c r="A258" t="str">
        <f>"c.zMETAB12#c.PM4"</f>
        <v>c.zMETAB12#c.PM4</v>
      </c>
      <c r="B258" t="str">
        <f>""</f>
        <v/>
      </c>
      <c r="C258" t="str">
        <f>""</f>
        <v/>
      </c>
      <c r="D258" t="str">
        <f>""</f>
        <v/>
      </c>
      <c r="E258" t="str">
        <f>""</f>
        <v/>
      </c>
      <c r="F258" t="str">
        <f>""</f>
        <v/>
      </c>
      <c r="G258" t="str">
        <f>""</f>
        <v/>
      </c>
      <c r="H258" t="str">
        <f>""</f>
        <v/>
      </c>
      <c r="I258" t="str">
        <f>""</f>
        <v/>
      </c>
      <c r="J258" t="str">
        <f>""</f>
        <v/>
      </c>
      <c r="K258" t="str">
        <f>""</f>
        <v/>
      </c>
      <c r="L258" t="str">
        <f>""</f>
        <v/>
      </c>
      <c r="M258" t="str">
        <f>""</f>
        <v/>
      </c>
      <c r="N258" t="str">
        <f>""</f>
        <v/>
      </c>
      <c r="O258" t="str">
        <f>""</f>
        <v/>
      </c>
      <c r="P258" t="str">
        <f>""</f>
        <v/>
      </c>
      <c r="Q258" t="str">
        <f>""</f>
        <v/>
      </c>
      <c r="R258" t="str">
        <f>""</f>
        <v/>
      </c>
      <c r="S258" t="str">
        <f>""</f>
        <v/>
      </c>
      <c r="T258" t="str">
        <f>""</f>
        <v/>
      </c>
      <c r="U258" t="str">
        <f>""</f>
        <v/>
      </c>
      <c r="V258" t="str">
        <f>""</f>
        <v/>
      </c>
      <c r="W258" t="str">
        <f>""</f>
        <v/>
      </c>
      <c r="X258" t="str">
        <f>""</f>
        <v/>
      </c>
      <c r="Y258" t="str">
        <f>""</f>
        <v/>
      </c>
      <c r="Z258" t="str">
        <f>""</f>
        <v/>
      </c>
      <c r="AA258" t="str">
        <f>""</f>
        <v/>
      </c>
      <c r="AB258" t="str">
        <f>""</f>
        <v/>
      </c>
      <c r="AC258" t="str">
        <f>""</f>
        <v/>
      </c>
      <c r="AD258" t="str">
        <f>""</f>
        <v/>
      </c>
      <c r="AE258" t="str">
        <f>""</f>
        <v/>
      </c>
      <c r="AF258" t="str">
        <f>""</f>
        <v/>
      </c>
      <c r="AG258" t="str">
        <f>""</f>
        <v/>
      </c>
      <c r="AH258" t="str">
        <f>""</f>
        <v/>
      </c>
      <c r="AI258" t="str">
        <f>""</f>
        <v/>
      </c>
      <c r="AJ258" t="str">
        <f>""</f>
        <v/>
      </c>
      <c r="AK258" t="str">
        <f>""</f>
        <v/>
      </c>
      <c r="AL258" t="str">
        <f>""</f>
        <v/>
      </c>
      <c r="AM258" t="str">
        <f>""</f>
        <v/>
      </c>
      <c r="AN258" t="str">
        <f>""</f>
        <v/>
      </c>
      <c r="AO258" t="str">
        <f>""</f>
        <v/>
      </c>
      <c r="AP258" t="str">
        <f>""</f>
        <v/>
      </c>
      <c r="AQ258" t="str">
        <f>""</f>
        <v/>
      </c>
      <c r="AR258" t="str">
        <f>""</f>
        <v/>
      </c>
      <c r="AS258" t="str">
        <f>""</f>
        <v/>
      </c>
      <c r="AT258" t="str">
        <f>""</f>
        <v/>
      </c>
      <c r="AU258" t="str">
        <f>""</f>
        <v/>
      </c>
      <c r="AV258" t="str">
        <f>""</f>
        <v/>
      </c>
      <c r="AW258" t="str">
        <f>""</f>
        <v/>
      </c>
      <c r="AX258" t="str">
        <f>""</f>
        <v/>
      </c>
      <c r="AY258" t="str">
        <f>""</f>
        <v/>
      </c>
      <c r="AZ258" t="str">
        <f>""</f>
        <v/>
      </c>
      <c r="BA258" t="str">
        <f>""</f>
        <v/>
      </c>
      <c r="BB258" t="str">
        <f>""</f>
        <v/>
      </c>
      <c r="BC258" t="str">
        <f>""</f>
        <v/>
      </c>
      <c r="BD258" t="str">
        <f>""</f>
        <v/>
      </c>
      <c r="BE258" t="str">
        <f>""</f>
        <v/>
      </c>
      <c r="BF258" t="str">
        <f>""</f>
        <v/>
      </c>
      <c r="BG258" t="str">
        <f>""</f>
        <v/>
      </c>
      <c r="BH258" t="str">
        <f>""</f>
        <v/>
      </c>
      <c r="BI258" t="str">
        <f>""</f>
        <v/>
      </c>
      <c r="BJ258" t="str">
        <f>""</f>
        <v/>
      </c>
      <c r="BK258" t="str">
        <f>""</f>
        <v/>
      </c>
      <c r="BL258" t="str">
        <f>""</f>
        <v/>
      </c>
      <c r="BM258" t="str">
        <f>""</f>
        <v/>
      </c>
      <c r="BN258" t="str">
        <f>""</f>
        <v/>
      </c>
      <c r="BO258" t="str">
        <f>""</f>
        <v/>
      </c>
      <c r="BP258" t="str">
        <f>""</f>
        <v/>
      </c>
      <c r="BQ258" t="str">
        <f>""</f>
        <v/>
      </c>
      <c r="BR258" t="str">
        <f>""</f>
        <v/>
      </c>
      <c r="BS258" t="str">
        <f>""</f>
        <v/>
      </c>
      <c r="BT258" t="str">
        <f>""</f>
        <v/>
      </c>
      <c r="BU258" t="str">
        <f>""</f>
        <v/>
      </c>
      <c r="BV258" t="str">
        <f>""</f>
        <v/>
      </c>
      <c r="BW258" t="str">
        <f>""</f>
        <v/>
      </c>
      <c r="BX258" t="str">
        <f>""</f>
        <v/>
      </c>
      <c r="BY258" t="str">
        <f>""</f>
        <v/>
      </c>
      <c r="BZ258" t="str">
        <f>""</f>
        <v/>
      </c>
      <c r="CA258" t="str">
        <f>""</f>
        <v/>
      </c>
      <c r="CB258" t="str">
        <f>""</f>
        <v/>
      </c>
      <c r="CC258" t="str">
        <f>""</f>
        <v/>
      </c>
      <c r="CD258" t="str">
        <f>""</f>
        <v/>
      </c>
      <c r="CE258" t="str">
        <f>""</f>
        <v/>
      </c>
      <c r="CF258" t="str">
        <f>""</f>
        <v/>
      </c>
      <c r="CG258" t="str">
        <f>""</f>
        <v/>
      </c>
      <c r="CH258" t="str">
        <f>""</f>
        <v/>
      </c>
      <c r="CI258" t="str">
        <f>""</f>
        <v/>
      </c>
      <c r="CJ258" t="str">
        <f>""</f>
        <v/>
      </c>
      <c r="CK258" t="str">
        <f>""</f>
        <v/>
      </c>
      <c r="CL258" t="str">
        <f>""</f>
        <v/>
      </c>
      <c r="CM258" t="str">
        <f>""</f>
        <v/>
      </c>
      <c r="CN258" t="str">
        <f>""</f>
        <v/>
      </c>
      <c r="CO258" t="str">
        <f>""</f>
        <v/>
      </c>
      <c r="CP258" t="str">
        <f>""</f>
        <v/>
      </c>
      <c r="CQ258" t="str">
        <f>""</f>
        <v/>
      </c>
      <c r="CR258" t="str">
        <f>""</f>
        <v/>
      </c>
      <c r="CS258" t="str">
        <f>""</f>
        <v/>
      </c>
      <c r="CT258" t="str">
        <f>""</f>
        <v/>
      </c>
      <c r="CU258" t="str">
        <f>""</f>
        <v/>
      </c>
      <c r="CV258" t="str">
        <f>""</f>
        <v/>
      </c>
      <c r="CW258" t="str">
        <f>""</f>
        <v/>
      </c>
      <c r="CX258" t="str">
        <f>""</f>
        <v/>
      </c>
      <c r="CY258" t="str">
        <f>""</f>
        <v/>
      </c>
      <c r="CZ258" t="str">
        <f>""</f>
        <v/>
      </c>
      <c r="DA258" t="str">
        <f>""</f>
        <v/>
      </c>
      <c r="DB258" t="str">
        <f>""</f>
        <v/>
      </c>
      <c r="DC258" t="str">
        <f>""</f>
        <v/>
      </c>
      <c r="DD258" t="str">
        <f>""</f>
        <v/>
      </c>
      <c r="DE258" t="str">
        <f>""</f>
        <v/>
      </c>
      <c r="DF258" t="str">
        <f>""</f>
        <v/>
      </c>
      <c r="DG258" t="str">
        <f>""</f>
        <v/>
      </c>
      <c r="DH258" t="str">
        <f>""</f>
        <v/>
      </c>
      <c r="DI258" t="str">
        <f>""</f>
        <v/>
      </c>
      <c r="DJ258" t="str">
        <f>""</f>
        <v/>
      </c>
      <c r="DK258" t="str">
        <f>""</f>
        <v/>
      </c>
      <c r="DL258" t="str">
        <f>""</f>
        <v/>
      </c>
      <c r="DM258" t="str">
        <f>""</f>
        <v/>
      </c>
      <c r="DN258" t="str">
        <f>""</f>
        <v/>
      </c>
      <c r="DO258" t="str">
        <f>""</f>
        <v/>
      </c>
      <c r="DP258" t="str">
        <f>""</f>
        <v/>
      </c>
      <c r="DQ258" t="str">
        <f>""</f>
        <v/>
      </c>
      <c r="DR258" t="str">
        <f>""</f>
        <v/>
      </c>
      <c r="DS258" t="str">
        <f>""</f>
        <v/>
      </c>
      <c r="DT258" t="str">
        <f>""</f>
        <v/>
      </c>
      <c r="DU258" t="str">
        <f>""</f>
        <v/>
      </c>
      <c r="DV258" t="str">
        <f>""</f>
        <v/>
      </c>
      <c r="DW258" t="str">
        <f>""</f>
        <v/>
      </c>
      <c r="DX258" t="str">
        <f>""</f>
        <v/>
      </c>
      <c r="DY258" t="str">
        <f>""</f>
        <v/>
      </c>
      <c r="DZ258" t="str">
        <f>""</f>
        <v/>
      </c>
      <c r="EA258" t="str">
        <f>""</f>
        <v/>
      </c>
      <c r="EB258" t="str">
        <f>""</f>
        <v/>
      </c>
      <c r="EC258" t="str">
        <f>""</f>
        <v/>
      </c>
      <c r="ED258" t="str">
        <f>""</f>
        <v/>
      </c>
      <c r="EE258" t="str">
        <f>""</f>
        <v/>
      </c>
      <c r="EF258" t="str">
        <f>""</f>
        <v/>
      </c>
      <c r="EG258" t="str">
        <f>""</f>
        <v/>
      </c>
      <c r="EH258" t="str">
        <f>""</f>
        <v/>
      </c>
      <c r="EI258" t="str">
        <f>""</f>
        <v/>
      </c>
      <c r="EJ258" t="str">
        <f>""</f>
        <v/>
      </c>
      <c r="EK258" t="str">
        <f>""</f>
        <v/>
      </c>
      <c r="EL258" t="str">
        <f>""</f>
        <v/>
      </c>
      <c r="EM258" t="str">
        <f>""</f>
        <v/>
      </c>
      <c r="EN258" t="str">
        <f>""</f>
        <v/>
      </c>
      <c r="EO258" t="str">
        <f>""</f>
        <v/>
      </c>
      <c r="EP258" t="str">
        <f>""</f>
        <v/>
      </c>
      <c r="EQ258" t="str">
        <f>""</f>
        <v/>
      </c>
      <c r="ER258" t="str">
        <f>""</f>
        <v/>
      </c>
      <c r="ES258" t="str">
        <f>""</f>
        <v/>
      </c>
      <c r="ET258" t="str">
        <f>""</f>
        <v/>
      </c>
      <c r="EU258" t="str">
        <f>""</f>
        <v/>
      </c>
      <c r="EV258" t="str">
        <f>""</f>
        <v/>
      </c>
      <c r="EW258" t="str">
        <f>""</f>
        <v/>
      </c>
      <c r="EX258" t="str">
        <f>""</f>
        <v/>
      </c>
      <c r="EY258" t="str">
        <f>""</f>
        <v/>
      </c>
      <c r="EZ258" t="str">
        <f>""</f>
        <v/>
      </c>
      <c r="FA258" t="str">
        <f>""</f>
        <v/>
      </c>
      <c r="FB258" t="str">
        <f>""</f>
        <v/>
      </c>
      <c r="FC258" t="str">
        <f>""</f>
        <v/>
      </c>
      <c r="FD258" t="str">
        <f>""</f>
        <v/>
      </c>
      <c r="FE258" t="str">
        <f>""</f>
        <v/>
      </c>
      <c r="FF258" t="str">
        <f>""</f>
        <v/>
      </c>
      <c r="FG258" t="str">
        <f>""</f>
        <v/>
      </c>
      <c r="FH258" t="str">
        <f>""</f>
        <v/>
      </c>
      <c r="FI258" t="str">
        <f>""</f>
        <v/>
      </c>
      <c r="FJ258" t="str">
        <f>""</f>
        <v/>
      </c>
      <c r="FK258" t="str">
        <f>""</f>
        <v/>
      </c>
      <c r="FL258" t="str">
        <f>""</f>
        <v/>
      </c>
      <c r="FM258" t="str">
        <f>""</f>
        <v/>
      </c>
      <c r="FN258" t="str">
        <f>"-0.0536"</f>
        <v>-0.0536</v>
      </c>
      <c r="FO258" t="str">
        <f>"0.137"</f>
        <v>0.137</v>
      </c>
      <c r="FP258" t="str">
        <f>"-0.0215"</f>
        <v>-0.0215</v>
      </c>
      <c r="FQ258" t="str">
        <f>""</f>
        <v/>
      </c>
      <c r="FR258" t="str">
        <f>""</f>
        <v/>
      </c>
      <c r="FS258" t="str">
        <f>""</f>
        <v/>
      </c>
      <c r="FT258" t="str">
        <f>""</f>
        <v/>
      </c>
      <c r="FU258" t="str">
        <f>""</f>
        <v/>
      </c>
      <c r="FV258" t="str">
        <f>""</f>
        <v/>
      </c>
      <c r="FW258" t="str">
        <f>""</f>
        <v/>
      </c>
      <c r="FX258" t="str">
        <f>""</f>
        <v/>
      </c>
      <c r="FY258" t="str">
        <f>""</f>
        <v/>
      </c>
      <c r="FZ258" t="str">
        <f>""</f>
        <v/>
      </c>
      <c r="GA258" t="str">
        <f>""</f>
        <v/>
      </c>
      <c r="GB258" t="str">
        <f>""</f>
        <v/>
      </c>
      <c r="GC258" t="str">
        <f>""</f>
        <v/>
      </c>
      <c r="GD258" t="str">
        <f>""</f>
        <v/>
      </c>
      <c r="GE258" t="str">
        <f>""</f>
        <v/>
      </c>
      <c r="GF258" t="str">
        <f>""</f>
        <v/>
      </c>
      <c r="GG258" t="str">
        <f>""</f>
        <v/>
      </c>
      <c r="GH258" t="str">
        <f>""</f>
        <v/>
      </c>
      <c r="GI258" t="str">
        <f>""</f>
        <v/>
      </c>
      <c r="GJ258" t="str">
        <f>""</f>
        <v/>
      </c>
      <c r="GK258" t="str">
        <f>""</f>
        <v/>
      </c>
      <c r="GL258" t="str">
        <f>""</f>
        <v/>
      </c>
      <c r="GM258" t="str">
        <f>""</f>
        <v/>
      </c>
      <c r="GN258" t="str">
        <f>""</f>
        <v/>
      </c>
      <c r="GO258" t="str">
        <f>""</f>
        <v/>
      </c>
      <c r="GP258" t="str">
        <f>""</f>
        <v/>
      </c>
      <c r="GQ258" t="str">
        <f>""</f>
        <v/>
      </c>
      <c r="GR258" t="str">
        <f>""</f>
        <v/>
      </c>
      <c r="GS258" t="str">
        <f>""</f>
        <v/>
      </c>
      <c r="GT258" t="str">
        <f>""</f>
        <v/>
      </c>
      <c r="GU258" t="str">
        <f>""</f>
        <v/>
      </c>
      <c r="GV258" t="str">
        <f>""</f>
        <v/>
      </c>
      <c r="GW258" t="str">
        <f>""</f>
        <v/>
      </c>
      <c r="GX258" t="str">
        <f>""</f>
        <v/>
      </c>
      <c r="GY258" t="str">
        <f>""</f>
        <v/>
      </c>
      <c r="GZ258" t="str">
        <f>""</f>
        <v/>
      </c>
      <c r="HA258" t="str">
        <f>""</f>
        <v/>
      </c>
      <c r="HB258" t="str">
        <f>""</f>
        <v/>
      </c>
      <c r="HC258" t="str">
        <f>""</f>
        <v/>
      </c>
      <c r="HD258" t="str">
        <f>""</f>
        <v/>
      </c>
      <c r="HE258" t="str">
        <f>""</f>
        <v/>
      </c>
      <c r="HF258" t="str">
        <f>""</f>
        <v/>
      </c>
      <c r="HG258" t="str">
        <f>""</f>
        <v/>
      </c>
      <c r="HH258" t="str">
        <f>""</f>
        <v/>
      </c>
      <c r="HI258" t="str">
        <f>""</f>
        <v/>
      </c>
      <c r="HJ258" t="str">
        <f>""</f>
        <v/>
      </c>
      <c r="HK258" t="str">
        <f>""</f>
        <v/>
      </c>
      <c r="HL258" t="str">
        <f>""</f>
        <v/>
      </c>
      <c r="HM258" t="str">
        <f>""</f>
        <v/>
      </c>
      <c r="HN258" t="str">
        <f>""</f>
        <v/>
      </c>
      <c r="HO258" t="str">
        <f>""</f>
        <v/>
      </c>
      <c r="HP258" t="str">
        <f>""</f>
        <v/>
      </c>
      <c r="HQ258" t="str">
        <f>""</f>
        <v/>
      </c>
      <c r="HR258" t="str">
        <f>""</f>
        <v/>
      </c>
      <c r="HS258" t="str">
        <f>""</f>
        <v/>
      </c>
      <c r="HT258" t="str">
        <f>""</f>
        <v/>
      </c>
      <c r="HU258" t="str">
        <f>""</f>
        <v/>
      </c>
      <c r="HV258" t="str">
        <f>""</f>
        <v/>
      </c>
      <c r="HW258" t="str">
        <f>""</f>
        <v/>
      </c>
      <c r="HX258" t="str">
        <f>""</f>
        <v/>
      </c>
      <c r="HY258" t="str">
        <f>""</f>
        <v/>
      </c>
      <c r="HZ258" t="str">
        <f>""</f>
        <v/>
      </c>
      <c r="IA258" t="str">
        <f>""</f>
        <v/>
      </c>
      <c r="IB258" t="str">
        <f>""</f>
        <v/>
      </c>
      <c r="IC258" t="str">
        <f>""</f>
        <v/>
      </c>
      <c r="ID258" t="str">
        <f>""</f>
        <v/>
      </c>
      <c r="IE258" t="str">
        <f>""</f>
        <v/>
      </c>
      <c r="IF258" t="str">
        <f>""</f>
        <v/>
      </c>
      <c r="IG258" t="str">
        <f>""</f>
        <v/>
      </c>
      <c r="IH258" t="str">
        <f>""</f>
        <v/>
      </c>
      <c r="II258" t="str">
        <f>""</f>
        <v/>
      </c>
      <c r="IJ258" t="str">
        <f>""</f>
        <v/>
      </c>
      <c r="IK258" t="str">
        <f>""</f>
        <v/>
      </c>
      <c r="IL258" t="str">
        <f>""</f>
        <v/>
      </c>
      <c r="IM258" t="str">
        <f>""</f>
        <v/>
      </c>
      <c r="IN258" t="str">
        <f>""</f>
        <v/>
      </c>
      <c r="IO258" t="str">
        <f>""</f>
        <v/>
      </c>
      <c r="IP258" t="str">
        <f>""</f>
        <v/>
      </c>
      <c r="IQ258" t="str">
        <f>""</f>
        <v/>
      </c>
      <c r="IR258" t="str">
        <f>""</f>
        <v/>
      </c>
      <c r="IS258" t="str">
        <f>""</f>
        <v/>
      </c>
      <c r="IT258" t="str">
        <f>""</f>
        <v/>
      </c>
      <c r="IU258" t="str">
        <f>""</f>
        <v/>
      </c>
      <c r="IV258" t="str">
        <f>""</f>
        <v/>
      </c>
      <c r="IW258" t="str">
        <f>""</f>
        <v/>
      </c>
      <c r="IX258" t="str">
        <f>""</f>
        <v/>
      </c>
      <c r="IY258" t="str">
        <f>""</f>
        <v/>
      </c>
      <c r="IZ258" t="str">
        <f>""</f>
        <v/>
      </c>
      <c r="JA258" t="str">
        <f>""</f>
        <v/>
      </c>
      <c r="JB258" t="str">
        <f>""</f>
        <v/>
      </c>
      <c r="JC258" t="str">
        <f>""</f>
        <v/>
      </c>
      <c r="JD258" t="str">
        <f>""</f>
        <v/>
      </c>
      <c r="JE258" t="str">
        <f>""</f>
        <v/>
      </c>
      <c r="JF258" t="str">
        <f>""</f>
        <v/>
      </c>
      <c r="JG258" t="str">
        <f>""</f>
        <v/>
      </c>
      <c r="JH258" t="str">
        <f>""</f>
        <v/>
      </c>
      <c r="JI258" t="str">
        <f>""</f>
        <v/>
      </c>
      <c r="JJ258" t="str">
        <f>""</f>
        <v/>
      </c>
      <c r="JK258" t="str">
        <f>""</f>
        <v/>
      </c>
    </row>
    <row r="259" spans="1:271" x14ac:dyDescent="0.3">
      <c r="A259" t="str">
        <f>""</f>
        <v/>
      </c>
      <c r="B259" t="str">
        <f>""</f>
        <v/>
      </c>
      <c r="C259" t="str">
        <f>""</f>
        <v/>
      </c>
      <c r="D259" t="str">
        <f>""</f>
        <v/>
      </c>
      <c r="E259" t="str">
        <f>""</f>
        <v/>
      </c>
      <c r="F259" t="str">
        <f>""</f>
        <v/>
      </c>
      <c r="G259" t="str">
        <f>""</f>
        <v/>
      </c>
      <c r="H259" t="str">
        <f>""</f>
        <v/>
      </c>
      <c r="I259" t="str">
        <f>""</f>
        <v/>
      </c>
      <c r="J259" t="str">
        <f>""</f>
        <v/>
      </c>
      <c r="K259" t="str">
        <f>""</f>
        <v/>
      </c>
      <c r="L259" t="str">
        <f>""</f>
        <v/>
      </c>
      <c r="M259" t="str">
        <f>""</f>
        <v/>
      </c>
      <c r="N259" t="str">
        <f>""</f>
        <v/>
      </c>
      <c r="O259" t="str">
        <f>""</f>
        <v/>
      </c>
      <c r="P259" t="str">
        <f>""</f>
        <v/>
      </c>
      <c r="Q259" t="str">
        <f>""</f>
        <v/>
      </c>
      <c r="R259" t="str">
        <f>""</f>
        <v/>
      </c>
      <c r="S259" t="str">
        <f>""</f>
        <v/>
      </c>
      <c r="T259" t="str">
        <f>""</f>
        <v/>
      </c>
      <c r="U259" t="str">
        <f>""</f>
        <v/>
      </c>
      <c r="V259" t="str">
        <f>""</f>
        <v/>
      </c>
      <c r="W259" t="str">
        <f>""</f>
        <v/>
      </c>
      <c r="X259" t="str">
        <f>""</f>
        <v/>
      </c>
      <c r="Y259" t="str">
        <f>""</f>
        <v/>
      </c>
      <c r="Z259" t="str">
        <f>""</f>
        <v/>
      </c>
      <c r="AA259" t="str">
        <f>""</f>
        <v/>
      </c>
      <c r="AB259" t="str">
        <f>""</f>
        <v/>
      </c>
      <c r="AC259" t="str">
        <f>""</f>
        <v/>
      </c>
      <c r="AD259" t="str">
        <f>""</f>
        <v/>
      </c>
      <c r="AE259" t="str">
        <f>""</f>
        <v/>
      </c>
      <c r="AF259" t="str">
        <f>""</f>
        <v/>
      </c>
      <c r="AG259" t="str">
        <f>""</f>
        <v/>
      </c>
      <c r="AH259" t="str">
        <f>""</f>
        <v/>
      </c>
      <c r="AI259" t="str">
        <f>""</f>
        <v/>
      </c>
      <c r="AJ259" t="str">
        <f>""</f>
        <v/>
      </c>
      <c r="AK259" t="str">
        <f>""</f>
        <v/>
      </c>
      <c r="AL259" t="str">
        <f>""</f>
        <v/>
      </c>
      <c r="AM259" t="str">
        <f>""</f>
        <v/>
      </c>
      <c r="AN259" t="str">
        <f>""</f>
        <v/>
      </c>
      <c r="AO259" t="str">
        <f>""</f>
        <v/>
      </c>
      <c r="AP259" t="str">
        <f>""</f>
        <v/>
      </c>
      <c r="AQ259" t="str">
        <f>""</f>
        <v/>
      </c>
      <c r="AR259" t="str">
        <f>""</f>
        <v/>
      </c>
      <c r="AS259" t="str">
        <f>""</f>
        <v/>
      </c>
      <c r="AT259" t="str">
        <f>""</f>
        <v/>
      </c>
      <c r="AU259" t="str">
        <f>""</f>
        <v/>
      </c>
      <c r="AV259" t="str">
        <f>""</f>
        <v/>
      </c>
      <c r="AW259" t="str">
        <f>""</f>
        <v/>
      </c>
      <c r="AX259" t="str">
        <f>""</f>
        <v/>
      </c>
      <c r="AY259" t="str">
        <f>""</f>
        <v/>
      </c>
      <c r="AZ259" t="str">
        <f>""</f>
        <v/>
      </c>
      <c r="BA259" t="str">
        <f>""</f>
        <v/>
      </c>
      <c r="BB259" t="str">
        <f>""</f>
        <v/>
      </c>
      <c r="BC259" t="str">
        <f>""</f>
        <v/>
      </c>
      <c r="BD259" t="str">
        <f>""</f>
        <v/>
      </c>
      <c r="BE259" t="str">
        <f>""</f>
        <v/>
      </c>
      <c r="BF259" t="str">
        <f>""</f>
        <v/>
      </c>
      <c r="BG259" t="str">
        <f>""</f>
        <v/>
      </c>
      <c r="BH259" t="str">
        <f>""</f>
        <v/>
      </c>
      <c r="BI259" t="str">
        <f>""</f>
        <v/>
      </c>
      <c r="BJ259" t="str">
        <f>""</f>
        <v/>
      </c>
      <c r="BK259" t="str">
        <f>""</f>
        <v/>
      </c>
      <c r="BL259" t="str">
        <f>""</f>
        <v/>
      </c>
      <c r="BM259" t="str">
        <f>""</f>
        <v/>
      </c>
      <c r="BN259" t="str">
        <f>""</f>
        <v/>
      </c>
      <c r="BO259" t="str">
        <f>""</f>
        <v/>
      </c>
      <c r="BP259" t="str">
        <f>""</f>
        <v/>
      </c>
      <c r="BQ259" t="str">
        <f>""</f>
        <v/>
      </c>
      <c r="BR259" t="str">
        <f>""</f>
        <v/>
      </c>
      <c r="BS259" t="str">
        <f>""</f>
        <v/>
      </c>
      <c r="BT259" t="str">
        <f>""</f>
        <v/>
      </c>
      <c r="BU259" t="str">
        <f>""</f>
        <v/>
      </c>
      <c r="BV259" t="str">
        <f>""</f>
        <v/>
      </c>
      <c r="BW259" t="str">
        <f>""</f>
        <v/>
      </c>
      <c r="BX259" t="str">
        <f>""</f>
        <v/>
      </c>
      <c r="BY259" t="str">
        <f>""</f>
        <v/>
      </c>
      <c r="BZ259" t="str">
        <f>""</f>
        <v/>
      </c>
      <c r="CA259" t="str">
        <f>""</f>
        <v/>
      </c>
      <c r="CB259" t="str">
        <f>""</f>
        <v/>
      </c>
      <c r="CC259" t="str">
        <f>""</f>
        <v/>
      </c>
      <c r="CD259" t="str">
        <f>""</f>
        <v/>
      </c>
      <c r="CE259" t="str">
        <f>""</f>
        <v/>
      </c>
      <c r="CF259" t="str">
        <f>""</f>
        <v/>
      </c>
      <c r="CG259" t="str">
        <f>""</f>
        <v/>
      </c>
      <c r="CH259" t="str">
        <f>""</f>
        <v/>
      </c>
      <c r="CI259" t="str">
        <f>""</f>
        <v/>
      </c>
      <c r="CJ259" t="str">
        <f>""</f>
        <v/>
      </c>
      <c r="CK259" t="str">
        <f>""</f>
        <v/>
      </c>
      <c r="CL259" t="str">
        <f>""</f>
        <v/>
      </c>
      <c r="CM259" t="str">
        <f>""</f>
        <v/>
      </c>
      <c r="CN259" t="str">
        <f>""</f>
        <v/>
      </c>
      <c r="CO259" t="str">
        <f>""</f>
        <v/>
      </c>
      <c r="CP259" t="str">
        <f>""</f>
        <v/>
      </c>
      <c r="CQ259" t="str">
        <f>""</f>
        <v/>
      </c>
      <c r="CR259" t="str">
        <f>""</f>
        <v/>
      </c>
      <c r="CS259" t="str">
        <f>""</f>
        <v/>
      </c>
      <c r="CT259" t="str">
        <f>""</f>
        <v/>
      </c>
      <c r="CU259" t="str">
        <f>""</f>
        <v/>
      </c>
      <c r="CV259" t="str">
        <f>""</f>
        <v/>
      </c>
      <c r="CW259" t="str">
        <f>""</f>
        <v/>
      </c>
      <c r="CX259" t="str">
        <f>""</f>
        <v/>
      </c>
      <c r="CY259" t="str">
        <f>""</f>
        <v/>
      </c>
      <c r="CZ259" t="str">
        <f>""</f>
        <v/>
      </c>
      <c r="DA259" t="str">
        <f>""</f>
        <v/>
      </c>
      <c r="DB259" t="str">
        <f>""</f>
        <v/>
      </c>
      <c r="DC259" t="str">
        <f>""</f>
        <v/>
      </c>
      <c r="DD259" t="str">
        <f>""</f>
        <v/>
      </c>
      <c r="DE259" t="str">
        <f>""</f>
        <v/>
      </c>
      <c r="DF259" t="str">
        <f>""</f>
        <v/>
      </c>
      <c r="DG259" t="str">
        <f>""</f>
        <v/>
      </c>
      <c r="DH259" t="str">
        <f>""</f>
        <v/>
      </c>
      <c r="DI259" t="str">
        <f>""</f>
        <v/>
      </c>
      <c r="DJ259" t="str">
        <f>""</f>
        <v/>
      </c>
      <c r="DK259" t="str">
        <f>""</f>
        <v/>
      </c>
      <c r="DL259" t="str">
        <f>""</f>
        <v/>
      </c>
      <c r="DM259" t="str">
        <f>""</f>
        <v/>
      </c>
      <c r="DN259" t="str">
        <f>""</f>
        <v/>
      </c>
      <c r="DO259" t="str">
        <f>""</f>
        <v/>
      </c>
      <c r="DP259" t="str">
        <f>""</f>
        <v/>
      </c>
      <c r="DQ259" t="str">
        <f>""</f>
        <v/>
      </c>
      <c r="DR259" t="str">
        <f>""</f>
        <v/>
      </c>
      <c r="DS259" t="str">
        <f>""</f>
        <v/>
      </c>
      <c r="DT259" t="str">
        <f>""</f>
        <v/>
      </c>
      <c r="DU259" t="str">
        <f>""</f>
        <v/>
      </c>
      <c r="DV259" t="str">
        <f>""</f>
        <v/>
      </c>
      <c r="DW259" t="str">
        <f>""</f>
        <v/>
      </c>
      <c r="DX259" t="str">
        <f>""</f>
        <v/>
      </c>
      <c r="DY259" t="str">
        <f>""</f>
        <v/>
      </c>
      <c r="DZ259" t="str">
        <f>""</f>
        <v/>
      </c>
      <c r="EA259" t="str">
        <f>""</f>
        <v/>
      </c>
      <c r="EB259" t="str">
        <f>""</f>
        <v/>
      </c>
      <c r="EC259" t="str">
        <f>""</f>
        <v/>
      </c>
      <c r="ED259" t="str">
        <f>""</f>
        <v/>
      </c>
      <c r="EE259" t="str">
        <f>""</f>
        <v/>
      </c>
      <c r="EF259" t="str">
        <f>""</f>
        <v/>
      </c>
      <c r="EG259" t="str">
        <f>""</f>
        <v/>
      </c>
      <c r="EH259" t="str">
        <f>""</f>
        <v/>
      </c>
      <c r="EI259" t="str">
        <f>""</f>
        <v/>
      </c>
      <c r="EJ259" t="str">
        <f>""</f>
        <v/>
      </c>
      <c r="EK259" t="str">
        <f>""</f>
        <v/>
      </c>
      <c r="EL259" t="str">
        <f>""</f>
        <v/>
      </c>
      <c r="EM259" t="str">
        <f>""</f>
        <v/>
      </c>
      <c r="EN259" t="str">
        <f>""</f>
        <v/>
      </c>
      <c r="EO259" t="str">
        <f>""</f>
        <v/>
      </c>
      <c r="EP259" t="str">
        <f>""</f>
        <v/>
      </c>
      <c r="EQ259" t="str">
        <f>""</f>
        <v/>
      </c>
      <c r="ER259" t="str">
        <f>""</f>
        <v/>
      </c>
      <c r="ES259" t="str">
        <f>""</f>
        <v/>
      </c>
      <c r="ET259" t="str">
        <f>""</f>
        <v/>
      </c>
      <c r="EU259" t="str">
        <f>""</f>
        <v/>
      </c>
      <c r="EV259" t="str">
        <f>""</f>
        <v/>
      </c>
      <c r="EW259" t="str">
        <f>""</f>
        <v/>
      </c>
      <c r="EX259" t="str">
        <f>""</f>
        <v/>
      </c>
      <c r="EY259" t="str">
        <f>""</f>
        <v/>
      </c>
      <c r="EZ259" t="str">
        <f>""</f>
        <v/>
      </c>
      <c r="FA259" t="str">
        <f>""</f>
        <v/>
      </c>
      <c r="FB259" t="str">
        <f>""</f>
        <v/>
      </c>
      <c r="FC259" t="str">
        <f>""</f>
        <v/>
      </c>
      <c r="FD259" t="str">
        <f>""</f>
        <v/>
      </c>
      <c r="FE259" t="str">
        <f>""</f>
        <v/>
      </c>
      <c r="FF259" t="str">
        <f>""</f>
        <v/>
      </c>
      <c r="FG259" t="str">
        <f>""</f>
        <v/>
      </c>
      <c r="FH259" t="str">
        <f>""</f>
        <v/>
      </c>
      <c r="FI259" t="str">
        <f>""</f>
        <v/>
      </c>
      <c r="FJ259" t="str">
        <f>""</f>
        <v/>
      </c>
      <c r="FK259" t="str">
        <f>""</f>
        <v/>
      </c>
      <c r="FL259" t="str">
        <f>""</f>
        <v/>
      </c>
      <c r="FM259" t="str">
        <f>""</f>
        <v/>
      </c>
      <c r="FN259" t="str">
        <f>"(0.102)"</f>
        <v>(0.102)</v>
      </c>
      <c r="FO259" t="str">
        <f>"(0.0797)"</f>
        <v>(0.0797)</v>
      </c>
      <c r="FP259" t="str">
        <f>"(0.0424)"</f>
        <v>(0.0424)</v>
      </c>
      <c r="FQ259" t="str">
        <f>""</f>
        <v/>
      </c>
      <c r="FR259" t="str">
        <f>""</f>
        <v/>
      </c>
      <c r="FS259" t="str">
        <f>""</f>
        <v/>
      </c>
      <c r="FT259" t="str">
        <f>""</f>
        <v/>
      </c>
      <c r="FU259" t="str">
        <f>""</f>
        <v/>
      </c>
      <c r="FV259" t="str">
        <f>""</f>
        <v/>
      </c>
      <c r="FW259" t="str">
        <f>""</f>
        <v/>
      </c>
      <c r="FX259" t="str">
        <f>""</f>
        <v/>
      </c>
      <c r="FY259" t="str">
        <f>""</f>
        <v/>
      </c>
      <c r="FZ259" t="str">
        <f>""</f>
        <v/>
      </c>
      <c r="GA259" t="str">
        <f>""</f>
        <v/>
      </c>
      <c r="GB259" t="str">
        <f>""</f>
        <v/>
      </c>
      <c r="GC259" t="str">
        <f>""</f>
        <v/>
      </c>
      <c r="GD259" t="str">
        <f>""</f>
        <v/>
      </c>
      <c r="GE259" t="str">
        <f>""</f>
        <v/>
      </c>
      <c r="GF259" t="str">
        <f>""</f>
        <v/>
      </c>
      <c r="GG259" t="str">
        <f>""</f>
        <v/>
      </c>
      <c r="GH259" t="str">
        <f>""</f>
        <v/>
      </c>
      <c r="GI259" t="str">
        <f>""</f>
        <v/>
      </c>
      <c r="GJ259" t="str">
        <f>""</f>
        <v/>
      </c>
      <c r="GK259" t="str">
        <f>""</f>
        <v/>
      </c>
      <c r="GL259" t="str">
        <f>""</f>
        <v/>
      </c>
      <c r="GM259" t="str">
        <f>""</f>
        <v/>
      </c>
      <c r="GN259" t="str">
        <f>""</f>
        <v/>
      </c>
      <c r="GO259" t="str">
        <f>""</f>
        <v/>
      </c>
      <c r="GP259" t="str">
        <f>""</f>
        <v/>
      </c>
      <c r="GQ259" t="str">
        <f>""</f>
        <v/>
      </c>
      <c r="GR259" t="str">
        <f>""</f>
        <v/>
      </c>
      <c r="GS259" t="str">
        <f>""</f>
        <v/>
      </c>
      <c r="GT259" t="str">
        <f>""</f>
        <v/>
      </c>
      <c r="GU259" t="str">
        <f>""</f>
        <v/>
      </c>
      <c r="GV259" t="str">
        <f>""</f>
        <v/>
      </c>
      <c r="GW259" t="str">
        <f>""</f>
        <v/>
      </c>
      <c r="GX259" t="str">
        <f>""</f>
        <v/>
      </c>
      <c r="GY259" t="str">
        <f>""</f>
        <v/>
      </c>
      <c r="GZ259" t="str">
        <f>""</f>
        <v/>
      </c>
      <c r="HA259" t="str">
        <f>""</f>
        <v/>
      </c>
      <c r="HB259" t="str">
        <f>""</f>
        <v/>
      </c>
      <c r="HC259" t="str">
        <f>""</f>
        <v/>
      </c>
      <c r="HD259" t="str">
        <f>""</f>
        <v/>
      </c>
      <c r="HE259" t="str">
        <f>""</f>
        <v/>
      </c>
      <c r="HF259" t="str">
        <f>""</f>
        <v/>
      </c>
      <c r="HG259" t="str">
        <f>""</f>
        <v/>
      </c>
      <c r="HH259" t="str">
        <f>""</f>
        <v/>
      </c>
      <c r="HI259" t="str">
        <f>""</f>
        <v/>
      </c>
      <c r="HJ259" t="str">
        <f>""</f>
        <v/>
      </c>
      <c r="HK259" t="str">
        <f>""</f>
        <v/>
      </c>
      <c r="HL259" t="str">
        <f>""</f>
        <v/>
      </c>
      <c r="HM259" t="str">
        <f>""</f>
        <v/>
      </c>
      <c r="HN259" t="str">
        <f>""</f>
        <v/>
      </c>
      <c r="HO259" t="str">
        <f>""</f>
        <v/>
      </c>
      <c r="HP259" t="str">
        <f>""</f>
        <v/>
      </c>
      <c r="HQ259" t="str">
        <f>""</f>
        <v/>
      </c>
      <c r="HR259" t="str">
        <f>""</f>
        <v/>
      </c>
      <c r="HS259" t="str">
        <f>""</f>
        <v/>
      </c>
      <c r="HT259" t="str">
        <f>""</f>
        <v/>
      </c>
      <c r="HU259" t="str">
        <f>""</f>
        <v/>
      </c>
      <c r="HV259" t="str">
        <f>""</f>
        <v/>
      </c>
      <c r="HW259" t="str">
        <f>""</f>
        <v/>
      </c>
      <c r="HX259" t="str">
        <f>""</f>
        <v/>
      </c>
      <c r="HY259" t="str">
        <f>""</f>
        <v/>
      </c>
      <c r="HZ259" t="str">
        <f>""</f>
        <v/>
      </c>
      <c r="IA259" t="str">
        <f>""</f>
        <v/>
      </c>
      <c r="IB259" t="str">
        <f>""</f>
        <v/>
      </c>
      <c r="IC259" t="str">
        <f>""</f>
        <v/>
      </c>
      <c r="ID259" t="str">
        <f>""</f>
        <v/>
      </c>
      <c r="IE259" t="str">
        <f>""</f>
        <v/>
      </c>
      <c r="IF259" t="str">
        <f>""</f>
        <v/>
      </c>
      <c r="IG259" t="str">
        <f>""</f>
        <v/>
      </c>
      <c r="IH259" t="str">
        <f>""</f>
        <v/>
      </c>
      <c r="II259" t="str">
        <f>""</f>
        <v/>
      </c>
      <c r="IJ259" t="str">
        <f>""</f>
        <v/>
      </c>
      <c r="IK259" t="str">
        <f>""</f>
        <v/>
      </c>
      <c r="IL259" t="str">
        <f>""</f>
        <v/>
      </c>
      <c r="IM259" t="str">
        <f>""</f>
        <v/>
      </c>
      <c r="IN259" t="str">
        <f>""</f>
        <v/>
      </c>
      <c r="IO259" t="str">
        <f>""</f>
        <v/>
      </c>
      <c r="IP259" t="str">
        <f>""</f>
        <v/>
      </c>
      <c r="IQ259" t="str">
        <f>""</f>
        <v/>
      </c>
      <c r="IR259" t="str">
        <f>""</f>
        <v/>
      </c>
      <c r="IS259" t="str">
        <f>""</f>
        <v/>
      </c>
      <c r="IT259" t="str">
        <f>""</f>
        <v/>
      </c>
      <c r="IU259" t="str">
        <f>""</f>
        <v/>
      </c>
      <c r="IV259" t="str">
        <f>""</f>
        <v/>
      </c>
      <c r="IW259" t="str">
        <f>""</f>
        <v/>
      </c>
      <c r="IX259" t="str">
        <f>""</f>
        <v/>
      </c>
      <c r="IY259" t="str">
        <f>""</f>
        <v/>
      </c>
      <c r="IZ259" t="str">
        <f>""</f>
        <v/>
      </c>
      <c r="JA259" t="str">
        <f>""</f>
        <v/>
      </c>
      <c r="JB259" t="str">
        <f>""</f>
        <v/>
      </c>
      <c r="JC259" t="str">
        <f>""</f>
        <v/>
      </c>
      <c r="JD259" t="str">
        <f>""</f>
        <v/>
      </c>
      <c r="JE259" t="str">
        <f>""</f>
        <v/>
      </c>
      <c r="JF259" t="str">
        <f>""</f>
        <v/>
      </c>
      <c r="JG259" t="str">
        <f>""</f>
        <v/>
      </c>
      <c r="JH259" t="str">
        <f>""</f>
        <v/>
      </c>
      <c r="JI259" t="str">
        <f>""</f>
        <v/>
      </c>
      <c r="JJ259" t="str">
        <f>""</f>
        <v/>
      </c>
      <c r="JK259" t="str">
        <f>""</f>
        <v/>
      </c>
    </row>
    <row r="261" spans="1:271" x14ac:dyDescent="0.3">
      <c r="A261" t="str">
        <f>"c.zMETAB13#c.PM4"</f>
        <v>c.zMETAB13#c.PM4</v>
      </c>
      <c r="B261" t="str">
        <f>""</f>
        <v/>
      </c>
      <c r="C261" t="str">
        <f>""</f>
        <v/>
      </c>
      <c r="D261" t="str">
        <f>""</f>
        <v/>
      </c>
      <c r="E261" t="str">
        <f>""</f>
        <v/>
      </c>
      <c r="F261" t="str">
        <f>""</f>
        <v/>
      </c>
      <c r="G261" t="str">
        <f>""</f>
        <v/>
      </c>
      <c r="H261" t="str">
        <f>""</f>
        <v/>
      </c>
      <c r="I261" t="str">
        <f>""</f>
        <v/>
      </c>
      <c r="J261" t="str">
        <f>""</f>
        <v/>
      </c>
      <c r="K261" t="str">
        <f>""</f>
        <v/>
      </c>
      <c r="L261" t="str">
        <f>""</f>
        <v/>
      </c>
      <c r="M261" t="str">
        <f>""</f>
        <v/>
      </c>
      <c r="N261" t="str">
        <f>""</f>
        <v/>
      </c>
      <c r="O261" t="str">
        <f>""</f>
        <v/>
      </c>
      <c r="P261" t="str">
        <f>""</f>
        <v/>
      </c>
      <c r="Q261" t="str">
        <f>""</f>
        <v/>
      </c>
      <c r="R261" t="str">
        <f>""</f>
        <v/>
      </c>
      <c r="S261" t="str">
        <f>""</f>
        <v/>
      </c>
      <c r="T261" t="str">
        <f>""</f>
        <v/>
      </c>
      <c r="U261" t="str">
        <f>""</f>
        <v/>
      </c>
      <c r="V261" t="str">
        <f>""</f>
        <v/>
      </c>
      <c r="W261" t="str">
        <f>""</f>
        <v/>
      </c>
      <c r="X261" t="str">
        <f>""</f>
        <v/>
      </c>
      <c r="Y261" t="str">
        <f>""</f>
        <v/>
      </c>
      <c r="Z261" t="str">
        <f>""</f>
        <v/>
      </c>
      <c r="AA261" t="str">
        <f>""</f>
        <v/>
      </c>
      <c r="AB261" t="str">
        <f>""</f>
        <v/>
      </c>
      <c r="AC261" t="str">
        <f>""</f>
        <v/>
      </c>
      <c r="AD261" t="str">
        <f>""</f>
        <v/>
      </c>
      <c r="AE261" t="str">
        <f>""</f>
        <v/>
      </c>
      <c r="AF261" t="str">
        <f>""</f>
        <v/>
      </c>
      <c r="AG261" t="str">
        <f>""</f>
        <v/>
      </c>
      <c r="AH261" t="str">
        <f>""</f>
        <v/>
      </c>
      <c r="AI261" t="str">
        <f>""</f>
        <v/>
      </c>
      <c r="AJ261" t="str">
        <f>""</f>
        <v/>
      </c>
      <c r="AK261" t="str">
        <f>""</f>
        <v/>
      </c>
      <c r="AL261" t="str">
        <f>""</f>
        <v/>
      </c>
      <c r="AM261" t="str">
        <f>""</f>
        <v/>
      </c>
      <c r="AN261" t="str">
        <f>""</f>
        <v/>
      </c>
      <c r="AO261" t="str">
        <f>""</f>
        <v/>
      </c>
      <c r="AP261" t="str">
        <f>""</f>
        <v/>
      </c>
      <c r="AQ261" t="str">
        <f>""</f>
        <v/>
      </c>
      <c r="AR261" t="str">
        <f>""</f>
        <v/>
      </c>
      <c r="AS261" t="str">
        <f>""</f>
        <v/>
      </c>
      <c r="AT261" t="str">
        <f>""</f>
        <v/>
      </c>
      <c r="AU261" t="str">
        <f>""</f>
        <v/>
      </c>
      <c r="AV261" t="str">
        <f>""</f>
        <v/>
      </c>
      <c r="AW261" t="str">
        <f>""</f>
        <v/>
      </c>
      <c r="AX261" t="str">
        <f>""</f>
        <v/>
      </c>
      <c r="AY261" t="str">
        <f>""</f>
        <v/>
      </c>
      <c r="AZ261" t="str">
        <f>""</f>
        <v/>
      </c>
      <c r="BA261" t="str">
        <f>""</f>
        <v/>
      </c>
      <c r="BB261" t="str">
        <f>""</f>
        <v/>
      </c>
      <c r="BC261" t="str">
        <f>""</f>
        <v/>
      </c>
      <c r="BD261" t="str">
        <f>""</f>
        <v/>
      </c>
      <c r="BE261" t="str">
        <f>""</f>
        <v/>
      </c>
      <c r="BF261" t="str">
        <f>""</f>
        <v/>
      </c>
      <c r="BG261" t="str">
        <f>""</f>
        <v/>
      </c>
      <c r="BH261" t="str">
        <f>""</f>
        <v/>
      </c>
      <c r="BI261" t="str">
        <f>""</f>
        <v/>
      </c>
      <c r="BJ261" t="str">
        <f>""</f>
        <v/>
      </c>
      <c r="BK261" t="str">
        <f>""</f>
        <v/>
      </c>
      <c r="BL261" t="str">
        <f>""</f>
        <v/>
      </c>
      <c r="BM261" t="str">
        <f>""</f>
        <v/>
      </c>
      <c r="BN261" t="str">
        <f>""</f>
        <v/>
      </c>
      <c r="BO261" t="str">
        <f>""</f>
        <v/>
      </c>
      <c r="BP261" t="str">
        <f>""</f>
        <v/>
      </c>
      <c r="BQ261" t="str">
        <f>""</f>
        <v/>
      </c>
      <c r="BR261" t="str">
        <f>""</f>
        <v/>
      </c>
      <c r="BS261" t="str">
        <f>""</f>
        <v/>
      </c>
      <c r="BT261" t="str">
        <f>""</f>
        <v/>
      </c>
      <c r="BU261" t="str">
        <f>""</f>
        <v/>
      </c>
      <c r="BV261" t="str">
        <f>""</f>
        <v/>
      </c>
      <c r="BW261" t="str">
        <f>""</f>
        <v/>
      </c>
      <c r="BX261" t="str">
        <f>""</f>
        <v/>
      </c>
      <c r="BY261" t="str">
        <f>""</f>
        <v/>
      </c>
      <c r="BZ261" t="str">
        <f>""</f>
        <v/>
      </c>
      <c r="CA261" t="str">
        <f>""</f>
        <v/>
      </c>
      <c r="CB261" t="str">
        <f>""</f>
        <v/>
      </c>
      <c r="CC261" t="str">
        <f>""</f>
        <v/>
      </c>
      <c r="CD261" t="str">
        <f>""</f>
        <v/>
      </c>
      <c r="CE261" t="str">
        <f>""</f>
        <v/>
      </c>
      <c r="CF261" t="str">
        <f>""</f>
        <v/>
      </c>
      <c r="CG261" t="str">
        <f>""</f>
        <v/>
      </c>
      <c r="CH261" t="str">
        <f>""</f>
        <v/>
      </c>
      <c r="CI261" t="str">
        <f>""</f>
        <v/>
      </c>
      <c r="CJ261" t="str">
        <f>""</f>
        <v/>
      </c>
      <c r="CK261" t="str">
        <f>""</f>
        <v/>
      </c>
      <c r="CL261" t="str">
        <f>""</f>
        <v/>
      </c>
      <c r="CM261" t="str">
        <f>""</f>
        <v/>
      </c>
      <c r="CN261" t="str">
        <f>""</f>
        <v/>
      </c>
      <c r="CO261" t="str">
        <f>""</f>
        <v/>
      </c>
      <c r="CP261" t="str">
        <f>""</f>
        <v/>
      </c>
      <c r="CQ261" t="str">
        <f>""</f>
        <v/>
      </c>
      <c r="CR261" t="str">
        <f>""</f>
        <v/>
      </c>
      <c r="CS261" t="str">
        <f>""</f>
        <v/>
      </c>
      <c r="CT261" t="str">
        <f>""</f>
        <v/>
      </c>
      <c r="CU261" t="str">
        <f>""</f>
        <v/>
      </c>
      <c r="CV261" t="str">
        <f>""</f>
        <v/>
      </c>
      <c r="CW261" t="str">
        <f>""</f>
        <v/>
      </c>
      <c r="CX261" t="str">
        <f>""</f>
        <v/>
      </c>
      <c r="CY261" t="str">
        <f>""</f>
        <v/>
      </c>
      <c r="CZ261" t="str">
        <f>""</f>
        <v/>
      </c>
      <c r="DA261" t="str">
        <f>""</f>
        <v/>
      </c>
      <c r="DB261" t="str">
        <f>""</f>
        <v/>
      </c>
      <c r="DC261" t="str">
        <f>""</f>
        <v/>
      </c>
      <c r="DD261" t="str">
        <f>""</f>
        <v/>
      </c>
      <c r="DE261" t="str">
        <f>""</f>
        <v/>
      </c>
      <c r="DF261" t="str">
        <f>""</f>
        <v/>
      </c>
      <c r="DG261" t="str">
        <f>""</f>
        <v/>
      </c>
      <c r="DH261" t="str">
        <f>""</f>
        <v/>
      </c>
      <c r="DI261" t="str">
        <f>""</f>
        <v/>
      </c>
      <c r="DJ261" t="str">
        <f>""</f>
        <v/>
      </c>
      <c r="DK261" t="str">
        <f>""</f>
        <v/>
      </c>
      <c r="DL261" t="str">
        <f>""</f>
        <v/>
      </c>
      <c r="DM261" t="str">
        <f>""</f>
        <v/>
      </c>
      <c r="DN261" t="str">
        <f>""</f>
        <v/>
      </c>
      <c r="DO261" t="str">
        <f>""</f>
        <v/>
      </c>
      <c r="DP261" t="str">
        <f>""</f>
        <v/>
      </c>
      <c r="DQ261" t="str">
        <f>""</f>
        <v/>
      </c>
      <c r="DR261" t="str">
        <f>""</f>
        <v/>
      </c>
      <c r="DS261" t="str">
        <f>""</f>
        <v/>
      </c>
      <c r="DT261" t="str">
        <f>""</f>
        <v/>
      </c>
      <c r="DU261" t="str">
        <f>""</f>
        <v/>
      </c>
      <c r="DV261" t="str">
        <f>""</f>
        <v/>
      </c>
      <c r="DW261" t="str">
        <f>""</f>
        <v/>
      </c>
      <c r="DX261" t="str">
        <f>""</f>
        <v/>
      </c>
      <c r="DY261" t="str">
        <f>""</f>
        <v/>
      </c>
      <c r="DZ261" t="str">
        <f>""</f>
        <v/>
      </c>
      <c r="EA261" t="str">
        <f>""</f>
        <v/>
      </c>
      <c r="EB261" t="str">
        <f>""</f>
        <v/>
      </c>
      <c r="EC261" t="str">
        <f>""</f>
        <v/>
      </c>
      <c r="ED261" t="str">
        <f>""</f>
        <v/>
      </c>
      <c r="EE261" t="str">
        <f>""</f>
        <v/>
      </c>
      <c r="EF261" t="str">
        <f>""</f>
        <v/>
      </c>
      <c r="EG261" t="str">
        <f>""</f>
        <v/>
      </c>
      <c r="EH261" t="str">
        <f>""</f>
        <v/>
      </c>
      <c r="EI261" t="str">
        <f>""</f>
        <v/>
      </c>
      <c r="EJ261" t="str">
        <f>""</f>
        <v/>
      </c>
      <c r="EK261" t="str">
        <f>""</f>
        <v/>
      </c>
      <c r="EL261" t="str">
        <f>""</f>
        <v/>
      </c>
      <c r="EM261" t="str">
        <f>""</f>
        <v/>
      </c>
      <c r="EN261" t="str">
        <f>""</f>
        <v/>
      </c>
      <c r="EO261" t="str">
        <f>""</f>
        <v/>
      </c>
      <c r="EP261" t="str">
        <f>""</f>
        <v/>
      </c>
      <c r="EQ261" t="str">
        <f>""</f>
        <v/>
      </c>
      <c r="ER261" t="str">
        <f>""</f>
        <v/>
      </c>
      <c r="ES261" t="str">
        <f>""</f>
        <v/>
      </c>
      <c r="ET261" t="str">
        <f>""</f>
        <v/>
      </c>
      <c r="EU261" t="str">
        <f>""</f>
        <v/>
      </c>
      <c r="EV261" t="str">
        <f>""</f>
        <v/>
      </c>
      <c r="EW261" t="str">
        <f>""</f>
        <v/>
      </c>
      <c r="EX261" t="str">
        <f>""</f>
        <v/>
      </c>
      <c r="EY261" t="str">
        <f>""</f>
        <v/>
      </c>
      <c r="EZ261" t="str">
        <f>""</f>
        <v/>
      </c>
      <c r="FA261" t="str">
        <f>""</f>
        <v/>
      </c>
      <c r="FB261" t="str">
        <f>""</f>
        <v/>
      </c>
      <c r="FC261" t="str">
        <f>""</f>
        <v/>
      </c>
      <c r="FD261" t="str">
        <f>""</f>
        <v/>
      </c>
      <c r="FE261" t="str">
        <f>""</f>
        <v/>
      </c>
      <c r="FF261" t="str">
        <f>""</f>
        <v/>
      </c>
      <c r="FG261" t="str">
        <f>""</f>
        <v/>
      </c>
      <c r="FH261" t="str">
        <f>""</f>
        <v/>
      </c>
      <c r="FI261" t="str">
        <f>""</f>
        <v/>
      </c>
      <c r="FJ261" t="str">
        <f>""</f>
        <v/>
      </c>
      <c r="FK261" t="str">
        <f>""</f>
        <v/>
      </c>
      <c r="FL261" t="str">
        <f>""</f>
        <v/>
      </c>
      <c r="FM261" t="str">
        <f>""</f>
        <v/>
      </c>
      <c r="FN261" t="str">
        <f>""</f>
        <v/>
      </c>
      <c r="FO261" t="str">
        <f>""</f>
        <v/>
      </c>
      <c r="FP261" t="str">
        <f>""</f>
        <v/>
      </c>
      <c r="FQ261" t="str">
        <f>"0.167"</f>
        <v>0.167</v>
      </c>
      <c r="FR261" t="str">
        <f>"0.0510"</f>
        <v>0.0510</v>
      </c>
      <c r="FS261" t="str">
        <f>"-0.00244"</f>
        <v>-0.00244</v>
      </c>
      <c r="FT261" t="str">
        <f>""</f>
        <v/>
      </c>
      <c r="FU261" t="str">
        <f>""</f>
        <v/>
      </c>
      <c r="FV261" t="str">
        <f>""</f>
        <v/>
      </c>
      <c r="FW261" t="str">
        <f>""</f>
        <v/>
      </c>
      <c r="FX261" t="str">
        <f>""</f>
        <v/>
      </c>
      <c r="FY261" t="str">
        <f>""</f>
        <v/>
      </c>
      <c r="FZ261" t="str">
        <f>""</f>
        <v/>
      </c>
      <c r="GA261" t="str">
        <f>""</f>
        <v/>
      </c>
      <c r="GB261" t="str">
        <f>""</f>
        <v/>
      </c>
      <c r="GC261" t="str">
        <f>""</f>
        <v/>
      </c>
      <c r="GD261" t="str">
        <f>""</f>
        <v/>
      </c>
      <c r="GE261" t="str">
        <f>""</f>
        <v/>
      </c>
      <c r="GF261" t="str">
        <f>""</f>
        <v/>
      </c>
      <c r="GG261" t="str">
        <f>""</f>
        <v/>
      </c>
      <c r="GH261" t="str">
        <f>""</f>
        <v/>
      </c>
      <c r="GI261" t="str">
        <f>""</f>
        <v/>
      </c>
      <c r="GJ261" t="str">
        <f>""</f>
        <v/>
      </c>
      <c r="GK261" t="str">
        <f>""</f>
        <v/>
      </c>
      <c r="GL261" t="str">
        <f>""</f>
        <v/>
      </c>
      <c r="GM261" t="str">
        <f>""</f>
        <v/>
      </c>
      <c r="GN261" t="str">
        <f>""</f>
        <v/>
      </c>
      <c r="GO261" t="str">
        <f>""</f>
        <v/>
      </c>
      <c r="GP261" t="str">
        <f>""</f>
        <v/>
      </c>
      <c r="GQ261" t="str">
        <f>""</f>
        <v/>
      </c>
      <c r="GR261" t="str">
        <f>""</f>
        <v/>
      </c>
      <c r="GS261" t="str">
        <f>""</f>
        <v/>
      </c>
      <c r="GT261" t="str">
        <f>""</f>
        <v/>
      </c>
      <c r="GU261" t="str">
        <f>""</f>
        <v/>
      </c>
      <c r="GV261" t="str">
        <f>""</f>
        <v/>
      </c>
      <c r="GW261" t="str">
        <f>""</f>
        <v/>
      </c>
      <c r="GX261" t="str">
        <f>""</f>
        <v/>
      </c>
      <c r="GY261" t="str">
        <f>""</f>
        <v/>
      </c>
      <c r="GZ261" t="str">
        <f>""</f>
        <v/>
      </c>
      <c r="HA261" t="str">
        <f>""</f>
        <v/>
      </c>
      <c r="HB261" t="str">
        <f>""</f>
        <v/>
      </c>
      <c r="HC261" t="str">
        <f>""</f>
        <v/>
      </c>
      <c r="HD261" t="str">
        <f>""</f>
        <v/>
      </c>
      <c r="HE261" t="str">
        <f>""</f>
        <v/>
      </c>
      <c r="HF261" t="str">
        <f>""</f>
        <v/>
      </c>
      <c r="HG261" t="str">
        <f>""</f>
        <v/>
      </c>
      <c r="HH261" t="str">
        <f>""</f>
        <v/>
      </c>
      <c r="HI261" t="str">
        <f>""</f>
        <v/>
      </c>
      <c r="HJ261" t="str">
        <f>""</f>
        <v/>
      </c>
      <c r="HK261" t="str">
        <f>""</f>
        <v/>
      </c>
      <c r="HL261" t="str">
        <f>""</f>
        <v/>
      </c>
      <c r="HM261" t="str">
        <f>""</f>
        <v/>
      </c>
      <c r="HN261" t="str">
        <f>""</f>
        <v/>
      </c>
      <c r="HO261" t="str">
        <f>""</f>
        <v/>
      </c>
      <c r="HP261" t="str">
        <f>""</f>
        <v/>
      </c>
      <c r="HQ261" t="str">
        <f>""</f>
        <v/>
      </c>
      <c r="HR261" t="str">
        <f>""</f>
        <v/>
      </c>
      <c r="HS261" t="str">
        <f>""</f>
        <v/>
      </c>
      <c r="HT261" t="str">
        <f>""</f>
        <v/>
      </c>
      <c r="HU261" t="str">
        <f>""</f>
        <v/>
      </c>
      <c r="HV261" t="str">
        <f>""</f>
        <v/>
      </c>
      <c r="HW261" t="str">
        <f>""</f>
        <v/>
      </c>
      <c r="HX261" t="str">
        <f>""</f>
        <v/>
      </c>
      <c r="HY261" t="str">
        <f>""</f>
        <v/>
      </c>
      <c r="HZ261" t="str">
        <f>""</f>
        <v/>
      </c>
      <c r="IA261" t="str">
        <f>""</f>
        <v/>
      </c>
      <c r="IB261" t="str">
        <f>""</f>
        <v/>
      </c>
      <c r="IC261" t="str">
        <f>""</f>
        <v/>
      </c>
      <c r="ID261" t="str">
        <f>""</f>
        <v/>
      </c>
      <c r="IE261" t="str">
        <f>""</f>
        <v/>
      </c>
      <c r="IF261" t="str">
        <f>""</f>
        <v/>
      </c>
      <c r="IG261" t="str">
        <f>""</f>
        <v/>
      </c>
      <c r="IH261" t="str">
        <f>""</f>
        <v/>
      </c>
      <c r="II261" t="str">
        <f>""</f>
        <v/>
      </c>
      <c r="IJ261" t="str">
        <f>""</f>
        <v/>
      </c>
      <c r="IK261" t="str">
        <f>""</f>
        <v/>
      </c>
      <c r="IL261" t="str">
        <f>""</f>
        <v/>
      </c>
      <c r="IM261" t="str">
        <f>""</f>
        <v/>
      </c>
      <c r="IN261" t="str">
        <f>""</f>
        <v/>
      </c>
      <c r="IO261" t="str">
        <f>""</f>
        <v/>
      </c>
      <c r="IP261" t="str">
        <f>""</f>
        <v/>
      </c>
      <c r="IQ261" t="str">
        <f>""</f>
        <v/>
      </c>
      <c r="IR261" t="str">
        <f>""</f>
        <v/>
      </c>
      <c r="IS261" t="str">
        <f>""</f>
        <v/>
      </c>
      <c r="IT261" t="str">
        <f>""</f>
        <v/>
      </c>
      <c r="IU261" t="str">
        <f>""</f>
        <v/>
      </c>
      <c r="IV261" t="str">
        <f>""</f>
        <v/>
      </c>
      <c r="IW261" t="str">
        <f>""</f>
        <v/>
      </c>
      <c r="IX261" t="str">
        <f>""</f>
        <v/>
      </c>
      <c r="IY261" t="str">
        <f>""</f>
        <v/>
      </c>
      <c r="IZ261" t="str">
        <f>""</f>
        <v/>
      </c>
      <c r="JA261" t="str">
        <f>""</f>
        <v/>
      </c>
      <c r="JB261" t="str">
        <f>""</f>
        <v/>
      </c>
      <c r="JC261" t="str">
        <f>""</f>
        <v/>
      </c>
      <c r="JD261" t="str">
        <f>""</f>
        <v/>
      </c>
      <c r="JE261" t="str">
        <f>""</f>
        <v/>
      </c>
      <c r="JF261" t="str">
        <f>""</f>
        <v/>
      </c>
      <c r="JG261" t="str">
        <f>""</f>
        <v/>
      </c>
      <c r="JH261" t="str">
        <f>""</f>
        <v/>
      </c>
      <c r="JI261" t="str">
        <f>""</f>
        <v/>
      </c>
      <c r="JJ261" t="str">
        <f>""</f>
        <v/>
      </c>
      <c r="JK261" t="str">
        <f>""</f>
        <v/>
      </c>
    </row>
    <row r="262" spans="1:271" x14ac:dyDescent="0.3">
      <c r="A262" t="str">
        <f>""</f>
        <v/>
      </c>
      <c r="B262" t="str">
        <f>""</f>
        <v/>
      </c>
      <c r="C262" t="str">
        <f>""</f>
        <v/>
      </c>
      <c r="D262" t="str">
        <f>""</f>
        <v/>
      </c>
      <c r="E262" t="str">
        <f>""</f>
        <v/>
      </c>
      <c r="F262" t="str">
        <f>""</f>
        <v/>
      </c>
      <c r="G262" t="str">
        <f>""</f>
        <v/>
      </c>
      <c r="H262" t="str">
        <f>""</f>
        <v/>
      </c>
      <c r="I262" t="str">
        <f>""</f>
        <v/>
      </c>
      <c r="J262" t="str">
        <f>""</f>
        <v/>
      </c>
      <c r="K262" t="str">
        <f>""</f>
        <v/>
      </c>
      <c r="L262" t="str">
        <f>""</f>
        <v/>
      </c>
      <c r="M262" t="str">
        <f>""</f>
        <v/>
      </c>
      <c r="N262" t="str">
        <f>""</f>
        <v/>
      </c>
      <c r="O262" t="str">
        <f>""</f>
        <v/>
      </c>
      <c r="P262" t="str">
        <f>""</f>
        <v/>
      </c>
      <c r="Q262" t="str">
        <f>""</f>
        <v/>
      </c>
      <c r="R262" t="str">
        <f>""</f>
        <v/>
      </c>
      <c r="S262" t="str">
        <f>""</f>
        <v/>
      </c>
      <c r="T262" t="str">
        <f>""</f>
        <v/>
      </c>
      <c r="U262" t="str">
        <f>""</f>
        <v/>
      </c>
      <c r="V262" t="str">
        <f>""</f>
        <v/>
      </c>
      <c r="W262" t="str">
        <f>""</f>
        <v/>
      </c>
      <c r="X262" t="str">
        <f>""</f>
        <v/>
      </c>
      <c r="Y262" t="str">
        <f>""</f>
        <v/>
      </c>
      <c r="Z262" t="str">
        <f>""</f>
        <v/>
      </c>
      <c r="AA262" t="str">
        <f>""</f>
        <v/>
      </c>
      <c r="AB262" t="str">
        <f>""</f>
        <v/>
      </c>
      <c r="AC262" t="str">
        <f>""</f>
        <v/>
      </c>
      <c r="AD262" t="str">
        <f>""</f>
        <v/>
      </c>
      <c r="AE262" t="str">
        <f>""</f>
        <v/>
      </c>
      <c r="AF262" t="str">
        <f>""</f>
        <v/>
      </c>
      <c r="AG262" t="str">
        <f>""</f>
        <v/>
      </c>
      <c r="AH262" t="str">
        <f>""</f>
        <v/>
      </c>
      <c r="AI262" t="str">
        <f>""</f>
        <v/>
      </c>
      <c r="AJ262" t="str">
        <f>""</f>
        <v/>
      </c>
      <c r="AK262" t="str">
        <f>""</f>
        <v/>
      </c>
      <c r="AL262" t="str">
        <f>""</f>
        <v/>
      </c>
      <c r="AM262" t="str">
        <f>""</f>
        <v/>
      </c>
      <c r="AN262" t="str">
        <f>""</f>
        <v/>
      </c>
      <c r="AO262" t="str">
        <f>""</f>
        <v/>
      </c>
      <c r="AP262" t="str">
        <f>""</f>
        <v/>
      </c>
      <c r="AQ262" t="str">
        <f>""</f>
        <v/>
      </c>
      <c r="AR262" t="str">
        <f>""</f>
        <v/>
      </c>
      <c r="AS262" t="str">
        <f>""</f>
        <v/>
      </c>
      <c r="AT262" t="str">
        <f>""</f>
        <v/>
      </c>
      <c r="AU262" t="str">
        <f>""</f>
        <v/>
      </c>
      <c r="AV262" t="str">
        <f>""</f>
        <v/>
      </c>
      <c r="AW262" t="str">
        <f>""</f>
        <v/>
      </c>
      <c r="AX262" t="str">
        <f>""</f>
        <v/>
      </c>
      <c r="AY262" t="str">
        <f>""</f>
        <v/>
      </c>
      <c r="AZ262" t="str">
        <f>""</f>
        <v/>
      </c>
      <c r="BA262" t="str">
        <f>""</f>
        <v/>
      </c>
      <c r="BB262" t="str">
        <f>""</f>
        <v/>
      </c>
      <c r="BC262" t="str">
        <f>""</f>
        <v/>
      </c>
      <c r="BD262" t="str">
        <f>""</f>
        <v/>
      </c>
      <c r="BE262" t="str">
        <f>""</f>
        <v/>
      </c>
      <c r="BF262" t="str">
        <f>""</f>
        <v/>
      </c>
      <c r="BG262" t="str">
        <f>""</f>
        <v/>
      </c>
      <c r="BH262" t="str">
        <f>""</f>
        <v/>
      </c>
      <c r="BI262" t="str">
        <f>""</f>
        <v/>
      </c>
      <c r="BJ262" t="str">
        <f>""</f>
        <v/>
      </c>
      <c r="BK262" t="str">
        <f>""</f>
        <v/>
      </c>
      <c r="BL262" t="str">
        <f>""</f>
        <v/>
      </c>
      <c r="BM262" t="str">
        <f>""</f>
        <v/>
      </c>
      <c r="BN262" t="str">
        <f>""</f>
        <v/>
      </c>
      <c r="BO262" t="str">
        <f>""</f>
        <v/>
      </c>
      <c r="BP262" t="str">
        <f>""</f>
        <v/>
      </c>
      <c r="BQ262" t="str">
        <f>""</f>
        <v/>
      </c>
      <c r="BR262" t="str">
        <f>""</f>
        <v/>
      </c>
      <c r="BS262" t="str">
        <f>""</f>
        <v/>
      </c>
      <c r="BT262" t="str">
        <f>""</f>
        <v/>
      </c>
      <c r="BU262" t="str">
        <f>""</f>
        <v/>
      </c>
      <c r="BV262" t="str">
        <f>""</f>
        <v/>
      </c>
      <c r="BW262" t="str">
        <f>""</f>
        <v/>
      </c>
      <c r="BX262" t="str">
        <f>""</f>
        <v/>
      </c>
      <c r="BY262" t="str">
        <f>""</f>
        <v/>
      </c>
      <c r="BZ262" t="str">
        <f>""</f>
        <v/>
      </c>
      <c r="CA262" t="str">
        <f>""</f>
        <v/>
      </c>
      <c r="CB262" t="str">
        <f>""</f>
        <v/>
      </c>
      <c r="CC262" t="str">
        <f>""</f>
        <v/>
      </c>
      <c r="CD262" t="str">
        <f>""</f>
        <v/>
      </c>
      <c r="CE262" t="str">
        <f>""</f>
        <v/>
      </c>
      <c r="CF262" t="str">
        <f>""</f>
        <v/>
      </c>
      <c r="CG262" t="str">
        <f>""</f>
        <v/>
      </c>
      <c r="CH262" t="str">
        <f>""</f>
        <v/>
      </c>
      <c r="CI262" t="str">
        <f>""</f>
        <v/>
      </c>
      <c r="CJ262" t="str">
        <f>""</f>
        <v/>
      </c>
      <c r="CK262" t="str">
        <f>""</f>
        <v/>
      </c>
      <c r="CL262" t="str">
        <f>""</f>
        <v/>
      </c>
      <c r="CM262" t="str">
        <f>""</f>
        <v/>
      </c>
      <c r="CN262" t="str">
        <f>""</f>
        <v/>
      </c>
      <c r="CO262" t="str">
        <f>""</f>
        <v/>
      </c>
      <c r="CP262" t="str">
        <f>""</f>
        <v/>
      </c>
      <c r="CQ262" t="str">
        <f>""</f>
        <v/>
      </c>
      <c r="CR262" t="str">
        <f>""</f>
        <v/>
      </c>
      <c r="CS262" t="str">
        <f>""</f>
        <v/>
      </c>
      <c r="CT262" t="str">
        <f>""</f>
        <v/>
      </c>
      <c r="CU262" t="str">
        <f>""</f>
        <v/>
      </c>
      <c r="CV262" t="str">
        <f>""</f>
        <v/>
      </c>
      <c r="CW262" t="str">
        <f>""</f>
        <v/>
      </c>
      <c r="CX262" t="str">
        <f>""</f>
        <v/>
      </c>
      <c r="CY262" t="str">
        <f>""</f>
        <v/>
      </c>
      <c r="CZ262" t="str">
        <f>""</f>
        <v/>
      </c>
      <c r="DA262" t="str">
        <f>""</f>
        <v/>
      </c>
      <c r="DB262" t="str">
        <f>""</f>
        <v/>
      </c>
      <c r="DC262" t="str">
        <f>""</f>
        <v/>
      </c>
      <c r="DD262" t="str">
        <f>""</f>
        <v/>
      </c>
      <c r="DE262" t="str">
        <f>""</f>
        <v/>
      </c>
      <c r="DF262" t="str">
        <f>""</f>
        <v/>
      </c>
      <c r="DG262" t="str">
        <f>""</f>
        <v/>
      </c>
      <c r="DH262" t="str">
        <f>""</f>
        <v/>
      </c>
      <c r="DI262" t="str">
        <f>""</f>
        <v/>
      </c>
      <c r="DJ262" t="str">
        <f>""</f>
        <v/>
      </c>
      <c r="DK262" t="str">
        <f>""</f>
        <v/>
      </c>
      <c r="DL262" t="str">
        <f>""</f>
        <v/>
      </c>
      <c r="DM262" t="str">
        <f>""</f>
        <v/>
      </c>
      <c r="DN262" t="str">
        <f>""</f>
        <v/>
      </c>
      <c r="DO262" t="str">
        <f>""</f>
        <v/>
      </c>
      <c r="DP262" t="str">
        <f>""</f>
        <v/>
      </c>
      <c r="DQ262" t="str">
        <f>""</f>
        <v/>
      </c>
      <c r="DR262" t="str">
        <f>""</f>
        <v/>
      </c>
      <c r="DS262" t="str">
        <f>""</f>
        <v/>
      </c>
      <c r="DT262" t="str">
        <f>""</f>
        <v/>
      </c>
      <c r="DU262" t="str">
        <f>""</f>
        <v/>
      </c>
      <c r="DV262" t="str">
        <f>""</f>
        <v/>
      </c>
      <c r="DW262" t="str">
        <f>""</f>
        <v/>
      </c>
      <c r="DX262" t="str">
        <f>""</f>
        <v/>
      </c>
      <c r="DY262" t="str">
        <f>""</f>
        <v/>
      </c>
      <c r="DZ262" t="str">
        <f>""</f>
        <v/>
      </c>
      <c r="EA262" t="str">
        <f>""</f>
        <v/>
      </c>
      <c r="EB262" t="str">
        <f>""</f>
        <v/>
      </c>
      <c r="EC262" t="str">
        <f>""</f>
        <v/>
      </c>
      <c r="ED262" t="str">
        <f>""</f>
        <v/>
      </c>
      <c r="EE262" t="str">
        <f>""</f>
        <v/>
      </c>
      <c r="EF262" t="str">
        <f>""</f>
        <v/>
      </c>
      <c r="EG262" t="str">
        <f>""</f>
        <v/>
      </c>
      <c r="EH262" t="str">
        <f>""</f>
        <v/>
      </c>
      <c r="EI262" t="str">
        <f>""</f>
        <v/>
      </c>
      <c r="EJ262" t="str">
        <f>""</f>
        <v/>
      </c>
      <c r="EK262" t="str">
        <f>""</f>
        <v/>
      </c>
      <c r="EL262" t="str">
        <f>""</f>
        <v/>
      </c>
      <c r="EM262" t="str">
        <f>""</f>
        <v/>
      </c>
      <c r="EN262" t="str">
        <f>""</f>
        <v/>
      </c>
      <c r="EO262" t="str">
        <f>""</f>
        <v/>
      </c>
      <c r="EP262" t="str">
        <f>""</f>
        <v/>
      </c>
      <c r="EQ262" t="str">
        <f>""</f>
        <v/>
      </c>
      <c r="ER262" t="str">
        <f>""</f>
        <v/>
      </c>
      <c r="ES262" t="str">
        <f>""</f>
        <v/>
      </c>
      <c r="ET262" t="str">
        <f>""</f>
        <v/>
      </c>
      <c r="EU262" t="str">
        <f>""</f>
        <v/>
      </c>
      <c r="EV262" t="str">
        <f>""</f>
        <v/>
      </c>
      <c r="EW262" t="str">
        <f>""</f>
        <v/>
      </c>
      <c r="EX262" t="str">
        <f>""</f>
        <v/>
      </c>
      <c r="EY262" t="str">
        <f>""</f>
        <v/>
      </c>
      <c r="EZ262" t="str">
        <f>""</f>
        <v/>
      </c>
      <c r="FA262" t="str">
        <f>""</f>
        <v/>
      </c>
      <c r="FB262" t="str">
        <f>""</f>
        <v/>
      </c>
      <c r="FC262" t="str">
        <f>""</f>
        <v/>
      </c>
      <c r="FD262" t="str">
        <f>""</f>
        <v/>
      </c>
      <c r="FE262" t="str">
        <f>""</f>
        <v/>
      </c>
      <c r="FF262" t="str">
        <f>""</f>
        <v/>
      </c>
      <c r="FG262" t="str">
        <f>""</f>
        <v/>
      </c>
      <c r="FH262" t="str">
        <f>""</f>
        <v/>
      </c>
      <c r="FI262" t="str">
        <f>""</f>
        <v/>
      </c>
      <c r="FJ262" t="str">
        <f>""</f>
        <v/>
      </c>
      <c r="FK262" t="str">
        <f>""</f>
        <v/>
      </c>
      <c r="FL262" t="str">
        <f>""</f>
        <v/>
      </c>
      <c r="FM262" t="str">
        <f>""</f>
        <v/>
      </c>
      <c r="FN262" t="str">
        <f>""</f>
        <v/>
      </c>
      <c r="FO262" t="str">
        <f>""</f>
        <v/>
      </c>
      <c r="FP262" t="str">
        <f>""</f>
        <v/>
      </c>
      <c r="FQ262" t="str">
        <f>"(0.103)"</f>
        <v>(0.103)</v>
      </c>
      <c r="FR262" t="str">
        <f>"(0.0817)"</f>
        <v>(0.0817)</v>
      </c>
      <c r="FS262" t="str">
        <f>"(0.0437)"</f>
        <v>(0.0437)</v>
      </c>
      <c r="FT262" t="str">
        <f>""</f>
        <v/>
      </c>
      <c r="FU262" t="str">
        <f>""</f>
        <v/>
      </c>
      <c r="FV262" t="str">
        <f>""</f>
        <v/>
      </c>
      <c r="FW262" t="str">
        <f>""</f>
        <v/>
      </c>
      <c r="FX262" t="str">
        <f>""</f>
        <v/>
      </c>
      <c r="FY262" t="str">
        <f>""</f>
        <v/>
      </c>
      <c r="FZ262" t="str">
        <f>""</f>
        <v/>
      </c>
      <c r="GA262" t="str">
        <f>""</f>
        <v/>
      </c>
      <c r="GB262" t="str">
        <f>""</f>
        <v/>
      </c>
      <c r="GC262" t="str">
        <f>""</f>
        <v/>
      </c>
      <c r="GD262" t="str">
        <f>""</f>
        <v/>
      </c>
      <c r="GE262" t="str">
        <f>""</f>
        <v/>
      </c>
      <c r="GF262" t="str">
        <f>""</f>
        <v/>
      </c>
      <c r="GG262" t="str">
        <f>""</f>
        <v/>
      </c>
      <c r="GH262" t="str">
        <f>""</f>
        <v/>
      </c>
      <c r="GI262" t="str">
        <f>""</f>
        <v/>
      </c>
      <c r="GJ262" t="str">
        <f>""</f>
        <v/>
      </c>
      <c r="GK262" t="str">
        <f>""</f>
        <v/>
      </c>
      <c r="GL262" t="str">
        <f>""</f>
        <v/>
      </c>
      <c r="GM262" t="str">
        <f>""</f>
        <v/>
      </c>
      <c r="GN262" t="str">
        <f>""</f>
        <v/>
      </c>
      <c r="GO262" t="str">
        <f>""</f>
        <v/>
      </c>
      <c r="GP262" t="str">
        <f>""</f>
        <v/>
      </c>
      <c r="GQ262" t="str">
        <f>""</f>
        <v/>
      </c>
      <c r="GR262" t="str">
        <f>""</f>
        <v/>
      </c>
      <c r="GS262" t="str">
        <f>""</f>
        <v/>
      </c>
      <c r="GT262" t="str">
        <f>""</f>
        <v/>
      </c>
      <c r="GU262" t="str">
        <f>""</f>
        <v/>
      </c>
      <c r="GV262" t="str">
        <f>""</f>
        <v/>
      </c>
      <c r="GW262" t="str">
        <f>""</f>
        <v/>
      </c>
      <c r="GX262" t="str">
        <f>""</f>
        <v/>
      </c>
      <c r="GY262" t="str">
        <f>""</f>
        <v/>
      </c>
      <c r="GZ262" t="str">
        <f>""</f>
        <v/>
      </c>
      <c r="HA262" t="str">
        <f>""</f>
        <v/>
      </c>
      <c r="HB262" t="str">
        <f>""</f>
        <v/>
      </c>
      <c r="HC262" t="str">
        <f>""</f>
        <v/>
      </c>
      <c r="HD262" t="str">
        <f>""</f>
        <v/>
      </c>
      <c r="HE262" t="str">
        <f>""</f>
        <v/>
      </c>
      <c r="HF262" t="str">
        <f>""</f>
        <v/>
      </c>
      <c r="HG262" t="str">
        <f>""</f>
        <v/>
      </c>
      <c r="HH262" t="str">
        <f>""</f>
        <v/>
      </c>
      <c r="HI262" t="str">
        <f>""</f>
        <v/>
      </c>
      <c r="HJ262" t="str">
        <f>""</f>
        <v/>
      </c>
      <c r="HK262" t="str">
        <f>""</f>
        <v/>
      </c>
      <c r="HL262" t="str">
        <f>""</f>
        <v/>
      </c>
      <c r="HM262" t="str">
        <f>""</f>
        <v/>
      </c>
      <c r="HN262" t="str">
        <f>""</f>
        <v/>
      </c>
      <c r="HO262" t="str">
        <f>""</f>
        <v/>
      </c>
      <c r="HP262" t="str">
        <f>""</f>
        <v/>
      </c>
      <c r="HQ262" t="str">
        <f>""</f>
        <v/>
      </c>
      <c r="HR262" t="str">
        <f>""</f>
        <v/>
      </c>
      <c r="HS262" t="str">
        <f>""</f>
        <v/>
      </c>
      <c r="HT262" t="str">
        <f>""</f>
        <v/>
      </c>
      <c r="HU262" t="str">
        <f>""</f>
        <v/>
      </c>
      <c r="HV262" t="str">
        <f>""</f>
        <v/>
      </c>
      <c r="HW262" t="str">
        <f>""</f>
        <v/>
      </c>
      <c r="HX262" t="str">
        <f>""</f>
        <v/>
      </c>
      <c r="HY262" t="str">
        <f>""</f>
        <v/>
      </c>
      <c r="HZ262" t="str">
        <f>""</f>
        <v/>
      </c>
      <c r="IA262" t="str">
        <f>""</f>
        <v/>
      </c>
      <c r="IB262" t="str">
        <f>""</f>
        <v/>
      </c>
      <c r="IC262" t="str">
        <f>""</f>
        <v/>
      </c>
      <c r="ID262" t="str">
        <f>""</f>
        <v/>
      </c>
      <c r="IE262" t="str">
        <f>""</f>
        <v/>
      </c>
      <c r="IF262" t="str">
        <f>""</f>
        <v/>
      </c>
      <c r="IG262" t="str">
        <f>""</f>
        <v/>
      </c>
      <c r="IH262" t="str">
        <f>""</f>
        <v/>
      </c>
      <c r="II262" t="str">
        <f>""</f>
        <v/>
      </c>
      <c r="IJ262" t="str">
        <f>""</f>
        <v/>
      </c>
      <c r="IK262" t="str">
        <f>""</f>
        <v/>
      </c>
      <c r="IL262" t="str">
        <f>""</f>
        <v/>
      </c>
      <c r="IM262" t="str">
        <f>""</f>
        <v/>
      </c>
      <c r="IN262" t="str">
        <f>""</f>
        <v/>
      </c>
      <c r="IO262" t="str">
        <f>""</f>
        <v/>
      </c>
      <c r="IP262" t="str">
        <f>""</f>
        <v/>
      </c>
      <c r="IQ262" t="str">
        <f>""</f>
        <v/>
      </c>
      <c r="IR262" t="str">
        <f>""</f>
        <v/>
      </c>
      <c r="IS262" t="str">
        <f>""</f>
        <v/>
      </c>
      <c r="IT262" t="str">
        <f>""</f>
        <v/>
      </c>
      <c r="IU262" t="str">
        <f>""</f>
        <v/>
      </c>
      <c r="IV262" t="str">
        <f>""</f>
        <v/>
      </c>
      <c r="IW262" t="str">
        <f>""</f>
        <v/>
      </c>
      <c r="IX262" t="str">
        <f>""</f>
        <v/>
      </c>
      <c r="IY262" t="str">
        <f>""</f>
        <v/>
      </c>
      <c r="IZ262" t="str">
        <f>""</f>
        <v/>
      </c>
      <c r="JA262" t="str">
        <f>""</f>
        <v/>
      </c>
      <c r="JB262" t="str">
        <f>""</f>
        <v/>
      </c>
      <c r="JC262" t="str">
        <f>""</f>
        <v/>
      </c>
      <c r="JD262" t="str">
        <f>""</f>
        <v/>
      </c>
      <c r="JE262" t="str">
        <f>""</f>
        <v/>
      </c>
      <c r="JF262" t="str">
        <f>""</f>
        <v/>
      </c>
      <c r="JG262" t="str">
        <f>""</f>
        <v/>
      </c>
      <c r="JH262" t="str">
        <f>""</f>
        <v/>
      </c>
      <c r="JI262" t="str">
        <f>""</f>
        <v/>
      </c>
      <c r="JJ262" t="str">
        <f>""</f>
        <v/>
      </c>
      <c r="JK262" t="str">
        <f>""</f>
        <v/>
      </c>
    </row>
    <row r="264" spans="1:271" x14ac:dyDescent="0.3">
      <c r="A264" t="str">
        <f>"c.zMETAB14#c.PM4"</f>
        <v>c.zMETAB14#c.PM4</v>
      </c>
      <c r="B264" t="str">
        <f>""</f>
        <v/>
      </c>
      <c r="C264" t="str">
        <f>""</f>
        <v/>
      </c>
      <c r="D264" t="str">
        <f>""</f>
        <v/>
      </c>
      <c r="E264" t="str">
        <f>""</f>
        <v/>
      </c>
      <c r="F264" t="str">
        <f>""</f>
        <v/>
      </c>
      <c r="G264" t="str">
        <f>""</f>
        <v/>
      </c>
      <c r="H264" t="str">
        <f>""</f>
        <v/>
      </c>
      <c r="I264" t="str">
        <f>""</f>
        <v/>
      </c>
      <c r="J264" t="str">
        <f>""</f>
        <v/>
      </c>
      <c r="K264" t="str">
        <f>""</f>
        <v/>
      </c>
      <c r="L264" t="str">
        <f>""</f>
        <v/>
      </c>
      <c r="M264" t="str">
        <f>""</f>
        <v/>
      </c>
      <c r="N264" t="str">
        <f>""</f>
        <v/>
      </c>
      <c r="O264" t="str">
        <f>""</f>
        <v/>
      </c>
      <c r="P264" t="str">
        <f>""</f>
        <v/>
      </c>
      <c r="Q264" t="str">
        <f>""</f>
        <v/>
      </c>
      <c r="R264" t="str">
        <f>""</f>
        <v/>
      </c>
      <c r="S264" t="str">
        <f>""</f>
        <v/>
      </c>
      <c r="T264" t="str">
        <f>""</f>
        <v/>
      </c>
      <c r="U264" t="str">
        <f>""</f>
        <v/>
      </c>
      <c r="V264" t="str">
        <f>""</f>
        <v/>
      </c>
      <c r="W264" t="str">
        <f>""</f>
        <v/>
      </c>
      <c r="X264" t="str">
        <f>""</f>
        <v/>
      </c>
      <c r="Y264" t="str">
        <f>""</f>
        <v/>
      </c>
      <c r="Z264" t="str">
        <f>""</f>
        <v/>
      </c>
      <c r="AA264" t="str">
        <f>""</f>
        <v/>
      </c>
      <c r="AB264" t="str">
        <f>""</f>
        <v/>
      </c>
      <c r="AC264" t="str">
        <f>""</f>
        <v/>
      </c>
      <c r="AD264" t="str">
        <f>""</f>
        <v/>
      </c>
      <c r="AE264" t="str">
        <f>""</f>
        <v/>
      </c>
      <c r="AF264" t="str">
        <f>""</f>
        <v/>
      </c>
      <c r="AG264" t="str">
        <f>""</f>
        <v/>
      </c>
      <c r="AH264" t="str">
        <f>""</f>
        <v/>
      </c>
      <c r="AI264" t="str">
        <f>""</f>
        <v/>
      </c>
      <c r="AJ264" t="str">
        <f>""</f>
        <v/>
      </c>
      <c r="AK264" t="str">
        <f>""</f>
        <v/>
      </c>
      <c r="AL264" t="str">
        <f>""</f>
        <v/>
      </c>
      <c r="AM264" t="str">
        <f>""</f>
        <v/>
      </c>
      <c r="AN264" t="str">
        <f>""</f>
        <v/>
      </c>
      <c r="AO264" t="str">
        <f>""</f>
        <v/>
      </c>
      <c r="AP264" t="str">
        <f>""</f>
        <v/>
      </c>
      <c r="AQ264" t="str">
        <f>""</f>
        <v/>
      </c>
      <c r="AR264" t="str">
        <f>""</f>
        <v/>
      </c>
      <c r="AS264" t="str">
        <f>""</f>
        <v/>
      </c>
      <c r="AT264" t="str">
        <f>""</f>
        <v/>
      </c>
      <c r="AU264" t="str">
        <f>""</f>
        <v/>
      </c>
      <c r="AV264" t="str">
        <f>""</f>
        <v/>
      </c>
      <c r="AW264" t="str">
        <f>""</f>
        <v/>
      </c>
      <c r="AX264" t="str">
        <f>""</f>
        <v/>
      </c>
      <c r="AY264" t="str">
        <f>""</f>
        <v/>
      </c>
      <c r="AZ264" t="str">
        <f>""</f>
        <v/>
      </c>
      <c r="BA264" t="str">
        <f>""</f>
        <v/>
      </c>
      <c r="BB264" t="str">
        <f>""</f>
        <v/>
      </c>
      <c r="BC264" t="str">
        <f>""</f>
        <v/>
      </c>
      <c r="BD264" t="str">
        <f>""</f>
        <v/>
      </c>
      <c r="BE264" t="str">
        <f>""</f>
        <v/>
      </c>
      <c r="BF264" t="str">
        <f>""</f>
        <v/>
      </c>
      <c r="BG264" t="str">
        <f>""</f>
        <v/>
      </c>
      <c r="BH264" t="str">
        <f>""</f>
        <v/>
      </c>
      <c r="BI264" t="str">
        <f>""</f>
        <v/>
      </c>
      <c r="BJ264" t="str">
        <f>""</f>
        <v/>
      </c>
      <c r="BK264" t="str">
        <f>""</f>
        <v/>
      </c>
      <c r="BL264" t="str">
        <f>""</f>
        <v/>
      </c>
      <c r="BM264" t="str">
        <f>""</f>
        <v/>
      </c>
      <c r="BN264" t="str">
        <f>""</f>
        <v/>
      </c>
      <c r="BO264" t="str">
        <f>""</f>
        <v/>
      </c>
      <c r="BP264" t="str">
        <f>""</f>
        <v/>
      </c>
      <c r="BQ264" t="str">
        <f>""</f>
        <v/>
      </c>
      <c r="BR264" t="str">
        <f>""</f>
        <v/>
      </c>
      <c r="BS264" t="str">
        <f>""</f>
        <v/>
      </c>
      <c r="BT264" t="str">
        <f>""</f>
        <v/>
      </c>
      <c r="BU264" t="str">
        <f>""</f>
        <v/>
      </c>
      <c r="BV264" t="str">
        <f>""</f>
        <v/>
      </c>
      <c r="BW264" t="str">
        <f>""</f>
        <v/>
      </c>
      <c r="BX264" t="str">
        <f>""</f>
        <v/>
      </c>
      <c r="BY264" t="str">
        <f>""</f>
        <v/>
      </c>
      <c r="BZ264" t="str">
        <f>""</f>
        <v/>
      </c>
      <c r="CA264" t="str">
        <f>""</f>
        <v/>
      </c>
      <c r="CB264" t="str">
        <f>""</f>
        <v/>
      </c>
      <c r="CC264" t="str">
        <f>""</f>
        <v/>
      </c>
      <c r="CD264" t="str">
        <f>""</f>
        <v/>
      </c>
      <c r="CE264" t="str">
        <f>""</f>
        <v/>
      </c>
      <c r="CF264" t="str">
        <f>""</f>
        <v/>
      </c>
      <c r="CG264" t="str">
        <f>""</f>
        <v/>
      </c>
      <c r="CH264" t="str">
        <f>""</f>
        <v/>
      </c>
      <c r="CI264" t="str">
        <f>""</f>
        <v/>
      </c>
      <c r="CJ264" t="str">
        <f>""</f>
        <v/>
      </c>
      <c r="CK264" t="str">
        <f>""</f>
        <v/>
      </c>
      <c r="CL264" t="str">
        <f>""</f>
        <v/>
      </c>
      <c r="CM264" t="str">
        <f>""</f>
        <v/>
      </c>
      <c r="CN264" t="str">
        <f>""</f>
        <v/>
      </c>
      <c r="CO264" t="str">
        <f>""</f>
        <v/>
      </c>
      <c r="CP264" t="str">
        <f>""</f>
        <v/>
      </c>
      <c r="CQ264" t="str">
        <f>""</f>
        <v/>
      </c>
      <c r="CR264" t="str">
        <f>""</f>
        <v/>
      </c>
      <c r="CS264" t="str">
        <f>""</f>
        <v/>
      </c>
      <c r="CT264" t="str">
        <f>""</f>
        <v/>
      </c>
      <c r="CU264" t="str">
        <f>""</f>
        <v/>
      </c>
      <c r="CV264" t="str">
        <f>""</f>
        <v/>
      </c>
      <c r="CW264" t="str">
        <f>""</f>
        <v/>
      </c>
      <c r="CX264" t="str">
        <f>""</f>
        <v/>
      </c>
      <c r="CY264" t="str">
        <f>""</f>
        <v/>
      </c>
      <c r="CZ264" t="str">
        <f>""</f>
        <v/>
      </c>
      <c r="DA264" t="str">
        <f>""</f>
        <v/>
      </c>
      <c r="DB264" t="str">
        <f>""</f>
        <v/>
      </c>
      <c r="DC264" t="str">
        <f>""</f>
        <v/>
      </c>
      <c r="DD264" t="str">
        <f>""</f>
        <v/>
      </c>
      <c r="DE264" t="str">
        <f>""</f>
        <v/>
      </c>
      <c r="DF264" t="str">
        <f>""</f>
        <v/>
      </c>
      <c r="DG264" t="str">
        <f>""</f>
        <v/>
      </c>
      <c r="DH264" t="str">
        <f>""</f>
        <v/>
      </c>
      <c r="DI264" t="str">
        <f>""</f>
        <v/>
      </c>
      <c r="DJ264" t="str">
        <f>""</f>
        <v/>
      </c>
      <c r="DK264" t="str">
        <f>""</f>
        <v/>
      </c>
      <c r="DL264" t="str">
        <f>""</f>
        <v/>
      </c>
      <c r="DM264" t="str">
        <f>""</f>
        <v/>
      </c>
      <c r="DN264" t="str">
        <f>""</f>
        <v/>
      </c>
      <c r="DO264" t="str">
        <f>""</f>
        <v/>
      </c>
      <c r="DP264" t="str">
        <f>""</f>
        <v/>
      </c>
      <c r="DQ264" t="str">
        <f>""</f>
        <v/>
      </c>
      <c r="DR264" t="str">
        <f>""</f>
        <v/>
      </c>
      <c r="DS264" t="str">
        <f>""</f>
        <v/>
      </c>
      <c r="DT264" t="str">
        <f>""</f>
        <v/>
      </c>
      <c r="DU264" t="str">
        <f>""</f>
        <v/>
      </c>
      <c r="DV264" t="str">
        <f>""</f>
        <v/>
      </c>
      <c r="DW264" t="str">
        <f>""</f>
        <v/>
      </c>
      <c r="DX264" t="str">
        <f>""</f>
        <v/>
      </c>
      <c r="DY264" t="str">
        <f>""</f>
        <v/>
      </c>
      <c r="DZ264" t="str">
        <f>""</f>
        <v/>
      </c>
      <c r="EA264" t="str">
        <f>""</f>
        <v/>
      </c>
      <c r="EB264" t="str">
        <f>""</f>
        <v/>
      </c>
      <c r="EC264" t="str">
        <f>""</f>
        <v/>
      </c>
      <c r="ED264" t="str">
        <f>""</f>
        <v/>
      </c>
      <c r="EE264" t="str">
        <f>""</f>
        <v/>
      </c>
      <c r="EF264" t="str">
        <f>""</f>
        <v/>
      </c>
      <c r="EG264" t="str">
        <f>""</f>
        <v/>
      </c>
      <c r="EH264" t="str">
        <f>""</f>
        <v/>
      </c>
      <c r="EI264" t="str">
        <f>""</f>
        <v/>
      </c>
      <c r="EJ264" t="str">
        <f>""</f>
        <v/>
      </c>
      <c r="EK264" t="str">
        <f>""</f>
        <v/>
      </c>
      <c r="EL264" t="str">
        <f>""</f>
        <v/>
      </c>
      <c r="EM264" t="str">
        <f>""</f>
        <v/>
      </c>
      <c r="EN264" t="str">
        <f>""</f>
        <v/>
      </c>
      <c r="EO264" t="str">
        <f>""</f>
        <v/>
      </c>
      <c r="EP264" t="str">
        <f>""</f>
        <v/>
      </c>
      <c r="EQ264" t="str">
        <f>""</f>
        <v/>
      </c>
      <c r="ER264" t="str">
        <f>""</f>
        <v/>
      </c>
      <c r="ES264" t="str">
        <f>""</f>
        <v/>
      </c>
      <c r="ET264" t="str">
        <f>""</f>
        <v/>
      </c>
      <c r="EU264" t="str">
        <f>""</f>
        <v/>
      </c>
      <c r="EV264" t="str">
        <f>""</f>
        <v/>
      </c>
      <c r="EW264" t="str">
        <f>""</f>
        <v/>
      </c>
      <c r="EX264" t="str">
        <f>""</f>
        <v/>
      </c>
      <c r="EY264" t="str">
        <f>""</f>
        <v/>
      </c>
      <c r="EZ264" t="str">
        <f>""</f>
        <v/>
      </c>
      <c r="FA264" t="str">
        <f>""</f>
        <v/>
      </c>
      <c r="FB264" t="str">
        <f>""</f>
        <v/>
      </c>
      <c r="FC264" t="str">
        <f>""</f>
        <v/>
      </c>
      <c r="FD264" t="str">
        <f>""</f>
        <v/>
      </c>
      <c r="FE264" t="str">
        <f>""</f>
        <v/>
      </c>
      <c r="FF264" t="str">
        <f>""</f>
        <v/>
      </c>
      <c r="FG264" t="str">
        <f>""</f>
        <v/>
      </c>
      <c r="FH264" t="str">
        <f>""</f>
        <v/>
      </c>
      <c r="FI264" t="str">
        <f>""</f>
        <v/>
      </c>
      <c r="FJ264" t="str">
        <f>""</f>
        <v/>
      </c>
      <c r="FK264" t="str">
        <f>""</f>
        <v/>
      </c>
      <c r="FL264" t="str">
        <f>""</f>
        <v/>
      </c>
      <c r="FM264" t="str">
        <f>""</f>
        <v/>
      </c>
      <c r="FN264" t="str">
        <f>""</f>
        <v/>
      </c>
      <c r="FO264" t="str">
        <f>""</f>
        <v/>
      </c>
      <c r="FP264" t="str">
        <f>""</f>
        <v/>
      </c>
      <c r="FQ264" t="str">
        <f>""</f>
        <v/>
      </c>
      <c r="FR264" t="str">
        <f>""</f>
        <v/>
      </c>
      <c r="FS264" t="str">
        <f>""</f>
        <v/>
      </c>
      <c r="FT264" t="str">
        <f>"-0.144"</f>
        <v>-0.144</v>
      </c>
      <c r="FU264" t="str">
        <f>"0.00419"</f>
        <v>0.00419</v>
      </c>
      <c r="FV264" t="str">
        <f>"-0.00423"</f>
        <v>-0.00423</v>
      </c>
      <c r="FW264" t="str">
        <f>""</f>
        <v/>
      </c>
      <c r="FX264" t="str">
        <f>""</f>
        <v/>
      </c>
      <c r="FY264" t="str">
        <f>""</f>
        <v/>
      </c>
      <c r="FZ264" t="str">
        <f>""</f>
        <v/>
      </c>
      <c r="GA264" t="str">
        <f>""</f>
        <v/>
      </c>
      <c r="GB264" t="str">
        <f>""</f>
        <v/>
      </c>
      <c r="GC264" t="str">
        <f>""</f>
        <v/>
      </c>
      <c r="GD264" t="str">
        <f>""</f>
        <v/>
      </c>
      <c r="GE264" t="str">
        <f>""</f>
        <v/>
      </c>
      <c r="GF264" t="str">
        <f>""</f>
        <v/>
      </c>
      <c r="GG264" t="str">
        <f>""</f>
        <v/>
      </c>
      <c r="GH264" t="str">
        <f>""</f>
        <v/>
      </c>
      <c r="GI264" t="str">
        <f>""</f>
        <v/>
      </c>
      <c r="GJ264" t="str">
        <f>""</f>
        <v/>
      </c>
      <c r="GK264" t="str">
        <f>""</f>
        <v/>
      </c>
      <c r="GL264" t="str">
        <f>""</f>
        <v/>
      </c>
      <c r="GM264" t="str">
        <f>""</f>
        <v/>
      </c>
      <c r="GN264" t="str">
        <f>""</f>
        <v/>
      </c>
      <c r="GO264" t="str">
        <f>""</f>
        <v/>
      </c>
      <c r="GP264" t="str">
        <f>""</f>
        <v/>
      </c>
      <c r="GQ264" t="str">
        <f>""</f>
        <v/>
      </c>
      <c r="GR264" t="str">
        <f>""</f>
        <v/>
      </c>
      <c r="GS264" t="str">
        <f>""</f>
        <v/>
      </c>
      <c r="GT264" t="str">
        <f>""</f>
        <v/>
      </c>
      <c r="GU264" t="str">
        <f>""</f>
        <v/>
      </c>
      <c r="GV264" t="str">
        <f>""</f>
        <v/>
      </c>
      <c r="GW264" t="str">
        <f>""</f>
        <v/>
      </c>
      <c r="GX264" t="str">
        <f>""</f>
        <v/>
      </c>
      <c r="GY264" t="str">
        <f>""</f>
        <v/>
      </c>
      <c r="GZ264" t="str">
        <f>""</f>
        <v/>
      </c>
      <c r="HA264" t="str">
        <f>""</f>
        <v/>
      </c>
      <c r="HB264" t="str">
        <f>""</f>
        <v/>
      </c>
      <c r="HC264" t="str">
        <f>""</f>
        <v/>
      </c>
      <c r="HD264" t="str">
        <f>""</f>
        <v/>
      </c>
      <c r="HE264" t="str">
        <f>""</f>
        <v/>
      </c>
      <c r="HF264" t="str">
        <f>""</f>
        <v/>
      </c>
      <c r="HG264" t="str">
        <f>""</f>
        <v/>
      </c>
      <c r="HH264" t="str">
        <f>""</f>
        <v/>
      </c>
      <c r="HI264" t="str">
        <f>""</f>
        <v/>
      </c>
      <c r="HJ264" t="str">
        <f>""</f>
        <v/>
      </c>
      <c r="HK264" t="str">
        <f>""</f>
        <v/>
      </c>
      <c r="HL264" t="str">
        <f>""</f>
        <v/>
      </c>
      <c r="HM264" t="str">
        <f>""</f>
        <v/>
      </c>
      <c r="HN264" t="str">
        <f>""</f>
        <v/>
      </c>
      <c r="HO264" t="str">
        <f>""</f>
        <v/>
      </c>
      <c r="HP264" t="str">
        <f>""</f>
        <v/>
      </c>
      <c r="HQ264" t="str">
        <f>""</f>
        <v/>
      </c>
      <c r="HR264" t="str">
        <f>""</f>
        <v/>
      </c>
      <c r="HS264" t="str">
        <f>""</f>
        <v/>
      </c>
      <c r="HT264" t="str">
        <f>""</f>
        <v/>
      </c>
      <c r="HU264" t="str">
        <f>""</f>
        <v/>
      </c>
      <c r="HV264" t="str">
        <f>""</f>
        <v/>
      </c>
      <c r="HW264" t="str">
        <f>""</f>
        <v/>
      </c>
      <c r="HX264" t="str">
        <f>""</f>
        <v/>
      </c>
      <c r="HY264" t="str">
        <f>""</f>
        <v/>
      </c>
      <c r="HZ264" t="str">
        <f>""</f>
        <v/>
      </c>
      <c r="IA264" t="str">
        <f>""</f>
        <v/>
      </c>
      <c r="IB264" t="str">
        <f>""</f>
        <v/>
      </c>
      <c r="IC264" t="str">
        <f>""</f>
        <v/>
      </c>
      <c r="ID264" t="str">
        <f>""</f>
        <v/>
      </c>
      <c r="IE264" t="str">
        <f>""</f>
        <v/>
      </c>
      <c r="IF264" t="str">
        <f>""</f>
        <v/>
      </c>
      <c r="IG264" t="str">
        <f>""</f>
        <v/>
      </c>
      <c r="IH264" t="str">
        <f>""</f>
        <v/>
      </c>
      <c r="II264" t="str">
        <f>""</f>
        <v/>
      </c>
      <c r="IJ264" t="str">
        <f>""</f>
        <v/>
      </c>
      <c r="IK264" t="str">
        <f>""</f>
        <v/>
      </c>
      <c r="IL264" t="str">
        <f>""</f>
        <v/>
      </c>
      <c r="IM264" t="str">
        <f>""</f>
        <v/>
      </c>
      <c r="IN264" t="str">
        <f>""</f>
        <v/>
      </c>
      <c r="IO264" t="str">
        <f>""</f>
        <v/>
      </c>
      <c r="IP264" t="str">
        <f>""</f>
        <v/>
      </c>
      <c r="IQ264" t="str">
        <f>""</f>
        <v/>
      </c>
      <c r="IR264" t="str">
        <f>""</f>
        <v/>
      </c>
      <c r="IS264" t="str">
        <f>""</f>
        <v/>
      </c>
      <c r="IT264" t="str">
        <f>""</f>
        <v/>
      </c>
      <c r="IU264" t="str">
        <f>""</f>
        <v/>
      </c>
      <c r="IV264" t="str">
        <f>""</f>
        <v/>
      </c>
      <c r="IW264" t="str">
        <f>""</f>
        <v/>
      </c>
      <c r="IX264" t="str">
        <f>""</f>
        <v/>
      </c>
      <c r="IY264" t="str">
        <f>""</f>
        <v/>
      </c>
      <c r="IZ264" t="str">
        <f>""</f>
        <v/>
      </c>
      <c r="JA264" t="str">
        <f>""</f>
        <v/>
      </c>
      <c r="JB264" t="str">
        <f>""</f>
        <v/>
      </c>
      <c r="JC264" t="str">
        <f>""</f>
        <v/>
      </c>
      <c r="JD264" t="str">
        <f>""</f>
        <v/>
      </c>
      <c r="JE264" t="str">
        <f>""</f>
        <v/>
      </c>
      <c r="JF264" t="str">
        <f>""</f>
        <v/>
      </c>
      <c r="JG264" t="str">
        <f>""</f>
        <v/>
      </c>
      <c r="JH264" t="str">
        <f>""</f>
        <v/>
      </c>
      <c r="JI264" t="str">
        <f>""</f>
        <v/>
      </c>
      <c r="JJ264" t="str">
        <f>""</f>
        <v/>
      </c>
      <c r="JK264" t="str">
        <f>""</f>
        <v/>
      </c>
    </row>
    <row r="265" spans="1:271" x14ac:dyDescent="0.3">
      <c r="A265" t="str">
        <f>""</f>
        <v/>
      </c>
      <c r="B265" t="str">
        <f>""</f>
        <v/>
      </c>
      <c r="C265" t="str">
        <f>""</f>
        <v/>
      </c>
      <c r="D265" t="str">
        <f>""</f>
        <v/>
      </c>
      <c r="E265" t="str">
        <f>""</f>
        <v/>
      </c>
      <c r="F265" t="str">
        <f>""</f>
        <v/>
      </c>
      <c r="G265" t="str">
        <f>""</f>
        <v/>
      </c>
      <c r="H265" t="str">
        <f>""</f>
        <v/>
      </c>
      <c r="I265" t="str">
        <f>""</f>
        <v/>
      </c>
      <c r="J265" t="str">
        <f>""</f>
        <v/>
      </c>
      <c r="K265" t="str">
        <f>""</f>
        <v/>
      </c>
      <c r="L265" t="str">
        <f>""</f>
        <v/>
      </c>
      <c r="M265" t="str">
        <f>""</f>
        <v/>
      </c>
      <c r="N265" t="str">
        <f>""</f>
        <v/>
      </c>
      <c r="O265" t="str">
        <f>""</f>
        <v/>
      </c>
      <c r="P265" t="str">
        <f>""</f>
        <v/>
      </c>
      <c r="Q265" t="str">
        <f>""</f>
        <v/>
      </c>
      <c r="R265" t="str">
        <f>""</f>
        <v/>
      </c>
      <c r="S265" t="str">
        <f>""</f>
        <v/>
      </c>
      <c r="T265" t="str">
        <f>""</f>
        <v/>
      </c>
      <c r="U265" t="str">
        <f>""</f>
        <v/>
      </c>
      <c r="V265" t="str">
        <f>""</f>
        <v/>
      </c>
      <c r="W265" t="str">
        <f>""</f>
        <v/>
      </c>
      <c r="X265" t="str">
        <f>""</f>
        <v/>
      </c>
      <c r="Y265" t="str">
        <f>""</f>
        <v/>
      </c>
      <c r="Z265" t="str">
        <f>""</f>
        <v/>
      </c>
      <c r="AA265" t="str">
        <f>""</f>
        <v/>
      </c>
      <c r="AB265" t="str">
        <f>""</f>
        <v/>
      </c>
      <c r="AC265" t="str">
        <f>""</f>
        <v/>
      </c>
      <c r="AD265" t="str">
        <f>""</f>
        <v/>
      </c>
      <c r="AE265" t="str">
        <f>""</f>
        <v/>
      </c>
      <c r="AF265" t="str">
        <f>""</f>
        <v/>
      </c>
      <c r="AG265" t="str">
        <f>""</f>
        <v/>
      </c>
      <c r="AH265" t="str">
        <f>""</f>
        <v/>
      </c>
      <c r="AI265" t="str">
        <f>""</f>
        <v/>
      </c>
      <c r="AJ265" t="str">
        <f>""</f>
        <v/>
      </c>
      <c r="AK265" t="str">
        <f>""</f>
        <v/>
      </c>
      <c r="AL265" t="str">
        <f>""</f>
        <v/>
      </c>
      <c r="AM265" t="str">
        <f>""</f>
        <v/>
      </c>
      <c r="AN265" t="str">
        <f>""</f>
        <v/>
      </c>
      <c r="AO265" t="str">
        <f>""</f>
        <v/>
      </c>
      <c r="AP265" t="str">
        <f>""</f>
        <v/>
      </c>
      <c r="AQ265" t="str">
        <f>""</f>
        <v/>
      </c>
      <c r="AR265" t="str">
        <f>""</f>
        <v/>
      </c>
      <c r="AS265" t="str">
        <f>""</f>
        <v/>
      </c>
      <c r="AT265" t="str">
        <f>""</f>
        <v/>
      </c>
      <c r="AU265" t="str">
        <f>""</f>
        <v/>
      </c>
      <c r="AV265" t="str">
        <f>""</f>
        <v/>
      </c>
      <c r="AW265" t="str">
        <f>""</f>
        <v/>
      </c>
      <c r="AX265" t="str">
        <f>""</f>
        <v/>
      </c>
      <c r="AY265" t="str">
        <f>""</f>
        <v/>
      </c>
      <c r="AZ265" t="str">
        <f>""</f>
        <v/>
      </c>
      <c r="BA265" t="str">
        <f>""</f>
        <v/>
      </c>
      <c r="BB265" t="str">
        <f>""</f>
        <v/>
      </c>
      <c r="BC265" t="str">
        <f>""</f>
        <v/>
      </c>
      <c r="BD265" t="str">
        <f>""</f>
        <v/>
      </c>
      <c r="BE265" t="str">
        <f>""</f>
        <v/>
      </c>
      <c r="BF265" t="str">
        <f>""</f>
        <v/>
      </c>
      <c r="BG265" t="str">
        <f>""</f>
        <v/>
      </c>
      <c r="BH265" t="str">
        <f>""</f>
        <v/>
      </c>
      <c r="BI265" t="str">
        <f>""</f>
        <v/>
      </c>
      <c r="BJ265" t="str">
        <f>""</f>
        <v/>
      </c>
      <c r="BK265" t="str">
        <f>""</f>
        <v/>
      </c>
      <c r="BL265" t="str">
        <f>""</f>
        <v/>
      </c>
      <c r="BM265" t="str">
        <f>""</f>
        <v/>
      </c>
      <c r="BN265" t="str">
        <f>""</f>
        <v/>
      </c>
      <c r="BO265" t="str">
        <f>""</f>
        <v/>
      </c>
      <c r="BP265" t="str">
        <f>""</f>
        <v/>
      </c>
      <c r="BQ265" t="str">
        <f>""</f>
        <v/>
      </c>
      <c r="BR265" t="str">
        <f>""</f>
        <v/>
      </c>
      <c r="BS265" t="str">
        <f>""</f>
        <v/>
      </c>
      <c r="BT265" t="str">
        <f>""</f>
        <v/>
      </c>
      <c r="BU265" t="str">
        <f>""</f>
        <v/>
      </c>
      <c r="BV265" t="str">
        <f>""</f>
        <v/>
      </c>
      <c r="BW265" t="str">
        <f>""</f>
        <v/>
      </c>
      <c r="BX265" t="str">
        <f>""</f>
        <v/>
      </c>
      <c r="BY265" t="str">
        <f>""</f>
        <v/>
      </c>
      <c r="BZ265" t="str">
        <f>""</f>
        <v/>
      </c>
      <c r="CA265" t="str">
        <f>""</f>
        <v/>
      </c>
      <c r="CB265" t="str">
        <f>""</f>
        <v/>
      </c>
      <c r="CC265" t="str">
        <f>""</f>
        <v/>
      </c>
      <c r="CD265" t="str">
        <f>""</f>
        <v/>
      </c>
      <c r="CE265" t="str">
        <f>""</f>
        <v/>
      </c>
      <c r="CF265" t="str">
        <f>""</f>
        <v/>
      </c>
      <c r="CG265" t="str">
        <f>""</f>
        <v/>
      </c>
      <c r="CH265" t="str">
        <f>""</f>
        <v/>
      </c>
      <c r="CI265" t="str">
        <f>""</f>
        <v/>
      </c>
      <c r="CJ265" t="str">
        <f>""</f>
        <v/>
      </c>
      <c r="CK265" t="str">
        <f>""</f>
        <v/>
      </c>
      <c r="CL265" t="str">
        <f>""</f>
        <v/>
      </c>
      <c r="CM265" t="str">
        <f>""</f>
        <v/>
      </c>
      <c r="CN265" t="str">
        <f>""</f>
        <v/>
      </c>
      <c r="CO265" t="str">
        <f>""</f>
        <v/>
      </c>
      <c r="CP265" t="str">
        <f>""</f>
        <v/>
      </c>
      <c r="CQ265" t="str">
        <f>""</f>
        <v/>
      </c>
      <c r="CR265" t="str">
        <f>""</f>
        <v/>
      </c>
      <c r="CS265" t="str">
        <f>""</f>
        <v/>
      </c>
      <c r="CT265" t="str">
        <f>""</f>
        <v/>
      </c>
      <c r="CU265" t="str">
        <f>""</f>
        <v/>
      </c>
      <c r="CV265" t="str">
        <f>""</f>
        <v/>
      </c>
      <c r="CW265" t="str">
        <f>""</f>
        <v/>
      </c>
      <c r="CX265" t="str">
        <f>""</f>
        <v/>
      </c>
      <c r="CY265" t="str">
        <f>""</f>
        <v/>
      </c>
      <c r="CZ265" t="str">
        <f>""</f>
        <v/>
      </c>
      <c r="DA265" t="str">
        <f>""</f>
        <v/>
      </c>
      <c r="DB265" t="str">
        <f>""</f>
        <v/>
      </c>
      <c r="DC265" t="str">
        <f>""</f>
        <v/>
      </c>
      <c r="DD265" t="str">
        <f>""</f>
        <v/>
      </c>
      <c r="DE265" t="str">
        <f>""</f>
        <v/>
      </c>
      <c r="DF265" t="str">
        <f>""</f>
        <v/>
      </c>
      <c r="DG265" t="str">
        <f>""</f>
        <v/>
      </c>
      <c r="DH265" t="str">
        <f>""</f>
        <v/>
      </c>
      <c r="DI265" t="str">
        <f>""</f>
        <v/>
      </c>
      <c r="DJ265" t="str">
        <f>""</f>
        <v/>
      </c>
      <c r="DK265" t="str">
        <f>""</f>
        <v/>
      </c>
      <c r="DL265" t="str">
        <f>""</f>
        <v/>
      </c>
      <c r="DM265" t="str">
        <f>""</f>
        <v/>
      </c>
      <c r="DN265" t="str">
        <f>""</f>
        <v/>
      </c>
      <c r="DO265" t="str">
        <f>""</f>
        <v/>
      </c>
      <c r="DP265" t="str">
        <f>""</f>
        <v/>
      </c>
      <c r="DQ265" t="str">
        <f>""</f>
        <v/>
      </c>
      <c r="DR265" t="str">
        <f>""</f>
        <v/>
      </c>
      <c r="DS265" t="str">
        <f>""</f>
        <v/>
      </c>
      <c r="DT265" t="str">
        <f>""</f>
        <v/>
      </c>
      <c r="DU265" t="str">
        <f>""</f>
        <v/>
      </c>
      <c r="DV265" t="str">
        <f>""</f>
        <v/>
      </c>
      <c r="DW265" t="str">
        <f>""</f>
        <v/>
      </c>
      <c r="DX265" t="str">
        <f>""</f>
        <v/>
      </c>
      <c r="DY265" t="str">
        <f>""</f>
        <v/>
      </c>
      <c r="DZ265" t="str">
        <f>""</f>
        <v/>
      </c>
      <c r="EA265" t="str">
        <f>""</f>
        <v/>
      </c>
      <c r="EB265" t="str">
        <f>""</f>
        <v/>
      </c>
      <c r="EC265" t="str">
        <f>""</f>
        <v/>
      </c>
      <c r="ED265" t="str">
        <f>""</f>
        <v/>
      </c>
      <c r="EE265" t="str">
        <f>""</f>
        <v/>
      </c>
      <c r="EF265" t="str">
        <f>""</f>
        <v/>
      </c>
      <c r="EG265" t="str">
        <f>""</f>
        <v/>
      </c>
      <c r="EH265" t="str">
        <f>""</f>
        <v/>
      </c>
      <c r="EI265" t="str">
        <f>""</f>
        <v/>
      </c>
      <c r="EJ265" t="str">
        <f>""</f>
        <v/>
      </c>
      <c r="EK265" t="str">
        <f>""</f>
        <v/>
      </c>
      <c r="EL265" t="str">
        <f>""</f>
        <v/>
      </c>
      <c r="EM265" t="str">
        <f>""</f>
        <v/>
      </c>
      <c r="EN265" t="str">
        <f>""</f>
        <v/>
      </c>
      <c r="EO265" t="str">
        <f>""</f>
        <v/>
      </c>
      <c r="EP265" t="str">
        <f>""</f>
        <v/>
      </c>
      <c r="EQ265" t="str">
        <f>""</f>
        <v/>
      </c>
      <c r="ER265" t="str">
        <f>""</f>
        <v/>
      </c>
      <c r="ES265" t="str">
        <f>""</f>
        <v/>
      </c>
      <c r="ET265" t="str">
        <f>""</f>
        <v/>
      </c>
      <c r="EU265" t="str">
        <f>""</f>
        <v/>
      </c>
      <c r="EV265" t="str">
        <f>""</f>
        <v/>
      </c>
      <c r="EW265" t="str">
        <f>""</f>
        <v/>
      </c>
      <c r="EX265" t="str">
        <f>""</f>
        <v/>
      </c>
      <c r="EY265" t="str">
        <f>""</f>
        <v/>
      </c>
      <c r="EZ265" t="str">
        <f>""</f>
        <v/>
      </c>
      <c r="FA265" t="str">
        <f>""</f>
        <v/>
      </c>
      <c r="FB265" t="str">
        <f>""</f>
        <v/>
      </c>
      <c r="FC265" t="str">
        <f>""</f>
        <v/>
      </c>
      <c r="FD265" t="str">
        <f>""</f>
        <v/>
      </c>
      <c r="FE265" t="str">
        <f>""</f>
        <v/>
      </c>
      <c r="FF265" t="str">
        <f>""</f>
        <v/>
      </c>
      <c r="FG265" t="str">
        <f>""</f>
        <v/>
      </c>
      <c r="FH265" t="str">
        <f>""</f>
        <v/>
      </c>
      <c r="FI265" t="str">
        <f>""</f>
        <v/>
      </c>
      <c r="FJ265" t="str">
        <f>""</f>
        <v/>
      </c>
      <c r="FK265" t="str">
        <f>""</f>
        <v/>
      </c>
      <c r="FL265" t="str">
        <f>""</f>
        <v/>
      </c>
      <c r="FM265" t="str">
        <f>""</f>
        <v/>
      </c>
      <c r="FN265" t="str">
        <f>""</f>
        <v/>
      </c>
      <c r="FO265" t="str">
        <f>""</f>
        <v/>
      </c>
      <c r="FP265" t="str">
        <f>""</f>
        <v/>
      </c>
      <c r="FQ265" t="str">
        <f>""</f>
        <v/>
      </c>
      <c r="FR265" t="str">
        <f>""</f>
        <v/>
      </c>
      <c r="FS265" t="str">
        <f>""</f>
        <v/>
      </c>
      <c r="FT265" t="str">
        <f>"(0.105)"</f>
        <v>(0.105)</v>
      </c>
      <c r="FU265" t="str">
        <f>"(0.0830)"</f>
        <v>(0.0830)</v>
      </c>
      <c r="FV265" t="str">
        <f>"(0.0440)"</f>
        <v>(0.0440)</v>
      </c>
      <c r="FW265" t="str">
        <f>""</f>
        <v/>
      </c>
      <c r="FX265" t="str">
        <f>""</f>
        <v/>
      </c>
      <c r="FY265" t="str">
        <f>""</f>
        <v/>
      </c>
      <c r="FZ265" t="str">
        <f>""</f>
        <v/>
      </c>
      <c r="GA265" t="str">
        <f>""</f>
        <v/>
      </c>
      <c r="GB265" t="str">
        <f>""</f>
        <v/>
      </c>
      <c r="GC265" t="str">
        <f>""</f>
        <v/>
      </c>
      <c r="GD265" t="str">
        <f>""</f>
        <v/>
      </c>
      <c r="GE265" t="str">
        <f>""</f>
        <v/>
      </c>
      <c r="GF265" t="str">
        <f>""</f>
        <v/>
      </c>
      <c r="GG265" t="str">
        <f>""</f>
        <v/>
      </c>
      <c r="GH265" t="str">
        <f>""</f>
        <v/>
      </c>
      <c r="GI265" t="str">
        <f>""</f>
        <v/>
      </c>
      <c r="GJ265" t="str">
        <f>""</f>
        <v/>
      </c>
      <c r="GK265" t="str">
        <f>""</f>
        <v/>
      </c>
      <c r="GL265" t="str">
        <f>""</f>
        <v/>
      </c>
      <c r="GM265" t="str">
        <f>""</f>
        <v/>
      </c>
      <c r="GN265" t="str">
        <f>""</f>
        <v/>
      </c>
      <c r="GO265" t="str">
        <f>""</f>
        <v/>
      </c>
      <c r="GP265" t="str">
        <f>""</f>
        <v/>
      </c>
      <c r="GQ265" t="str">
        <f>""</f>
        <v/>
      </c>
      <c r="GR265" t="str">
        <f>""</f>
        <v/>
      </c>
      <c r="GS265" t="str">
        <f>""</f>
        <v/>
      </c>
      <c r="GT265" t="str">
        <f>""</f>
        <v/>
      </c>
      <c r="GU265" t="str">
        <f>""</f>
        <v/>
      </c>
      <c r="GV265" t="str">
        <f>""</f>
        <v/>
      </c>
      <c r="GW265" t="str">
        <f>""</f>
        <v/>
      </c>
      <c r="GX265" t="str">
        <f>""</f>
        <v/>
      </c>
      <c r="GY265" t="str">
        <f>""</f>
        <v/>
      </c>
      <c r="GZ265" t="str">
        <f>""</f>
        <v/>
      </c>
      <c r="HA265" t="str">
        <f>""</f>
        <v/>
      </c>
      <c r="HB265" t="str">
        <f>""</f>
        <v/>
      </c>
      <c r="HC265" t="str">
        <f>""</f>
        <v/>
      </c>
      <c r="HD265" t="str">
        <f>""</f>
        <v/>
      </c>
      <c r="HE265" t="str">
        <f>""</f>
        <v/>
      </c>
      <c r="HF265" t="str">
        <f>""</f>
        <v/>
      </c>
      <c r="HG265" t="str">
        <f>""</f>
        <v/>
      </c>
      <c r="HH265" t="str">
        <f>""</f>
        <v/>
      </c>
      <c r="HI265" t="str">
        <f>""</f>
        <v/>
      </c>
      <c r="HJ265" t="str">
        <f>""</f>
        <v/>
      </c>
      <c r="HK265" t="str">
        <f>""</f>
        <v/>
      </c>
      <c r="HL265" t="str">
        <f>""</f>
        <v/>
      </c>
      <c r="HM265" t="str">
        <f>""</f>
        <v/>
      </c>
      <c r="HN265" t="str">
        <f>""</f>
        <v/>
      </c>
      <c r="HO265" t="str">
        <f>""</f>
        <v/>
      </c>
      <c r="HP265" t="str">
        <f>""</f>
        <v/>
      </c>
      <c r="HQ265" t="str">
        <f>""</f>
        <v/>
      </c>
      <c r="HR265" t="str">
        <f>""</f>
        <v/>
      </c>
      <c r="HS265" t="str">
        <f>""</f>
        <v/>
      </c>
      <c r="HT265" t="str">
        <f>""</f>
        <v/>
      </c>
      <c r="HU265" t="str">
        <f>""</f>
        <v/>
      </c>
      <c r="HV265" t="str">
        <f>""</f>
        <v/>
      </c>
      <c r="HW265" t="str">
        <f>""</f>
        <v/>
      </c>
      <c r="HX265" t="str">
        <f>""</f>
        <v/>
      </c>
      <c r="HY265" t="str">
        <f>""</f>
        <v/>
      </c>
      <c r="HZ265" t="str">
        <f>""</f>
        <v/>
      </c>
      <c r="IA265" t="str">
        <f>""</f>
        <v/>
      </c>
      <c r="IB265" t="str">
        <f>""</f>
        <v/>
      </c>
      <c r="IC265" t="str">
        <f>""</f>
        <v/>
      </c>
      <c r="ID265" t="str">
        <f>""</f>
        <v/>
      </c>
      <c r="IE265" t="str">
        <f>""</f>
        <v/>
      </c>
      <c r="IF265" t="str">
        <f>""</f>
        <v/>
      </c>
      <c r="IG265" t="str">
        <f>""</f>
        <v/>
      </c>
      <c r="IH265" t="str">
        <f>""</f>
        <v/>
      </c>
      <c r="II265" t="str">
        <f>""</f>
        <v/>
      </c>
      <c r="IJ265" t="str">
        <f>""</f>
        <v/>
      </c>
      <c r="IK265" t="str">
        <f>""</f>
        <v/>
      </c>
      <c r="IL265" t="str">
        <f>""</f>
        <v/>
      </c>
      <c r="IM265" t="str">
        <f>""</f>
        <v/>
      </c>
      <c r="IN265" t="str">
        <f>""</f>
        <v/>
      </c>
      <c r="IO265" t="str">
        <f>""</f>
        <v/>
      </c>
      <c r="IP265" t="str">
        <f>""</f>
        <v/>
      </c>
      <c r="IQ265" t="str">
        <f>""</f>
        <v/>
      </c>
      <c r="IR265" t="str">
        <f>""</f>
        <v/>
      </c>
      <c r="IS265" t="str">
        <f>""</f>
        <v/>
      </c>
      <c r="IT265" t="str">
        <f>""</f>
        <v/>
      </c>
      <c r="IU265" t="str">
        <f>""</f>
        <v/>
      </c>
      <c r="IV265" t="str">
        <f>""</f>
        <v/>
      </c>
      <c r="IW265" t="str">
        <f>""</f>
        <v/>
      </c>
      <c r="IX265" t="str">
        <f>""</f>
        <v/>
      </c>
      <c r="IY265" t="str">
        <f>""</f>
        <v/>
      </c>
      <c r="IZ265" t="str">
        <f>""</f>
        <v/>
      </c>
      <c r="JA265" t="str">
        <f>""</f>
        <v/>
      </c>
      <c r="JB265" t="str">
        <f>""</f>
        <v/>
      </c>
      <c r="JC265" t="str">
        <f>""</f>
        <v/>
      </c>
      <c r="JD265" t="str">
        <f>""</f>
        <v/>
      </c>
      <c r="JE265" t="str">
        <f>""</f>
        <v/>
      </c>
      <c r="JF265" t="str">
        <f>""</f>
        <v/>
      </c>
      <c r="JG265" t="str">
        <f>""</f>
        <v/>
      </c>
      <c r="JH265" t="str">
        <f>""</f>
        <v/>
      </c>
      <c r="JI265" t="str">
        <f>""</f>
        <v/>
      </c>
      <c r="JJ265" t="str">
        <f>""</f>
        <v/>
      </c>
      <c r="JK265" t="str">
        <f>""</f>
        <v/>
      </c>
    </row>
    <row r="267" spans="1:271" x14ac:dyDescent="0.3">
      <c r="A267" t="str">
        <f>"c.zMETAB15#c.PM4"</f>
        <v>c.zMETAB15#c.PM4</v>
      </c>
      <c r="B267" t="str">
        <f>""</f>
        <v/>
      </c>
      <c r="C267" t="str">
        <f>""</f>
        <v/>
      </c>
      <c r="D267" t="str">
        <f>""</f>
        <v/>
      </c>
      <c r="E267" t="str">
        <f>""</f>
        <v/>
      </c>
      <c r="F267" t="str">
        <f>""</f>
        <v/>
      </c>
      <c r="G267" t="str">
        <f>""</f>
        <v/>
      </c>
      <c r="H267" t="str">
        <f>""</f>
        <v/>
      </c>
      <c r="I267" t="str">
        <f>""</f>
        <v/>
      </c>
      <c r="J267" t="str">
        <f>""</f>
        <v/>
      </c>
      <c r="K267" t="str">
        <f>""</f>
        <v/>
      </c>
      <c r="L267" t="str">
        <f>""</f>
        <v/>
      </c>
      <c r="M267" t="str">
        <f>""</f>
        <v/>
      </c>
      <c r="N267" t="str">
        <f>""</f>
        <v/>
      </c>
      <c r="O267" t="str">
        <f>""</f>
        <v/>
      </c>
      <c r="P267" t="str">
        <f>""</f>
        <v/>
      </c>
      <c r="Q267" t="str">
        <f>""</f>
        <v/>
      </c>
      <c r="R267" t="str">
        <f>""</f>
        <v/>
      </c>
      <c r="S267" t="str">
        <f>""</f>
        <v/>
      </c>
      <c r="T267" t="str">
        <f>""</f>
        <v/>
      </c>
      <c r="U267" t="str">
        <f>""</f>
        <v/>
      </c>
      <c r="V267" t="str">
        <f>""</f>
        <v/>
      </c>
      <c r="W267" t="str">
        <f>""</f>
        <v/>
      </c>
      <c r="X267" t="str">
        <f>""</f>
        <v/>
      </c>
      <c r="Y267" t="str">
        <f>""</f>
        <v/>
      </c>
      <c r="Z267" t="str">
        <f>""</f>
        <v/>
      </c>
      <c r="AA267" t="str">
        <f>""</f>
        <v/>
      </c>
      <c r="AB267" t="str">
        <f>""</f>
        <v/>
      </c>
      <c r="AC267" t="str">
        <f>""</f>
        <v/>
      </c>
      <c r="AD267" t="str">
        <f>""</f>
        <v/>
      </c>
      <c r="AE267" t="str">
        <f>""</f>
        <v/>
      </c>
      <c r="AF267" t="str">
        <f>""</f>
        <v/>
      </c>
      <c r="AG267" t="str">
        <f>""</f>
        <v/>
      </c>
      <c r="AH267" t="str">
        <f>""</f>
        <v/>
      </c>
      <c r="AI267" t="str">
        <f>""</f>
        <v/>
      </c>
      <c r="AJ267" t="str">
        <f>""</f>
        <v/>
      </c>
      <c r="AK267" t="str">
        <f>""</f>
        <v/>
      </c>
      <c r="AL267" t="str">
        <f>""</f>
        <v/>
      </c>
      <c r="AM267" t="str">
        <f>""</f>
        <v/>
      </c>
      <c r="AN267" t="str">
        <f>""</f>
        <v/>
      </c>
      <c r="AO267" t="str">
        <f>""</f>
        <v/>
      </c>
      <c r="AP267" t="str">
        <f>""</f>
        <v/>
      </c>
      <c r="AQ267" t="str">
        <f>""</f>
        <v/>
      </c>
      <c r="AR267" t="str">
        <f>""</f>
        <v/>
      </c>
      <c r="AS267" t="str">
        <f>""</f>
        <v/>
      </c>
      <c r="AT267" t="str">
        <f>""</f>
        <v/>
      </c>
      <c r="AU267" t="str">
        <f>""</f>
        <v/>
      </c>
      <c r="AV267" t="str">
        <f>""</f>
        <v/>
      </c>
      <c r="AW267" t="str">
        <f>""</f>
        <v/>
      </c>
      <c r="AX267" t="str">
        <f>""</f>
        <v/>
      </c>
      <c r="AY267" t="str">
        <f>""</f>
        <v/>
      </c>
      <c r="AZ267" t="str">
        <f>""</f>
        <v/>
      </c>
      <c r="BA267" t="str">
        <f>""</f>
        <v/>
      </c>
      <c r="BB267" t="str">
        <f>""</f>
        <v/>
      </c>
      <c r="BC267" t="str">
        <f>""</f>
        <v/>
      </c>
      <c r="BD267" t="str">
        <f>""</f>
        <v/>
      </c>
      <c r="BE267" t="str">
        <f>""</f>
        <v/>
      </c>
      <c r="BF267" t="str">
        <f>""</f>
        <v/>
      </c>
      <c r="BG267" t="str">
        <f>""</f>
        <v/>
      </c>
      <c r="BH267" t="str">
        <f>""</f>
        <v/>
      </c>
      <c r="BI267" t="str">
        <f>""</f>
        <v/>
      </c>
      <c r="BJ267" t="str">
        <f>""</f>
        <v/>
      </c>
      <c r="BK267" t="str">
        <f>""</f>
        <v/>
      </c>
      <c r="BL267" t="str">
        <f>""</f>
        <v/>
      </c>
      <c r="BM267" t="str">
        <f>""</f>
        <v/>
      </c>
      <c r="BN267" t="str">
        <f>""</f>
        <v/>
      </c>
      <c r="BO267" t="str">
        <f>""</f>
        <v/>
      </c>
      <c r="BP267" t="str">
        <f>""</f>
        <v/>
      </c>
      <c r="BQ267" t="str">
        <f>""</f>
        <v/>
      </c>
      <c r="BR267" t="str">
        <f>""</f>
        <v/>
      </c>
      <c r="BS267" t="str">
        <f>""</f>
        <v/>
      </c>
      <c r="BT267" t="str">
        <f>""</f>
        <v/>
      </c>
      <c r="BU267" t="str">
        <f>""</f>
        <v/>
      </c>
      <c r="BV267" t="str">
        <f>""</f>
        <v/>
      </c>
      <c r="BW267" t="str">
        <f>""</f>
        <v/>
      </c>
      <c r="BX267" t="str">
        <f>""</f>
        <v/>
      </c>
      <c r="BY267" t="str">
        <f>""</f>
        <v/>
      </c>
      <c r="BZ267" t="str">
        <f>""</f>
        <v/>
      </c>
      <c r="CA267" t="str">
        <f>""</f>
        <v/>
      </c>
      <c r="CB267" t="str">
        <f>""</f>
        <v/>
      </c>
      <c r="CC267" t="str">
        <f>""</f>
        <v/>
      </c>
      <c r="CD267" t="str">
        <f>""</f>
        <v/>
      </c>
      <c r="CE267" t="str">
        <f>""</f>
        <v/>
      </c>
      <c r="CF267" t="str">
        <f>""</f>
        <v/>
      </c>
      <c r="CG267" t="str">
        <f>""</f>
        <v/>
      </c>
      <c r="CH267" t="str">
        <f>""</f>
        <v/>
      </c>
      <c r="CI267" t="str">
        <f>""</f>
        <v/>
      </c>
      <c r="CJ267" t="str">
        <f>""</f>
        <v/>
      </c>
      <c r="CK267" t="str">
        <f>""</f>
        <v/>
      </c>
      <c r="CL267" t="str">
        <f>""</f>
        <v/>
      </c>
      <c r="CM267" t="str">
        <f>""</f>
        <v/>
      </c>
      <c r="CN267" t="str">
        <f>""</f>
        <v/>
      </c>
      <c r="CO267" t="str">
        <f>""</f>
        <v/>
      </c>
      <c r="CP267" t="str">
        <f>""</f>
        <v/>
      </c>
      <c r="CQ267" t="str">
        <f>""</f>
        <v/>
      </c>
      <c r="CR267" t="str">
        <f>""</f>
        <v/>
      </c>
      <c r="CS267" t="str">
        <f>""</f>
        <v/>
      </c>
      <c r="CT267" t="str">
        <f>""</f>
        <v/>
      </c>
      <c r="CU267" t="str">
        <f>""</f>
        <v/>
      </c>
      <c r="CV267" t="str">
        <f>""</f>
        <v/>
      </c>
      <c r="CW267" t="str">
        <f>""</f>
        <v/>
      </c>
      <c r="CX267" t="str">
        <f>""</f>
        <v/>
      </c>
      <c r="CY267" t="str">
        <f>""</f>
        <v/>
      </c>
      <c r="CZ267" t="str">
        <f>""</f>
        <v/>
      </c>
      <c r="DA267" t="str">
        <f>""</f>
        <v/>
      </c>
      <c r="DB267" t="str">
        <f>""</f>
        <v/>
      </c>
      <c r="DC267" t="str">
        <f>""</f>
        <v/>
      </c>
      <c r="DD267" t="str">
        <f>""</f>
        <v/>
      </c>
      <c r="DE267" t="str">
        <f>""</f>
        <v/>
      </c>
      <c r="DF267" t="str">
        <f>""</f>
        <v/>
      </c>
      <c r="DG267" t="str">
        <f>""</f>
        <v/>
      </c>
      <c r="DH267" t="str">
        <f>""</f>
        <v/>
      </c>
      <c r="DI267" t="str">
        <f>""</f>
        <v/>
      </c>
      <c r="DJ267" t="str">
        <f>""</f>
        <v/>
      </c>
      <c r="DK267" t="str">
        <f>""</f>
        <v/>
      </c>
      <c r="DL267" t="str">
        <f>""</f>
        <v/>
      </c>
      <c r="DM267" t="str">
        <f>""</f>
        <v/>
      </c>
      <c r="DN267" t="str">
        <f>""</f>
        <v/>
      </c>
      <c r="DO267" t="str">
        <f>""</f>
        <v/>
      </c>
      <c r="DP267" t="str">
        <f>""</f>
        <v/>
      </c>
      <c r="DQ267" t="str">
        <f>""</f>
        <v/>
      </c>
      <c r="DR267" t="str">
        <f>""</f>
        <v/>
      </c>
      <c r="DS267" t="str">
        <f>""</f>
        <v/>
      </c>
      <c r="DT267" t="str">
        <f>""</f>
        <v/>
      </c>
      <c r="DU267" t="str">
        <f>""</f>
        <v/>
      </c>
      <c r="DV267" t="str">
        <f>""</f>
        <v/>
      </c>
      <c r="DW267" t="str">
        <f>""</f>
        <v/>
      </c>
      <c r="DX267" t="str">
        <f>""</f>
        <v/>
      </c>
      <c r="DY267" t="str">
        <f>""</f>
        <v/>
      </c>
      <c r="DZ267" t="str">
        <f>""</f>
        <v/>
      </c>
      <c r="EA267" t="str">
        <f>""</f>
        <v/>
      </c>
      <c r="EB267" t="str">
        <f>""</f>
        <v/>
      </c>
      <c r="EC267" t="str">
        <f>""</f>
        <v/>
      </c>
      <c r="ED267" t="str">
        <f>""</f>
        <v/>
      </c>
      <c r="EE267" t="str">
        <f>""</f>
        <v/>
      </c>
      <c r="EF267" t="str">
        <f>""</f>
        <v/>
      </c>
      <c r="EG267" t="str">
        <f>""</f>
        <v/>
      </c>
      <c r="EH267" t="str">
        <f>""</f>
        <v/>
      </c>
      <c r="EI267" t="str">
        <f>""</f>
        <v/>
      </c>
      <c r="EJ267" t="str">
        <f>""</f>
        <v/>
      </c>
      <c r="EK267" t="str">
        <f>""</f>
        <v/>
      </c>
      <c r="EL267" t="str">
        <f>""</f>
        <v/>
      </c>
      <c r="EM267" t="str">
        <f>""</f>
        <v/>
      </c>
      <c r="EN267" t="str">
        <f>""</f>
        <v/>
      </c>
      <c r="EO267" t="str">
        <f>""</f>
        <v/>
      </c>
      <c r="EP267" t="str">
        <f>""</f>
        <v/>
      </c>
      <c r="EQ267" t="str">
        <f>""</f>
        <v/>
      </c>
      <c r="ER267" t="str">
        <f>""</f>
        <v/>
      </c>
      <c r="ES267" t="str">
        <f>""</f>
        <v/>
      </c>
      <c r="ET267" t="str">
        <f>""</f>
        <v/>
      </c>
      <c r="EU267" t="str">
        <f>""</f>
        <v/>
      </c>
      <c r="EV267" t="str">
        <f>""</f>
        <v/>
      </c>
      <c r="EW267" t="str">
        <f>""</f>
        <v/>
      </c>
      <c r="EX267" t="str">
        <f>""</f>
        <v/>
      </c>
      <c r="EY267" t="str">
        <f>""</f>
        <v/>
      </c>
      <c r="EZ267" t="str">
        <f>""</f>
        <v/>
      </c>
      <c r="FA267" t="str">
        <f>""</f>
        <v/>
      </c>
      <c r="FB267" t="str">
        <f>""</f>
        <v/>
      </c>
      <c r="FC267" t="str">
        <f>""</f>
        <v/>
      </c>
      <c r="FD267" t="str">
        <f>""</f>
        <v/>
      </c>
      <c r="FE267" t="str">
        <f>""</f>
        <v/>
      </c>
      <c r="FF267" t="str">
        <f>""</f>
        <v/>
      </c>
      <c r="FG267" t="str">
        <f>""</f>
        <v/>
      </c>
      <c r="FH267" t="str">
        <f>""</f>
        <v/>
      </c>
      <c r="FI267" t="str">
        <f>""</f>
        <v/>
      </c>
      <c r="FJ267" t="str">
        <f>""</f>
        <v/>
      </c>
      <c r="FK267" t="str">
        <f>""</f>
        <v/>
      </c>
      <c r="FL267" t="str">
        <f>""</f>
        <v/>
      </c>
      <c r="FM267" t="str">
        <f>""</f>
        <v/>
      </c>
      <c r="FN267" t="str">
        <f>""</f>
        <v/>
      </c>
      <c r="FO267" t="str">
        <f>""</f>
        <v/>
      </c>
      <c r="FP267" t="str">
        <f>""</f>
        <v/>
      </c>
      <c r="FQ267" t="str">
        <f>""</f>
        <v/>
      </c>
      <c r="FR267" t="str">
        <f>""</f>
        <v/>
      </c>
      <c r="FS267" t="str">
        <f>""</f>
        <v/>
      </c>
      <c r="FT267" t="str">
        <f>""</f>
        <v/>
      </c>
      <c r="FU267" t="str">
        <f>""</f>
        <v/>
      </c>
      <c r="FV267" t="str">
        <f>""</f>
        <v/>
      </c>
      <c r="FW267" t="str">
        <f>"0.119"</f>
        <v>0.119</v>
      </c>
      <c r="FX267" t="str">
        <f>"0.0168"</f>
        <v>0.0168</v>
      </c>
      <c r="FY267" t="str">
        <f>"0.0323"</f>
        <v>0.0323</v>
      </c>
      <c r="FZ267" t="str">
        <f>""</f>
        <v/>
      </c>
      <c r="GA267" t="str">
        <f>""</f>
        <v/>
      </c>
      <c r="GB267" t="str">
        <f>""</f>
        <v/>
      </c>
      <c r="GC267" t="str">
        <f>""</f>
        <v/>
      </c>
      <c r="GD267" t="str">
        <f>""</f>
        <v/>
      </c>
      <c r="GE267" t="str">
        <f>""</f>
        <v/>
      </c>
      <c r="GF267" t="str">
        <f>""</f>
        <v/>
      </c>
      <c r="GG267" t="str">
        <f>""</f>
        <v/>
      </c>
      <c r="GH267" t="str">
        <f>""</f>
        <v/>
      </c>
      <c r="GI267" t="str">
        <f>""</f>
        <v/>
      </c>
      <c r="GJ267" t="str">
        <f>""</f>
        <v/>
      </c>
      <c r="GK267" t="str">
        <f>""</f>
        <v/>
      </c>
      <c r="GL267" t="str">
        <f>""</f>
        <v/>
      </c>
      <c r="GM267" t="str">
        <f>""</f>
        <v/>
      </c>
      <c r="GN267" t="str">
        <f>""</f>
        <v/>
      </c>
      <c r="GO267" t="str">
        <f>""</f>
        <v/>
      </c>
      <c r="GP267" t="str">
        <f>""</f>
        <v/>
      </c>
      <c r="GQ267" t="str">
        <f>""</f>
        <v/>
      </c>
      <c r="GR267" t="str">
        <f>""</f>
        <v/>
      </c>
      <c r="GS267" t="str">
        <f>""</f>
        <v/>
      </c>
      <c r="GT267" t="str">
        <f>""</f>
        <v/>
      </c>
      <c r="GU267" t="str">
        <f>""</f>
        <v/>
      </c>
      <c r="GV267" t="str">
        <f>""</f>
        <v/>
      </c>
      <c r="GW267" t="str">
        <f>""</f>
        <v/>
      </c>
      <c r="GX267" t="str">
        <f>""</f>
        <v/>
      </c>
      <c r="GY267" t="str">
        <f>""</f>
        <v/>
      </c>
      <c r="GZ267" t="str">
        <f>""</f>
        <v/>
      </c>
      <c r="HA267" t="str">
        <f>""</f>
        <v/>
      </c>
      <c r="HB267" t="str">
        <f>""</f>
        <v/>
      </c>
      <c r="HC267" t="str">
        <f>""</f>
        <v/>
      </c>
      <c r="HD267" t="str">
        <f>""</f>
        <v/>
      </c>
      <c r="HE267" t="str">
        <f>""</f>
        <v/>
      </c>
      <c r="HF267" t="str">
        <f>""</f>
        <v/>
      </c>
      <c r="HG267" t="str">
        <f>""</f>
        <v/>
      </c>
      <c r="HH267" t="str">
        <f>""</f>
        <v/>
      </c>
      <c r="HI267" t="str">
        <f>""</f>
        <v/>
      </c>
      <c r="HJ267" t="str">
        <f>""</f>
        <v/>
      </c>
      <c r="HK267" t="str">
        <f>""</f>
        <v/>
      </c>
      <c r="HL267" t="str">
        <f>""</f>
        <v/>
      </c>
      <c r="HM267" t="str">
        <f>""</f>
        <v/>
      </c>
      <c r="HN267" t="str">
        <f>""</f>
        <v/>
      </c>
      <c r="HO267" t="str">
        <f>""</f>
        <v/>
      </c>
      <c r="HP267" t="str">
        <f>""</f>
        <v/>
      </c>
      <c r="HQ267" t="str">
        <f>""</f>
        <v/>
      </c>
      <c r="HR267" t="str">
        <f>""</f>
        <v/>
      </c>
      <c r="HS267" t="str">
        <f>""</f>
        <v/>
      </c>
      <c r="HT267" t="str">
        <f>""</f>
        <v/>
      </c>
      <c r="HU267" t="str">
        <f>""</f>
        <v/>
      </c>
      <c r="HV267" t="str">
        <f>""</f>
        <v/>
      </c>
      <c r="HW267" t="str">
        <f>""</f>
        <v/>
      </c>
      <c r="HX267" t="str">
        <f>""</f>
        <v/>
      </c>
      <c r="HY267" t="str">
        <f>""</f>
        <v/>
      </c>
      <c r="HZ267" t="str">
        <f>""</f>
        <v/>
      </c>
      <c r="IA267" t="str">
        <f>""</f>
        <v/>
      </c>
      <c r="IB267" t="str">
        <f>""</f>
        <v/>
      </c>
      <c r="IC267" t="str">
        <f>""</f>
        <v/>
      </c>
      <c r="ID267" t="str">
        <f>""</f>
        <v/>
      </c>
      <c r="IE267" t="str">
        <f>""</f>
        <v/>
      </c>
      <c r="IF267" t="str">
        <f>""</f>
        <v/>
      </c>
      <c r="IG267" t="str">
        <f>""</f>
        <v/>
      </c>
      <c r="IH267" t="str">
        <f>""</f>
        <v/>
      </c>
      <c r="II267" t="str">
        <f>""</f>
        <v/>
      </c>
      <c r="IJ267" t="str">
        <f>""</f>
        <v/>
      </c>
      <c r="IK267" t="str">
        <f>""</f>
        <v/>
      </c>
      <c r="IL267" t="str">
        <f>""</f>
        <v/>
      </c>
      <c r="IM267" t="str">
        <f>""</f>
        <v/>
      </c>
      <c r="IN267" t="str">
        <f>""</f>
        <v/>
      </c>
      <c r="IO267" t="str">
        <f>""</f>
        <v/>
      </c>
      <c r="IP267" t="str">
        <f>""</f>
        <v/>
      </c>
      <c r="IQ267" t="str">
        <f>""</f>
        <v/>
      </c>
      <c r="IR267" t="str">
        <f>""</f>
        <v/>
      </c>
      <c r="IS267" t="str">
        <f>""</f>
        <v/>
      </c>
      <c r="IT267" t="str">
        <f>""</f>
        <v/>
      </c>
      <c r="IU267" t="str">
        <f>""</f>
        <v/>
      </c>
      <c r="IV267" t="str">
        <f>""</f>
        <v/>
      </c>
      <c r="IW267" t="str">
        <f>""</f>
        <v/>
      </c>
      <c r="IX267" t="str">
        <f>""</f>
        <v/>
      </c>
      <c r="IY267" t="str">
        <f>""</f>
        <v/>
      </c>
      <c r="IZ267" t="str">
        <f>""</f>
        <v/>
      </c>
      <c r="JA267" t="str">
        <f>""</f>
        <v/>
      </c>
      <c r="JB267" t="str">
        <f>""</f>
        <v/>
      </c>
      <c r="JC267" t="str">
        <f>""</f>
        <v/>
      </c>
      <c r="JD267" t="str">
        <f>""</f>
        <v/>
      </c>
      <c r="JE267" t="str">
        <f>""</f>
        <v/>
      </c>
      <c r="JF267" t="str">
        <f>""</f>
        <v/>
      </c>
      <c r="JG267" t="str">
        <f>""</f>
        <v/>
      </c>
      <c r="JH267" t="str">
        <f>""</f>
        <v/>
      </c>
      <c r="JI267" t="str">
        <f>""</f>
        <v/>
      </c>
      <c r="JJ267" t="str">
        <f>""</f>
        <v/>
      </c>
      <c r="JK267" t="str">
        <f>""</f>
        <v/>
      </c>
    </row>
    <row r="268" spans="1:271" x14ac:dyDescent="0.3">
      <c r="A268" t="str">
        <f>""</f>
        <v/>
      </c>
      <c r="B268" t="str">
        <f>""</f>
        <v/>
      </c>
      <c r="C268" t="str">
        <f>""</f>
        <v/>
      </c>
      <c r="D268" t="str">
        <f>""</f>
        <v/>
      </c>
      <c r="E268" t="str">
        <f>""</f>
        <v/>
      </c>
      <c r="F268" t="str">
        <f>""</f>
        <v/>
      </c>
      <c r="G268" t="str">
        <f>""</f>
        <v/>
      </c>
      <c r="H268" t="str">
        <f>""</f>
        <v/>
      </c>
      <c r="I268" t="str">
        <f>""</f>
        <v/>
      </c>
      <c r="J268" t="str">
        <f>""</f>
        <v/>
      </c>
      <c r="K268" t="str">
        <f>""</f>
        <v/>
      </c>
      <c r="L268" t="str">
        <f>""</f>
        <v/>
      </c>
      <c r="M268" t="str">
        <f>""</f>
        <v/>
      </c>
      <c r="N268" t="str">
        <f>""</f>
        <v/>
      </c>
      <c r="O268" t="str">
        <f>""</f>
        <v/>
      </c>
      <c r="P268" t="str">
        <f>""</f>
        <v/>
      </c>
      <c r="Q268" t="str">
        <f>""</f>
        <v/>
      </c>
      <c r="R268" t="str">
        <f>""</f>
        <v/>
      </c>
      <c r="S268" t="str">
        <f>""</f>
        <v/>
      </c>
      <c r="T268" t="str">
        <f>""</f>
        <v/>
      </c>
      <c r="U268" t="str">
        <f>""</f>
        <v/>
      </c>
      <c r="V268" t="str">
        <f>""</f>
        <v/>
      </c>
      <c r="W268" t="str">
        <f>""</f>
        <v/>
      </c>
      <c r="X268" t="str">
        <f>""</f>
        <v/>
      </c>
      <c r="Y268" t="str">
        <f>""</f>
        <v/>
      </c>
      <c r="Z268" t="str">
        <f>""</f>
        <v/>
      </c>
      <c r="AA268" t="str">
        <f>""</f>
        <v/>
      </c>
      <c r="AB268" t="str">
        <f>""</f>
        <v/>
      </c>
      <c r="AC268" t="str">
        <f>""</f>
        <v/>
      </c>
      <c r="AD268" t="str">
        <f>""</f>
        <v/>
      </c>
      <c r="AE268" t="str">
        <f>""</f>
        <v/>
      </c>
      <c r="AF268" t="str">
        <f>""</f>
        <v/>
      </c>
      <c r="AG268" t="str">
        <f>""</f>
        <v/>
      </c>
      <c r="AH268" t="str">
        <f>""</f>
        <v/>
      </c>
      <c r="AI268" t="str">
        <f>""</f>
        <v/>
      </c>
      <c r="AJ268" t="str">
        <f>""</f>
        <v/>
      </c>
      <c r="AK268" t="str">
        <f>""</f>
        <v/>
      </c>
      <c r="AL268" t="str">
        <f>""</f>
        <v/>
      </c>
      <c r="AM268" t="str">
        <f>""</f>
        <v/>
      </c>
      <c r="AN268" t="str">
        <f>""</f>
        <v/>
      </c>
      <c r="AO268" t="str">
        <f>""</f>
        <v/>
      </c>
      <c r="AP268" t="str">
        <f>""</f>
        <v/>
      </c>
      <c r="AQ268" t="str">
        <f>""</f>
        <v/>
      </c>
      <c r="AR268" t="str">
        <f>""</f>
        <v/>
      </c>
      <c r="AS268" t="str">
        <f>""</f>
        <v/>
      </c>
      <c r="AT268" t="str">
        <f>""</f>
        <v/>
      </c>
      <c r="AU268" t="str">
        <f>""</f>
        <v/>
      </c>
      <c r="AV268" t="str">
        <f>""</f>
        <v/>
      </c>
      <c r="AW268" t="str">
        <f>""</f>
        <v/>
      </c>
      <c r="AX268" t="str">
        <f>""</f>
        <v/>
      </c>
      <c r="AY268" t="str">
        <f>""</f>
        <v/>
      </c>
      <c r="AZ268" t="str">
        <f>""</f>
        <v/>
      </c>
      <c r="BA268" t="str">
        <f>""</f>
        <v/>
      </c>
      <c r="BB268" t="str">
        <f>""</f>
        <v/>
      </c>
      <c r="BC268" t="str">
        <f>""</f>
        <v/>
      </c>
      <c r="BD268" t="str">
        <f>""</f>
        <v/>
      </c>
      <c r="BE268" t="str">
        <f>""</f>
        <v/>
      </c>
      <c r="BF268" t="str">
        <f>""</f>
        <v/>
      </c>
      <c r="BG268" t="str">
        <f>""</f>
        <v/>
      </c>
      <c r="BH268" t="str">
        <f>""</f>
        <v/>
      </c>
      <c r="BI268" t="str">
        <f>""</f>
        <v/>
      </c>
      <c r="BJ268" t="str">
        <f>""</f>
        <v/>
      </c>
      <c r="BK268" t="str">
        <f>""</f>
        <v/>
      </c>
      <c r="BL268" t="str">
        <f>""</f>
        <v/>
      </c>
      <c r="BM268" t="str">
        <f>""</f>
        <v/>
      </c>
      <c r="BN268" t="str">
        <f>""</f>
        <v/>
      </c>
      <c r="BO268" t="str">
        <f>""</f>
        <v/>
      </c>
      <c r="BP268" t="str">
        <f>""</f>
        <v/>
      </c>
      <c r="BQ268" t="str">
        <f>""</f>
        <v/>
      </c>
      <c r="BR268" t="str">
        <f>""</f>
        <v/>
      </c>
      <c r="BS268" t="str">
        <f>""</f>
        <v/>
      </c>
      <c r="BT268" t="str">
        <f>""</f>
        <v/>
      </c>
      <c r="BU268" t="str">
        <f>""</f>
        <v/>
      </c>
      <c r="BV268" t="str">
        <f>""</f>
        <v/>
      </c>
      <c r="BW268" t="str">
        <f>""</f>
        <v/>
      </c>
      <c r="BX268" t="str">
        <f>""</f>
        <v/>
      </c>
      <c r="BY268" t="str">
        <f>""</f>
        <v/>
      </c>
      <c r="BZ268" t="str">
        <f>""</f>
        <v/>
      </c>
      <c r="CA268" t="str">
        <f>""</f>
        <v/>
      </c>
      <c r="CB268" t="str">
        <f>""</f>
        <v/>
      </c>
      <c r="CC268" t="str">
        <f>""</f>
        <v/>
      </c>
      <c r="CD268" t="str">
        <f>""</f>
        <v/>
      </c>
      <c r="CE268" t="str">
        <f>""</f>
        <v/>
      </c>
      <c r="CF268" t="str">
        <f>""</f>
        <v/>
      </c>
      <c r="CG268" t="str">
        <f>""</f>
        <v/>
      </c>
      <c r="CH268" t="str">
        <f>""</f>
        <v/>
      </c>
      <c r="CI268" t="str">
        <f>""</f>
        <v/>
      </c>
      <c r="CJ268" t="str">
        <f>""</f>
        <v/>
      </c>
      <c r="CK268" t="str">
        <f>""</f>
        <v/>
      </c>
      <c r="CL268" t="str">
        <f>""</f>
        <v/>
      </c>
      <c r="CM268" t="str">
        <f>""</f>
        <v/>
      </c>
      <c r="CN268" t="str">
        <f>""</f>
        <v/>
      </c>
      <c r="CO268" t="str">
        <f>""</f>
        <v/>
      </c>
      <c r="CP268" t="str">
        <f>""</f>
        <v/>
      </c>
      <c r="CQ268" t="str">
        <f>""</f>
        <v/>
      </c>
      <c r="CR268" t="str">
        <f>""</f>
        <v/>
      </c>
      <c r="CS268" t="str">
        <f>""</f>
        <v/>
      </c>
      <c r="CT268" t="str">
        <f>""</f>
        <v/>
      </c>
      <c r="CU268" t="str">
        <f>""</f>
        <v/>
      </c>
      <c r="CV268" t="str">
        <f>""</f>
        <v/>
      </c>
      <c r="CW268" t="str">
        <f>""</f>
        <v/>
      </c>
      <c r="CX268" t="str">
        <f>""</f>
        <v/>
      </c>
      <c r="CY268" t="str">
        <f>""</f>
        <v/>
      </c>
      <c r="CZ268" t="str">
        <f>""</f>
        <v/>
      </c>
      <c r="DA268" t="str">
        <f>""</f>
        <v/>
      </c>
      <c r="DB268" t="str">
        <f>""</f>
        <v/>
      </c>
      <c r="DC268" t="str">
        <f>""</f>
        <v/>
      </c>
      <c r="DD268" t="str">
        <f>""</f>
        <v/>
      </c>
      <c r="DE268" t="str">
        <f>""</f>
        <v/>
      </c>
      <c r="DF268" t="str">
        <f>""</f>
        <v/>
      </c>
      <c r="DG268" t="str">
        <f>""</f>
        <v/>
      </c>
      <c r="DH268" t="str">
        <f>""</f>
        <v/>
      </c>
      <c r="DI268" t="str">
        <f>""</f>
        <v/>
      </c>
      <c r="DJ268" t="str">
        <f>""</f>
        <v/>
      </c>
      <c r="DK268" t="str">
        <f>""</f>
        <v/>
      </c>
      <c r="DL268" t="str">
        <f>""</f>
        <v/>
      </c>
      <c r="DM268" t="str">
        <f>""</f>
        <v/>
      </c>
      <c r="DN268" t="str">
        <f>""</f>
        <v/>
      </c>
      <c r="DO268" t="str">
        <f>""</f>
        <v/>
      </c>
      <c r="DP268" t="str">
        <f>""</f>
        <v/>
      </c>
      <c r="DQ268" t="str">
        <f>""</f>
        <v/>
      </c>
      <c r="DR268" t="str">
        <f>""</f>
        <v/>
      </c>
      <c r="DS268" t="str">
        <f>""</f>
        <v/>
      </c>
      <c r="DT268" t="str">
        <f>""</f>
        <v/>
      </c>
      <c r="DU268" t="str">
        <f>""</f>
        <v/>
      </c>
      <c r="DV268" t="str">
        <f>""</f>
        <v/>
      </c>
      <c r="DW268" t="str">
        <f>""</f>
        <v/>
      </c>
      <c r="DX268" t="str">
        <f>""</f>
        <v/>
      </c>
      <c r="DY268" t="str">
        <f>""</f>
        <v/>
      </c>
      <c r="DZ268" t="str">
        <f>""</f>
        <v/>
      </c>
      <c r="EA268" t="str">
        <f>""</f>
        <v/>
      </c>
      <c r="EB268" t="str">
        <f>""</f>
        <v/>
      </c>
      <c r="EC268" t="str">
        <f>""</f>
        <v/>
      </c>
      <c r="ED268" t="str">
        <f>""</f>
        <v/>
      </c>
      <c r="EE268" t="str">
        <f>""</f>
        <v/>
      </c>
      <c r="EF268" t="str">
        <f>""</f>
        <v/>
      </c>
      <c r="EG268" t="str">
        <f>""</f>
        <v/>
      </c>
      <c r="EH268" t="str">
        <f>""</f>
        <v/>
      </c>
      <c r="EI268" t="str">
        <f>""</f>
        <v/>
      </c>
      <c r="EJ268" t="str">
        <f>""</f>
        <v/>
      </c>
      <c r="EK268" t="str">
        <f>""</f>
        <v/>
      </c>
      <c r="EL268" t="str">
        <f>""</f>
        <v/>
      </c>
      <c r="EM268" t="str">
        <f>""</f>
        <v/>
      </c>
      <c r="EN268" t="str">
        <f>""</f>
        <v/>
      </c>
      <c r="EO268" t="str">
        <f>""</f>
        <v/>
      </c>
      <c r="EP268" t="str">
        <f>""</f>
        <v/>
      </c>
      <c r="EQ268" t="str">
        <f>""</f>
        <v/>
      </c>
      <c r="ER268" t="str">
        <f>""</f>
        <v/>
      </c>
      <c r="ES268" t="str">
        <f>""</f>
        <v/>
      </c>
      <c r="ET268" t="str">
        <f>""</f>
        <v/>
      </c>
      <c r="EU268" t="str">
        <f>""</f>
        <v/>
      </c>
      <c r="EV268" t="str">
        <f>""</f>
        <v/>
      </c>
      <c r="EW268" t="str">
        <f>""</f>
        <v/>
      </c>
      <c r="EX268" t="str">
        <f>""</f>
        <v/>
      </c>
      <c r="EY268" t="str">
        <f>""</f>
        <v/>
      </c>
      <c r="EZ268" t="str">
        <f>""</f>
        <v/>
      </c>
      <c r="FA268" t="str">
        <f>""</f>
        <v/>
      </c>
      <c r="FB268" t="str">
        <f>""</f>
        <v/>
      </c>
      <c r="FC268" t="str">
        <f>""</f>
        <v/>
      </c>
      <c r="FD268" t="str">
        <f>""</f>
        <v/>
      </c>
      <c r="FE268" t="str">
        <f>""</f>
        <v/>
      </c>
      <c r="FF268" t="str">
        <f>""</f>
        <v/>
      </c>
      <c r="FG268" t="str">
        <f>""</f>
        <v/>
      </c>
      <c r="FH268" t="str">
        <f>""</f>
        <v/>
      </c>
      <c r="FI268" t="str">
        <f>""</f>
        <v/>
      </c>
      <c r="FJ268" t="str">
        <f>""</f>
        <v/>
      </c>
      <c r="FK268" t="str">
        <f>""</f>
        <v/>
      </c>
      <c r="FL268" t="str">
        <f>""</f>
        <v/>
      </c>
      <c r="FM268" t="str">
        <f>""</f>
        <v/>
      </c>
      <c r="FN268" t="str">
        <f>""</f>
        <v/>
      </c>
      <c r="FO268" t="str">
        <f>""</f>
        <v/>
      </c>
      <c r="FP268" t="str">
        <f>""</f>
        <v/>
      </c>
      <c r="FQ268" t="str">
        <f>""</f>
        <v/>
      </c>
      <c r="FR268" t="str">
        <f>""</f>
        <v/>
      </c>
      <c r="FS268" t="str">
        <f>""</f>
        <v/>
      </c>
      <c r="FT268" t="str">
        <f>""</f>
        <v/>
      </c>
      <c r="FU268" t="str">
        <f>""</f>
        <v/>
      </c>
      <c r="FV268" t="str">
        <f>""</f>
        <v/>
      </c>
      <c r="FW268" t="str">
        <f>"(0.105)"</f>
        <v>(0.105)</v>
      </c>
      <c r="FX268" t="str">
        <f>"(0.0840)"</f>
        <v>(0.0840)</v>
      </c>
      <c r="FY268" t="str">
        <f>"(0.0448)"</f>
        <v>(0.0448)</v>
      </c>
      <c r="FZ268" t="str">
        <f>""</f>
        <v/>
      </c>
      <c r="GA268" t="str">
        <f>""</f>
        <v/>
      </c>
      <c r="GB268" t="str">
        <f>""</f>
        <v/>
      </c>
      <c r="GC268" t="str">
        <f>""</f>
        <v/>
      </c>
      <c r="GD268" t="str">
        <f>""</f>
        <v/>
      </c>
      <c r="GE268" t="str">
        <f>""</f>
        <v/>
      </c>
      <c r="GF268" t="str">
        <f>""</f>
        <v/>
      </c>
      <c r="GG268" t="str">
        <f>""</f>
        <v/>
      </c>
      <c r="GH268" t="str">
        <f>""</f>
        <v/>
      </c>
      <c r="GI268" t="str">
        <f>""</f>
        <v/>
      </c>
      <c r="GJ268" t="str">
        <f>""</f>
        <v/>
      </c>
      <c r="GK268" t="str">
        <f>""</f>
        <v/>
      </c>
      <c r="GL268" t="str">
        <f>""</f>
        <v/>
      </c>
      <c r="GM268" t="str">
        <f>""</f>
        <v/>
      </c>
      <c r="GN268" t="str">
        <f>""</f>
        <v/>
      </c>
      <c r="GO268" t="str">
        <f>""</f>
        <v/>
      </c>
      <c r="GP268" t="str">
        <f>""</f>
        <v/>
      </c>
      <c r="GQ268" t="str">
        <f>""</f>
        <v/>
      </c>
      <c r="GR268" t="str">
        <f>""</f>
        <v/>
      </c>
      <c r="GS268" t="str">
        <f>""</f>
        <v/>
      </c>
      <c r="GT268" t="str">
        <f>""</f>
        <v/>
      </c>
      <c r="GU268" t="str">
        <f>""</f>
        <v/>
      </c>
      <c r="GV268" t="str">
        <f>""</f>
        <v/>
      </c>
      <c r="GW268" t="str">
        <f>""</f>
        <v/>
      </c>
      <c r="GX268" t="str">
        <f>""</f>
        <v/>
      </c>
      <c r="GY268" t="str">
        <f>""</f>
        <v/>
      </c>
      <c r="GZ268" t="str">
        <f>""</f>
        <v/>
      </c>
      <c r="HA268" t="str">
        <f>""</f>
        <v/>
      </c>
      <c r="HB268" t="str">
        <f>""</f>
        <v/>
      </c>
      <c r="HC268" t="str">
        <f>""</f>
        <v/>
      </c>
      <c r="HD268" t="str">
        <f>""</f>
        <v/>
      </c>
      <c r="HE268" t="str">
        <f>""</f>
        <v/>
      </c>
      <c r="HF268" t="str">
        <f>""</f>
        <v/>
      </c>
      <c r="HG268" t="str">
        <f>""</f>
        <v/>
      </c>
      <c r="HH268" t="str">
        <f>""</f>
        <v/>
      </c>
      <c r="HI268" t="str">
        <f>""</f>
        <v/>
      </c>
      <c r="HJ268" t="str">
        <f>""</f>
        <v/>
      </c>
      <c r="HK268" t="str">
        <f>""</f>
        <v/>
      </c>
      <c r="HL268" t="str">
        <f>""</f>
        <v/>
      </c>
      <c r="HM268" t="str">
        <f>""</f>
        <v/>
      </c>
      <c r="HN268" t="str">
        <f>""</f>
        <v/>
      </c>
      <c r="HO268" t="str">
        <f>""</f>
        <v/>
      </c>
      <c r="HP268" t="str">
        <f>""</f>
        <v/>
      </c>
      <c r="HQ268" t="str">
        <f>""</f>
        <v/>
      </c>
      <c r="HR268" t="str">
        <f>""</f>
        <v/>
      </c>
      <c r="HS268" t="str">
        <f>""</f>
        <v/>
      </c>
      <c r="HT268" t="str">
        <f>""</f>
        <v/>
      </c>
      <c r="HU268" t="str">
        <f>""</f>
        <v/>
      </c>
      <c r="HV268" t="str">
        <f>""</f>
        <v/>
      </c>
      <c r="HW268" t="str">
        <f>""</f>
        <v/>
      </c>
      <c r="HX268" t="str">
        <f>""</f>
        <v/>
      </c>
      <c r="HY268" t="str">
        <f>""</f>
        <v/>
      </c>
      <c r="HZ268" t="str">
        <f>""</f>
        <v/>
      </c>
      <c r="IA268" t="str">
        <f>""</f>
        <v/>
      </c>
      <c r="IB268" t="str">
        <f>""</f>
        <v/>
      </c>
      <c r="IC268" t="str">
        <f>""</f>
        <v/>
      </c>
      <c r="ID268" t="str">
        <f>""</f>
        <v/>
      </c>
      <c r="IE268" t="str">
        <f>""</f>
        <v/>
      </c>
      <c r="IF268" t="str">
        <f>""</f>
        <v/>
      </c>
      <c r="IG268" t="str">
        <f>""</f>
        <v/>
      </c>
      <c r="IH268" t="str">
        <f>""</f>
        <v/>
      </c>
      <c r="II268" t="str">
        <f>""</f>
        <v/>
      </c>
      <c r="IJ268" t="str">
        <f>""</f>
        <v/>
      </c>
      <c r="IK268" t="str">
        <f>""</f>
        <v/>
      </c>
      <c r="IL268" t="str">
        <f>""</f>
        <v/>
      </c>
      <c r="IM268" t="str">
        <f>""</f>
        <v/>
      </c>
      <c r="IN268" t="str">
        <f>""</f>
        <v/>
      </c>
      <c r="IO268" t="str">
        <f>""</f>
        <v/>
      </c>
      <c r="IP268" t="str">
        <f>""</f>
        <v/>
      </c>
      <c r="IQ268" t="str">
        <f>""</f>
        <v/>
      </c>
      <c r="IR268" t="str">
        <f>""</f>
        <v/>
      </c>
      <c r="IS268" t="str">
        <f>""</f>
        <v/>
      </c>
      <c r="IT268" t="str">
        <f>""</f>
        <v/>
      </c>
      <c r="IU268" t="str">
        <f>""</f>
        <v/>
      </c>
      <c r="IV268" t="str">
        <f>""</f>
        <v/>
      </c>
      <c r="IW268" t="str">
        <f>""</f>
        <v/>
      </c>
      <c r="IX268" t="str">
        <f>""</f>
        <v/>
      </c>
      <c r="IY268" t="str">
        <f>""</f>
        <v/>
      </c>
      <c r="IZ268" t="str">
        <f>""</f>
        <v/>
      </c>
      <c r="JA268" t="str">
        <f>""</f>
        <v/>
      </c>
      <c r="JB268" t="str">
        <f>""</f>
        <v/>
      </c>
      <c r="JC268" t="str">
        <f>""</f>
        <v/>
      </c>
      <c r="JD268" t="str">
        <f>""</f>
        <v/>
      </c>
      <c r="JE268" t="str">
        <f>""</f>
        <v/>
      </c>
      <c r="JF268" t="str">
        <f>""</f>
        <v/>
      </c>
      <c r="JG268" t="str">
        <f>""</f>
        <v/>
      </c>
      <c r="JH268" t="str">
        <f>""</f>
        <v/>
      </c>
      <c r="JI268" t="str">
        <f>""</f>
        <v/>
      </c>
      <c r="JJ268" t="str">
        <f>""</f>
        <v/>
      </c>
      <c r="JK268" t="str">
        <f>""</f>
        <v/>
      </c>
    </row>
    <row r="270" spans="1:271" x14ac:dyDescent="0.3">
      <c r="A270" t="str">
        <f>"PM5"</f>
        <v>PM5</v>
      </c>
      <c r="B270" t="str">
        <f>""</f>
        <v/>
      </c>
      <c r="C270" t="str">
        <f>""</f>
        <v/>
      </c>
      <c r="D270" t="str">
        <f>""</f>
        <v/>
      </c>
      <c r="E270" t="str">
        <f>""</f>
        <v/>
      </c>
      <c r="F270" t="str">
        <f>""</f>
        <v/>
      </c>
      <c r="G270" t="str">
        <f>""</f>
        <v/>
      </c>
      <c r="H270" t="str">
        <f>""</f>
        <v/>
      </c>
      <c r="I270" t="str">
        <f>""</f>
        <v/>
      </c>
      <c r="J270" t="str">
        <f>""</f>
        <v/>
      </c>
      <c r="K270" t="str">
        <f>""</f>
        <v/>
      </c>
      <c r="L270" t="str">
        <f>""</f>
        <v/>
      </c>
      <c r="M270" t="str">
        <f>""</f>
        <v/>
      </c>
      <c r="N270" t="str">
        <f>""</f>
        <v/>
      </c>
      <c r="O270" t="str">
        <f>""</f>
        <v/>
      </c>
      <c r="P270" t="str">
        <f>""</f>
        <v/>
      </c>
      <c r="Q270" t="str">
        <f>""</f>
        <v/>
      </c>
      <c r="R270" t="str">
        <f>""</f>
        <v/>
      </c>
      <c r="S270" t="str">
        <f>""</f>
        <v/>
      </c>
      <c r="T270" t="str">
        <f>""</f>
        <v/>
      </c>
      <c r="U270" t="str">
        <f>""</f>
        <v/>
      </c>
      <c r="V270" t="str">
        <f>""</f>
        <v/>
      </c>
      <c r="W270" t="str">
        <f>""</f>
        <v/>
      </c>
      <c r="X270" t="str">
        <f>""</f>
        <v/>
      </c>
      <c r="Y270" t="str">
        <f>""</f>
        <v/>
      </c>
      <c r="Z270" t="str">
        <f>""</f>
        <v/>
      </c>
      <c r="AA270" t="str">
        <f>""</f>
        <v/>
      </c>
      <c r="AB270" t="str">
        <f>""</f>
        <v/>
      </c>
      <c r="AC270" t="str">
        <f>""</f>
        <v/>
      </c>
      <c r="AD270" t="str">
        <f>""</f>
        <v/>
      </c>
      <c r="AE270" t="str">
        <f>""</f>
        <v/>
      </c>
      <c r="AF270" t="str">
        <f>""</f>
        <v/>
      </c>
      <c r="AG270" t="str">
        <f>""</f>
        <v/>
      </c>
      <c r="AH270" t="str">
        <f>""</f>
        <v/>
      </c>
      <c r="AI270" t="str">
        <f>""</f>
        <v/>
      </c>
      <c r="AJ270" t="str">
        <f>""</f>
        <v/>
      </c>
      <c r="AK270" t="str">
        <f>""</f>
        <v/>
      </c>
      <c r="AL270" t="str">
        <f>""</f>
        <v/>
      </c>
      <c r="AM270" t="str">
        <f>""</f>
        <v/>
      </c>
      <c r="AN270" t="str">
        <f>""</f>
        <v/>
      </c>
      <c r="AO270" t="str">
        <f>""</f>
        <v/>
      </c>
      <c r="AP270" t="str">
        <f>""</f>
        <v/>
      </c>
      <c r="AQ270" t="str">
        <f>""</f>
        <v/>
      </c>
      <c r="AR270" t="str">
        <f>""</f>
        <v/>
      </c>
      <c r="AS270" t="str">
        <f>""</f>
        <v/>
      </c>
      <c r="AT270" t="str">
        <f>""</f>
        <v/>
      </c>
      <c r="AU270" t="str">
        <f>""</f>
        <v/>
      </c>
      <c r="AV270" t="str">
        <f>""</f>
        <v/>
      </c>
      <c r="AW270" t="str">
        <f>""</f>
        <v/>
      </c>
      <c r="AX270" t="str">
        <f>""</f>
        <v/>
      </c>
      <c r="AY270" t="str">
        <f>""</f>
        <v/>
      </c>
      <c r="AZ270" t="str">
        <f>""</f>
        <v/>
      </c>
      <c r="BA270" t="str">
        <f>""</f>
        <v/>
      </c>
      <c r="BB270" t="str">
        <f>""</f>
        <v/>
      </c>
      <c r="BC270" t="str">
        <f>""</f>
        <v/>
      </c>
      <c r="BD270" t="str">
        <f>""</f>
        <v/>
      </c>
      <c r="BE270" t="str">
        <f>""</f>
        <v/>
      </c>
      <c r="BF270" t="str">
        <f>""</f>
        <v/>
      </c>
      <c r="BG270" t="str">
        <f>""</f>
        <v/>
      </c>
      <c r="BH270" t="str">
        <f>""</f>
        <v/>
      </c>
      <c r="BI270" t="str">
        <f>""</f>
        <v/>
      </c>
      <c r="BJ270" t="str">
        <f>""</f>
        <v/>
      </c>
      <c r="BK270" t="str">
        <f>""</f>
        <v/>
      </c>
      <c r="BL270" t="str">
        <f>""</f>
        <v/>
      </c>
      <c r="BM270" t="str">
        <f>""</f>
        <v/>
      </c>
      <c r="BN270" t="str">
        <f>""</f>
        <v/>
      </c>
      <c r="BO270" t="str">
        <f>""</f>
        <v/>
      </c>
      <c r="BP270" t="str">
        <f>""</f>
        <v/>
      </c>
      <c r="BQ270" t="str">
        <f>""</f>
        <v/>
      </c>
      <c r="BR270" t="str">
        <f>""</f>
        <v/>
      </c>
      <c r="BS270" t="str">
        <f>""</f>
        <v/>
      </c>
      <c r="BT270" t="str">
        <f>""</f>
        <v/>
      </c>
      <c r="BU270" t="str">
        <f>""</f>
        <v/>
      </c>
      <c r="BV270" t="str">
        <f>""</f>
        <v/>
      </c>
      <c r="BW270" t="str">
        <f>""</f>
        <v/>
      </c>
      <c r="BX270" t="str">
        <f>""</f>
        <v/>
      </c>
      <c r="BY270" t="str">
        <f>""</f>
        <v/>
      </c>
      <c r="BZ270" t="str">
        <f>""</f>
        <v/>
      </c>
      <c r="CA270" t="str">
        <f>""</f>
        <v/>
      </c>
      <c r="CB270" t="str">
        <f>""</f>
        <v/>
      </c>
      <c r="CC270" t="str">
        <f>""</f>
        <v/>
      </c>
      <c r="CD270" t="str">
        <f>""</f>
        <v/>
      </c>
      <c r="CE270" t="str">
        <f>""</f>
        <v/>
      </c>
      <c r="CF270" t="str">
        <f>""</f>
        <v/>
      </c>
      <c r="CG270" t="str">
        <f>""</f>
        <v/>
      </c>
      <c r="CH270" t="str">
        <f>""</f>
        <v/>
      </c>
      <c r="CI270" t="str">
        <f>""</f>
        <v/>
      </c>
      <c r="CJ270" t="str">
        <f>""</f>
        <v/>
      </c>
      <c r="CK270" t="str">
        <f>""</f>
        <v/>
      </c>
      <c r="CL270" t="str">
        <f>""</f>
        <v/>
      </c>
      <c r="CM270" t="str">
        <f>""</f>
        <v/>
      </c>
      <c r="CN270" t="str">
        <f>""</f>
        <v/>
      </c>
      <c r="CO270" t="str">
        <f>""</f>
        <v/>
      </c>
      <c r="CP270" t="str">
        <f>""</f>
        <v/>
      </c>
      <c r="CQ270" t="str">
        <f>""</f>
        <v/>
      </c>
      <c r="CR270" t="str">
        <f>""</f>
        <v/>
      </c>
      <c r="CS270" t="str">
        <f>""</f>
        <v/>
      </c>
      <c r="CT270" t="str">
        <f>""</f>
        <v/>
      </c>
      <c r="CU270" t="str">
        <f>""</f>
        <v/>
      </c>
      <c r="CV270" t="str">
        <f>""</f>
        <v/>
      </c>
      <c r="CW270" t="str">
        <f>""</f>
        <v/>
      </c>
      <c r="CX270" t="str">
        <f>""</f>
        <v/>
      </c>
      <c r="CY270" t="str">
        <f>""</f>
        <v/>
      </c>
      <c r="CZ270" t="str">
        <f>""</f>
        <v/>
      </c>
      <c r="DA270" t="str">
        <f>""</f>
        <v/>
      </c>
      <c r="DB270" t="str">
        <f>""</f>
        <v/>
      </c>
      <c r="DC270" t="str">
        <f>""</f>
        <v/>
      </c>
      <c r="DD270" t="str">
        <f>""</f>
        <v/>
      </c>
      <c r="DE270" t="str">
        <f>""</f>
        <v/>
      </c>
      <c r="DF270" t="str">
        <f>""</f>
        <v/>
      </c>
      <c r="DG270" t="str">
        <f>""</f>
        <v/>
      </c>
      <c r="DH270" t="str">
        <f>""</f>
        <v/>
      </c>
      <c r="DI270" t="str">
        <f>""</f>
        <v/>
      </c>
      <c r="DJ270" t="str">
        <f>""</f>
        <v/>
      </c>
      <c r="DK270" t="str">
        <f>""</f>
        <v/>
      </c>
      <c r="DL270" t="str">
        <f>""</f>
        <v/>
      </c>
      <c r="DM270" t="str">
        <f>""</f>
        <v/>
      </c>
      <c r="DN270" t="str">
        <f>""</f>
        <v/>
      </c>
      <c r="DO270" t="str">
        <f>""</f>
        <v/>
      </c>
      <c r="DP270" t="str">
        <f>""</f>
        <v/>
      </c>
      <c r="DQ270" t="str">
        <f>""</f>
        <v/>
      </c>
      <c r="DR270" t="str">
        <f>""</f>
        <v/>
      </c>
      <c r="DS270" t="str">
        <f>""</f>
        <v/>
      </c>
      <c r="DT270" t="str">
        <f>""</f>
        <v/>
      </c>
      <c r="DU270" t="str">
        <f>""</f>
        <v/>
      </c>
      <c r="DV270" t="str">
        <f>""</f>
        <v/>
      </c>
      <c r="DW270" t="str">
        <f>""</f>
        <v/>
      </c>
      <c r="DX270" t="str">
        <f>""</f>
        <v/>
      </c>
      <c r="DY270" t="str">
        <f>""</f>
        <v/>
      </c>
      <c r="DZ270" t="str">
        <f>""</f>
        <v/>
      </c>
      <c r="EA270" t="str">
        <f>""</f>
        <v/>
      </c>
      <c r="EB270" t="str">
        <f>""</f>
        <v/>
      </c>
      <c r="EC270" t="str">
        <f>""</f>
        <v/>
      </c>
      <c r="ED270" t="str">
        <f>""</f>
        <v/>
      </c>
      <c r="EE270" t="str">
        <f>""</f>
        <v/>
      </c>
      <c r="EF270" t="str">
        <f>""</f>
        <v/>
      </c>
      <c r="EG270" t="str">
        <f>""</f>
        <v/>
      </c>
      <c r="EH270" t="str">
        <f>""</f>
        <v/>
      </c>
      <c r="EI270" t="str">
        <f>""</f>
        <v/>
      </c>
      <c r="EJ270" t="str">
        <f>""</f>
        <v/>
      </c>
      <c r="EK270" t="str">
        <f>""</f>
        <v/>
      </c>
      <c r="EL270" t="str">
        <f>""</f>
        <v/>
      </c>
      <c r="EM270" t="str">
        <f>""</f>
        <v/>
      </c>
      <c r="EN270" t="str">
        <f>""</f>
        <v/>
      </c>
      <c r="EO270" t="str">
        <f>""</f>
        <v/>
      </c>
      <c r="EP270" t="str">
        <f>""</f>
        <v/>
      </c>
      <c r="EQ270" t="str">
        <f>""</f>
        <v/>
      </c>
      <c r="ER270" t="str">
        <f>""</f>
        <v/>
      </c>
      <c r="ES270" t="str">
        <f>""</f>
        <v/>
      </c>
      <c r="ET270" t="str">
        <f>""</f>
        <v/>
      </c>
      <c r="EU270" t="str">
        <f>""</f>
        <v/>
      </c>
      <c r="EV270" t="str">
        <f>""</f>
        <v/>
      </c>
      <c r="EW270" t="str">
        <f>""</f>
        <v/>
      </c>
      <c r="EX270" t="str">
        <f>""</f>
        <v/>
      </c>
      <c r="EY270" t="str">
        <f>""</f>
        <v/>
      </c>
      <c r="EZ270" t="str">
        <f>""</f>
        <v/>
      </c>
      <c r="FA270" t="str">
        <f>""</f>
        <v/>
      </c>
      <c r="FB270" t="str">
        <f>""</f>
        <v/>
      </c>
      <c r="FC270" t="str">
        <f>""</f>
        <v/>
      </c>
      <c r="FD270" t="str">
        <f>""</f>
        <v/>
      </c>
      <c r="FE270" t="str">
        <f>""</f>
        <v/>
      </c>
      <c r="FF270" t="str">
        <f>""</f>
        <v/>
      </c>
      <c r="FG270" t="str">
        <f>""</f>
        <v/>
      </c>
      <c r="FH270" t="str">
        <f>""</f>
        <v/>
      </c>
      <c r="FI270" t="str">
        <f>""</f>
        <v/>
      </c>
      <c r="FJ270" t="str">
        <f>""</f>
        <v/>
      </c>
      <c r="FK270" t="str">
        <f>""</f>
        <v/>
      </c>
      <c r="FL270" t="str">
        <f>""</f>
        <v/>
      </c>
      <c r="FM270" t="str">
        <f>""</f>
        <v/>
      </c>
      <c r="FN270" t="str">
        <f>""</f>
        <v/>
      </c>
      <c r="FO270" t="str">
        <f>""</f>
        <v/>
      </c>
      <c r="FP270" t="str">
        <f>""</f>
        <v/>
      </c>
      <c r="FQ270" t="str">
        <f>""</f>
        <v/>
      </c>
      <c r="FR270" t="str">
        <f>""</f>
        <v/>
      </c>
      <c r="FS270" t="str">
        <f>""</f>
        <v/>
      </c>
      <c r="FT270" t="str">
        <f>""</f>
        <v/>
      </c>
      <c r="FU270" t="str">
        <f>""</f>
        <v/>
      </c>
      <c r="FV270" t="str">
        <f>""</f>
        <v/>
      </c>
      <c r="FW270" t="str">
        <f>""</f>
        <v/>
      </c>
      <c r="FX270" t="str">
        <f>""</f>
        <v/>
      </c>
      <c r="FY270" t="str">
        <f>""</f>
        <v/>
      </c>
      <c r="FZ270" t="str">
        <f>"-0.0941"</f>
        <v>-0.0941</v>
      </c>
      <c r="GA270" t="str">
        <f>"0.101"</f>
        <v>0.101</v>
      </c>
      <c r="GB270" t="str">
        <f>"-0.0185"</f>
        <v>-0.0185</v>
      </c>
      <c r="GC270" t="str">
        <f>"-0.0838"</f>
        <v>-0.0838</v>
      </c>
      <c r="GD270" t="str">
        <f>"0.0856"</f>
        <v>0.0856</v>
      </c>
      <c r="GE270" t="str">
        <f>"0.00246"</f>
        <v>0.00246</v>
      </c>
      <c r="GF270" t="str">
        <f>"-0.0831"</f>
        <v>-0.0831</v>
      </c>
      <c r="GG270" t="str">
        <f>"0.0838"</f>
        <v>0.0838</v>
      </c>
      <c r="GH270" t="str">
        <f>"0.00952"</f>
        <v>0.00952</v>
      </c>
      <c r="GI270" t="str">
        <f>"-0.0658"</f>
        <v>-0.0658</v>
      </c>
      <c r="GJ270" t="str">
        <f>"0.0798"</f>
        <v>0.0798</v>
      </c>
      <c r="GK270" t="str">
        <f>"-0.0166"</f>
        <v>-0.0166</v>
      </c>
      <c r="GL270" t="str">
        <f>"-0.0718"</f>
        <v>-0.0718</v>
      </c>
      <c r="GM270" t="str">
        <f>"0.0861"</f>
        <v>0.0861</v>
      </c>
      <c r="GN270" t="str">
        <f>"-0.0130"</f>
        <v>-0.0130</v>
      </c>
      <c r="GO270" t="str">
        <f>"-0.0838"</f>
        <v>-0.0838</v>
      </c>
      <c r="GP270" t="str">
        <f>"0.0884"</f>
        <v>0.0884</v>
      </c>
      <c r="GQ270" t="str">
        <f>"0.00317"</f>
        <v>0.00317</v>
      </c>
      <c r="GR270" t="str">
        <f>"-0.0920"</f>
        <v>-0.0920</v>
      </c>
      <c r="GS270" t="str">
        <f>"0.0777"</f>
        <v>0.0777</v>
      </c>
      <c r="GT270" t="str">
        <f>"-0.0225"</f>
        <v>-0.0225</v>
      </c>
      <c r="GU270" t="str">
        <f>"-0.0938"</f>
        <v>-0.0938</v>
      </c>
      <c r="GV270" t="str">
        <f>"0.0853"</f>
        <v>0.0853</v>
      </c>
      <c r="GW270" t="str">
        <f>"-0.00209"</f>
        <v>-0.00209</v>
      </c>
      <c r="GX270" t="str">
        <f>"-0.0906"</f>
        <v>-0.0906</v>
      </c>
      <c r="GY270" t="str">
        <f>"0.0849"</f>
        <v>0.0849</v>
      </c>
      <c r="GZ270" t="str">
        <f>"-0.00108"</f>
        <v>-0.00108</v>
      </c>
      <c r="HA270" t="str">
        <f>"-0.0912"</f>
        <v>-0.0912</v>
      </c>
      <c r="HB270" t="str">
        <f>"0.0864"</f>
        <v>0.0864</v>
      </c>
      <c r="HC270" t="str">
        <f>"0.00233"</f>
        <v>0.00233</v>
      </c>
      <c r="HD270" t="str">
        <f>"-0.0924"</f>
        <v>-0.0924</v>
      </c>
      <c r="HE270" t="str">
        <f>"0.0866"</f>
        <v>0.0866</v>
      </c>
      <c r="HF270" t="str">
        <f>"0.00176"</f>
        <v>0.00176</v>
      </c>
      <c r="HG270" t="str">
        <f>"-0.0951"</f>
        <v>-0.0951</v>
      </c>
      <c r="HH270" t="str">
        <f>"0.0890"</f>
        <v>0.0890</v>
      </c>
      <c r="HI270" t="str">
        <f>"-0.000383"</f>
        <v>-0.000383</v>
      </c>
      <c r="HJ270" t="str">
        <f>"-0.116"</f>
        <v>-0.116</v>
      </c>
      <c r="HK270" t="str">
        <f>"0.0801"</f>
        <v>0.0801</v>
      </c>
      <c r="HL270" t="str">
        <f>"0.000713"</f>
        <v>0.000713</v>
      </c>
      <c r="HM270" t="str">
        <f>"-0.0887"</f>
        <v>-0.0887</v>
      </c>
      <c r="HN270" t="str">
        <f>"0.0839"</f>
        <v>0.0839</v>
      </c>
      <c r="HO270" t="str">
        <f>"-0.00251"</f>
        <v>-0.00251</v>
      </c>
      <c r="HP270" t="str">
        <f>"-0.0873"</f>
        <v>-0.0873</v>
      </c>
      <c r="HQ270" t="str">
        <f>"0.0828"</f>
        <v>0.0828</v>
      </c>
      <c r="HR270" t="str">
        <f>"-0.00141"</f>
        <v>-0.00141</v>
      </c>
      <c r="HS270" t="str">
        <f>""</f>
        <v/>
      </c>
      <c r="HT270" t="str">
        <f>""</f>
        <v/>
      </c>
      <c r="HU270" t="str">
        <f>""</f>
        <v/>
      </c>
      <c r="HV270" t="str">
        <f>""</f>
        <v/>
      </c>
      <c r="HW270" t="str">
        <f>""</f>
        <v/>
      </c>
      <c r="HX270" t="str">
        <f>""</f>
        <v/>
      </c>
      <c r="HY270" t="str">
        <f>""</f>
        <v/>
      </c>
      <c r="HZ270" t="str">
        <f>""</f>
        <v/>
      </c>
      <c r="IA270" t="str">
        <f>""</f>
        <v/>
      </c>
      <c r="IB270" t="str">
        <f>""</f>
        <v/>
      </c>
      <c r="IC270" t="str">
        <f>""</f>
        <v/>
      </c>
      <c r="ID270" t="str">
        <f>""</f>
        <v/>
      </c>
      <c r="IE270" t="str">
        <f>""</f>
        <v/>
      </c>
      <c r="IF270" t="str">
        <f>""</f>
        <v/>
      </c>
      <c r="IG270" t="str">
        <f>""</f>
        <v/>
      </c>
      <c r="IH270" t="str">
        <f>""</f>
        <v/>
      </c>
      <c r="II270" t="str">
        <f>""</f>
        <v/>
      </c>
      <c r="IJ270" t="str">
        <f>""</f>
        <v/>
      </c>
      <c r="IK270" t="str">
        <f>""</f>
        <v/>
      </c>
      <c r="IL270" t="str">
        <f>""</f>
        <v/>
      </c>
      <c r="IM270" t="str">
        <f>""</f>
        <v/>
      </c>
      <c r="IN270" t="str">
        <f>""</f>
        <v/>
      </c>
      <c r="IO270" t="str">
        <f>""</f>
        <v/>
      </c>
      <c r="IP270" t="str">
        <f>""</f>
        <v/>
      </c>
      <c r="IQ270" t="str">
        <f>""</f>
        <v/>
      </c>
      <c r="IR270" t="str">
        <f>""</f>
        <v/>
      </c>
      <c r="IS270" t="str">
        <f>""</f>
        <v/>
      </c>
      <c r="IT270" t="str">
        <f>""</f>
        <v/>
      </c>
      <c r="IU270" t="str">
        <f>""</f>
        <v/>
      </c>
      <c r="IV270" t="str">
        <f>""</f>
        <v/>
      </c>
      <c r="IW270" t="str">
        <f>""</f>
        <v/>
      </c>
      <c r="IX270" t="str">
        <f>""</f>
        <v/>
      </c>
      <c r="IY270" t="str">
        <f>""</f>
        <v/>
      </c>
      <c r="IZ270" t="str">
        <f>""</f>
        <v/>
      </c>
      <c r="JA270" t="str">
        <f>""</f>
        <v/>
      </c>
      <c r="JB270" t="str">
        <f>""</f>
        <v/>
      </c>
      <c r="JC270" t="str">
        <f>""</f>
        <v/>
      </c>
      <c r="JD270" t="str">
        <f>""</f>
        <v/>
      </c>
      <c r="JE270" t="str">
        <f>""</f>
        <v/>
      </c>
      <c r="JF270" t="str">
        <f>""</f>
        <v/>
      </c>
      <c r="JG270" t="str">
        <f>""</f>
        <v/>
      </c>
      <c r="JH270" t="str">
        <f>""</f>
        <v/>
      </c>
      <c r="JI270" t="str">
        <f>""</f>
        <v/>
      </c>
      <c r="JJ270" t="str">
        <f>""</f>
        <v/>
      </c>
      <c r="JK270" t="str">
        <f>""</f>
        <v/>
      </c>
    </row>
    <row r="271" spans="1:271" x14ac:dyDescent="0.3">
      <c r="A271" t="str">
        <f>""</f>
        <v/>
      </c>
      <c r="B271" t="str">
        <f>""</f>
        <v/>
      </c>
      <c r="C271" t="str">
        <f>""</f>
        <v/>
      </c>
      <c r="D271" t="str">
        <f>""</f>
        <v/>
      </c>
      <c r="E271" t="str">
        <f>""</f>
        <v/>
      </c>
      <c r="F271" t="str">
        <f>""</f>
        <v/>
      </c>
      <c r="G271" t="str">
        <f>""</f>
        <v/>
      </c>
      <c r="H271" t="str">
        <f>""</f>
        <v/>
      </c>
      <c r="I271" t="str">
        <f>""</f>
        <v/>
      </c>
      <c r="J271" t="str">
        <f>""</f>
        <v/>
      </c>
      <c r="K271" t="str">
        <f>""</f>
        <v/>
      </c>
      <c r="L271" t="str">
        <f>""</f>
        <v/>
      </c>
      <c r="M271" t="str">
        <f>""</f>
        <v/>
      </c>
      <c r="N271" t="str">
        <f>""</f>
        <v/>
      </c>
      <c r="O271" t="str">
        <f>""</f>
        <v/>
      </c>
      <c r="P271" t="str">
        <f>""</f>
        <v/>
      </c>
      <c r="Q271" t="str">
        <f>""</f>
        <v/>
      </c>
      <c r="R271" t="str">
        <f>""</f>
        <v/>
      </c>
      <c r="S271" t="str">
        <f>""</f>
        <v/>
      </c>
      <c r="T271" t="str">
        <f>""</f>
        <v/>
      </c>
      <c r="U271" t="str">
        <f>""</f>
        <v/>
      </c>
      <c r="V271" t="str">
        <f>""</f>
        <v/>
      </c>
      <c r="W271" t="str">
        <f>""</f>
        <v/>
      </c>
      <c r="X271" t="str">
        <f>""</f>
        <v/>
      </c>
      <c r="Y271" t="str">
        <f>""</f>
        <v/>
      </c>
      <c r="Z271" t="str">
        <f>""</f>
        <v/>
      </c>
      <c r="AA271" t="str">
        <f>""</f>
        <v/>
      </c>
      <c r="AB271" t="str">
        <f>""</f>
        <v/>
      </c>
      <c r="AC271" t="str">
        <f>""</f>
        <v/>
      </c>
      <c r="AD271" t="str">
        <f>""</f>
        <v/>
      </c>
      <c r="AE271" t="str">
        <f>""</f>
        <v/>
      </c>
      <c r="AF271" t="str">
        <f>""</f>
        <v/>
      </c>
      <c r="AG271" t="str">
        <f>""</f>
        <v/>
      </c>
      <c r="AH271" t="str">
        <f>""</f>
        <v/>
      </c>
      <c r="AI271" t="str">
        <f>""</f>
        <v/>
      </c>
      <c r="AJ271" t="str">
        <f>""</f>
        <v/>
      </c>
      <c r="AK271" t="str">
        <f>""</f>
        <v/>
      </c>
      <c r="AL271" t="str">
        <f>""</f>
        <v/>
      </c>
      <c r="AM271" t="str">
        <f>""</f>
        <v/>
      </c>
      <c r="AN271" t="str">
        <f>""</f>
        <v/>
      </c>
      <c r="AO271" t="str">
        <f>""</f>
        <v/>
      </c>
      <c r="AP271" t="str">
        <f>""</f>
        <v/>
      </c>
      <c r="AQ271" t="str">
        <f>""</f>
        <v/>
      </c>
      <c r="AR271" t="str">
        <f>""</f>
        <v/>
      </c>
      <c r="AS271" t="str">
        <f>""</f>
        <v/>
      </c>
      <c r="AT271" t="str">
        <f>""</f>
        <v/>
      </c>
      <c r="AU271" t="str">
        <f>""</f>
        <v/>
      </c>
      <c r="AV271" t="str">
        <f>""</f>
        <v/>
      </c>
      <c r="AW271" t="str">
        <f>""</f>
        <v/>
      </c>
      <c r="AX271" t="str">
        <f>""</f>
        <v/>
      </c>
      <c r="AY271" t="str">
        <f>""</f>
        <v/>
      </c>
      <c r="AZ271" t="str">
        <f>""</f>
        <v/>
      </c>
      <c r="BA271" t="str">
        <f>""</f>
        <v/>
      </c>
      <c r="BB271" t="str">
        <f>""</f>
        <v/>
      </c>
      <c r="BC271" t="str">
        <f>""</f>
        <v/>
      </c>
      <c r="BD271" t="str">
        <f>""</f>
        <v/>
      </c>
      <c r="BE271" t="str">
        <f>""</f>
        <v/>
      </c>
      <c r="BF271" t="str">
        <f>""</f>
        <v/>
      </c>
      <c r="BG271" t="str">
        <f>""</f>
        <v/>
      </c>
      <c r="BH271" t="str">
        <f>""</f>
        <v/>
      </c>
      <c r="BI271" t="str">
        <f>""</f>
        <v/>
      </c>
      <c r="BJ271" t="str">
        <f>""</f>
        <v/>
      </c>
      <c r="BK271" t="str">
        <f>""</f>
        <v/>
      </c>
      <c r="BL271" t="str">
        <f>""</f>
        <v/>
      </c>
      <c r="BM271" t="str">
        <f>""</f>
        <v/>
      </c>
      <c r="BN271" t="str">
        <f>""</f>
        <v/>
      </c>
      <c r="BO271" t="str">
        <f>""</f>
        <v/>
      </c>
      <c r="BP271" t="str">
        <f>""</f>
        <v/>
      </c>
      <c r="BQ271" t="str">
        <f>""</f>
        <v/>
      </c>
      <c r="BR271" t="str">
        <f>""</f>
        <v/>
      </c>
      <c r="BS271" t="str">
        <f>""</f>
        <v/>
      </c>
      <c r="BT271" t="str">
        <f>""</f>
        <v/>
      </c>
      <c r="BU271" t="str">
        <f>""</f>
        <v/>
      </c>
      <c r="BV271" t="str">
        <f>""</f>
        <v/>
      </c>
      <c r="BW271" t="str">
        <f>""</f>
        <v/>
      </c>
      <c r="BX271" t="str">
        <f>""</f>
        <v/>
      </c>
      <c r="BY271" t="str">
        <f>""</f>
        <v/>
      </c>
      <c r="BZ271" t="str">
        <f>""</f>
        <v/>
      </c>
      <c r="CA271" t="str">
        <f>""</f>
        <v/>
      </c>
      <c r="CB271" t="str">
        <f>""</f>
        <v/>
      </c>
      <c r="CC271" t="str">
        <f>""</f>
        <v/>
      </c>
      <c r="CD271" t="str">
        <f>""</f>
        <v/>
      </c>
      <c r="CE271" t="str">
        <f>""</f>
        <v/>
      </c>
      <c r="CF271" t="str">
        <f>""</f>
        <v/>
      </c>
      <c r="CG271" t="str">
        <f>""</f>
        <v/>
      </c>
      <c r="CH271" t="str">
        <f>""</f>
        <v/>
      </c>
      <c r="CI271" t="str">
        <f>""</f>
        <v/>
      </c>
      <c r="CJ271" t="str">
        <f>""</f>
        <v/>
      </c>
      <c r="CK271" t="str">
        <f>""</f>
        <v/>
      </c>
      <c r="CL271" t="str">
        <f>""</f>
        <v/>
      </c>
      <c r="CM271" t="str">
        <f>""</f>
        <v/>
      </c>
      <c r="CN271" t="str">
        <f>""</f>
        <v/>
      </c>
      <c r="CO271" t="str">
        <f>""</f>
        <v/>
      </c>
      <c r="CP271" t="str">
        <f>""</f>
        <v/>
      </c>
      <c r="CQ271" t="str">
        <f>""</f>
        <v/>
      </c>
      <c r="CR271" t="str">
        <f>""</f>
        <v/>
      </c>
      <c r="CS271" t="str">
        <f>""</f>
        <v/>
      </c>
      <c r="CT271" t="str">
        <f>""</f>
        <v/>
      </c>
      <c r="CU271" t="str">
        <f>""</f>
        <v/>
      </c>
      <c r="CV271" t="str">
        <f>""</f>
        <v/>
      </c>
      <c r="CW271" t="str">
        <f>""</f>
        <v/>
      </c>
      <c r="CX271" t="str">
        <f>""</f>
        <v/>
      </c>
      <c r="CY271" t="str">
        <f>""</f>
        <v/>
      </c>
      <c r="CZ271" t="str">
        <f>""</f>
        <v/>
      </c>
      <c r="DA271" t="str">
        <f>""</f>
        <v/>
      </c>
      <c r="DB271" t="str">
        <f>""</f>
        <v/>
      </c>
      <c r="DC271" t="str">
        <f>""</f>
        <v/>
      </c>
      <c r="DD271" t="str">
        <f>""</f>
        <v/>
      </c>
      <c r="DE271" t="str">
        <f>""</f>
        <v/>
      </c>
      <c r="DF271" t="str">
        <f>""</f>
        <v/>
      </c>
      <c r="DG271" t="str">
        <f>""</f>
        <v/>
      </c>
      <c r="DH271" t="str">
        <f>""</f>
        <v/>
      </c>
      <c r="DI271" t="str">
        <f>""</f>
        <v/>
      </c>
      <c r="DJ271" t="str">
        <f>""</f>
        <v/>
      </c>
      <c r="DK271" t="str">
        <f>""</f>
        <v/>
      </c>
      <c r="DL271" t="str">
        <f>""</f>
        <v/>
      </c>
      <c r="DM271" t="str">
        <f>""</f>
        <v/>
      </c>
      <c r="DN271" t="str">
        <f>""</f>
        <v/>
      </c>
      <c r="DO271" t="str">
        <f>""</f>
        <v/>
      </c>
      <c r="DP271" t="str">
        <f>""</f>
        <v/>
      </c>
      <c r="DQ271" t="str">
        <f>""</f>
        <v/>
      </c>
      <c r="DR271" t="str">
        <f>""</f>
        <v/>
      </c>
      <c r="DS271" t="str">
        <f>""</f>
        <v/>
      </c>
      <c r="DT271" t="str">
        <f>""</f>
        <v/>
      </c>
      <c r="DU271" t="str">
        <f>""</f>
        <v/>
      </c>
      <c r="DV271" t="str">
        <f>""</f>
        <v/>
      </c>
      <c r="DW271" t="str">
        <f>""</f>
        <v/>
      </c>
      <c r="DX271" t="str">
        <f>""</f>
        <v/>
      </c>
      <c r="DY271" t="str">
        <f>""</f>
        <v/>
      </c>
      <c r="DZ271" t="str">
        <f>""</f>
        <v/>
      </c>
      <c r="EA271" t="str">
        <f>""</f>
        <v/>
      </c>
      <c r="EB271" t="str">
        <f>""</f>
        <v/>
      </c>
      <c r="EC271" t="str">
        <f>""</f>
        <v/>
      </c>
      <c r="ED271" t="str">
        <f>""</f>
        <v/>
      </c>
      <c r="EE271" t="str">
        <f>""</f>
        <v/>
      </c>
      <c r="EF271" t="str">
        <f>""</f>
        <v/>
      </c>
      <c r="EG271" t="str">
        <f>""</f>
        <v/>
      </c>
      <c r="EH271" t="str">
        <f>""</f>
        <v/>
      </c>
      <c r="EI271" t="str">
        <f>""</f>
        <v/>
      </c>
      <c r="EJ271" t="str">
        <f>""</f>
        <v/>
      </c>
      <c r="EK271" t="str">
        <f>""</f>
        <v/>
      </c>
      <c r="EL271" t="str">
        <f>""</f>
        <v/>
      </c>
      <c r="EM271" t="str">
        <f>""</f>
        <v/>
      </c>
      <c r="EN271" t="str">
        <f>""</f>
        <v/>
      </c>
      <c r="EO271" t="str">
        <f>""</f>
        <v/>
      </c>
      <c r="EP271" t="str">
        <f>""</f>
        <v/>
      </c>
      <c r="EQ271" t="str">
        <f>""</f>
        <v/>
      </c>
      <c r="ER271" t="str">
        <f>""</f>
        <v/>
      </c>
      <c r="ES271" t="str">
        <f>""</f>
        <v/>
      </c>
      <c r="ET271" t="str">
        <f>""</f>
        <v/>
      </c>
      <c r="EU271" t="str">
        <f>""</f>
        <v/>
      </c>
      <c r="EV271" t="str">
        <f>""</f>
        <v/>
      </c>
      <c r="EW271" t="str">
        <f>""</f>
        <v/>
      </c>
      <c r="EX271" t="str">
        <f>""</f>
        <v/>
      </c>
      <c r="EY271" t="str">
        <f>""</f>
        <v/>
      </c>
      <c r="EZ271" t="str">
        <f>""</f>
        <v/>
      </c>
      <c r="FA271" t="str">
        <f>""</f>
        <v/>
      </c>
      <c r="FB271" t="str">
        <f>""</f>
        <v/>
      </c>
      <c r="FC271" t="str">
        <f>""</f>
        <v/>
      </c>
      <c r="FD271" t="str">
        <f>""</f>
        <v/>
      </c>
      <c r="FE271" t="str">
        <f>""</f>
        <v/>
      </c>
      <c r="FF271" t="str">
        <f>""</f>
        <v/>
      </c>
      <c r="FG271" t="str">
        <f>""</f>
        <v/>
      </c>
      <c r="FH271" t="str">
        <f>""</f>
        <v/>
      </c>
      <c r="FI271" t="str">
        <f>""</f>
        <v/>
      </c>
      <c r="FJ271" t="str">
        <f>""</f>
        <v/>
      </c>
      <c r="FK271" t="str">
        <f>""</f>
        <v/>
      </c>
      <c r="FL271" t="str">
        <f>""</f>
        <v/>
      </c>
      <c r="FM271" t="str">
        <f>""</f>
        <v/>
      </c>
      <c r="FN271" t="str">
        <f>""</f>
        <v/>
      </c>
      <c r="FO271" t="str">
        <f>""</f>
        <v/>
      </c>
      <c r="FP271" t="str">
        <f>""</f>
        <v/>
      </c>
      <c r="FQ271" t="str">
        <f>""</f>
        <v/>
      </c>
      <c r="FR271" t="str">
        <f>""</f>
        <v/>
      </c>
      <c r="FS271" t="str">
        <f>""</f>
        <v/>
      </c>
      <c r="FT271" t="str">
        <f>""</f>
        <v/>
      </c>
      <c r="FU271" t="str">
        <f>""</f>
        <v/>
      </c>
      <c r="FV271" t="str">
        <f>""</f>
        <v/>
      </c>
      <c r="FW271" t="str">
        <f>""</f>
        <v/>
      </c>
      <c r="FX271" t="str">
        <f>""</f>
        <v/>
      </c>
      <c r="FY271" t="str">
        <f>""</f>
        <v/>
      </c>
      <c r="FZ271" t="str">
        <f>"(0.115)"</f>
        <v>(0.115)</v>
      </c>
      <c r="GA271" t="str">
        <f>"(0.0895)"</f>
        <v>(0.0895)</v>
      </c>
      <c r="GB271" t="str">
        <f>"(0.0488)"</f>
        <v>(0.0488)</v>
      </c>
      <c r="GC271" t="str">
        <f>"(0.113)"</f>
        <v>(0.113)</v>
      </c>
      <c r="GD271" t="str">
        <f>"(0.0888)"</f>
        <v>(0.0888)</v>
      </c>
      <c r="GE271" t="str">
        <f>"(0.0490)"</f>
        <v>(0.0490)</v>
      </c>
      <c r="GF271" t="str">
        <f>"(0.113)"</f>
        <v>(0.113)</v>
      </c>
      <c r="GG271" t="str">
        <f>"(0.0890)"</f>
        <v>(0.0890)</v>
      </c>
      <c r="GH271" t="str">
        <f>"(0.0500)"</f>
        <v>(0.0500)</v>
      </c>
      <c r="GI271" t="str">
        <f>"(0.115)"</f>
        <v>(0.115)</v>
      </c>
      <c r="GJ271" t="str">
        <f>"(0.0892)"</f>
        <v>(0.0892)</v>
      </c>
      <c r="GK271" t="str">
        <f>"(0.0497)"</f>
        <v>(0.0497)</v>
      </c>
      <c r="GL271" t="str">
        <f>"(0.113)"</f>
        <v>(0.113)</v>
      </c>
      <c r="GM271" t="str">
        <f>"(0.0890)"</f>
        <v>(0.0890)</v>
      </c>
      <c r="GN271" t="str">
        <f>"(0.0497)"</f>
        <v>(0.0497)</v>
      </c>
      <c r="GO271" t="str">
        <f>"(0.113)"</f>
        <v>(0.113)</v>
      </c>
      <c r="GP271" t="str">
        <f>"(0.0888)"</f>
        <v>(0.0888)</v>
      </c>
      <c r="GQ271" t="str">
        <f>"(0.0487)"</f>
        <v>(0.0487)</v>
      </c>
      <c r="GR271" t="str">
        <f>"(0.113)"</f>
        <v>(0.113)</v>
      </c>
      <c r="GS271" t="str">
        <f>"(0.0885)"</f>
        <v>(0.0885)</v>
      </c>
      <c r="GT271" t="str">
        <f>"(0.0492)"</f>
        <v>(0.0492)</v>
      </c>
      <c r="GU271" t="str">
        <f>"(0.113)"</f>
        <v>(0.113)</v>
      </c>
      <c r="GV271" t="str">
        <f>"(0.0889)"</f>
        <v>(0.0889)</v>
      </c>
      <c r="GW271" t="str">
        <f>"(0.0483)"</f>
        <v>(0.0483)</v>
      </c>
      <c r="GX271" t="str">
        <f>"(0.113)"</f>
        <v>(0.113)</v>
      </c>
      <c r="GY271" t="str">
        <f>"(0.0886)"</f>
        <v>(0.0886)</v>
      </c>
      <c r="GZ271" t="str">
        <f>"(0.0482)"</f>
        <v>(0.0482)</v>
      </c>
      <c r="HA271" t="str">
        <f>"(0.113)"</f>
        <v>(0.113)</v>
      </c>
      <c r="HB271" t="str">
        <f>"(0.0886)"</f>
        <v>(0.0886)</v>
      </c>
      <c r="HC271" t="str">
        <f>"(0.0483)"</f>
        <v>(0.0483)</v>
      </c>
      <c r="HD271" t="str">
        <f>"(0.113)"</f>
        <v>(0.113)</v>
      </c>
      <c r="HE271" t="str">
        <f>"(0.0890)"</f>
        <v>(0.0890)</v>
      </c>
      <c r="HF271" t="str">
        <f>"(0.0491)"</f>
        <v>(0.0491)</v>
      </c>
      <c r="HG271" t="str">
        <f>"(0.113)"</f>
        <v>(0.113)</v>
      </c>
      <c r="HH271" t="str">
        <f>"(0.0888)"</f>
        <v>(0.0888)</v>
      </c>
      <c r="HI271" t="str">
        <f>"(0.0483)"</f>
        <v>(0.0483)</v>
      </c>
      <c r="HJ271" t="str">
        <f>"(0.114)"</f>
        <v>(0.114)</v>
      </c>
      <c r="HK271" t="str">
        <f>"(0.0889)"</f>
        <v>(0.0889)</v>
      </c>
      <c r="HL271" t="str">
        <f>"(0.0488)"</f>
        <v>(0.0488)</v>
      </c>
      <c r="HM271" t="str">
        <f>"(0.113)"</f>
        <v>(0.113)</v>
      </c>
      <c r="HN271" t="str">
        <f>"(0.0886)"</f>
        <v>(0.0886)</v>
      </c>
      <c r="HO271" t="str">
        <f>"(0.0483)"</f>
        <v>(0.0483)</v>
      </c>
      <c r="HP271" t="str">
        <f>"(0.113)"</f>
        <v>(0.113)</v>
      </c>
      <c r="HQ271" t="str">
        <f>"(0.0886)"</f>
        <v>(0.0886)</v>
      </c>
      <c r="HR271" t="str">
        <f>"(0.0484)"</f>
        <v>(0.0484)</v>
      </c>
      <c r="HS271" t="str">
        <f>""</f>
        <v/>
      </c>
      <c r="HT271" t="str">
        <f>""</f>
        <v/>
      </c>
      <c r="HU271" t="str">
        <f>""</f>
        <v/>
      </c>
      <c r="HV271" t="str">
        <f>""</f>
        <v/>
      </c>
      <c r="HW271" t="str">
        <f>""</f>
        <v/>
      </c>
      <c r="HX271" t="str">
        <f>""</f>
        <v/>
      </c>
      <c r="HY271" t="str">
        <f>""</f>
        <v/>
      </c>
      <c r="HZ271" t="str">
        <f>""</f>
        <v/>
      </c>
      <c r="IA271" t="str">
        <f>""</f>
        <v/>
      </c>
      <c r="IB271" t="str">
        <f>""</f>
        <v/>
      </c>
      <c r="IC271" t="str">
        <f>""</f>
        <v/>
      </c>
      <c r="ID271" t="str">
        <f>""</f>
        <v/>
      </c>
      <c r="IE271" t="str">
        <f>""</f>
        <v/>
      </c>
      <c r="IF271" t="str">
        <f>""</f>
        <v/>
      </c>
      <c r="IG271" t="str">
        <f>""</f>
        <v/>
      </c>
      <c r="IH271" t="str">
        <f>""</f>
        <v/>
      </c>
      <c r="II271" t="str">
        <f>""</f>
        <v/>
      </c>
      <c r="IJ271" t="str">
        <f>""</f>
        <v/>
      </c>
      <c r="IK271" t="str">
        <f>""</f>
        <v/>
      </c>
      <c r="IL271" t="str">
        <f>""</f>
        <v/>
      </c>
      <c r="IM271" t="str">
        <f>""</f>
        <v/>
      </c>
      <c r="IN271" t="str">
        <f>""</f>
        <v/>
      </c>
      <c r="IO271" t="str">
        <f>""</f>
        <v/>
      </c>
      <c r="IP271" t="str">
        <f>""</f>
        <v/>
      </c>
      <c r="IQ271" t="str">
        <f>""</f>
        <v/>
      </c>
      <c r="IR271" t="str">
        <f>""</f>
        <v/>
      </c>
      <c r="IS271" t="str">
        <f>""</f>
        <v/>
      </c>
      <c r="IT271" t="str">
        <f>""</f>
        <v/>
      </c>
      <c r="IU271" t="str">
        <f>""</f>
        <v/>
      </c>
      <c r="IV271" t="str">
        <f>""</f>
        <v/>
      </c>
      <c r="IW271" t="str">
        <f>""</f>
        <v/>
      </c>
      <c r="IX271" t="str">
        <f>""</f>
        <v/>
      </c>
      <c r="IY271" t="str">
        <f>""</f>
        <v/>
      </c>
      <c r="IZ271" t="str">
        <f>""</f>
        <v/>
      </c>
      <c r="JA271" t="str">
        <f>""</f>
        <v/>
      </c>
      <c r="JB271" t="str">
        <f>""</f>
        <v/>
      </c>
      <c r="JC271" t="str">
        <f>""</f>
        <v/>
      </c>
      <c r="JD271" t="str">
        <f>""</f>
        <v/>
      </c>
      <c r="JE271" t="str">
        <f>""</f>
        <v/>
      </c>
      <c r="JF271" t="str">
        <f>""</f>
        <v/>
      </c>
      <c r="JG271" t="str">
        <f>""</f>
        <v/>
      </c>
      <c r="JH271" t="str">
        <f>""</f>
        <v/>
      </c>
      <c r="JI271" t="str">
        <f>""</f>
        <v/>
      </c>
      <c r="JJ271" t="str">
        <f>""</f>
        <v/>
      </c>
      <c r="JK271" t="str">
        <f>""</f>
        <v/>
      </c>
    </row>
    <row r="273" spans="1:271" x14ac:dyDescent="0.3">
      <c r="A273" t="str">
        <f>"c.zMETAB1#c.PM5"</f>
        <v>c.zMETAB1#c.PM5</v>
      </c>
      <c r="B273" t="str">
        <f>""</f>
        <v/>
      </c>
      <c r="C273" t="str">
        <f>""</f>
        <v/>
      </c>
      <c r="D273" t="str">
        <f>""</f>
        <v/>
      </c>
      <c r="E273" t="str">
        <f>""</f>
        <v/>
      </c>
      <c r="F273" t="str">
        <f>""</f>
        <v/>
      </c>
      <c r="G273" t="str">
        <f>""</f>
        <v/>
      </c>
      <c r="H273" t="str">
        <f>""</f>
        <v/>
      </c>
      <c r="I273" t="str">
        <f>""</f>
        <v/>
      </c>
      <c r="J273" t="str">
        <f>""</f>
        <v/>
      </c>
      <c r="K273" t="str">
        <f>""</f>
        <v/>
      </c>
      <c r="L273" t="str">
        <f>""</f>
        <v/>
      </c>
      <c r="M273" t="str">
        <f>""</f>
        <v/>
      </c>
      <c r="N273" t="str">
        <f>""</f>
        <v/>
      </c>
      <c r="O273" t="str">
        <f>""</f>
        <v/>
      </c>
      <c r="P273" t="str">
        <f>""</f>
        <v/>
      </c>
      <c r="Q273" t="str">
        <f>""</f>
        <v/>
      </c>
      <c r="R273" t="str">
        <f>""</f>
        <v/>
      </c>
      <c r="S273" t="str">
        <f>""</f>
        <v/>
      </c>
      <c r="T273" t="str">
        <f>""</f>
        <v/>
      </c>
      <c r="U273" t="str">
        <f>""</f>
        <v/>
      </c>
      <c r="V273" t="str">
        <f>""</f>
        <v/>
      </c>
      <c r="W273" t="str">
        <f>""</f>
        <v/>
      </c>
      <c r="X273" t="str">
        <f>""</f>
        <v/>
      </c>
      <c r="Y273" t="str">
        <f>""</f>
        <v/>
      </c>
      <c r="Z273" t="str">
        <f>""</f>
        <v/>
      </c>
      <c r="AA273" t="str">
        <f>""</f>
        <v/>
      </c>
      <c r="AB273" t="str">
        <f>""</f>
        <v/>
      </c>
      <c r="AC273" t="str">
        <f>""</f>
        <v/>
      </c>
      <c r="AD273" t="str">
        <f>""</f>
        <v/>
      </c>
      <c r="AE273" t="str">
        <f>""</f>
        <v/>
      </c>
      <c r="AF273" t="str">
        <f>""</f>
        <v/>
      </c>
      <c r="AG273" t="str">
        <f>""</f>
        <v/>
      </c>
      <c r="AH273" t="str">
        <f>""</f>
        <v/>
      </c>
      <c r="AI273" t="str">
        <f>""</f>
        <v/>
      </c>
      <c r="AJ273" t="str">
        <f>""</f>
        <v/>
      </c>
      <c r="AK273" t="str">
        <f>""</f>
        <v/>
      </c>
      <c r="AL273" t="str">
        <f>""</f>
        <v/>
      </c>
      <c r="AM273" t="str">
        <f>""</f>
        <v/>
      </c>
      <c r="AN273" t="str">
        <f>""</f>
        <v/>
      </c>
      <c r="AO273" t="str">
        <f>""</f>
        <v/>
      </c>
      <c r="AP273" t="str">
        <f>""</f>
        <v/>
      </c>
      <c r="AQ273" t="str">
        <f>""</f>
        <v/>
      </c>
      <c r="AR273" t="str">
        <f>""</f>
        <v/>
      </c>
      <c r="AS273" t="str">
        <f>""</f>
        <v/>
      </c>
      <c r="AT273" t="str">
        <f>""</f>
        <v/>
      </c>
      <c r="AU273" t="str">
        <f>""</f>
        <v/>
      </c>
      <c r="AV273" t="str">
        <f>""</f>
        <v/>
      </c>
      <c r="AW273" t="str">
        <f>""</f>
        <v/>
      </c>
      <c r="AX273" t="str">
        <f>""</f>
        <v/>
      </c>
      <c r="AY273" t="str">
        <f>""</f>
        <v/>
      </c>
      <c r="AZ273" t="str">
        <f>""</f>
        <v/>
      </c>
      <c r="BA273" t="str">
        <f>""</f>
        <v/>
      </c>
      <c r="BB273" t="str">
        <f>""</f>
        <v/>
      </c>
      <c r="BC273" t="str">
        <f>""</f>
        <v/>
      </c>
      <c r="BD273" t="str">
        <f>""</f>
        <v/>
      </c>
      <c r="BE273" t="str">
        <f>""</f>
        <v/>
      </c>
      <c r="BF273" t="str">
        <f>""</f>
        <v/>
      </c>
      <c r="BG273" t="str">
        <f>""</f>
        <v/>
      </c>
      <c r="BH273" t="str">
        <f>""</f>
        <v/>
      </c>
      <c r="BI273" t="str">
        <f>""</f>
        <v/>
      </c>
      <c r="BJ273" t="str">
        <f>""</f>
        <v/>
      </c>
      <c r="BK273" t="str">
        <f>""</f>
        <v/>
      </c>
      <c r="BL273" t="str">
        <f>""</f>
        <v/>
      </c>
      <c r="BM273" t="str">
        <f>""</f>
        <v/>
      </c>
      <c r="BN273" t="str">
        <f>""</f>
        <v/>
      </c>
      <c r="BO273" t="str">
        <f>""</f>
        <v/>
      </c>
      <c r="BP273" t="str">
        <f>""</f>
        <v/>
      </c>
      <c r="BQ273" t="str">
        <f>""</f>
        <v/>
      </c>
      <c r="BR273" t="str">
        <f>""</f>
        <v/>
      </c>
      <c r="BS273" t="str">
        <f>""</f>
        <v/>
      </c>
      <c r="BT273" t="str">
        <f>""</f>
        <v/>
      </c>
      <c r="BU273" t="str">
        <f>""</f>
        <v/>
      </c>
      <c r="BV273" t="str">
        <f>""</f>
        <v/>
      </c>
      <c r="BW273" t="str">
        <f>""</f>
        <v/>
      </c>
      <c r="BX273" t="str">
        <f>""</f>
        <v/>
      </c>
      <c r="BY273" t="str">
        <f>""</f>
        <v/>
      </c>
      <c r="BZ273" t="str">
        <f>""</f>
        <v/>
      </c>
      <c r="CA273" t="str">
        <f>""</f>
        <v/>
      </c>
      <c r="CB273" t="str">
        <f>""</f>
        <v/>
      </c>
      <c r="CC273" t="str">
        <f>""</f>
        <v/>
      </c>
      <c r="CD273" t="str">
        <f>""</f>
        <v/>
      </c>
      <c r="CE273" t="str">
        <f>""</f>
        <v/>
      </c>
      <c r="CF273" t="str">
        <f>""</f>
        <v/>
      </c>
      <c r="CG273" t="str">
        <f>""</f>
        <v/>
      </c>
      <c r="CH273" t="str">
        <f>""</f>
        <v/>
      </c>
      <c r="CI273" t="str">
        <f>""</f>
        <v/>
      </c>
      <c r="CJ273" t="str">
        <f>""</f>
        <v/>
      </c>
      <c r="CK273" t="str">
        <f>""</f>
        <v/>
      </c>
      <c r="CL273" t="str">
        <f>""</f>
        <v/>
      </c>
      <c r="CM273" t="str">
        <f>""</f>
        <v/>
      </c>
      <c r="CN273" t="str">
        <f>""</f>
        <v/>
      </c>
      <c r="CO273" t="str">
        <f>""</f>
        <v/>
      </c>
      <c r="CP273" t="str">
        <f>""</f>
        <v/>
      </c>
      <c r="CQ273" t="str">
        <f>""</f>
        <v/>
      </c>
      <c r="CR273" t="str">
        <f>""</f>
        <v/>
      </c>
      <c r="CS273" t="str">
        <f>""</f>
        <v/>
      </c>
      <c r="CT273" t="str">
        <f>""</f>
        <v/>
      </c>
      <c r="CU273" t="str">
        <f>""</f>
        <v/>
      </c>
      <c r="CV273" t="str">
        <f>""</f>
        <v/>
      </c>
      <c r="CW273" t="str">
        <f>""</f>
        <v/>
      </c>
      <c r="CX273" t="str">
        <f>""</f>
        <v/>
      </c>
      <c r="CY273" t="str">
        <f>""</f>
        <v/>
      </c>
      <c r="CZ273" t="str">
        <f>""</f>
        <v/>
      </c>
      <c r="DA273" t="str">
        <f>""</f>
        <v/>
      </c>
      <c r="DB273" t="str">
        <f>""</f>
        <v/>
      </c>
      <c r="DC273" t="str">
        <f>""</f>
        <v/>
      </c>
      <c r="DD273" t="str">
        <f>""</f>
        <v/>
      </c>
      <c r="DE273" t="str">
        <f>""</f>
        <v/>
      </c>
      <c r="DF273" t="str">
        <f>""</f>
        <v/>
      </c>
      <c r="DG273" t="str">
        <f>""</f>
        <v/>
      </c>
      <c r="DH273" t="str">
        <f>""</f>
        <v/>
      </c>
      <c r="DI273" t="str">
        <f>""</f>
        <v/>
      </c>
      <c r="DJ273" t="str">
        <f>""</f>
        <v/>
      </c>
      <c r="DK273" t="str">
        <f>""</f>
        <v/>
      </c>
      <c r="DL273" t="str">
        <f>""</f>
        <v/>
      </c>
      <c r="DM273" t="str">
        <f>""</f>
        <v/>
      </c>
      <c r="DN273" t="str">
        <f>""</f>
        <v/>
      </c>
      <c r="DO273" t="str">
        <f>""</f>
        <v/>
      </c>
      <c r="DP273" t="str">
        <f>""</f>
        <v/>
      </c>
      <c r="DQ273" t="str">
        <f>""</f>
        <v/>
      </c>
      <c r="DR273" t="str">
        <f>""</f>
        <v/>
      </c>
      <c r="DS273" t="str">
        <f>""</f>
        <v/>
      </c>
      <c r="DT273" t="str">
        <f>""</f>
        <v/>
      </c>
      <c r="DU273" t="str">
        <f>""</f>
        <v/>
      </c>
      <c r="DV273" t="str">
        <f>""</f>
        <v/>
      </c>
      <c r="DW273" t="str">
        <f>""</f>
        <v/>
      </c>
      <c r="DX273" t="str">
        <f>""</f>
        <v/>
      </c>
      <c r="DY273" t="str">
        <f>""</f>
        <v/>
      </c>
      <c r="DZ273" t="str">
        <f>""</f>
        <v/>
      </c>
      <c r="EA273" t="str">
        <f>""</f>
        <v/>
      </c>
      <c r="EB273" t="str">
        <f>""</f>
        <v/>
      </c>
      <c r="EC273" t="str">
        <f>""</f>
        <v/>
      </c>
      <c r="ED273" t="str">
        <f>""</f>
        <v/>
      </c>
      <c r="EE273" t="str">
        <f>""</f>
        <v/>
      </c>
      <c r="EF273" t="str">
        <f>""</f>
        <v/>
      </c>
      <c r="EG273" t="str">
        <f>""</f>
        <v/>
      </c>
      <c r="EH273" t="str">
        <f>""</f>
        <v/>
      </c>
      <c r="EI273" t="str">
        <f>""</f>
        <v/>
      </c>
      <c r="EJ273" t="str">
        <f>""</f>
        <v/>
      </c>
      <c r="EK273" t="str">
        <f>""</f>
        <v/>
      </c>
      <c r="EL273" t="str">
        <f>""</f>
        <v/>
      </c>
      <c r="EM273" t="str">
        <f>""</f>
        <v/>
      </c>
      <c r="EN273" t="str">
        <f>""</f>
        <v/>
      </c>
      <c r="EO273" t="str">
        <f>""</f>
        <v/>
      </c>
      <c r="EP273" t="str">
        <f>""</f>
        <v/>
      </c>
      <c r="EQ273" t="str">
        <f>""</f>
        <v/>
      </c>
      <c r="ER273" t="str">
        <f>""</f>
        <v/>
      </c>
      <c r="ES273" t="str">
        <f>""</f>
        <v/>
      </c>
      <c r="ET273" t="str">
        <f>""</f>
        <v/>
      </c>
      <c r="EU273" t="str">
        <f>""</f>
        <v/>
      </c>
      <c r="EV273" t="str">
        <f>""</f>
        <v/>
      </c>
      <c r="EW273" t="str">
        <f>""</f>
        <v/>
      </c>
      <c r="EX273" t="str">
        <f>""</f>
        <v/>
      </c>
      <c r="EY273" t="str">
        <f>""</f>
        <v/>
      </c>
      <c r="EZ273" t="str">
        <f>""</f>
        <v/>
      </c>
      <c r="FA273" t="str">
        <f>""</f>
        <v/>
      </c>
      <c r="FB273" t="str">
        <f>""</f>
        <v/>
      </c>
      <c r="FC273" t="str">
        <f>""</f>
        <v/>
      </c>
      <c r="FD273" t="str">
        <f>""</f>
        <v/>
      </c>
      <c r="FE273" t="str">
        <f>""</f>
        <v/>
      </c>
      <c r="FF273" t="str">
        <f>""</f>
        <v/>
      </c>
      <c r="FG273" t="str">
        <f>""</f>
        <v/>
      </c>
      <c r="FH273" t="str">
        <f>""</f>
        <v/>
      </c>
      <c r="FI273" t="str">
        <f>""</f>
        <v/>
      </c>
      <c r="FJ273" t="str">
        <f>""</f>
        <v/>
      </c>
      <c r="FK273" t="str">
        <f>""</f>
        <v/>
      </c>
      <c r="FL273" t="str">
        <f>""</f>
        <v/>
      </c>
      <c r="FM273" t="str">
        <f>""</f>
        <v/>
      </c>
      <c r="FN273" t="str">
        <f>""</f>
        <v/>
      </c>
      <c r="FO273" t="str">
        <f>""</f>
        <v/>
      </c>
      <c r="FP273" t="str">
        <f>""</f>
        <v/>
      </c>
      <c r="FQ273" t="str">
        <f>""</f>
        <v/>
      </c>
      <c r="FR273" t="str">
        <f>""</f>
        <v/>
      </c>
      <c r="FS273" t="str">
        <f>""</f>
        <v/>
      </c>
      <c r="FT273" t="str">
        <f>""</f>
        <v/>
      </c>
      <c r="FU273" t="str">
        <f>""</f>
        <v/>
      </c>
      <c r="FV273" t="str">
        <f>""</f>
        <v/>
      </c>
      <c r="FW273" t="str">
        <f>""</f>
        <v/>
      </c>
      <c r="FX273" t="str">
        <f>""</f>
        <v/>
      </c>
      <c r="FY273" t="str">
        <f>""</f>
        <v/>
      </c>
      <c r="FZ273" t="str">
        <f>"0.00624"</f>
        <v>0.00624</v>
      </c>
      <c r="GA273" t="str">
        <f>"0.156"</f>
        <v>0.156</v>
      </c>
      <c r="GB273" t="str">
        <f>"-0.0678"</f>
        <v>-0.0678</v>
      </c>
      <c r="GC273" t="str">
        <f>""</f>
        <v/>
      </c>
      <c r="GD273" t="str">
        <f>""</f>
        <v/>
      </c>
      <c r="GE273" t="str">
        <f>""</f>
        <v/>
      </c>
      <c r="GF273" t="str">
        <f>""</f>
        <v/>
      </c>
      <c r="GG273" t="str">
        <f>""</f>
        <v/>
      </c>
      <c r="GH273" t="str">
        <f>""</f>
        <v/>
      </c>
      <c r="GI273" t="str">
        <f>""</f>
        <v/>
      </c>
      <c r="GJ273" t="str">
        <f>""</f>
        <v/>
      </c>
      <c r="GK273" t="str">
        <f>""</f>
        <v/>
      </c>
      <c r="GL273" t="str">
        <f>""</f>
        <v/>
      </c>
      <c r="GM273" t="str">
        <f>""</f>
        <v/>
      </c>
      <c r="GN273" t="str">
        <f>""</f>
        <v/>
      </c>
      <c r="GO273" t="str">
        <f>""</f>
        <v/>
      </c>
      <c r="GP273" t="str">
        <f>""</f>
        <v/>
      </c>
      <c r="GQ273" t="str">
        <f>""</f>
        <v/>
      </c>
      <c r="GR273" t="str">
        <f>""</f>
        <v/>
      </c>
      <c r="GS273" t="str">
        <f>""</f>
        <v/>
      </c>
      <c r="GT273" t="str">
        <f>""</f>
        <v/>
      </c>
      <c r="GU273" t="str">
        <f>""</f>
        <v/>
      </c>
      <c r="GV273" t="str">
        <f>""</f>
        <v/>
      </c>
      <c r="GW273" t="str">
        <f>""</f>
        <v/>
      </c>
      <c r="GX273" t="str">
        <f>""</f>
        <v/>
      </c>
      <c r="GY273" t="str">
        <f>""</f>
        <v/>
      </c>
      <c r="GZ273" t="str">
        <f>""</f>
        <v/>
      </c>
      <c r="HA273" t="str">
        <f>""</f>
        <v/>
      </c>
      <c r="HB273" t="str">
        <f>""</f>
        <v/>
      </c>
      <c r="HC273" t="str">
        <f>""</f>
        <v/>
      </c>
      <c r="HD273" t="str">
        <f>""</f>
        <v/>
      </c>
      <c r="HE273" t="str">
        <f>""</f>
        <v/>
      </c>
      <c r="HF273" t="str">
        <f>""</f>
        <v/>
      </c>
      <c r="HG273" t="str">
        <f>""</f>
        <v/>
      </c>
      <c r="HH273" t="str">
        <f>""</f>
        <v/>
      </c>
      <c r="HI273" t="str">
        <f>""</f>
        <v/>
      </c>
      <c r="HJ273" t="str">
        <f>""</f>
        <v/>
      </c>
      <c r="HK273" t="str">
        <f>""</f>
        <v/>
      </c>
      <c r="HL273" t="str">
        <f>""</f>
        <v/>
      </c>
      <c r="HM273" t="str">
        <f>""</f>
        <v/>
      </c>
      <c r="HN273" t="str">
        <f>""</f>
        <v/>
      </c>
      <c r="HO273" t="str">
        <f>""</f>
        <v/>
      </c>
      <c r="HP273" t="str">
        <f>""</f>
        <v/>
      </c>
      <c r="HQ273" t="str">
        <f>""</f>
        <v/>
      </c>
      <c r="HR273" t="str">
        <f>""</f>
        <v/>
      </c>
      <c r="HS273" t="str">
        <f>""</f>
        <v/>
      </c>
      <c r="HT273" t="str">
        <f>""</f>
        <v/>
      </c>
      <c r="HU273" t="str">
        <f>""</f>
        <v/>
      </c>
      <c r="HV273" t="str">
        <f>""</f>
        <v/>
      </c>
      <c r="HW273" t="str">
        <f>""</f>
        <v/>
      </c>
      <c r="HX273" t="str">
        <f>""</f>
        <v/>
      </c>
      <c r="HY273" t="str">
        <f>""</f>
        <v/>
      </c>
      <c r="HZ273" t="str">
        <f>""</f>
        <v/>
      </c>
      <c r="IA273" t="str">
        <f>""</f>
        <v/>
      </c>
      <c r="IB273" t="str">
        <f>""</f>
        <v/>
      </c>
      <c r="IC273" t="str">
        <f>""</f>
        <v/>
      </c>
      <c r="ID273" t="str">
        <f>""</f>
        <v/>
      </c>
      <c r="IE273" t="str">
        <f>""</f>
        <v/>
      </c>
      <c r="IF273" t="str">
        <f>""</f>
        <v/>
      </c>
      <c r="IG273" t="str">
        <f>""</f>
        <v/>
      </c>
      <c r="IH273" t="str">
        <f>""</f>
        <v/>
      </c>
      <c r="II273" t="str">
        <f>""</f>
        <v/>
      </c>
      <c r="IJ273" t="str">
        <f>""</f>
        <v/>
      </c>
      <c r="IK273" t="str">
        <f>""</f>
        <v/>
      </c>
      <c r="IL273" t="str">
        <f>""</f>
        <v/>
      </c>
      <c r="IM273" t="str">
        <f>""</f>
        <v/>
      </c>
      <c r="IN273" t="str">
        <f>""</f>
        <v/>
      </c>
      <c r="IO273" t="str">
        <f>""</f>
        <v/>
      </c>
      <c r="IP273" t="str">
        <f>""</f>
        <v/>
      </c>
      <c r="IQ273" t="str">
        <f>""</f>
        <v/>
      </c>
      <c r="IR273" t="str">
        <f>""</f>
        <v/>
      </c>
      <c r="IS273" t="str">
        <f>""</f>
        <v/>
      </c>
      <c r="IT273" t="str">
        <f>""</f>
        <v/>
      </c>
      <c r="IU273" t="str">
        <f>""</f>
        <v/>
      </c>
      <c r="IV273" t="str">
        <f>""</f>
        <v/>
      </c>
      <c r="IW273" t="str">
        <f>""</f>
        <v/>
      </c>
      <c r="IX273" t="str">
        <f>""</f>
        <v/>
      </c>
      <c r="IY273" t="str">
        <f>""</f>
        <v/>
      </c>
      <c r="IZ273" t="str">
        <f>""</f>
        <v/>
      </c>
      <c r="JA273" t="str">
        <f>""</f>
        <v/>
      </c>
      <c r="JB273" t="str">
        <f>""</f>
        <v/>
      </c>
      <c r="JC273" t="str">
        <f>""</f>
        <v/>
      </c>
      <c r="JD273" t="str">
        <f>""</f>
        <v/>
      </c>
      <c r="JE273" t="str">
        <f>""</f>
        <v/>
      </c>
      <c r="JF273" t="str">
        <f>""</f>
        <v/>
      </c>
      <c r="JG273" t="str">
        <f>""</f>
        <v/>
      </c>
      <c r="JH273" t="str">
        <f>""</f>
        <v/>
      </c>
      <c r="JI273" t="str">
        <f>""</f>
        <v/>
      </c>
      <c r="JJ273" t="str">
        <f>""</f>
        <v/>
      </c>
      <c r="JK273" t="str">
        <f>""</f>
        <v/>
      </c>
    </row>
    <row r="274" spans="1:271" x14ac:dyDescent="0.3">
      <c r="A274" t="str">
        <f>""</f>
        <v/>
      </c>
      <c r="B274" t="str">
        <f>""</f>
        <v/>
      </c>
      <c r="C274" t="str">
        <f>""</f>
        <v/>
      </c>
      <c r="D274" t="str">
        <f>""</f>
        <v/>
      </c>
      <c r="E274" t="str">
        <f>""</f>
        <v/>
      </c>
      <c r="F274" t="str">
        <f>""</f>
        <v/>
      </c>
      <c r="G274" t="str">
        <f>""</f>
        <v/>
      </c>
      <c r="H274" t="str">
        <f>""</f>
        <v/>
      </c>
      <c r="I274" t="str">
        <f>""</f>
        <v/>
      </c>
      <c r="J274" t="str">
        <f>""</f>
        <v/>
      </c>
      <c r="K274" t="str">
        <f>""</f>
        <v/>
      </c>
      <c r="L274" t="str">
        <f>""</f>
        <v/>
      </c>
      <c r="M274" t="str">
        <f>""</f>
        <v/>
      </c>
      <c r="N274" t="str">
        <f>""</f>
        <v/>
      </c>
      <c r="O274" t="str">
        <f>""</f>
        <v/>
      </c>
      <c r="P274" t="str">
        <f>""</f>
        <v/>
      </c>
      <c r="Q274" t="str">
        <f>""</f>
        <v/>
      </c>
      <c r="R274" t="str">
        <f>""</f>
        <v/>
      </c>
      <c r="S274" t="str">
        <f>""</f>
        <v/>
      </c>
      <c r="T274" t="str">
        <f>""</f>
        <v/>
      </c>
      <c r="U274" t="str">
        <f>""</f>
        <v/>
      </c>
      <c r="V274" t="str">
        <f>""</f>
        <v/>
      </c>
      <c r="W274" t="str">
        <f>""</f>
        <v/>
      </c>
      <c r="X274" t="str">
        <f>""</f>
        <v/>
      </c>
      <c r="Y274" t="str">
        <f>""</f>
        <v/>
      </c>
      <c r="Z274" t="str">
        <f>""</f>
        <v/>
      </c>
      <c r="AA274" t="str">
        <f>""</f>
        <v/>
      </c>
      <c r="AB274" t="str">
        <f>""</f>
        <v/>
      </c>
      <c r="AC274" t="str">
        <f>""</f>
        <v/>
      </c>
      <c r="AD274" t="str">
        <f>""</f>
        <v/>
      </c>
      <c r="AE274" t="str">
        <f>""</f>
        <v/>
      </c>
      <c r="AF274" t="str">
        <f>""</f>
        <v/>
      </c>
      <c r="AG274" t="str">
        <f>""</f>
        <v/>
      </c>
      <c r="AH274" t="str">
        <f>""</f>
        <v/>
      </c>
      <c r="AI274" t="str">
        <f>""</f>
        <v/>
      </c>
      <c r="AJ274" t="str">
        <f>""</f>
        <v/>
      </c>
      <c r="AK274" t="str">
        <f>""</f>
        <v/>
      </c>
      <c r="AL274" t="str">
        <f>""</f>
        <v/>
      </c>
      <c r="AM274" t="str">
        <f>""</f>
        <v/>
      </c>
      <c r="AN274" t="str">
        <f>""</f>
        <v/>
      </c>
      <c r="AO274" t="str">
        <f>""</f>
        <v/>
      </c>
      <c r="AP274" t="str">
        <f>""</f>
        <v/>
      </c>
      <c r="AQ274" t="str">
        <f>""</f>
        <v/>
      </c>
      <c r="AR274" t="str">
        <f>""</f>
        <v/>
      </c>
      <c r="AS274" t="str">
        <f>""</f>
        <v/>
      </c>
      <c r="AT274" t="str">
        <f>""</f>
        <v/>
      </c>
      <c r="AU274" t="str">
        <f>""</f>
        <v/>
      </c>
      <c r="AV274" t="str">
        <f>""</f>
        <v/>
      </c>
      <c r="AW274" t="str">
        <f>""</f>
        <v/>
      </c>
      <c r="AX274" t="str">
        <f>""</f>
        <v/>
      </c>
      <c r="AY274" t="str">
        <f>""</f>
        <v/>
      </c>
      <c r="AZ274" t="str">
        <f>""</f>
        <v/>
      </c>
      <c r="BA274" t="str">
        <f>""</f>
        <v/>
      </c>
      <c r="BB274" t="str">
        <f>""</f>
        <v/>
      </c>
      <c r="BC274" t="str">
        <f>""</f>
        <v/>
      </c>
      <c r="BD274" t="str">
        <f>""</f>
        <v/>
      </c>
      <c r="BE274" t="str">
        <f>""</f>
        <v/>
      </c>
      <c r="BF274" t="str">
        <f>""</f>
        <v/>
      </c>
      <c r="BG274" t="str">
        <f>""</f>
        <v/>
      </c>
      <c r="BH274" t="str">
        <f>""</f>
        <v/>
      </c>
      <c r="BI274" t="str">
        <f>""</f>
        <v/>
      </c>
      <c r="BJ274" t="str">
        <f>""</f>
        <v/>
      </c>
      <c r="BK274" t="str">
        <f>""</f>
        <v/>
      </c>
      <c r="BL274" t="str">
        <f>""</f>
        <v/>
      </c>
      <c r="BM274" t="str">
        <f>""</f>
        <v/>
      </c>
      <c r="BN274" t="str">
        <f>""</f>
        <v/>
      </c>
      <c r="BO274" t="str">
        <f>""</f>
        <v/>
      </c>
      <c r="BP274" t="str">
        <f>""</f>
        <v/>
      </c>
      <c r="BQ274" t="str">
        <f>""</f>
        <v/>
      </c>
      <c r="BR274" t="str">
        <f>""</f>
        <v/>
      </c>
      <c r="BS274" t="str">
        <f>""</f>
        <v/>
      </c>
      <c r="BT274" t="str">
        <f>""</f>
        <v/>
      </c>
      <c r="BU274" t="str">
        <f>""</f>
        <v/>
      </c>
      <c r="BV274" t="str">
        <f>""</f>
        <v/>
      </c>
      <c r="BW274" t="str">
        <f>""</f>
        <v/>
      </c>
      <c r="BX274" t="str">
        <f>""</f>
        <v/>
      </c>
      <c r="BY274" t="str">
        <f>""</f>
        <v/>
      </c>
      <c r="BZ274" t="str">
        <f>""</f>
        <v/>
      </c>
      <c r="CA274" t="str">
        <f>""</f>
        <v/>
      </c>
      <c r="CB274" t="str">
        <f>""</f>
        <v/>
      </c>
      <c r="CC274" t="str">
        <f>""</f>
        <v/>
      </c>
      <c r="CD274" t="str">
        <f>""</f>
        <v/>
      </c>
      <c r="CE274" t="str">
        <f>""</f>
        <v/>
      </c>
      <c r="CF274" t="str">
        <f>""</f>
        <v/>
      </c>
      <c r="CG274" t="str">
        <f>""</f>
        <v/>
      </c>
      <c r="CH274" t="str">
        <f>""</f>
        <v/>
      </c>
      <c r="CI274" t="str">
        <f>""</f>
        <v/>
      </c>
      <c r="CJ274" t="str">
        <f>""</f>
        <v/>
      </c>
      <c r="CK274" t="str">
        <f>""</f>
        <v/>
      </c>
      <c r="CL274" t="str">
        <f>""</f>
        <v/>
      </c>
      <c r="CM274" t="str">
        <f>""</f>
        <v/>
      </c>
      <c r="CN274" t="str">
        <f>""</f>
        <v/>
      </c>
      <c r="CO274" t="str">
        <f>""</f>
        <v/>
      </c>
      <c r="CP274" t="str">
        <f>""</f>
        <v/>
      </c>
      <c r="CQ274" t="str">
        <f>""</f>
        <v/>
      </c>
      <c r="CR274" t="str">
        <f>""</f>
        <v/>
      </c>
      <c r="CS274" t="str">
        <f>""</f>
        <v/>
      </c>
      <c r="CT274" t="str">
        <f>""</f>
        <v/>
      </c>
      <c r="CU274" t="str">
        <f>""</f>
        <v/>
      </c>
      <c r="CV274" t="str">
        <f>""</f>
        <v/>
      </c>
      <c r="CW274" t="str">
        <f>""</f>
        <v/>
      </c>
      <c r="CX274" t="str">
        <f>""</f>
        <v/>
      </c>
      <c r="CY274" t="str">
        <f>""</f>
        <v/>
      </c>
      <c r="CZ274" t="str">
        <f>""</f>
        <v/>
      </c>
      <c r="DA274" t="str">
        <f>""</f>
        <v/>
      </c>
      <c r="DB274" t="str">
        <f>""</f>
        <v/>
      </c>
      <c r="DC274" t="str">
        <f>""</f>
        <v/>
      </c>
      <c r="DD274" t="str">
        <f>""</f>
        <v/>
      </c>
      <c r="DE274" t="str">
        <f>""</f>
        <v/>
      </c>
      <c r="DF274" t="str">
        <f>""</f>
        <v/>
      </c>
      <c r="DG274" t="str">
        <f>""</f>
        <v/>
      </c>
      <c r="DH274" t="str">
        <f>""</f>
        <v/>
      </c>
      <c r="DI274" t="str">
        <f>""</f>
        <v/>
      </c>
      <c r="DJ274" t="str">
        <f>""</f>
        <v/>
      </c>
      <c r="DK274" t="str">
        <f>""</f>
        <v/>
      </c>
      <c r="DL274" t="str">
        <f>""</f>
        <v/>
      </c>
      <c r="DM274" t="str">
        <f>""</f>
        <v/>
      </c>
      <c r="DN274" t="str">
        <f>""</f>
        <v/>
      </c>
      <c r="DO274" t="str">
        <f>""</f>
        <v/>
      </c>
      <c r="DP274" t="str">
        <f>""</f>
        <v/>
      </c>
      <c r="DQ274" t="str">
        <f>""</f>
        <v/>
      </c>
      <c r="DR274" t="str">
        <f>""</f>
        <v/>
      </c>
      <c r="DS274" t="str">
        <f>""</f>
        <v/>
      </c>
      <c r="DT274" t="str">
        <f>""</f>
        <v/>
      </c>
      <c r="DU274" t="str">
        <f>""</f>
        <v/>
      </c>
      <c r="DV274" t="str">
        <f>""</f>
        <v/>
      </c>
      <c r="DW274" t="str">
        <f>""</f>
        <v/>
      </c>
      <c r="DX274" t="str">
        <f>""</f>
        <v/>
      </c>
      <c r="DY274" t="str">
        <f>""</f>
        <v/>
      </c>
      <c r="DZ274" t="str">
        <f>""</f>
        <v/>
      </c>
      <c r="EA274" t="str">
        <f>""</f>
        <v/>
      </c>
      <c r="EB274" t="str">
        <f>""</f>
        <v/>
      </c>
      <c r="EC274" t="str">
        <f>""</f>
        <v/>
      </c>
      <c r="ED274" t="str">
        <f>""</f>
        <v/>
      </c>
      <c r="EE274" t="str">
        <f>""</f>
        <v/>
      </c>
      <c r="EF274" t="str">
        <f>""</f>
        <v/>
      </c>
      <c r="EG274" t="str">
        <f>""</f>
        <v/>
      </c>
      <c r="EH274" t="str">
        <f>""</f>
        <v/>
      </c>
      <c r="EI274" t="str">
        <f>""</f>
        <v/>
      </c>
      <c r="EJ274" t="str">
        <f>""</f>
        <v/>
      </c>
      <c r="EK274" t="str">
        <f>""</f>
        <v/>
      </c>
      <c r="EL274" t="str">
        <f>""</f>
        <v/>
      </c>
      <c r="EM274" t="str">
        <f>""</f>
        <v/>
      </c>
      <c r="EN274" t="str">
        <f>""</f>
        <v/>
      </c>
      <c r="EO274" t="str">
        <f>""</f>
        <v/>
      </c>
      <c r="EP274" t="str">
        <f>""</f>
        <v/>
      </c>
      <c r="EQ274" t="str">
        <f>""</f>
        <v/>
      </c>
      <c r="ER274" t="str">
        <f>""</f>
        <v/>
      </c>
      <c r="ES274" t="str">
        <f>""</f>
        <v/>
      </c>
      <c r="ET274" t="str">
        <f>""</f>
        <v/>
      </c>
      <c r="EU274" t="str">
        <f>""</f>
        <v/>
      </c>
      <c r="EV274" t="str">
        <f>""</f>
        <v/>
      </c>
      <c r="EW274" t="str">
        <f>""</f>
        <v/>
      </c>
      <c r="EX274" t="str">
        <f>""</f>
        <v/>
      </c>
      <c r="EY274" t="str">
        <f>""</f>
        <v/>
      </c>
      <c r="EZ274" t="str">
        <f>""</f>
        <v/>
      </c>
      <c r="FA274" t="str">
        <f>""</f>
        <v/>
      </c>
      <c r="FB274" t="str">
        <f>""</f>
        <v/>
      </c>
      <c r="FC274" t="str">
        <f>""</f>
        <v/>
      </c>
      <c r="FD274" t="str">
        <f>""</f>
        <v/>
      </c>
      <c r="FE274" t="str">
        <f>""</f>
        <v/>
      </c>
      <c r="FF274" t="str">
        <f>""</f>
        <v/>
      </c>
      <c r="FG274" t="str">
        <f>""</f>
        <v/>
      </c>
      <c r="FH274" t="str">
        <f>""</f>
        <v/>
      </c>
      <c r="FI274" t="str">
        <f>""</f>
        <v/>
      </c>
      <c r="FJ274" t="str">
        <f>""</f>
        <v/>
      </c>
      <c r="FK274" t="str">
        <f>""</f>
        <v/>
      </c>
      <c r="FL274" t="str">
        <f>""</f>
        <v/>
      </c>
      <c r="FM274" t="str">
        <f>""</f>
        <v/>
      </c>
      <c r="FN274" t="str">
        <f>""</f>
        <v/>
      </c>
      <c r="FO274" t="str">
        <f>""</f>
        <v/>
      </c>
      <c r="FP274" t="str">
        <f>""</f>
        <v/>
      </c>
      <c r="FQ274" t="str">
        <f>""</f>
        <v/>
      </c>
      <c r="FR274" t="str">
        <f>""</f>
        <v/>
      </c>
      <c r="FS274" t="str">
        <f>""</f>
        <v/>
      </c>
      <c r="FT274" t="str">
        <f>""</f>
        <v/>
      </c>
      <c r="FU274" t="str">
        <f>""</f>
        <v/>
      </c>
      <c r="FV274" t="str">
        <f>""</f>
        <v/>
      </c>
      <c r="FW274" t="str">
        <f>""</f>
        <v/>
      </c>
      <c r="FX274" t="str">
        <f>""</f>
        <v/>
      </c>
      <c r="FY274" t="str">
        <f>""</f>
        <v/>
      </c>
      <c r="FZ274" t="str">
        <f>"(0.105)"</f>
        <v>(0.105)</v>
      </c>
      <c r="GA274" t="str">
        <f>"(0.0814)"</f>
        <v>(0.0814)</v>
      </c>
      <c r="GB274" t="str">
        <f>"(0.0440)"</f>
        <v>(0.0440)</v>
      </c>
      <c r="GC274" t="str">
        <f>""</f>
        <v/>
      </c>
      <c r="GD274" t="str">
        <f>""</f>
        <v/>
      </c>
      <c r="GE274" t="str">
        <f>""</f>
        <v/>
      </c>
      <c r="GF274" t="str">
        <f>""</f>
        <v/>
      </c>
      <c r="GG274" t="str">
        <f>""</f>
        <v/>
      </c>
      <c r="GH274" t="str">
        <f>""</f>
        <v/>
      </c>
      <c r="GI274" t="str">
        <f>""</f>
        <v/>
      </c>
      <c r="GJ274" t="str">
        <f>""</f>
        <v/>
      </c>
      <c r="GK274" t="str">
        <f>""</f>
        <v/>
      </c>
      <c r="GL274" t="str">
        <f>""</f>
        <v/>
      </c>
      <c r="GM274" t="str">
        <f>""</f>
        <v/>
      </c>
      <c r="GN274" t="str">
        <f>""</f>
        <v/>
      </c>
      <c r="GO274" t="str">
        <f>""</f>
        <v/>
      </c>
      <c r="GP274" t="str">
        <f>""</f>
        <v/>
      </c>
      <c r="GQ274" t="str">
        <f>""</f>
        <v/>
      </c>
      <c r="GR274" t="str">
        <f>""</f>
        <v/>
      </c>
      <c r="GS274" t="str">
        <f>""</f>
        <v/>
      </c>
      <c r="GT274" t="str">
        <f>""</f>
        <v/>
      </c>
      <c r="GU274" t="str">
        <f>""</f>
        <v/>
      </c>
      <c r="GV274" t="str">
        <f>""</f>
        <v/>
      </c>
      <c r="GW274" t="str">
        <f>""</f>
        <v/>
      </c>
      <c r="GX274" t="str">
        <f>""</f>
        <v/>
      </c>
      <c r="GY274" t="str">
        <f>""</f>
        <v/>
      </c>
      <c r="GZ274" t="str">
        <f>""</f>
        <v/>
      </c>
      <c r="HA274" t="str">
        <f>""</f>
        <v/>
      </c>
      <c r="HB274" t="str">
        <f>""</f>
        <v/>
      </c>
      <c r="HC274" t="str">
        <f>""</f>
        <v/>
      </c>
      <c r="HD274" t="str">
        <f>""</f>
        <v/>
      </c>
      <c r="HE274" t="str">
        <f>""</f>
        <v/>
      </c>
      <c r="HF274" t="str">
        <f>""</f>
        <v/>
      </c>
      <c r="HG274" t="str">
        <f>""</f>
        <v/>
      </c>
      <c r="HH274" t="str">
        <f>""</f>
        <v/>
      </c>
      <c r="HI274" t="str">
        <f>""</f>
        <v/>
      </c>
      <c r="HJ274" t="str">
        <f>""</f>
        <v/>
      </c>
      <c r="HK274" t="str">
        <f>""</f>
        <v/>
      </c>
      <c r="HL274" t="str">
        <f>""</f>
        <v/>
      </c>
      <c r="HM274" t="str">
        <f>""</f>
        <v/>
      </c>
      <c r="HN274" t="str">
        <f>""</f>
        <v/>
      </c>
      <c r="HO274" t="str">
        <f>""</f>
        <v/>
      </c>
      <c r="HP274" t="str">
        <f>""</f>
        <v/>
      </c>
      <c r="HQ274" t="str">
        <f>""</f>
        <v/>
      </c>
      <c r="HR274" t="str">
        <f>""</f>
        <v/>
      </c>
      <c r="HS274" t="str">
        <f>""</f>
        <v/>
      </c>
      <c r="HT274" t="str">
        <f>""</f>
        <v/>
      </c>
      <c r="HU274" t="str">
        <f>""</f>
        <v/>
      </c>
      <c r="HV274" t="str">
        <f>""</f>
        <v/>
      </c>
      <c r="HW274" t="str">
        <f>""</f>
        <v/>
      </c>
      <c r="HX274" t="str">
        <f>""</f>
        <v/>
      </c>
      <c r="HY274" t="str">
        <f>""</f>
        <v/>
      </c>
      <c r="HZ274" t="str">
        <f>""</f>
        <v/>
      </c>
      <c r="IA274" t="str">
        <f>""</f>
        <v/>
      </c>
      <c r="IB274" t="str">
        <f>""</f>
        <v/>
      </c>
      <c r="IC274" t="str">
        <f>""</f>
        <v/>
      </c>
      <c r="ID274" t="str">
        <f>""</f>
        <v/>
      </c>
      <c r="IE274" t="str">
        <f>""</f>
        <v/>
      </c>
      <c r="IF274" t="str">
        <f>""</f>
        <v/>
      </c>
      <c r="IG274" t="str">
        <f>""</f>
        <v/>
      </c>
      <c r="IH274" t="str">
        <f>""</f>
        <v/>
      </c>
      <c r="II274" t="str">
        <f>""</f>
        <v/>
      </c>
      <c r="IJ274" t="str">
        <f>""</f>
        <v/>
      </c>
      <c r="IK274" t="str">
        <f>""</f>
        <v/>
      </c>
      <c r="IL274" t="str">
        <f>""</f>
        <v/>
      </c>
      <c r="IM274" t="str">
        <f>""</f>
        <v/>
      </c>
      <c r="IN274" t="str">
        <f>""</f>
        <v/>
      </c>
      <c r="IO274" t="str">
        <f>""</f>
        <v/>
      </c>
      <c r="IP274" t="str">
        <f>""</f>
        <v/>
      </c>
      <c r="IQ274" t="str">
        <f>""</f>
        <v/>
      </c>
      <c r="IR274" t="str">
        <f>""</f>
        <v/>
      </c>
      <c r="IS274" t="str">
        <f>""</f>
        <v/>
      </c>
      <c r="IT274" t="str">
        <f>""</f>
        <v/>
      </c>
      <c r="IU274" t="str">
        <f>""</f>
        <v/>
      </c>
      <c r="IV274" t="str">
        <f>""</f>
        <v/>
      </c>
      <c r="IW274" t="str">
        <f>""</f>
        <v/>
      </c>
      <c r="IX274" t="str">
        <f>""</f>
        <v/>
      </c>
      <c r="IY274" t="str">
        <f>""</f>
        <v/>
      </c>
      <c r="IZ274" t="str">
        <f>""</f>
        <v/>
      </c>
      <c r="JA274" t="str">
        <f>""</f>
        <v/>
      </c>
      <c r="JB274" t="str">
        <f>""</f>
        <v/>
      </c>
      <c r="JC274" t="str">
        <f>""</f>
        <v/>
      </c>
      <c r="JD274" t="str">
        <f>""</f>
        <v/>
      </c>
      <c r="JE274" t="str">
        <f>""</f>
        <v/>
      </c>
      <c r="JF274" t="str">
        <f>""</f>
        <v/>
      </c>
      <c r="JG274" t="str">
        <f>""</f>
        <v/>
      </c>
      <c r="JH274" t="str">
        <f>""</f>
        <v/>
      </c>
      <c r="JI274" t="str">
        <f>""</f>
        <v/>
      </c>
      <c r="JJ274" t="str">
        <f>""</f>
        <v/>
      </c>
      <c r="JK274" t="str">
        <f>""</f>
        <v/>
      </c>
    </row>
    <row r="276" spans="1:271" x14ac:dyDescent="0.3">
      <c r="A276" t="str">
        <f>"c.zMETAB2#c.PM5"</f>
        <v>c.zMETAB2#c.PM5</v>
      </c>
      <c r="B276" t="str">
        <f>""</f>
        <v/>
      </c>
      <c r="C276" t="str">
        <f>""</f>
        <v/>
      </c>
      <c r="D276" t="str">
        <f>""</f>
        <v/>
      </c>
      <c r="E276" t="str">
        <f>""</f>
        <v/>
      </c>
      <c r="F276" t="str">
        <f>""</f>
        <v/>
      </c>
      <c r="G276" t="str">
        <f>""</f>
        <v/>
      </c>
      <c r="H276" t="str">
        <f>""</f>
        <v/>
      </c>
      <c r="I276" t="str">
        <f>""</f>
        <v/>
      </c>
      <c r="J276" t="str">
        <f>""</f>
        <v/>
      </c>
      <c r="K276" t="str">
        <f>""</f>
        <v/>
      </c>
      <c r="L276" t="str">
        <f>""</f>
        <v/>
      </c>
      <c r="M276" t="str">
        <f>""</f>
        <v/>
      </c>
      <c r="N276" t="str">
        <f>""</f>
        <v/>
      </c>
      <c r="O276" t="str">
        <f>""</f>
        <v/>
      </c>
      <c r="P276" t="str">
        <f>""</f>
        <v/>
      </c>
      <c r="Q276" t="str">
        <f>""</f>
        <v/>
      </c>
      <c r="R276" t="str">
        <f>""</f>
        <v/>
      </c>
      <c r="S276" t="str">
        <f>""</f>
        <v/>
      </c>
      <c r="T276" t="str">
        <f>""</f>
        <v/>
      </c>
      <c r="U276" t="str">
        <f>""</f>
        <v/>
      </c>
      <c r="V276" t="str">
        <f>""</f>
        <v/>
      </c>
      <c r="W276" t="str">
        <f>""</f>
        <v/>
      </c>
      <c r="X276" t="str">
        <f>""</f>
        <v/>
      </c>
      <c r="Y276" t="str">
        <f>""</f>
        <v/>
      </c>
      <c r="Z276" t="str">
        <f>""</f>
        <v/>
      </c>
      <c r="AA276" t="str">
        <f>""</f>
        <v/>
      </c>
      <c r="AB276" t="str">
        <f>""</f>
        <v/>
      </c>
      <c r="AC276" t="str">
        <f>""</f>
        <v/>
      </c>
      <c r="AD276" t="str">
        <f>""</f>
        <v/>
      </c>
      <c r="AE276" t="str">
        <f>""</f>
        <v/>
      </c>
      <c r="AF276" t="str">
        <f>""</f>
        <v/>
      </c>
      <c r="AG276" t="str">
        <f>""</f>
        <v/>
      </c>
      <c r="AH276" t="str">
        <f>""</f>
        <v/>
      </c>
      <c r="AI276" t="str">
        <f>""</f>
        <v/>
      </c>
      <c r="AJ276" t="str">
        <f>""</f>
        <v/>
      </c>
      <c r="AK276" t="str">
        <f>""</f>
        <v/>
      </c>
      <c r="AL276" t="str">
        <f>""</f>
        <v/>
      </c>
      <c r="AM276" t="str">
        <f>""</f>
        <v/>
      </c>
      <c r="AN276" t="str">
        <f>""</f>
        <v/>
      </c>
      <c r="AO276" t="str">
        <f>""</f>
        <v/>
      </c>
      <c r="AP276" t="str">
        <f>""</f>
        <v/>
      </c>
      <c r="AQ276" t="str">
        <f>""</f>
        <v/>
      </c>
      <c r="AR276" t="str">
        <f>""</f>
        <v/>
      </c>
      <c r="AS276" t="str">
        <f>""</f>
        <v/>
      </c>
      <c r="AT276" t="str">
        <f>""</f>
        <v/>
      </c>
      <c r="AU276" t="str">
        <f>""</f>
        <v/>
      </c>
      <c r="AV276" t="str">
        <f>""</f>
        <v/>
      </c>
      <c r="AW276" t="str">
        <f>""</f>
        <v/>
      </c>
      <c r="AX276" t="str">
        <f>""</f>
        <v/>
      </c>
      <c r="AY276" t="str">
        <f>""</f>
        <v/>
      </c>
      <c r="AZ276" t="str">
        <f>""</f>
        <v/>
      </c>
      <c r="BA276" t="str">
        <f>""</f>
        <v/>
      </c>
      <c r="BB276" t="str">
        <f>""</f>
        <v/>
      </c>
      <c r="BC276" t="str">
        <f>""</f>
        <v/>
      </c>
      <c r="BD276" t="str">
        <f>""</f>
        <v/>
      </c>
      <c r="BE276" t="str">
        <f>""</f>
        <v/>
      </c>
      <c r="BF276" t="str">
        <f>""</f>
        <v/>
      </c>
      <c r="BG276" t="str">
        <f>""</f>
        <v/>
      </c>
      <c r="BH276" t="str">
        <f>""</f>
        <v/>
      </c>
      <c r="BI276" t="str">
        <f>""</f>
        <v/>
      </c>
      <c r="BJ276" t="str">
        <f>""</f>
        <v/>
      </c>
      <c r="BK276" t="str">
        <f>""</f>
        <v/>
      </c>
      <c r="BL276" t="str">
        <f>""</f>
        <v/>
      </c>
      <c r="BM276" t="str">
        <f>""</f>
        <v/>
      </c>
      <c r="BN276" t="str">
        <f>""</f>
        <v/>
      </c>
      <c r="BO276" t="str">
        <f>""</f>
        <v/>
      </c>
      <c r="BP276" t="str">
        <f>""</f>
        <v/>
      </c>
      <c r="BQ276" t="str">
        <f>""</f>
        <v/>
      </c>
      <c r="BR276" t="str">
        <f>""</f>
        <v/>
      </c>
      <c r="BS276" t="str">
        <f>""</f>
        <v/>
      </c>
      <c r="BT276" t="str">
        <f>""</f>
        <v/>
      </c>
      <c r="BU276" t="str">
        <f>""</f>
        <v/>
      </c>
      <c r="BV276" t="str">
        <f>""</f>
        <v/>
      </c>
      <c r="BW276" t="str">
        <f>""</f>
        <v/>
      </c>
      <c r="BX276" t="str">
        <f>""</f>
        <v/>
      </c>
      <c r="BY276" t="str">
        <f>""</f>
        <v/>
      </c>
      <c r="BZ276" t="str">
        <f>""</f>
        <v/>
      </c>
      <c r="CA276" t="str">
        <f>""</f>
        <v/>
      </c>
      <c r="CB276" t="str">
        <f>""</f>
        <v/>
      </c>
      <c r="CC276" t="str">
        <f>""</f>
        <v/>
      </c>
      <c r="CD276" t="str">
        <f>""</f>
        <v/>
      </c>
      <c r="CE276" t="str">
        <f>""</f>
        <v/>
      </c>
      <c r="CF276" t="str">
        <f>""</f>
        <v/>
      </c>
      <c r="CG276" t="str">
        <f>""</f>
        <v/>
      </c>
      <c r="CH276" t="str">
        <f>""</f>
        <v/>
      </c>
      <c r="CI276" t="str">
        <f>""</f>
        <v/>
      </c>
      <c r="CJ276" t="str">
        <f>""</f>
        <v/>
      </c>
      <c r="CK276" t="str">
        <f>""</f>
        <v/>
      </c>
      <c r="CL276" t="str">
        <f>""</f>
        <v/>
      </c>
      <c r="CM276" t="str">
        <f>""</f>
        <v/>
      </c>
      <c r="CN276" t="str">
        <f>""</f>
        <v/>
      </c>
      <c r="CO276" t="str">
        <f>""</f>
        <v/>
      </c>
      <c r="CP276" t="str">
        <f>""</f>
        <v/>
      </c>
      <c r="CQ276" t="str">
        <f>""</f>
        <v/>
      </c>
      <c r="CR276" t="str">
        <f>""</f>
        <v/>
      </c>
      <c r="CS276" t="str">
        <f>""</f>
        <v/>
      </c>
      <c r="CT276" t="str">
        <f>""</f>
        <v/>
      </c>
      <c r="CU276" t="str">
        <f>""</f>
        <v/>
      </c>
      <c r="CV276" t="str">
        <f>""</f>
        <v/>
      </c>
      <c r="CW276" t="str">
        <f>""</f>
        <v/>
      </c>
      <c r="CX276" t="str">
        <f>""</f>
        <v/>
      </c>
      <c r="CY276" t="str">
        <f>""</f>
        <v/>
      </c>
      <c r="CZ276" t="str">
        <f>""</f>
        <v/>
      </c>
      <c r="DA276" t="str">
        <f>""</f>
        <v/>
      </c>
      <c r="DB276" t="str">
        <f>""</f>
        <v/>
      </c>
      <c r="DC276" t="str">
        <f>""</f>
        <v/>
      </c>
      <c r="DD276" t="str">
        <f>""</f>
        <v/>
      </c>
      <c r="DE276" t="str">
        <f>""</f>
        <v/>
      </c>
      <c r="DF276" t="str">
        <f>""</f>
        <v/>
      </c>
      <c r="DG276" t="str">
        <f>""</f>
        <v/>
      </c>
      <c r="DH276" t="str">
        <f>""</f>
        <v/>
      </c>
      <c r="DI276" t="str">
        <f>""</f>
        <v/>
      </c>
      <c r="DJ276" t="str">
        <f>""</f>
        <v/>
      </c>
      <c r="DK276" t="str">
        <f>""</f>
        <v/>
      </c>
      <c r="DL276" t="str">
        <f>""</f>
        <v/>
      </c>
      <c r="DM276" t="str">
        <f>""</f>
        <v/>
      </c>
      <c r="DN276" t="str">
        <f>""</f>
        <v/>
      </c>
      <c r="DO276" t="str">
        <f>""</f>
        <v/>
      </c>
      <c r="DP276" t="str">
        <f>""</f>
        <v/>
      </c>
      <c r="DQ276" t="str">
        <f>""</f>
        <v/>
      </c>
      <c r="DR276" t="str">
        <f>""</f>
        <v/>
      </c>
      <c r="DS276" t="str">
        <f>""</f>
        <v/>
      </c>
      <c r="DT276" t="str">
        <f>""</f>
        <v/>
      </c>
      <c r="DU276" t="str">
        <f>""</f>
        <v/>
      </c>
      <c r="DV276" t="str">
        <f>""</f>
        <v/>
      </c>
      <c r="DW276" t="str">
        <f>""</f>
        <v/>
      </c>
      <c r="DX276" t="str">
        <f>""</f>
        <v/>
      </c>
      <c r="DY276" t="str">
        <f>""</f>
        <v/>
      </c>
      <c r="DZ276" t="str">
        <f>""</f>
        <v/>
      </c>
      <c r="EA276" t="str">
        <f>""</f>
        <v/>
      </c>
      <c r="EB276" t="str">
        <f>""</f>
        <v/>
      </c>
      <c r="EC276" t="str">
        <f>""</f>
        <v/>
      </c>
      <c r="ED276" t="str">
        <f>""</f>
        <v/>
      </c>
      <c r="EE276" t="str">
        <f>""</f>
        <v/>
      </c>
      <c r="EF276" t="str">
        <f>""</f>
        <v/>
      </c>
      <c r="EG276" t="str">
        <f>""</f>
        <v/>
      </c>
      <c r="EH276" t="str">
        <f>""</f>
        <v/>
      </c>
      <c r="EI276" t="str">
        <f>""</f>
        <v/>
      </c>
      <c r="EJ276" t="str">
        <f>""</f>
        <v/>
      </c>
      <c r="EK276" t="str">
        <f>""</f>
        <v/>
      </c>
      <c r="EL276" t="str">
        <f>""</f>
        <v/>
      </c>
      <c r="EM276" t="str">
        <f>""</f>
        <v/>
      </c>
      <c r="EN276" t="str">
        <f>""</f>
        <v/>
      </c>
      <c r="EO276" t="str">
        <f>""</f>
        <v/>
      </c>
      <c r="EP276" t="str">
        <f>""</f>
        <v/>
      </c>
      <c r="EQ276" t="str">
        <f>""</f>
        <v/>
      </c>
      <c r="ER276" t="str">
        <f>""</f>
        <v/>
      </c>
      <c r="ES276" t="str">
        <f>""</f>
        <v/>
      </c>
      <c r="ET276" t="str">
        <f>""</f>
        <v/>
      </c>
      <c r="EU276" t="str">
        <f>""</f>
        <v/>
      </c>
      <c r="EV276" t="str">
        <f>""</f>
        <v/>
      </c>
      <c r="EW276" t="str">
        <f>""</f>
        <v/>
      </c>
      <c r="EX276" t="str">
        <f>""</f>
        <v/>
      </c>
      <c r="EY276" t="str">
        <f>""</f>
        <v/>
      </c>
      <c r="EZ276" t="str">
        <f>""</f>
        <v/>
      </c>
      <c r="FA276" t="str">
        <f>""</f>
        <v/>
      </c>
      <c r="FB276" t="str">
        <f>""</f>
        <v/>
      </c>
      <c r="FC276" t="str">
        <f>""</f>
        <v/>
      </c>
      <c r="FD276" t="str">
        <f>""</f>
        <v/>
      </c>
      <c r="FE276" t="str">
        <f>""</f>
        <v/>
      </c>
      <c r="FF276" t="str">
        <f>""</f>
        <v/>
      </c>
      <c r="FG276" t="str">
        <f>""</f>
        <v/>
      </c>
      <c r="FH276" t="str">
        <f>""</f>
        <v/>
      </c>
      <c r="FI276" t="str">
        <f>""</f>
        <v/>
      </c>
      <c r="FJ276" t="str">
        <f>""</f>
        <v/>
      </c>
      <c r="FK276" t="str">
        <f>""</f>
        <v/>
      </c>
      <c r="FL276" t="str">
        <f>""</f>
        <v/>
      </c>
      <c r="FM276" t="str">
        <f>""</f>
        <v/>
      </c>
      <c r="FN276" t="str">
        <f>""</f>
        <v/>
      </c>
      <c r="FO276" t="str">
        <f>""</f>
        <v/>
      </c>
      <c r="FP276" t="str">
        <f>""</f>
        <v/>
      </c>
      <c r="FQ276" t="str">
        <f>""</f>
        <v/>
      </c>
      <c r="FR276" t="str">
        <f>""</f>
        <v/>
      </c>
      <c r="FS276" t="str">
        <f>""</f>
        <v/>
      </c>
      <c r="FT276" t="str">
        <f>""</f>
        <v/>
      </c>
      <c r="FU276" t="str">
        <f>""</f>
        <v/>
      </c>
      <c r="FV276" t="str">
        <f>""</f>
        <v/>
      </c>
      <c r="FW276" t="str">
        <f>""</f>
        <v/>
      </c>
      <c r="FX276" t="str">
        <f>""</f>
        <v/>
      </c>
      <c r="FY276" t="str">
        <f>""</f>
        <v/>
      </c>
      <c r="FZ276" t="str">
        <f>""</f>
        <v/>
      </c>
      <c r="GA276" t="str">
        <f>""</f>
        <v/>
      </c>
      <c r="GB276" t="str">
        <f>""</f>
        <v/>
      </c>
      <c r="GC276" t="str">
        <f>"0.0593"</f>
        <v>0.0593</v>
      </c>
      <c r="GD276" t="str">
        <f>"0.00665"</f>
        <v>0.00665</v>
      </c>
      <c r="GE276" t="str">
        <f>"0.0108"</f>
        <v>0.0108</v>
      </c>
      <c r="GF276" t="str">
        <f>""</f>
        <v/>
      </c>
      <c r="GG276" t="str">
        <f>""</f>
        <v/>
      </c>
      <c r="GH276" t="str">
        <f>""</f>
        <v/>
      </c>
      <c r="GI276" t="str">
        <f>""</f>
        <v/>
      </c>
      <c r="GJ276" t="str">
        <f>""</f>
        <v/>
      </c>
      <c r="GK276" t="str">
        <f>""</f>
        <v/>
      </c>
      <c r="GL276" t="str">
        <f>""</f>
        <v/>
      </c>
      <c r="GM276" t="str">
        <f>""</f>
        <v/>
      </c>
      <c r="GN276" t="str">
        <f>""</f>
        <v/>
      </c>
      <c r="GO276" t="str">
        <f>""</f>
        <v/>
      </c>
      <c r="GP276" t="str">
        <f>""</f>
        <v/>
      </c>
      <c r="GQ276" t="str">
        <f>""</f>
        <v/>
      </c>
      <c r="GR276" t="str">
        <f>""</f>
        <v/>
      </c>
      <c r="GS276" t="str">
        <f>""</f>
        <v/>
      </c>
      <c r="GT276" t="str">
        <f>""</f>
        <v/>
      </c>
      <c r="GU276" t="str">
        <f>""</f>
        <v/>
      </c>
      <c r="GV276" t="str">
        <f>""</f>
        <v/>
      </c>
      <c r="GW276" t="str">
        <f>""</f>
        <v/>
      </c>
      <c r="GX276" t="str">
        <f>""</f>
        <v/>
      </c>
      <c r="GY276" t="str">
        <f>""</f>
        <v/>
      </c>
      <c r="GZ276" t="str">
        <f>""</f>
        <v/>
      </c>
      <c r="HA276" t="str">
        <f>""</f>
        <v/>
      </c>
      <c r="HB276" t="str">
        <f>""</f>
        <v/>
      </c>
      <c r="HC276" t="str">
        <f>""</f>
        <v/>
      </c>
      <c r="HD276" t="str">
        <f>""</f>
        <v/>
      </c>
      <c r="HE276" t="str">
        <f>""</f>
        <v/>
      </c>
      <c r="HF276" t="str">
        <f>""</f>
        <v/>
      </c>
      <c r="HG276" t="str">
        <f>""</f>
        <v/>
      </c>
      <c r="HH276" t="str">
        <f>""</f>
        <v/>
      </c>
      <c r="HI276" t="str">
        <f>""</f>
        <v/>
      </c>
      <c r="HJ276" t="str">
        <f>""</f>
        <v/>
      </c>
      <c r="HK276" t="str">
        <f>""</f>
        <v/>
      </c>
      <c r="HL276" t="str">
        <f>""</f>
        <v/>
      </c>
      <c r="HM276" t="str">
        <f>""</f>
        <v/>
      </c>
      <c r="HN276" t="str">
        <f>""</f>
        <v/>
      </c>
      <c r="HO276" t="str">
        <f>""</f>
        <v/>
      </c>
      <c r="HP276" t="str">
        <f>""</f>
        <v/>
      </c>
      <c r="HQ276" t="str">
        <f>""</f>
        <v/>
      </c>
      <c r="HR276" t="str">
        <f>""</f>
        <v/>
      </c>
      <c r="HS276" t="str">
        <f>""</f>
        <v/>
      </c>
      <c r="HT276" t="str">
        <f>""</f>
        <v/>
      </c>
      <c r="HU276" t="str">
        <f>""</f>
        <v/>
      </c>
      <c r="HV276" t="str">
        <f>""</f>
        <v/>
      </c>
      <c r="HW276" t="str">
        <f>""</f>
        <v/>
      </c>
      <c r="HX276" t="str">
        <f>""</f>
        <v/>
      </c>
      <c r="HY276" t="str">
        <f>""</f>
        <v/>
      </c>
      <c r="HZ276" t="str">
        <f>""</f>
        <v/>
      </c>
      <c r="IA276" t="str">
        <f>""</f>
        <v/>
      </c>
      <c r="IB276" t="str">
        <f>""</f>
        <v/>
      </c>
      <c r="IC276" t="str">
        <f>""</f>
        <v/>
      </c>
      <c r="ID276" t="str">
        <f>""</f>
        <v/>
      </c>
      <c r="IE276" t="str">
        <f>""</f>
        <v/>
      </c>
      <c r="IF276" t="str">
        <f>""</f>
        <v/>
      </c>
      <c r="IG276" t="str">
        <f>""</f>
        <v/>
      </c>
      <c r="IH276" t="str">
        <f>""</f>
        <v/>
      </c>
      <c r="II276" t="str">
        <f>""</f>
        <v/>
      </c>
      <c r="IJ276" t="str">
        <f>""</f>
        <v/>
      </c>
      <c r="IK276" t="str">
        <f>""</f>
        <v/>
      </c>
      <c r="IL276" t="str">
        <f>""</f>
        <v/>
      </c>
      <c r="IM276" t="str">
        <f>""</f>
        <v/>
      </c>
      <c r="IN276" t="str">
        <f>""</f>
        <v/>
      </c>
      <c r="IO276" t="str">
        <f>""</f>
        <v/>
      </c>
      <c r="IP276" t="str">
        <f>""</f>
        <v/>
      </c>
      <c r="IQ276" t="str">
        <f>""</f>
        <v/>
      </c>
      <c r="IR276" t="str">
        <f>""</f>
        <v/>
      </c>
      <c r="IS276" t="str">
        <f>""</f>
        <v/>
      </c>
      <c r="IT276" t="str">
        <f>""</f>
        <v/>
      </c>
      <c r="IU276" t="str">
        <f>""</f>
        <v/>
      </c>
      <c r="IV276" t="str">
        <f>""</f>
        <v/>
      </c>
      <c r="IW276" t="str">
        <f>""</f>
        <v/>
      </c>
      <c r="IX276" t="str">
        <f>""</f>
        <v/>
      </c>
      <c r="IY276" t="str">
        <f>""</f>
        <v/>
      </c>
      <c r="IZ276" t="str">
        <f>""</f>
        <v/>
      </c>
      <c r="JA276" t="str">
        <f>""</f>
        <v/>
      </c>
      <c r="JB276" t="str">
        <f>""</f>
        <v/>
      </c>
      <c r="JC276" t="str">
        <f>""</f>
        <v/>
      </c>
      <c r="JD276" t="str">
        <f>""</f>
        <v/>
      </c>
      <c r="JE276" t="str">
        <f>""</f>
        <v/>
      </c>
      <c r="JF276" t="str">
        <f>""</f>
        <v/>
      </c>
      <c r="JG276" t="str">
        <f>""</f>
        <v/>
      </c>
      <c r="JH276" t="str">
        <f>""</f>
        <v/>
      </c>
      <c r="JI276" t="str">
        <f>""</f>
        <v/>
      </c>
      <c r="JJ276" t="str">
        <f>""</f>
        <v/>
      </c>
      <c r="JK276" t="str">
        <f>""</f>
        <v/>
      </c>
    </row>
    <row r="277" spans="1:271" x14ac:dyDescent="0.3">
      <c r="A277" t="str">
        <f>""</f>
        <v/>
      </c>
      <c r="B277" t="str">
        <f>""</f>
        <v/>
      </c>
      <c r="C277" t="str">
        <f>""</f>
        <v/>
      </c>
      <c r="D277" t="str">
        <f>""</f>
        <v/>
      </c>
      <c r="E277" t="str">
        <f>""</f>
        <v/>
      </c>
      <c r="F277" t="str">
        <f>""</f>
        <v/>
      </c>
      <c r="G277" t="str">
        <f>""</f>
        <v/>
      </c>
      <c r="H277" t="str">
        <f>""</f>
        <v/>
      </c>
      <c r="I277" t="str">
        <f>""</f>
        <v/>
      </c>
      <c r="J277" t="str">
        <f>""</f>
        <v/>
      </c>
      <c r="K277" t="str">
        <f>""</f>
        <v/>
      </c>
      <c r="L277" t="str">
        <f>""</f>
        <v/>
      </c>
      <c r="M277" t="str">
        <f>""</f>
        <v/>
      </c>
      <c r="N277" t="str">
        <f>""</f>
        <v/>
      </c>
      <c r="O277" t="str">
        <f>""</f>
        <v/>
      </c>
      <c r="P277" t="str">
        <f>""</f>
        <v/>
      </c>
      <c r="Q277" t="str">
        <f>""</f>
        <v/>
      </c>
      <c r="R277" t="str">
        <f>""</f>
        <v/>
      </c>
      <c r="S277" t="str">
        <f>""</f>
        <v/>
      </c>
      <c r="T277" t="str">
        <f>""</f>
        <v/>
      </c>
      <c r="U277" t="str">
        <f>""</f>
        <v/>
      </c>
      <c r="V277" t="str">
        <f>""</f>
        <v/>
      </c>
      <c r="W277" t="str">
        <f>""</f>
        <v/>
      </c>
      <c r="X277" t="str">
        <f>""</f>
        <v/>
      </c>
      <c r="Y277" t="str">
        <f>""</f>
        <v/>
      </c>
      <c r="Z277" t="str">
        <f>""</f>
        <v/>
      </c>
      <c r="AA277" t="str">
        <f>""</f>
        <v/>
      </c>
      <c r="AB277" t="str">
        <f>""</f>
        <v/>
      </c>
      <c r="AC277" t="str">
        <f>""</f>
        <v/>
      </c>
      <c r="AD277" t="str">
        <f>""</f>
        <v/>
      </c>
      <c r="AE277" t="str">
        <f>""</f>
        <v/>
      </c>
      <c r="AF277" t="str">
        <f>""</f>
        <v/>
      </c>
      <c r="AG277" t="str">
        <f>""</f>
        <v/>
      </c>
      <c r="AH277" t="str">
        <f>""</f>
        <v/>
      </c>
      <c r="AI277" t="str">
        <f>""</f>
        <v/>
      </c>
      <c r="AJ277" t="str">
        <f>""</f>
        <v/>
      </c>
      <c r="AK277" t="str">
        <f>""</f>
        <v/>
      </c>
      <c r="AL277" t="str">
        <f>""</f>
        <v/>
      </c>
      <c r="AM277" t="str">
        <f>""</f>
        <v/>
      </c>
      <c r="AN277" t="str">
        <f>""</f>
        <v/>
      </c>
      <c r="AO277" t="str">
        <f>""</f>
        <v/>
      </c>
      <c r="AP277" t="str">
        <f>""</f>
        <v/>
      </c>
      <c r="AQ277" t="str">
        <f>""</f>
        <v/>
      </c>
      <c r="AR277" t="str">
        <f>""</f>
        <v/>
      </c>
      <c r="AS277" t="str">
        <f>""</f>
        <v/>
      </c>
      <c r="AT277" t="str">
        <f>""</f>
        <v/>
      </c>
      <c r="AU277" t="str">
        <f>""</f>
        <v/>
      </c>
      <c r="AV277" t="str">
        <f>""</f>
        <v/>
      </c>
      <c r="AW277" t="str">
        <f>""</f>
        <v/>
      </c>
      <c r="AX277" t="str">
        <f>""</f>
        <v/>
      </c>
      <c r="AY277" t="str">
        <f>""</f>
        <v/>
      </c>
      <c r="AZ277" t="str">
        <f>""</f>
        <v/>
      </c>
      <c r="BA277" t="str">
        <f>""</f>
        <v/>
      </c>
      <c r="BB277" t="str">
        <f>""</f>
        <v/>
      </c>
      <c r="BC277" t="str">
        <f>""</f>
        <v/>
      </c>
      <c r="BD277" t="str">
        <f>""</f>
        <v/>
      </c>
      <c r="BE277" t="str">
        <f>""</f>
        <v/>
      </c>
      <c r="BF277" t="str">
        <f>""</f>
        <v/>
      </c>
      <c r="BG277" t="str">
        <f>""</f>
        <v/>
      </c>
      <c r="BH277" t="str">
        <f>""</f>
        <v/>
      </c>
      <c r="BI277" t="str">
        <f>""</f>
        <v/>
      </c>
      <c r="BJ277" t="str">
        <f>""</f>
        <v/>
      </c>
      <c r="BK277" t="str">
        <f>""</f>
        <v/>
      </c>
      <c r="BL277" t="str">
        <f>""</f>
        <v/>
      </c>
      <c r="BM277" t="str">
        <f>""</f>
        <v/>
      </c>
      <c r="BN277" t="str">
        <f>""</f>
        <v/>
      </c>
      <c r="BO277" t="str">
        <f>""</f>
        <v/>
      </c>
      <c r="BP277" t="str">
        <f>""</f>
        <v/>
      </c>
      <c r="BQ277" t="str">
        <f>""</f>
        <v/>
      </c>
      <c r="BR277" t="str">
        <f>""</f>
        <v/>
      </c>
      <c r="BS277" t="str">
        <f>""</f>
        <v/>
      </c>
      <c r="BT277" t="str">
        <f>""</f>
        <v/>
      </c>
      <c r="BU277" t="str">
        <f>""</f>
        <v/>
      </c>
      <c r="BV277" t="str">
        <f>""</f>
        <v/>
      </c>
      <c r="BW277" t="str">
        <f>""</f>
        <v/>
      </c>
      <c r="BX277" t="str">
        <f>""</f>
        <v/>
      </c>
      <c r="BY277" t="str">
        <f>""</f>
        <v/>
      </c>
      <c r="BZ277" t="str">
        <f>""</f>
        <v/>
      </c>
      <c r="CA277" t="str">
        <f>""</f>
        <v/>
      </c>
      <c r="CB277" t="str">
        <f>""</f>
        <v/>
      </c>
      <c r="CC277" t="str">
        <f>""</f>
        <v/>
      </c>
      <c r="CD277" t="str">
        <f>""</f>
        <v/>
      </c>
      <c r="CE277" t="str">
        <f>""</f>
        <v/>
      </c>
      <c r="CF277" t="str">
        <f>""</f>
        <v/>
      </c>
      <c r="CG277" t="str">
        <f>""</f>
        <v/>
      </c>
      <c r="CH277" t="str">
        <f>""</f>
        <v/>
      </c>
      <c r="CI277" t="str">
        <f>""</f>
        <v/>
      </c>
      <c r="CJ277" t="str">
        <f>""</f>
        <v/>
      </c>
      <c r="CK277" t="str">
        <f>""</f>
        <v/>
      </c>
      <c r="CL277" t="str">
        <f>""</f>
        <v/>
      </c>
      <c r="CM277" t="str">
        <f>""</f>
        <v/>
      </c>
      <c r="CN277" t="str">
        <f>""</f>
        <v/>
      </c>
      <c r="CO277" t="str">
        <f>""</f>
        <v/>
      </c>
      <c r="CP277" t="str">
        <f>""</f>
        <v/>
      </c>
      <c r="CQ277" t="str">
        <f>""</f>
        <v/>
      </c>
      <c r="CR277" t="str">
        <f>""</f>
        <v/>
      </c>
      <c r="CS277" t="str">
        <f>""</f>
        <v/>
      </c>
      <c r="CT277" t="str">
        <f>""</f>
        <v/>
      </c>
      <c r="CU277" t="str">
        <f>""</f>
        <v/>
      </c>
      <c r="CV277" t="str">
        <f>""</f>
        <v/>
      </c>
      <c r="CW277" t="str">
        <f>""</f>
        <v/>
      </c>
      <c r="CX277" t="str">
        <f>""</f>
        <v/>
      </c>
      <c r="CY277" t="str">
        <f>""</f>
        <v/>
      </c>
      <c r="CZ277" t="str">
        <f>""</f>
        <v/>
      </c>
      <c r="DA277" t="str">
        <f>""</f>
        <v/>
      </c>
      <c r="DB277" t="str">
        <f>""</f>
        <v/>
      </c>
      <c r="DC277" t="str">
        <f>""</f>
        <v/>
      </c>
      <c r="DD277" t="str">
        <f>""</f>
        <v/>
      </c>
      <c r="DE277" t="str">
        <f>""</f>
        <v/>
      </c>
      <c r="DF277" t="str">
        <f>""</f>
        <v/>
      </c>
      <c r="DG277" t="str">
        <f>""</f>
        <v/>
      </c>
      <c r="DH277" t="str">
        <f>""</f>
        <v/>
      </c>
      <c r="DI277" t="str">
        <f>""</f>
        <v/>
      </c>
      <c r="DJ277" t="str">
        <f>""</f>
        <v/>
      </c>
      <c r="DK277" t="str">
        <f>""</f>
        <v/>
      </c>
      <c r="DL277" t="str">
        <f>""</f>
        <v/>
      </c>
      <c r="DM277" t="str">
        <f>""</f>
        <v/>
      </c>
      <c r="DN277" t="str">
        <f>""</f>
        <v/>
      </c>
      <c r="DO277" t="str">
        <f>""</f>
        <v/>
      </c>
      <c r="DP277" t="str">
        <f>""</f>
        <v/>
      </c>
      <c r="DQ277" t="str">
        <f>""</f>
        <v/>
      </c>
      <c r="DR277" t="str">
        <f>""</f>
        <v/>
      </c>
      <c r="DS277" t="str">
        <f>""</f>
        <v/>
      </c>
      <c r="DT277" t="str">
        <f>""</f>
        <v/>
      </c>
      <c r="DU277" t="str">
        <f>""</f>
        <v/>
      </c>
      <c r="DV277" t="str">
        <f>""</f>
        <v/>
      </c>
      <c r="DW277" t="str">
        <f>""</f>
        <v/>
      </c>
      <c r="DX277" t="str">
        <f>""</f>
        <v/>
      </c>
      <c r="DY277" t="str">
        <f>""</f>
        <v/>
      </c>
      <c r="DZ277" t="str">
        <f>""</f>
        <v/>
      </c>
      <c r="EA277" t="str">
        <f>""</f>
        <v/>
      </c>
      <c r="EB277" t="str">
        <f>""</f>
        <v/>
      </c>
      <c r="EC277" t="str">
        <f>""</f>
        <v/>
      </c>
      <c r="ED277" t="str">
        <f>""</f>
        <v/>
      </c>
      <c r="EE277" t="str">
        <f>""</f>
        <v/>
      </c>
      <c r="EF277" t="str">
        <f>""</f>
        <v/>
      </c>
      <c r="EG277" t="str">
        <f>""</f>
        <v/>
      </c>
      <c r="EH277" t="str">
        <f>""</f>
        <v/>
      </c>
      <c r="EI277" t="str">
        <f>""</f>
        <v/>
      </c>
      <c r="EJ277" t="str">
        <f>""</f>
        <v/>
      </c>
      <c r="EK277" t="str">
        <f>""</f>
        <v/>
      </c>
      <c r="EL277" t="str">
        <f>""</f>
        <v/>
      </c>
      <c r="EM277" t="str">
        <f>""</f>
        <v/>
      </c>
      <c r="EN277" t="str">
        <f>""</f>
        <v/>
      </c>
      <c r="EO277" t="str">
        <f>""</f>
        <v/>
      </c>
      <c r="EP277" t="str">
        <f>""</f>
        <v/>
      </c>
      <c r="EQ277" t="str">
        <f>""</f>
        <v/>
      </c>
      <c r="ER277" t="str">
        <f>""</f>
        <v/>
      </c>
      <c r="ES277" t="str">
        <f>""</f>
        <v/>
      </c>
      <c r="ET277" t="str">
        <f>""</f>
        <v/>
      </c>
      <c r="EU277" t="str">
        <f>""</f>
        <v/>
      </c>
      <c r="EV277" t="str">
        <f>""</f>
        <v/>
      </c>
      <c r="EW277" t="str">
        <f>""</f>
        <v/>
      </c>
      <c r="EX277" t="str">
        <f>""</f>
        <v/>
      </c>
      <c r="EY277" t="str">
        <f>""</f>
        <v/>
      </c>
      <c r="EZ277" t="str">
        <f>""</f>
        <v/>
      </c>
      <c r="FA277" t="str">
        <f>""</f>
        <v/>
      </c>
      <c r="FB277" t="str">
        <f>""</f>
        <v/>
      </c>
      <c r="FC277" t="str">
        <f>""</f>
        <v/>
      </c>
      <c r="FD277" t="str">
        <f>""</f>
        <v/>
      </c>
      <c r="FE277" t="str">
        <f>""</f>
        <v/>
      </c>
      <c r="FF277" t="str">
        <f>""</f>
        <v/>
      </c>
      <c r="FG277" t="str">
        <f>""</f>
        <v/>
      </c>
      <c r="FH277" t="str">
        <f>""</f>
        <v/>
      </c>
      <c r="FI277" t="str">
        <f>""</f>
        <v/>
      </c>
      <c r="FJ277" t="str">
        <f>""</f>
        <v/>
      </c>
      <c r="FK277" t="str">
        <f>""</f>
        <v/>
      </c>
      <c r="FL277" t="str">
        <f>""</f>
        <v/>
      </c>
      <c r="FM277" t="str">
        <f>""</f>
        <v/>
      </c>
      <c r="FN277" t="str">
        <f>""</f>
        <v/>
      </c>
      <c r="FO277" t="str">
        <f>""</f>
        <v/>
      </c>
      <c r="FP277" t="str">
        <f>""</f>
        <v/>
      </c>
      <c r="FQ277" t="str">
        <f>""</f>
        <v/>
      </c>
      <c r="FR277" t="str">
        <f>""</f>
        <v/>
      </c>
      <c r="FS277" t="str">
        <f>""</f>
        <v/>
      </c>
      <c r="FT277" t="str">
        <f>""</f>
        <v/>
      </c>
      <c r="FU277" t="str">
        <f>""</f>
        <v/>
      </c>
      <c r="FV277" t="str">
        <f>""</f>
        <v/>
      </c>
      <c r="FW277" t="str">
        <f>""</f>
        <v/>
      </c>
      <c r="FX277" t="str">
        <f>""</f>
        <v/>
      </c>
      <c r="FY277" t="str">
        <f>""</f>
        <v/>
      </c>
      <c r="FZ277" t="str">
        <f>""</f>
        <v/>
      </c>
      <c r="GA277" t="str">
        <f>""</f>
        <v/>
      </c>
      <c r="GB277" t="str">
        <f>""</f>
        <v/>
      </c>
      <c r="GC277" t="str">
        <f>"(0.102)"</f>
        <v>(0.102)</v>
      </c>
      <c r="GD277" t="str">
        <f>"(0.0806)"</f>
        <v>(0.0806)</v>
      </c>
      <c r="GE277" t="str">
        <f>"(0.0448)"</f>
        <v>(0.0448)</v>
      </c>
      <c r="GF277" t="str">
        <f>""</f>
        <v/>
      </c>
      <c r="GG277" t="str">
        <f>""</f>
        <v/>
      </c>
      <c r="GH277" t="str">
        <f>""</f>
        <v/>
      </c>
      <c r="GI277" t="str">
        <f>""</f>
        <v/>
      </c>
      <c r="GJ277" t="str">
        <f>""</f>
        <v/>
      </c>
      <c r="GK277" t="str">
        <f>""</f>
        <v/>
      </c>
      <c r="GL277" t="str">
        <f>""</f>
        <v/>
      </c>
      <c r="GM277" t="str">
        <f>""</f>
        <v/>
      </c>
      <c r="GN277" t="str">
        <f>""</f>
        <v/>
      </c>
      <c r="GO277" t="str">
        <f>""</f>
        <v/>
      </c>
      <c r="GP277" t="str">
        <f>""</f>
        <v/>
      </c>
      <c r="GQ277" t="str">
        <f>""</f>
        <v/>
      </c>
      <c r="GR277" t="str">
        <f>""</f>
        <v/>
      </c>
      <c r="GS277" t="str">
        <f>""</f>
        <v/>
      </c>
      <c r="GT277" t="str">
        <f>""</f>
        <v/>
      </c>
      <c r="GU277" t="str">
        <f>""</f>
        <v/>
      </c>
      <c r="GV277" t="str">
        <f>""</f>
        <v/>
      </c>
      <c r="GW277" t="str">
        <f>""</f>
        <v/>
      </c>
      <c r="GX277" t="str">
        <f>""</f>
        <v/>
      </c>
      <c r="GY277" t="str">
        <f>""</f>
        <v/>
      </c>
      <c r="GZ277" t="str">
        <f>""</f>
        <v/>
      </c>
      <c r="HA277" t="str">
        <f>""</f>
        <v/>
      </c>
      <c r="HB277" t="str">
        <f>""</f>
        <v/>
      </c>
      <c r="HC277" t="str">
        <f>""</f>
        <v/>
      </c>
      <c r="HD277" t="str">
        <f>""</f>
        <v/>
      </c>
      <c r="HE277" t="str">
        <f>""</f>
        <v/>
      </c>
      <c r="HF277" t="str">
        <f>""</f>
        <v/>
      </c>
      <c r="HG277" t="str">
        <f>""</f>
        <v/>
      </c>
      <c r="HH277" t="str">
        <f>""</f>
        <v/>
      </c>
      <c r="HI277" t="str">
        <f>""</f>
        <v/>
      </c>
      <c r="HJ277" t="str">
        <f>""</f>
        <v/>
      </c>
      <c r="HK277" t="str">
        <f>""</f>
        <v/>
      </c>
      <c r="HL277" t="str">
        <f>""</f>
        <v/>
      </c>
      <c r="HM277" t="str">
        <f>""</f>
        <v/>
      </c>
      <c r="HN277" t="str">
        <f>""</f>
        <v/>
      </c>
      <c r="HO277" t="str">
        <f>""</f>
        <v/>
      </c>
      <c r="HP277" t="str">
        <f>""</f>
        <v/>
      </c>
      <c r="HQ277" t="str">
        <f>""</f>
        <v/>
      </c>
      <c r="HR277" t="str">
        <f>""</f>
        <v/>
      </c>
      <c r="HS277" t="str">
        <f>""</f>
        <v/>
      </c>
      <c r="HT277" t="str">
        <f>""</f>
        <v/>
      </c>
      <c r="HU277" t="str">
        <f>""</f>
        <v/>
      </c>
      <c r="HV277" t="str">
        <f>""</f>
        <v/>
      </c>
      <c r="HW277" t="str">
        <f>""</f>
        <v/>
      </c>
      <c r="HX277" t="str">
        <f>""</f>
        <v/>
      </c>
      <c r="HY277" t="str">
        <f>""</f>
        <v/>
      </c>
      <c r="HZ277" t="str">
        <f>""</f>
        <v/>
      </c>
      <c r="IA277" t="str">
        <f>""</f>
        <v/>
      </c>
      <c r="IB277" t="str">
        <f>""</f>
        <v/>
      </c>
      <c r="IC277" t="str">
        <f>""</f>
        <v/>
      </c>
      <c r="ID277" t="str">
        <f>""</f>
        <v/>
      </c>
      <c r="IE277" t="str">
        <f>""</f>
        <v/>
      </c>
      <c r="IF277" t="str">
        <f>""</f>
        <v/>
      </c>
      <c r="IG277" t="str">
        <f>""</f>
        <v/>
      </c>
      <c r="IH277" t="str">
        <f>""</f>
        <v/>
      </c>
      <c r="II277" t="str">
        <f>""</f>
        <v/>
      </c>
      <c r="IJ277" t="str">
        <f>""</f>
        <v/>
      </c>
      <c r="IK277" t="str">
        <f>""</f>
        <v/>
      </c>
      <c r="IL277" t="str">
        <f>""</f>
        <v/>
      </c>
      <c r="IM277" t="str">
        <f>""</f>
        <v/>
      </c>
      <c r="IN277" t="str">
        <f>""</f>
        <v/>
      </c>
      <c r="IO277" t="str">
        <f>""</f>
        <v/>
      </c>
      <c r="IP277" t="str">
        <f>""</f>
        <v/>
      </c>
      <c r="IQ277" t="str">
        <f>""</f>
        <v/>
      </c>
      <c r="IR277" t="str">
        <f>""</f>
        <v/>
      </c>
      <c r="IS277" t="str">
        <f>""</f>
        <v/>
      </c>
      <c r="IT277" t="str">
        <f>""</f>
        <v/>
      </c>
      <c r="IU277" t="str">
        <f>""</f>
        <v/>
      </c>
      <c r="IV277" t="str">
        <f>""</f>
        <v/>
      </c>
      <c r="IW277" t="str">
        <f>""</f>
        <v/>
      </c>
      <c r="IX277" t="str">
        <f>""</f>
        <v/>
      </c>
      <c r="IY277" t="str">
        <f>""</f>
        <v/>
      </c>
      <c r="IZ277" t="str">
        <f>""</f>
        <v/>
      </c>
      <c r="JA277" t="str">
        <f>""</f>
        <v/>
      </c>
      <c r="JB277" t="str">
        <f>""</f>
        <v/>
      </c>
      <c r="JC277" t="str">
        <f>""</f>
        <v/>
      </c>
      <c r="JD277" t="str">
        <f>""</f>
        <v/>
      </c>
      <c r="JE277" t="str">
        <f>""</f>
        <v/>
      </c>
      <c r="JF277" t="str">
        <f>""</f>
        <v/>
      </c>
      <c r="JG277" t="str">
        <f>""</f>
        <v/>
      </c>
      <c r="JH277" t="str">
        <f>""</f>
        <v/>
      </c>
      <c r="JI277" t="str">
        <f>""</f>
        <v/>
      </c>
      <c r="JJ277" t="str">
        <f>""</f>
        <v/>
      </c>
      <c r="JK277" t="str">
        <f>""</f>
        <v/>
      </c>
    </row>
    <row r="279" spans="1:271" x14ac:dyDescent="0.3">
      <c r="A279" t="str">
        <f>"c.zMETAB3#c.PM5"</f>
        <v>c.zMETAB3#c.PM5</v>
      </c>
      <c r="B279" t="str">
        <f>""</f>
        <v/>
      </c>
      <c r="C279" t="str">
        <f>""</f>
        <v/>
      </c>
      <c r="D279" t="str">
        <f>""</f>
        <v/>
      </c>
      <c r="E279" t="str">
        <f>""</f>
        <v/>
      </c>
      <c r="F279" t="str">
        <f>""</f>
        <v/>
      </c>
      <c r="G279" t="str">
        <f>""</f>
        <v/>
      </c>
      <c r="H279" t="str">
        <f>""</f>
        <v/>
      </c>
      <c r="I279" t="str">
        <f>""</f>
        <v/>
      </c>
      <c r="J279" t="str">
        <f>""</f>
        <v/>
      </c>
      <c r="K279" t="str">
        <f>""</f>
        <v/>
      </c>
      <c r="L279" t="str">
        <f>""</f>
        <v/>
      </c>
      <c r="M279" t="str">
        <f>""</f>
        <v/>
      </c>
      <c r="N279" t="str">
        <f>""</f>
        <v/>
      </c>
      <c r="O279" t="str">
        <f>""</f>
        <v/>
      </c>
      <c r="P279" t="str">
        <f>""</f>
        <v/>
      </c>
      <c r="Q279" t="str">
        <f>""</f>
        <v/>
      </c>
      <c r="R279" t="str">
        <f>""</f>
        <v/>
      </c>
      <c r="S279" t="str">
        <f>""</f>
        <v/>
      </c>
      <c r="T279" t="str">
        <f>""</f>
        <v/>
      </c>
      <c r="U279" t="str">
        <f>""</f>
        <v/>
      </c>
      <c r="V279" t="str">
        <f>""</f>
        <v/>
      </c>
      <c r="W279" t="str">
        <f>""</f>
        <v/>
      </c>
      <c r="X279" t="str">
        <f>""</f>
        <v/>
      </c>
      <c r="Y279" t="str">
        <f>""</f>
        <v/>
      </c>
      <c r="Z279" t="str">
        <f>""</f>
        <v/>
      </c>
      <c r="AA279" t="str">
        <f>""</f>
        <v/>
      </c>
      <c r="AB279" t="str">
        <f>""</f>
        <v/>
      </c>
      <c r="AC279" t="str">
        <f>""</f>
        <v/>
      </c>
      <c r="AD279" t="str">
        <f>""</f>
        <v/>
      </c>
      <c r="AE279" t="str">
        <f>""</f>
        <v/>
      </c>
      <c r="AF279" t="str">
        <f>""</f>
        <v/>
      </c>
      <c r="AG279" t="str">
        <f>""</f>
        <v/>
      </c>
      <c r="AH279" t="str">
        <f>""</f>
        <v/>
      </c>
      <c r="AI279" t="str">
        <f>""</f>
        <v/>
      </c>
      <c r="AJ279" t="str">
        <f>""</f>
        <v/>
      </c>
      <c r="AK279" t="str">
        <f>""</f>
        <v/>
      </c>
      <c r="AL279" t="str">
        <f>""</f>
        <v/>
      </c>
      <c r="AM279" t="str">
        <f>""</f>
        <v/>
      </c>
      <c r="AN279" t="str">
        <f>""</f>
        <v/>
      </c>
      <c r="AO279" t="str">
        <f>""</f>
        <v/>
      </c>
      <c r="AP279" t="str">
        <f>""</f>
        <v/>
      </c>
      <c r="AQ279" t="str">
        <f>""</f>
        <v/>
      </c>
      <c r="AR279" t="str">
        <f>""</f>
        <v/>
      </c>
      <c r="AS279" t="str">
        <f>""</f>
        <v/>
      </c>
      <c r="AT279" t="str">
        <f>""</f>
        <v/>
      </c>
      <c r="AU279" t="str">
        <f>""</f>
        <v/>
      </c>
      <c r="AV279" t="str">
        <f>""</f>
        <v/>
      </c>
      <c r="AW279" t="str">
        <f>""</f>
        <v/>
      </c>
      <c r="AX279" t="str">
        <f>""</f>
        <v/>
      </c>
      <c r="AY279" t="str">
        <f>""</f>
        <v/>
      </c>
      <c r="AZ279" t="str">
        <f>""</f>
        <v/>
      </c>
      <c r="BA279" t="str">
        <f>""</f>
        <v/>
      </c>
      <c r="BB279" t="str">
        <f>""</f>
        <v/>
      </c>
      <c r="BC279" t="str">
        <f>""</f>
        <v/>
      </c>
      <c r="BD279" t="str">
        <f>""</f>
        <v/>
      </c>
      <c r="BE279" t="str">
        <f>""</f>
        <v/>
      </c>
      <c r="BF279" t="str">
        <f>""</f>
        <v/>
      </c>
      <c r="BG279" t="str">
        <f>""</f>
        <v/>
      </c>
      <c r="BH279" t="str">
        <f>""</f>
        <v/>
      </c>
      <c r="BI279" t="str">
        <f>""</f>
        <v/>
      </c>
      <c r="BJ279" t="str">
        <f>""</f>
        <v/>
      </c>
      <c r="BK279" t="str">
        <f>""</f>
        <v/>
      </c>
      <c r="BL279" t="str">
        <f>""</f>
        <v/>
      </c>
      <c r="BM279" t="str">
        <f>""</f>
        <v/>
      </c>
      <c r="BN279" t="str">
        <f>""</f>
        <v/>
      </c>
      <c r="BO279" t="str">
        <f>""</f>
        <v/>
      </c>
      <c r="BP279" t="str">
        <f>""</f>
        <v/>
      </c>
      <c r="BQ279" t="str">
        <f>""</f>
        <v/>
      </c>
      <c r="BR279" t="str">
        <f>""</f>
        <v/>
      </c>
      <c r="BS279" t="str">
        <f>""</f>
        <v/>
      </c>
      <c r="BT279" t="str">
        <f>""</f>
        <v/>
      </c>
      <c r="BU279" t="str">
        <f>""</f>
        <v/>
      </c>
      <c r="BV279" t="str">
        <f>""</f>
        <v/>
      </c>
      <c r="BW279" t="str">
        <f>""</f>
        <v/>
      </c>
      <c r="BX279" t="str">
        <f>""</f>
        <v/>
      </c>
      <c r="BY279" t="str">
        <f>""</f>
        <v/>
      </c>
      <c r="BZ279" t="str">
        <f>""</f>
        <v/>
      </c>
      <c r="CA279" t="str">
        <f>""</f>
        <v/>
      </c>
      <c r="CB279" t="str">
        <f>""</f>
        <v/>
      </c>
      <c r="CC279" t="str">
        <f>""</f>
        <v/>
      </c>
      <c r="CD279" t="str">
        <f>""</f>
        <v/>
      </c>
      <c r="CE279" t="str">
        <f>""</f>
        <v/>
      </c>
      <c r="CF279" t="str">
        <f>""</f>
        <v/>
      </c>
      <c r="CG279" t="str">
        <f>""</f>
        <v/>
      </c>
      <c r="CH279" t="str">
        <f>""</f>
        <v/>
      </c>
      <c r="CI279" t="str">
        <f>""</f>
        <v/>
      </c>
      <c r="CJ279" t="str">
        <f>""</f>
        <v/>
      </c>
      <c r="CK279" t="str">
        <f>""</f>
        <v/>
      </c>
      <c r="CL279" t="str">
        <f>""</f>
        <v/>
      </c>
      <c r="CM279" t="str">
        <f>""</f>
        <v/>
      </c>
      <c r="CN279" t="str">
        <f>""</f>
        <v/>
      </c>
      <c r="CO279" t="str">
        <f>""</f>
        <v/>
      </c>
      <c r="CP279" t="str">
        <f>""</f>
        <v/>
      </c>
      <c r="CQ279" t="str">
        <f>""</f>
        <v/>
      </c>
      <c r="CR279" t="str">
        <f>""</f>
        <v/>
      </c>
      <c r="CS279" t="str">
        <f>""</f>
        <v/>
      </c>
      <c r="CT279" t="str">
        <f>""</f>
        <v/>
      </c>
      <c r="CU279" t="str">
        <f>""</f>
        <v/>
      </c>
      <c r="CV279" t="str">
        <f>""</f>
        <v/>
      </c>
      <c r="CW279" t="str">
        <f>""</f>
        <v/>
      </c>
      <c r="CX279" t="str">
        <f>""</f>
        <v/>
      </c>
      <c r="CY279" t="str">
        <f>""</f>
        <v/>
      </c>
      <c r="CZ279" t="str">
        <f>""</f>
        <v/>
      </c>
      <c r="DA279" t="str">
        <f>""</f>
        <v/>
      </c>
      <c r="DB279" t="str">
        <f>""</f>
        <v/>
      </c>
      <c r="DC279" t="str">
        <f>""</f>
        <v/>
      </c>
      <c r="DD279" t="str">
        <f>""</f>
        <v/>
      </c>
      <c r="DE279" t="str">
        <f>""</f>
        <v/>
      </c>
      <c r="DF279" t="str">
        <f>""</f>
        <v/>
      </c>
      <c r="DG279" t="str">
        <f>""</f>
        <v/>
      </c>
      <c r="DH279" t="str">
        <f>""</f>
        <v/>
      </c>
      <c r="DI279" t="str">
        <f>""</f>
        <v/>
      </c>
      <c r="DJ279" t="str">
        <f>""</f>
        <v/>
      </c>
      <c r="DK279" t="str">
        <f>""</f>
        <v/>
      </c>
      <c r="DL279" t="str">
        <f>""</f>
        <v/>
      </c>
      <c r="DM279" t="str">
        <f>""</f>
        <v/>
      </c>
      <c r="DN279" t="str">
        <f>""</f>
        <v/>
      </c>
      <c r="DO279" t="str">
        <f>""</f>
        <v/>
      </c>
      <c r="DP279" t="str">
        <f>""</f>
        <v/>
      </c>
      <c r="DQ279" t="str">
        <f>""</f>
        <v/>
      </c>
      <c r="DR279" t="str">
        <f>""</f>
        <v/>
      </c>
      <c r="DS279" t="str">
        <f>""</f>
        <v/>
      </c>
      <c r="DT279" t="str">
        <f>""</f>
        <v/>
      </c>
      <c r="DU279" t="str">
        <f>""</f>
        <v/>
      </c>
      <c r="DV279" t="str">
        <f>""</f>
        <v/>
      </c>
      <c r="DW279" t="str">
        <f>""</f>
        <v/>
      </c>
      <c r="DX279" t="str">
        <f>""</f>
        <v/>
      </c>
      <c r="DY279" t="str">
        <f>""</f>
        <v/>
      </c>
      <c r="DZ279" t="str">
        <f>""</f>
        <v/>
      </c>
      <c r="EA279" t="str">
        <f>""</f>
        <v/>
      </c>
      <c r="EB279" t="str">
        <f>""</f>
        <v/>
      </c>
      <c r="EC279" t="str">
        <f>""</f>
        <v/>
      </c>
      <c r="ED279" t="str">
        <f>""</f>
        <v/>
      </c>
      <c r="EE279" t="str">
        <f>""</f>
        <v/>
      </c>
      <c r="EF279" t="str">
        <f>""</f>
        <v/>
      </c>
      <c r="EG279" t="str">
        <f>""</f>
        <v/>
      </c>
      <c r="EH279" t="str">
        <f>""</f>
        <v/>
      </c>
      <c r="EI279" t="str">
        <f>""</f>
        <v/>
      </c>
      <c r="EJ279" t="str">
        <f>""</f>
        <v/>
      </c>
      <c r="EK279" t="str">
        <f>""</f>
        <v/>
      </c>
      <c r="EL279" t="str">
        <f>""</f>
        <v/>
      </c>
      <c r="EM279" t="str">
        <f>""</f>
        <v/>
      </c>
      <c r="EN279" t="str">
        <f>""</f>
        <v/>
      </c>
      <c r="EO279" t="str">
        <f>""</f>
        <v/>
      </c>
      <c r="EP279" t="str">
        <f>""</f>
        <v/>
      </c>
      <c r="EQ279" t="str">
        <f>""</f>
        <v/>
      </c>
      <c r="ER279" t="str">
        <f>""</f>
        <v/>
      </c>
      <c r="ES279" t="str">
        <f>""</f>
        <v/>
      </c>
      <c r="ET279" t="str">
        <f>""</f>
        <v/>
      </c>
      <c r="EU279" t="str">
        <f>""</f>
        <v/>
      </c>
      <c r="EV279" t="str">
        <f>""</f>
        <v/>
      </c>
      <c r="EW279" t="str">
        <f>""</f>
        <v/>
      </c>
      <c r="EX279" t="str">
        <f>""</f>
        <v/>
      </c>
      <c r="EY279" t="str">
        <f>""</f>
        <v/>
      </c>
      <c r="EZ279" t="str">
        <f>""</f>
        <v/>
      </c>
      <c r="FA279" t="str">
        <f>""</f>
        <v/>
      </c>
      <c r="FB279" t="str">
        <f>""</f>
        <v/>
      </c>
      <c r="FC279" t="str">
        <f>""</f>
        <v/>
      </c>
      <c r="FD279" t="str">
        <f>""</f>
        <v/>
      </c>
      <c r="FE279" t="str">
        <f>""</f>
        <v/>
      </c>
      <c r="FF279" t="str">
        <f>""</f>
        <v/>
      </c>
      <c r="FG279" t="str">
        <f>""</f>
        <v/>
      </c>
      <c r="FH279" t="str">
        <f>""</f>
        <v/>
      </c>
      <c r="FI279" t="str">
        <f>""</f>
        <v/>
      </c>
      <c r="FJ279" t="str">
        <f>""</f>
        <v/>
      </c>
      <c r="FK279" t="str">
        <f>""</f>
        <v/>
      </c>
      <c r="FL279" t="str">
        <f>""</f>
        <v/>
      </c>
      <c r="FM279" t="str">
        <f>""</f>
        <v/>
      </c>
      <c r="FN279" t="str">
        <f>""</f>
        <v/>
      </c>
      <c r="FO279" t="str">
        <f>""</f>
        <v/>
      </c>
      <c r="FP279" t="str">
        <f>""</f>
        <v/>
      </c>
      <c r="FQ279" t="str">
        <f>""</f>
        <v/>
      </c>
      <c r="FR279" t="str">
        <f>""</f>
        <v/>
      </c>
      <c r="FS279" t="str">
        <f>""</f>
        <v/>
      </c>
      <c r="FT279" t="str">
        <f>""</f>
        <v/>
      </c>
      <c r="FU279" t="str">
        <f>""</f>
        <v/>
      </c>
      <c r="FV279" t="str">
        <f>""</f>
        <v/>
      </c>
      <c r="FW279" t="str">
        <f>""</f>
        <v/>
      </c>
      <c r="FX279" t="str">
        <f>""</f>
        <v/>
      </c>
      <c r="FY279" t="str">
        <f>""</f>
        <v/>
      </c>
      <c r="FZ279" t="str">
        <f>""</f>
        <v/>
      </c>
      <c r="GA279" t="str">
        <f>""</f>
        <v/>
      </c>
      <c r="GB279" t="str">
        <f>""</f>
        <v/>
      </c>
      <c r="GC279" t="str">
        <f>""</f>
        <v/>
      </c>
      <c r="GD279" t="str">
        <f>""</f>
        <v/>
      </c>
      <c r="GE279" t="str">
        <f>""</f>
        <v/>
      </c>
      <c r="GF279" t="str">
        <f>"-0.143"</f>
        <v>-0.143</v>
      </c>
      <c r="GG279" t="str">
        <f>"0.0222"</f>
        <v>0.0222</v>
      </c>
      <c r="GH279" t="str">
        <f>"-0.0356"</f>
        <v>-0.0356</v>
      </c>
      <c r="GI279" t="str">
        <f>""</f>
        <v/>
      </c>
      <c r="GJ279" t="str">
        <f>""</f>
        <v/>
      </c>
      <c r="GK279" t="str">
        <f>""</f>
        <v/>
      </c>
      <c r="GL279" t="str">
        <f>""</f>
        <v/>
      </c>
      <c r="GM279" t="str">
        <f>""</f>
        <v/>
      </c>
      <c r="GN279" t="str">
        <f>""</f>
        <v/>
      </c>
      <c r="GO279" t="str">
        <f>""</f>
        <v/>
      </c>
      <c r="GP279" t="str">
        <f>""</f>
        <v/>
      </c>
      <c r="GQ279" t="str">
        <f>""</f>
        <v/>
      </c>
      <c r="GR279" t="str">
        <f>""</f>
        <v/>
      </c>
      <c r="GS279" t="str">
        <f>""</f>
        <v/>
      </c>
      <c r="GT279" t="str">
        <f>""</f>
        <v/>
      </c>
      <c r="GU279" t="str">
        <f>""</f>
        <v/>
      </c>
      <c r="GV279" t="str">
        <f>""</f>
        <v/>
      </c>
      <c r="GW279" t="str">
        <f>""</f>
        <v/>
      </c>
      <c r="GX279" t="str">
        <f>""</f>
        <v/>
      </c>
      <c r="GY279" t="str">
        <f>""</f>
        <v/>
      </c>
      <c r="GZ279" t="str">
        <f>""</f>
        <v/>
      </c>
      <c r="HA279" t="str">
        <f>""</f>
        <v/>
      </c>
      <c r="HB279" t="str">
        <f>""</f>
        <v/>
      </c>
      <c r="HC279" t="str">
        <f>""</f>
        <v/>
      </c>
      <c r="HD279" t="str">
        <f>""</f>
        <v/>
      </c>
      <c r="HE279" t="str">
        <f>""</f>
        <v/>
      </c>
      <c r="HF279" t="str">
        <f>""</f>
        <v/>
      </c>
      <c r="HG279" t="str">
        <f>""</f>
        <v/>
      </c>
      <c r="HH279" t="str">
        <f>""</f>
        <v/>
      </c>
      <c r="HI279" t="str">
        <f>""</f>
        <v/>
      </c>
      <c r="HJ279" t="str">
        <f>""</f>
        <v/>
      </c>
      <c r="HK279" t="str">
        <f>""</f>
        <v/>
      </c>
      <c r="HL279" t="str">
        <f>""</f>
        <v/>
      </c>
      <c r="HM279" t="str">
        <f>""</f>
        <v/>
      </c>
      <c r="HN279" t="str">
        <f>""</f>
        <v/>
      </c>
      <c r="HO279" t="str">
        <f>""</f>
        <v/>
      </c>
      <c r="HP279" t="str">
        <f>""</f>
        <v/>
      </c>
      <c r="HQ279" t="str">
        <f>""</f>
        <v/>
      </c>
      <c r="HR279" t="str">
        <f>""</f>
        <v/>
      </c>
      <c r="HS279" t="str">
        <f>""</f>
        <v/>
      </c>
      <c r="HT279" t="str">
        <f>""</f>
        <v/>
      </c>
      <c r="HU279" t="str">
        <f>""</f>
        <v/>
      </c>
      <c r="HV279" t="str">
        <f>""</f>
        <v/>
      </c>
      <c r="HW279" t="str">
        <f>""</f>
        <v/>
      </c>
      <c r="HX279" t="str">
        <f>""</f>
        <v/>
      </c>
      <c r="HY279" t="str">
        <f>""</f>
        <v/>
      </c>
      <c r="HZ279" t="str">
        <f>""</f>
        <v/>
      </c>
      <c r="IA279" t="str">
        <f>""</f>
        <v/>
      </c>
      <c r="IB279" t="str">
        <f>""</f>
        <v/>
      </c>
      <c r="IC279" t="str">
        <f>""</f>
        <v/>
      </c>
      <c r="ID279" t="str">
        <f>""</f>
        <v/>
      </c>
      <c r="IE279" t="str">
        <f>""</f>
        <v/>
      </c>
      <c r="IF279" t="str">
        <f>""</f>
        <v/>
      </c>
      <c r="IG279" t="str">
        <f>""</f>
        <v/>
      </c>
      <c r="IH279" t="str">
        <f>""</f>
        <v/>
      </c>
      <c r="II279" t="str">
        <f>""</f>
        <v/>
      </c>
      <c r="IJ279" t="str">
        <f>""</f>
        <v/>
      </c>
      <c r="IK279" t="str">
        <f>""</f>
        <v/>
      </c>
      <c r="IL279" t="str">
        <f>""</f>
        <v/>
      </c>
      <c r="IM279" t="str">
        <f>""</f>
        <v/>
      </c>
      <c r="IN279" t="str">
        <f>""</f>
        <v/>
      </c>
      <c r="IO279" t="str">
        <f>""</f>
        <v/>
      </c>
      <c r="IP279" t="str">
        <f>""</f>
        <v/>
      </c>
      <c r="IQ279" t="str">
        <f>""</f>
        <v/>
      </c>
      <c r="IR279" t="str">
        <f>""</f>
        <v/>
      </c>
      <c r="IS279" t="str">
        <f>""</f>
        <v/>
      </c>
      <c r="IT279" t="str">
        <f>""</f>
        <v/>
      </c>
      <c r="IU279" t="str">
        <f>""</f>
        <v/>
      </c>
      <c r="IV279" t="str">
        <f>""</f>
        <v/>
      </c>
      <c r="IW279" t="str">
        <f>""</f>
        <v/>
      </c>
      <c r="IX279" t="str">
        <f>""</f>
        <v/>
      </c>
      <c r="IY279" t="str">
        <f>""</f>
        <v/>
      </c>
      <c r="IZ279" t="str">
        <f>""</f>
        <v/>
      </c>
      <c r="JA279" t="str">
        <f>""</f>
        <v/>
      </c>
      <c r="JB279" t="str">
        <f>""</f>
        <v/>
      </c>
      <c r="JC279" t="str">
        <f>""</f>
        <v/>
      </c>
      <c r="JD279" t="str">
        <f>""</f>
        <v/>
      </c>
      <c r="JE279" t="str">
        <f>""</f>
        <v/>
      </c>
      <c r="JF279" t="str">
        <f>""</f>
        <v/>
      </c>
      <c r="JG279" t="str">
        <f>""</f>
        <v/>
      </c>
      <c r="JH279" t="str">
        <f>""</f>
        <v/>
      </c>
      <c r="JI279" t="str">
        <f>""</f>
        <v/>
      </c>
      <c r="JJ279" t="str">
        <f>""</f>
        <v/>
      </c>
      <c r="JK279" t="str">
        <f>""</f>
        <v/>
      </c>
    </row>
    <row r="280" spans="1:271" x14ac:dyDescent="0.3">
      <c r="A280" t="str">
        <f>""</f>
        <v/>
      </c>
      <c r="B280" t="str">
        <f>""</f>
        <v/>
      </c>
      <c r="C280" t="str">
        <f>""</f>
        <v/>
      </c>
      <c r="D280" t="str">
        <f>""</f>
        <v/>
      </c>
      <c r="E280" t="str">
        <f>""</f>
        <v/>
      </c>
      <c r="F280" t="str">
        <f>""</f>
        <v/>
      </c>
      <c r="G280" t="str">
        <f>""</f>
        <v/>
      </c>
      <c r="H280" t="str">
        <f>""</f>
        <v/>
      </c>
      <c r="I280" t="str">
        <f>""</f>
        <v/>
      </c>
      <c r="J280" t="str">
        <f>""</f>
        <v/>
      </c>
      <c r="K280" t="str">
        <f>""</f>
        <v/>
      </c>
      <c r="L280" t="str">
        <f>""</f>
        <v/>
      </c>
      <c r="M280" t="str">
        <f>""</f>
        <v/>
      </c>
      <c r="N280" t="str">
        <f>""</f>
        <v/>
      </c>
      <c r="O280" t="str">
        <f>""</f>
        <v/>
      </c>
      <c r="P280" t="str">
        <f>""</f>
        <v/>
      </c>
      <c r="Q280" t="str">
        <f>""</f>
        <v/>
      </c>
      <c r="R280" t="str">
        <f>""</f>
        <v/>
      </c>
      <c r="S280" t="str">
        <f>""</f>
        <v/>
      </c>
      <c r="T280" t="str">
        <f>""</f>
        <v/>
      </c>
      <c r="U280" t="str">
        <f>""</f>
        <v/>
      </c>
      <c r="V280" t="str">
        <f>""</f>
        <v/>
      </c>
      <c r="W280" t="str">
        <f>""</f>
        <v/>
      </c>
      <c r="X280" t="str">
        <f>""</f>
        <v/>
      </c>
      <c r="Y280" t="str">
        <f>""</f>
        <v/>
      </c>
      <c r="Z280" t="str">
        <f>""</f>
        <v/>
      </c>
      <c r="AA280" t="str">
        <f>""</f>
        <v/>
      </c>
      <c r="AB280" t="str">
        <f>""</f>
        <v/>
      </c>
      <c r="AC280" t="str">
        <f>""</f>
        <v/>
      </c>
      <c r="AD280" t="str">
        <f>""</f>
        <v/>
      </c>
      <c r="AE280" t="str">
        <f>""</f>
        <v/>
      </c>
      <c r="AF280" t="str">
        <f>""</f>
        <v/>
      </c>
      <c r="AG280" t="str">
        <f>""</f>
        <v/>
      </c>
      <c r="AH280" t="str">
        <f>""</f>
        <v/>
      </c>
      <c r="AI280" t="str">
        <f>""</f>
        <v/>
      </c>
      <c r="AJ280" t="str">
        <f>""</f>
        <v/>
      </c>
      <c r="AK280" t="str">
        <f>""</f>
        <v/>
      </c>
      <c r="AL280" t="str">
        <f>""</f>
        <v/>
      </c>
      <c r="AM280" t="str">
        <f>""</f>
        <v/>
      </c>
      <c r="AN280" t="str">
        <f>""</f>
        <v/>
      </c>
      <c r="AO280" t="str">
        <f>""</f>
        <v/>
      </c>
      <c r="AP280" t="str">
        <f>""</f>
        <v/>
      </c>
      <c r="AQ280" t="str">
        <f>""</f>
        <v/>
      </c>
      <c r="AR280" t="str">
        <f>""</f>
        <v/>
      </c>
      <c r="AS280" t="str">
        <f>""</f>
        <v/>
      </c>
      <c r="AT280" t="str">
        <f>""</f>
        <v/>
      </c>
      <c r="AU280" t="str">
        <f>""</f>
        <v/>
      </c>
      <c r="AV280" t="str">
        <f>""</f>
        <v/>
      </c>
      <c r="AW280" t="str">
        <f>""</f>
        <v/>
      </c>
      <c r="AX280" t="str">
        <f>""</f>
        <v/>
      </c>
      <c r="AY280" t="str">
        <f>""</f>
        <v/>
      </c>
      <c r="AZ280" t="str">
        <f>""</f>
        <v/>
      </c>
      <c r="BA280" t="str">
        <f>""</f>
        <v/>
      </c>
      <c r="BB280" t="str">
        <f>""</f>
        <v/>
      </c>
      <c r="BC280" t="str">
        <f>""</f>
        <v/>
      </c>
      <c r="BD280" t="str">
        <f>""</f>
        <v/>
      </c>
      <c r="BE280" t="str">
        <f>""</f>
        <v/>
      </c>
      <c r="BF280" t="str">
        <f>""</f>
        <v/>
      </c>
      <c r="BG280" t="str">
        <f>""</f>
        <v/>
      </c>
      <c r="BH280" t="str">
        <f>""</f>
        <v/>
      </c>
      <c r="BI280" t="str">
        <f>""</f>
        <v/>
      </c>
      <c r="BJ280" t="str">
        <f>""</f>
        <v/>
      </c>
      <c r="BK280" t="str">
        <f>""</f>
        <v/>
      </c>
      <c r="BL280" t="str">
        <f>""</f>
        <v/>
      </c>
      <c r="BM280" t="str">
        <f>""</f>
        <v/>
      </c>
      <c r="BN280" t="str">
        <f>""</f>
        <v/>
      </c>
      <c r="BO280" t="str">
        <f>""</f>
        <v/>
      </c>
      <c r="BP280" t="str">
        <f>""</f>
        <v/>
      </c>
      <c r="BQ280" t="str">
        <f>""</f>
        <v/>
      </c>
      <c r="BR280" t="str">
        <f>""</f>
        <v/>
      </c>
      <c r="BS280" t="str">
        <f>""</f>
        <v/>
      </c>
      <c r="BT280" t="str">
        <f>""</f>
        <v/>
      </c>
      <c r="BU280" t="str">
        <f>""</f>
        <v/>
      </c>
      <c r="BV280" t="str">
        <f>""</f>
        <v/>
      </c>
      <c r="BW280" t="str">
        <f>""</f>
        <v/>
      </c>
      <c r="BX280" t="str">
        <f>""</f>
        <v/>
      </c>
      <c r="BY280" t="str">
        <f>""</f>
        <v/>
      </c>
      <c r="BZ280" t="str">
        <f>""</f>
        <v/>
      </c>
      <c r="CA280" t="str">
        <f>""</f>
        <v/>
      </c>
      <c r="CB280" t="str">
        <f>""</f>
        <v/>
      </c>
      <c r="CC280" t="str">
        <f>""</f>
        <v/>
      </c>
      <c r="CD280" t="str">
        <f>""</f>
        <v/>
      </c>
      <c r="CE280" t="str">
        <f>""</f>
        <v/>
      </c>
      <c r="CF280" t="str">
        <f>""</f>
        <v/>
      </c>
      <c r="CG280" t="str">
        <f>""</f>
        <v/>
      </c>
      <c r="CH280" t="str">
        <f>""</f>
        <v/>
      </c>
      <c r="CI280" t="str">
        <f>""</f>
        <v/>
      </c>
      <c r="CJ280" t="str">
        <f>""</f>
        <v/>
      </c>
      <c r="CK280" t="str">
        <f>""</f>
        <v/>
      </c>
      <c r="CL280" t="str">
        <f>""</f>
        <v/>
      </c>
      <c r="CM280" t="str">
        <f>""</f>
        <v/>
      </c>
      <c r="CN280" t="str">
        <f>""</f>
        <v/>
      </c>
      <c r="CO280" t="str">
        <f>""</f>
        <v/>
      </c>
      <c r="CP280" t="str">
        <f>""</f>
        <v/>
      </c>
      <c r="CQ280" t="str">
        <f>""</f>
        <v/>
      </c>
      <c r="CR280" t="str">
        <f>""</f>
        <v/>
      </c>
      <c r="CS280" t="str">
        <f>""</f>
        <v/>
      </c>
      <c r="CT280" t="str">
        <f>""</f>
        <v/>
      </c>
      <c r="CU280" t="str">
        <f>""</f>
        <v/>
      </c>
      <c r="CV280" t="str">
        <f>""</f>
        <v/>
      </c>
      <c r="CW280" t="str">
        <f>""</f>
        <v/>
      </c>
      <c r="CX280" t="str">
        <f>""</f>
        <v/>
      </c>
      <c r="CY280" t="str">
        <f>""</f>
        <v/>
      </c>
      <c r="CZ280" t="str">
        <f>""</f>
        <v/>
      </c>
      <c r="DA280" t="str">
        <f>""</f>
        <v/>
      </c>
      <c r="DB280" t="str">
        <f>""</f>
        <v/>
      </c>
      <c r="DC280" t="str">
        <f>""</f>
        <v/>
      </c>
      <c r="DD280" t="str">
        <f>""</f>
        <v/>
      </c>
      <c r="DE280" t="str">
        <f>""</f>
        <v/>
      </c>
      <c r="DF280" t="str">
        <f>""</f>
        <v/>
      </c>
      <c r="DG280" t="str">
        <f>""</f>
        <v/>
      </c>
      <c r="DH280" t="str">
        <f>""</f>
        <v/>
      </c>
      <c r="DI280" t="str">
        <f>""</f>
        <v/>
      </c>
      <c r="DJ280" t="str">
        <f>""</f>
        <v/>
      </c>
      <c r="DK280" t="str">
        <f>""</f>
        <v/>
      </c>
      <c r="DL280" t="str">
        <f>""</f>
        <v/>
      </c>
      <c r="DM280" t="str">
        <f>""</f>
        <v/>
      </c>
      <c r="DN280" t="str">
        <f>""</f>
        <v/>
      </c>
      <c r="DO280" t="str">
        <f>""</f>
        <v/>
      </c>
      <c r="DP280" t="str">
        <f>""</f>
        <v/>
      </c>
      <c r="DQ280" t="str">
        <f>""</f>
        <v/>
      </c>
      <c r="DR280" t="str">
        <f>""</f>
        <v/>
      </c>
      <c r="DS280" t="str">
        <f>""</f>
        <v/>
      </c>
      <c r="DT280" t="str">
        <f>""</f>
        <v/>
      </c>
      <c r="DU280" t="str">
        <f>""</f>
        <v/>
      </c>
      <c r="DV280" t="str">
        <f>""</f>
        <v/>
      </c>
      <c r="DW280" t="str">
        <f>""</f>
        <v/>
      </c>
      <c r="DX280" t="str">
        <f>""</f>
        <v/>
      </c>
      <c r="DY280" t="str">
        <f>""</f>
        <v/>
      </c>
      <c r="DZ280" t="str">
        <f>""</f>
        <v/>
      </c>
      <c r="EA280" t="str">
        <f>""</f>
        <v/>
      </c>
      <c r="EB280" t="str">
        <f>""</f>
        <v/>
      </c>
      <c r="EC280" t="str">
        <f>""</f>
        <v/>
      </c>
      <c r="ED280" t="str">
        <f>""</f>
        <v/>
      </c>
      <c r="EE280" t="str">
        <f>""</f>
        <v/>
      </c>
      <c r="EF280" t="str">
        <f>""</f>
        <v/>
      </c>
      <c r="EG280" t="str">
        <f>""</f>
        <v/>
      </c>
      <c r="EH280" t="str">
        <f>""</f>
        <v/>
      </c>
      <c r="EI280" t="str">
        <f>""</f>
        <v/>
      </c>
      <c r="EJ280" t="str">
        <f>""</f>
        <v/>
      </c>
      <c r="EK280" t="str">
        <f>""</f>
        <v/>
      </c>
      <c r="EL280" t="str">
        <f>""</f>
        <v/>
      </c>
      <c r="EM280" t="str">
        <f>""</f>
        <v/>
      </c>
      <c r="EN280" t="str">
        <f>""</f>
        <v/>
      </c>
      <c r="EO280" t="str">
        <f>""</f>
        <v/>
      </c>
      <c r="EP280" t="str">
        <f>""</f>
        <v/>
      </c>
      <c r="EQ280" t="str">
        <f>""</f>
        <v/>
      </c>
      <c r="ER280" t="str">
        <f>""</f>
        <v/>
      </c>
      <c r="ES280" t="str">
        <f>""</f>
        <v/>
      </c>
      <c r="ET280" t="str">
        <f>""</f>
        <v/>
      </c>
      <c r="EU280" t="str">
        <f>""</f>
        <v/>
      </c>
      <c r="EV280" t="str">
        <f>""</f>
        <v/>
      </c>
      <c r="EW280" t="str">
        <f>""</f>
        <v/>
      </c>
      <c r="EX280" t="str">
        <f>""</f>
        <v/>
      </c>
      <c r="EY280" t="str">
        <f>""</f>
        <v/>
      </c>
      <c r="EZ280" t="str">
        <f>""</f>
        <v/>
      </c>
      <c r="FA280" t="str">
        <f>""</f>
        <v/>
      </c>
      <c r="FB280" t="str">
        <f>""</f>
        <v/>
      </c>
      <c r="FC280" t="str">
        <f>""</f>
        <v/>
      </c>
      <c r="FD280" t="str">
        <f>""</f>
        <v/>
      </c>
      <c r="FE280" t="str">
        <f>""</f>
        <v/>
      </c>
      <c r="FF280" t="str">
        <f>""</f>
        <v/>
      </c>
      <c r="FG280" t="str">
        <f>""</f>
        <v/>
      </c>
      <c r="FH280" t="str">
        <f>""</f>
        <v/>
      </c>
      <c r="FI280" t="str">
        <f>""</f>
        <v/>
      </c>
      <c r="FJ280" t="str">
        <f>""</f>
        <v/>
      </c>
      <c r="FK280" t="str">
        <f>""</f>
        <v/>
      </c>
      <c r="FL280" t="str">
        <f>""</f>
        <v/>
      </c>
      <c r="FM280" t="str">
        <f>""</f>
        <v/>
      </c>
      <c r="FN280" t="str">
        <f>""</f>
        <v/>
      </c>
      <c r="FO280" t="str">
        <f>""</f>
        <v/>
      </c>
      <c r="FP280" t="str">
        <f>""</f>
        <v/>
      </c>
      <c r="FQ280" t="str">
        <f>""</f>
        <v/>
      </c>
      <c r="FR280" t="str">
        <f>""</f>
        <v/>
      </c>
      <c r="FS280" t="str">
        <f>""</f>
        <v/>
      </c>
      <c r="FT280" t="str">
        <f>""</f>
        <v/>
      </c>
      <c r="FU280" t="str">
        <f>""</f>
        <v/>
      </c>
      <c r="FV280" t="str">
        <f>""</f>
        <v/>
      </c>
      <c r="FW280" t="str">
        <f>""</f>
        <v/>
      </c>
      <c r="FX280" t="str">
        <f>""</f>
        <v/>
      </c>
      <c r="FY280" t="str">
        <f>""</f>
        <v/>
      </c>
      <c r="FZ280" t="str">
        <f>""</f>
        <v/>
      </c>
      <c r="GA280" t="str">
        <f>""</f>
        <v/>
      </c>
      <c r="GB280" t="str">
        <f>""</f>
        <v/>
      </c>
      <c r="GC280" t="str">
        <f>""</f>
        <v/>
      </c>
      <c r="GD280" t="str">
        <f>""</f>
        <v/>
      </c>
      <c r="GE280" t="str">
        <f>""</f>
        <v/>
      </c>
      <c r="GF280" t="str">
        <f>"(0.107)"</f>
        <v>(0.107)</v>
      </c>
      <c r="GG280" t="str">
        <f>"(0.0835)"</f>
        <v>(0.0835)</v>
      </c>
      <c r="GH280" t="str">
        <f>"(0.0415)"</f>
        <v>(0.0415)</v>
      </c>
      <c r="GI280" t="str">
        <f>""</f>
        <v/>
      </c>
      <c r="GJ280" t="str">
        <f>""</f>
        <v/>
      </c>
      <c r="GK280" t="str">
        <f>""</f>
        <v/>
      </c>
      <c r="GL280" t="str">
        <f>""</f>
        <v/>
      </c>
      <c r="GM280" t="str">
        <f>""</f>
        <v/>
      </c>
      <c r="GN280" t="str">
        <f>""</f>
        <v/>
      </c>
      <c r="GO280" t="str">
        <f>""</f>
        <v/>
      </c>
      <c r="GP280" t="str">
        <f>""</f>
        <v/>
      </c>
      <c r="GQ280" t="str">
        <f>""</f>
        <v/>
      </c>
      <c r="GR280" t="str">
        <f>""</f>
        <v/>
      </c>
      <c r="GS280" t="str">
        <f>""</f>
        <v/>
      </c>
      <c r="GT280" t="str">
        <f>""</f>
        <v/>
      </c>
      <c r="GU280" t="str">
        <f>""</f>
        <v/>
      </c>
      <c r="GV280" t="str">
        <f>""</f>
        <v/>
      </c>
      <c r="GW280" t="str">
        <f>""</f>
        <v/>
      </c>
      <c r="GX280" t="str">
        <f>""</f>
        <v/>
      </c>
      <c r="GY280" t="str">
        <f>""</f>
        <v/>
      </c>
      <c r="GZ280" t="str">
        <f>""</f>
        <v/>
      </c>
      <c r="HA280" t="str">
        <f>""</f>
        <v/>
      </c>
      <c r="HB280" t="str">
        <f>""</f>
        <v/>
      </c>
      <c r="HC280" t="str">
        <f>""</f>
        <v/>
      </c>
      <c r="HD280" t="str">
        <f>""</f>
        <v/>
      </c>
      <c r="HE280" t="str">
        <f>""</f>
        <v/>
      </c>
      <c r="HF280" t="str">
        <f>""</f>
        <v/>
      </c>
      <c r="HG280" t="str">
        <f>""</f>
        <v/>
      </c>
      <c r="HH280" t="str">
        <f>""</f>
        <v/>
      </c>
      <c r="HI280" t="str">
        <f>""</f>
        <v/>
      </c>
      <c r="HJ280" t="str">
        <f>""</f>
        <v/>
      </c>
      <c r="HK280" t="str">
        <f>""</f>
        <v/>
      </c>
      <c r="HL280" t="str">
        <f>""</f>
        <v/>
      </c>
      <c r="HM280" t="str">
        <f>""</f>
        <v/>
      </c>
      <c r="HN280" t="str">
        <f>""</f>
        <v/>
      </c>
      <c r="HO280" t="str">
        <f>""</f>
        <v/>
      </c>
      <c r="HP280" t="str">
        <f>""</f>
        <v/>
      </c>
      <c r="HQ280" t="str">
        <f>""</f>
        <v/>
      </c>
      <c r="HR280" t="str">
        <f>""</f>
        <v/>
      </c>
      <c r="HS280" t="str">
        <f>""</f>
        <v/>
      </c>
      <c r="HT280" t="str">
        <f>""</f>
        <v/>
      </c>
      <c r="HU280" t="str">
        <f>""</f>
        <v/>
      </c>
      <c r="HV280" t="str">
        <f>""</f>
        <v/>
      </c>
      <c r="HW280" t="str">
        <f>""</f>
        <v/>
      </c>
      <c r="HX280" t="str">
        <f>""</f>
        <v/>
      </c>
      <c r="HY280" t="str">
        <f>""</f>
        <v/>
      </c>
      <c r="HZ280" t="str">
        <f>""</f>
        <v/>
      </c>
      <c r="IA280" t="str">
        <f>""</f>
        <v/>
      </c>
      <c r="IB280" t="str">
        <f>""</f>
        <v/>
      </c>
      <c r="IC280" t="str">
        <f>""</f>
        <v/>
      </c>
      <c r="ID280" t="str">
        <f>""</f>
        <v/>
      </c>
      <c r="IE280" t="str">
        <f>""</f>
        <v/>
      </c>
      <c r="IF280" t="str">
        <f>""</f>
        <v/>
      </c>
      <c r="IG280" t="str">
        <f>""</f>
        <v/>
      </c>
      <c r="IH280" t="str">
        <f>""</f>
        <v/>
      </c>
      <c r="II280" t="str">
        <f>""</f>
        <v/>
      </c>
      <c r="IJ280" t="str">
        <f>""</f>
        <v/>
      </c>
      <c r="IK280" t="str">
        <f>""</f>
        <v/>
      </c>
      <c r="IL280" t="str">
        <f>""</f>
        <v/>
      </c>
      <c r="IM280" t="str">
        <f>""</f>
        <v/>
      </c>
      <c r="IN280" t="str">
        <f>""</f>
        <v/>
      </c>
      <c r="IO280" t="str">
        <f>""</f>
        <v/>
      </c>
      <c r="IP280" t="str">
        <f>""</f>
        <v/>
      </c>
      <c r="IQ280" t="str">
        <f>""</f>
        <v/>
      </c>
      <c r="IR280" t="str">
        <f>""</f>
        <v/>
      </c>
      <c r="IS280" t="str">
        <f>""</f>
        <v/>
      </c>
      <c r="IT280" t="str">
        <f>""</f>
        <v/>
      </c>
      <c r="IU280" t="str">
        <f>""</f>
        <v/>
      </c>
      <c r="IV280" t="str">
        <f>""</f>
        <v/>
      </c>
      <c r="IW280" t="str">
        <f>""</f>
        <v/>
      </c>
      <c r="IX280" t="str">
        <f>""</f>
        <v/>
      </c>
      <c r="IY280" t="str">
        <f>""</f>
        <v/>
      </c>
      <c r="IZ280" t="str">
        <f>""</f>
        <v/>
      </c>
      <c r="JA280" t="str">
        <f>""</f>
        <v/>
      </c>
      <c r="JB280" t="str">
        <f>""</f>
        <v/>
      </c>
      <c r="JC280" t="str">
        <f>""</f>
        <v/>
      </c>
      <c r="JD280" t="str">
        <f>""</f>
        <v/>
      </c>
      <c r="JE280" t="str">
        <f>""</f>
        <v/>
      </c>
      <c r="JF280" t="str">
        <f>""</f>
        <v/>
      </c>
      <c r="JG280" t="str">
        <f>""</f>
        <v/>
      </c>
      <c r="JH280" t="str">
        <f>""</f>
        <v/>
      </c>
      <c r="JI280" t="str">
        <f>""</f>
        <v/>
      </c>
      <c r="JJ280" t="str">
        <f>""</f>
        <v/>
      </c>
      <c r="JK280" t="str">
        <f>""</f>
        <v/>
      </c>
    </row>
    <row r="282" spans="1:271" x14ac:dyDescent="0.3">
      <c r="A282" t="str">
        <f>"c.zMETAB4#c.PM5"</f>
        <v>c.zMETAB4#c.PM5</v>
      </c>
      <c r="B282" t="str">
        <f>""</f>
        <v/>
      </c>
      <c r="C282" t="str">
        <f>""</f>
        <v/>
      </c>
      <c r="D282" t="str">
        <f>""</f>
        <v/>
      </c>
      <c r="E282" t="str">
        <f>""</f>
        <v/>
      </c>
      <c r="F282" t="str">
        <f>""</f>
        <v/>
      </c>
      <c r="G282" t="str">
        <f>""</f>
        <v/>
      </c>
      <c r="H282" t="str">
        <f>""</f>
        <v/>
      </c>
      <c r="I282" t="str">
        <f>""</f>
        <v/>
      </c>
      <c r="J282" t="str">
        <f>""</f>
        <v/>
      </c>
      <c r="K282" t="str">
        <f>""</f>
        <v/>
      </c>
      <c r="L282" t="str">
        <f>""</f>
        <v/>
      </c>
      <c r="M282" t="str">
        <f>""</f>
        <v/>
      </c>
      <c r="N282" t="str">
        <f>""</f>
        <v/>
      </c>
      <c r="O282" t="str">
        <f>""</f>
        <v/>
      </c>
      <c r="P282" t="str">
        <f>""</f>
        <v/>
      </c>
      <c r="Q282" t="str">
        <f>""</f>
        <v/>
      </c>
      <c r="R282" t="str">
        <f>""</f>
        <v/>
      </c>
      <c r="S282" t="str">
        <f>""</f>
        <v/>
      </c>
      <c r="T282" t="str">
        <f>""</f>
        <v/>
      </c>
      <c r="U282" t="str">
        <f>""</f>
        <v/>
      </c>
      <c r="V282" t="str">
        <f>""</f>
        <v/>
      </c>
      <c r="W282" t="str">
        <f>""</f>
        <v/>
      </c>
      <c r="X282" t="str">
        <f>""</f>
        <v/>
      </c>
      <c r="Y282" t="str">
        <f>""</f>
        <v/>
      </c>
      <c r="Z282" t="str">
        <f>""</f>
        <v/>
      </c>
      <c r="AA282" t="str">
        <f>""</f>
        <v/>
      </c>
      <c r="AB282" t="str">
        <f>""</f>
        <v/>
      </c>
      <c r="AC282" t="str">
        <f>""</f>
        <v/>
      </c>
      <c r="AD282" t="str">
        <f>""</f>
        <v/>
      </c>
      <c r="AE282" t="str">
        <f>""</f>
        <v/>
      </c>
      <c r="AF282" t="str">
        <f>""</f>
        <v/>
      </c>
      <c r="AG282" t="str">
        <f>""</f>
        <v/>
      </c>
      <c r="AH282" t="str">
        <f>""</f>
        <v/>
      </c>
      <c r="AI282" t="str">
        <f>""</f>
        <v/>
      </c>
      <c r="AJ282" t="str">
        <f>""</f>
        <v/>
      </c>
      <c r="AK282" t="str">
        <f>""</f>
        <v/>
      </c>
      <c r="AL282" t="str">
        <f>""</f>
        <v/>
      </c>
      <c r="AM282" t="str">
        <f>""</f>
        <v/>
      </c>
      <c r="AN282" t="str">
        <f>""</f>
        <v/>
      </c>
      <c r="AO282" t="str">
        <f>""</f>
        <v/>
      </c>
      <c r="AP282" t="str">
        <f>""</f>
        <v/>
      </c>
      <c r="AQ282" t="str">
        <f>""</f>
        <v/>
      </c>
      <c r="AR282" t="str">
        <f>""</f>
        <v/>
      </c>
      <c r="AS282" t="str">
        <f>""</f>
        <v/>
      </c>
      <c r="AT282" t="str">
        <f>""</f>
        <v/>
      </c>
      <c r="AU282" t="str">
        <f>""</f>
        <v/>
      </c>
      <c r="AV282" t="str">
        <f>""</f>
        <v/>
      </c>
      <c r="AW282" t="str">
        <f>""</f>
        <v/>
      </c>
      <c r="AX282" t="str">
        <f>""</f>
        <v/>
      </c>
      <c r="AY282" t="str">
        <f>""</f>
        <v/>
      </c>
      <c r="AZ282" t="str">
        <f>""</f>
        <v/>
      </c>
      <c r="BA282" t="str">
        <f>""</f>
        <v/>
      </c>
      <c r="BB282" t="str">
        <f>""</f>
        <v/>
      </c>
      <c r="BC282" t="str">
        <f>""</f>
        <v/>
      </c>
      <c r="BD282" t="str">
        <f>""</f>
        <v/>
      </c>
      <c r="BE282" t="str">
        <f>""</f>
        <v/>
      </c>
      <c r="BF282" t="str">
        <f>""</f>
        <v/>
      </c>
      <c r="BG282" t="str">
        <f>""</f>
        <v/>
      </c>
      <c r="BH282" t="str">
        <f>""</f>
        <v/>
      </c>
      <c r="BI282" t="str">
        <f>""</f>
        <v/>
      </c>
      <c r="BJ282" t="str">
        <f>""</f>
        <v/>
      </c>
      <c r="BK282" t="str">
        <f>""</f>
        <v/>
      </c>
      <c r="BL282" t="str">
        <f>""</f>
        <v/>
      </c>
      <c r="BM282" t="str">
        <f>""</f>
        <v/>
      </c>
      <c r="BN282" t="str">
        <f>""</f>
        <v/>
      </c>
      <c r="BO282" t="str">
        <f>""</f>
        <v/>
      </c>
      <c r="BP282" t="str">
        <f>""</f>
        <v/>
      </c>
      <c r="BQ282" t="str">
        <f>""</f>
        <v/>
      </c>
      <c r="BR282" t="str">
        <f>""</f>
        <v/>
      </c>
      <c r="BS282" t="str">
        <f>""</f>
        <v/>
      </c>
      <c r="BT282" t="str">
        <f>""</f>
        <v/>
      </c>
      <c r="BU282" t="str">
        <f>""</f>
        <v/>
      </c>
      <c r="BV282" t="str">
        <f>""</f>
        <v/>
      </c>
      <c r="BW282" t="str">
        <f>""</f>
        <v/>
      </c>
      <c r="BX282" t="str">
        <f>""</f>
        <v/>
      </c>
      <c r="BY282" t="str">
        <f>""</f>
        <v/>
      </c>
      <c r="BZ282" t="str">
        <f>""</f>
        <v/>
      </c>
      <c r="CA282" t="str">
        <f>""</f>
        <v/>
      </c>
      <c r="CB282" t="str">
        <f>""</f>
        <v/>
      </c>
      <c r="CC282" t="str">
        <f>""</f>
        <v/>
      </c>
      <c r="CD282" t="str">
        <f>""</f>
        <v/>
      </c>
      <c r="CE282" t="str">
        <f>""</f>
        <v/>
      </c>
      <c r="CF282" t="str">
        <f>""</f>
        <v/>
      </c>
      <c r="CG282" t="str">
        <f>""</f>
        <v/>
      </c>
      <c r="CH282" t="str">
        <f>""</f>
        <v/>
      </c>
      <c r="CI282" t="str">
        <f>""</f>
        <v/>
      </c>
      <c r="CJ282" t="str">
        <f>""</f>
        <v/>
      </c>
      <c r="CK282" t="str">
        <f>""</f>
        <v/>
      </c>
      <c r="CL282" t="str">
        <f>""</f>
        <v/>
      </c>
      <c r="CM282" t="str">
        <f>""</f>
        <v/>
      </c>
      <c r="CN282" t="str">
        <f>""</f>
        <v/>
      </c>
      <c r="CO282" t="str">
        <f>""</f>
        <v/>
      </c>
      <c r="CP282" t="str">
        <f>""</f>
        <v/>
      </c>
      <c r="CQ282" t="str">
        <f>""</f>
        <v/>
      </c>
      <c r="CR282" t="str">
        <f>""</f>
        <v/>
      </c>
      <c r="CS282" t="str">
        <f>""</f>
        <v/>
      </c>
      <c r="CT282" t="str">
        <f>""</f>
        <v/>
      </c>
      <c r="CU282" t="str">
        <f>""</f>
        <v/>
      </c>
      <c r="CV282" t="str">
        <f>""</f>
        <v/>
      </c>
      <c r="CW282" t="str">
        <f>""</f>
        <v/>
      </c>
      <c r="CX282" t="str">
        <f>""</f>
        <v/>
      </c>
      <c r="CY282" t="str">
        <f>""</f>
        <v/>
      </c>
      <c r="CZ282" t="str">
        <f>""</f>
        <v/>
      </c>
      <c r="DA282" t="str">
        <f>""</f>
        <v/>
      </c>
      <c r="DB282" t="str">
        <f>""</f>
        <v/>
      </c>
      <c r="DC282" t="str">
        <f>""</f>
        <v/>
      </c>
      <c r="DD282" t="str">
        <f>""</f>
        <v/>
      </c>
      <c r="DE282" t="str">
        <f>""</f>
        <v/>
      </c>
      <c r="DF282" t="str">
        <f>""</f>
        <v/>
      </c>
      <c r="DG282" t="str">
        <f>""</f>
        <v/>
      </c>
      <c r="DH282" t="str">
        <f>""</f>
        <v/>
      </c>
      <c r="DI282" t="str">
        <f>""</f>
        <v/>
      </c>
      <c r="DJ282" t="str">
        <f>""</f>
        <v/>
      </c>
      <c r="DK282" t="str">
        <f>""</f>
        <v/>
      </c>
      <c r="DL282" t="str">
        <f>""</f>
        <v/>
      </c>
      <c r="DM282" t="str">
        <f>""</f>
        <v/>
      </c>
      <c r="DN282" t="str">
        <f>""</f>
        <v/>
      </c>
      <c r="DO282" t="str">
        <f>""</f>
        <v/>
      </c>
      <c r="DP282" t="str">
        <f>""</f>
        <v/>
      </c>
      <c r="DQ282" t="str">
        <f>""</f>
        <v/>
      </c>
      <c r="DR282" t="str">
        <f>""</f>
        <v/>
      </c>
      <c r="DS282" t="str">
        <f>""</f>
        <v/>
      </c>
      <c r="DT282" t="str">
        <f>""</f>
        <v/>
      </c>
      <c r="DU282" t="str">
        <f>""</f>
        <v/>
      </c>
      <c r="DV282" t="str">
        <f>""</f>
        <v/>
      </c>
      <c r="DW282" t="str">
        <f>""</f>
        <v/>
      </c>
      <c r="DX282" t="str">
        <f>""</f>
        <v/>
      </c>
      <c r="DY282" t="str">
        <f>""</f>
        <v/>
      </c>
      <c r="DZ282" t="str">
        <f>""</f>
        <v/>
      </c>
      <c r="EA282" t="str">
        <f>""</f>
        <v/>
      </c>
      <c r="EB282" t="str">
        <f>""</f>
        <v/>
      </c>
      <c r="EC282" t="str">
        <f>""</f>
        <v/>
      </c>
      <c r="ED282" t="str">
        <f>""</f>
        <v/>
      </c>
      <c r="EE282" t="str">
        <f>""</f>
        <v/>
      </c>
      <c r="EF282" t="str">
        <f>""</f>
        <v/>
      </c>
      <c r="EG282" t="str">
        <f>""</f>
        <v/>
      </c>
      <c r="EH282" t="str">
        <f>""</f>
        <v/>
      </c>
      <c r="EI282" t="str">
        <f>""</f>
        <v/>
      </c>
      <c r="EJ282" t="str">
        <f>""</f>
        <v/>
      </c>
      <c r="EK282" t="str">
        <f>""</f>
        <v/>
      </c>
      <c r="EL282" t="str">
        <f>""</f>
        <v/>
      </c>
      <c r="EM282" t="str">
        <f>""</f>
        <v/>
      </c>
      <c r="EN282" t="str">
        <f>""</f>
        <v/>
      </c>
      <c r="EO282" t="str">
        <f>""</f>
        <v/>
      </c>
      <c r="EP282" t="str">
        <f>""</f>
        <v/>
      </c>
      <c r="EQ282" t="str">
        <f>""</f>
        <v/>
      </c>
      <c r="ER282" t="str">
        <f>""</f>
        <v/>
      </c>
      <c r="ES282" t="str">
        <f>""</f>
        <v/>
      </c>
      <c r="ET282" t="str">
        <f>""</f>
        <v/>
      </c>
      <c r="EU282" t="str">
        <f>""</f>
        <v/>
      </c>
      <c r="EV282" t="str">
        <f>""</f>
        <v/>
      </c>
      <c r="EW282" t="str">
        <f>""</f>
        <v/>
      </c>
      <c r="EX282" t="str">
        <f>""</f>
        <v/>
      </c>
      <c r="EY282" t="str">
        <f>""</f>
        <v/>
      </c>
      <c r="EZ282" t="str">
        <f>""</f>
        <v/>
      </c>
      <c r="FA282" t="str">
        <f>""</f>
        <v/>
      </c>
      <c r="FB282" t="str">
        <f>""</f>
        <v/>
      </c>
      <c r="FC282" t="str">
        <f>""</f>
        <v/>
      </c>
      <c r="FD282" t="str">
        <f>""</f>
        <v/>
      </c>
      <c r="FE282" t="str">
        <f>""</f>
        <v/>
      </c>
      <c r="FF282" t="str">
        <f>""</f>
        <v/>
      </c>
      <c r="FG282" t="str">
        <f>""</f>
        <v/>
      </c>
      <c r="FH282" t="str">
        <f>""</f>
        <v/>
      </c>
      <c r="FI282" t="str">
        <f>""</f>
        <v/>
      </c>
      <c r="FJ282" t="str">
        <f>""</f>
        <v/>
      </c>
      <c r="FK282" t="str">
        <f>""</f>
        <v/>
      </c>
      <c r="FL282" t="str">
        <f>""</f>
        <v/>
      </c>
      <c r="FM282" t="str">
        <f>""</f>
        <v/>
      </c>
      <c r="FN282" t="str">
        <f>""</f>
        <v/>
      </c>
      <c r="FO282" t="str">
        <f>""</f>
        <v/>
      </c>
      <c r="FP282" t="str">
        <f>""</f>
        <v/>
      </c>
      <c r="FQ282" t="str">
        <f>""</f>
        <v/>
      </c>
      <c r="FR282" t="str">
        <f>""</f>
        <v/>
      </c>
      <c r="FS282" t="str">
        <f>""</f>
        <v/>
      </c>
      <c r="FT282" t="str">
        <f>""</f>
        <v/>
      </c>
      <c r="FU282" t="str">
        <f>""</f>
        <v/>
      </c>
      <c r="FV282" t="str">
        <f>""</f>
        <v/>
      </c>
      <c r="FW282" t="str">
        <f>""</f>
        <v/>
      </c>
      <c r="FX282" t="str">
        <f>""</f>
        <v/>
      </c>
      <c r="FY282" t="str">
        <f>""</f>
        <v/>
      </c>
      <c r="FZ282" t="str">
        <f>""</f>
        <v/>
      </c>
      <c r="GA282" t="str">
        <f>""</f>
        <v/>
      </c>
      <c r="GB282" t="str">
        <f>""</f>
        <v/>
      </c>
      <c r="GC282" t="str">
        <f>""</f>
        <v/>
      </c>
      <c r="GD282" t="str">
        <f>""</f>
        <v/>
      </c>
      <c r="GE282" t="str">
        <f>""</f>
        <v/>
      </c>
      <c r="GF282" t="str">
        <f>""</f>
        <v/>
      </c>
      <c r="GG282" t="str">
        <f>""</f>
        <v/>
      </c>
      <c r="GH282" t="str">
        <f>""</f>
        <v/>
      </c>
      <c r="GI282" t="str">
        <f>"0.125"</f>
        <v>0.125</v>
      </c>
      <c r="GJ282" t="str">
        <f>"-0.0175"</f>
        <v>-0.0175</v>
      </c>
      <c r="GK282" t="str">
        <f>"-0.0688"</f>
        <v>-0.0688</v>
      </c>
      <c r="GL282" t="str">
        <f>""</f>
        <v/>
      </c>
      <c r="GM282" t="str">
        <f>""</f>
        <v/>
      </c>
      <c r="GN282" t="str">
        <f>""</f>
        <v/>
      </c>
      <c r="GO282" t="str">
        <f>""</f>
        <v/>
      </c>
      <c r="GP282" t="str">
        <f>""</f>
        <v/>
      </c>
      <c r="GQ282" t="str">
        <f>""</f>
        <v/>
      </c>
      <c r="GR282" t="str">
        <f>""</f>
        <v/>
      </c>
      <c r="GS282" t="str">
        <f>""</f>
        <v/>
      </c>
      <c r="GT282" t="str">
        <f>""</f>
        <v/>
      </c>
      <c r="GU282" t="str">
        <f>""</f>
        <v/>
      </c>
      <c r="GV282" t="str">
        <f>""</f>
        <v/>
      </c>
      <c r="GW282" t="str">
        <f>""</f>
        <v/>
      </c>
      <c r="GX282" t="str">
        <f>""</f>
        <v/>
      </c>
      <c r="GY282" t="str">
        <f>""</f>
        <v/>
      </c>
      <c r="GZ282" t="str">
        <f>""</f>
        <v/>
      </c>
      <c r="HA282" t="str">
        <f>""</f>
        <v/>
      </c>
      <c r="HB282" t="str">
        <f>""</f>
        <v/>
      </c>
      <c r="HC282" t="str">
        <f>""</f>
        <v/>
      </c>
      <c r="HD282" t="str">
        <f>""</f>
        <v/>
      </c>
      <c r="HE282" t="str">
        <f>""</f>
        <v/>
      </c>
      <c r="HF282" t="str">
        <f>""</f>
        <v/>
      </c>
      <c r="HG282" t="str">
        <f>""</f>
        <v/>
      </c>
      <c r="HH282" t="str">
        <f>""</f>
        <v/>
      </c>
      <c r="HI282" t="str">
        <f>""</f>
        <v/>
      </c>
      <c r="HJ282" t="str">
        <f>""</f>
        <v/>
      </c>
      <c r="HK282" t="str">
        <f>""</f>
        <v/>
      </c>
      <c r="HL282" t="str">
        <f>""</f>
        <v/>
      </c>
      <c r="HM282" t="str">
        <f>""</f>
        <v/>
      </c>
      <c r="HN282" t="str">
        <f>""</f>
        <v/>
      </c>
      <c r="HO282" t="str">
        <f>""</f>
        <v/>
      </c>
      <c r="HP282" t="str">
        <f>""</f>
        <v/>
      </c>
      <c r="HQ282" t="str">
        <f>""</f>
        <v/>
      </c>
      <c r="HR282" t="str">
        <f>""</f>
        <v/>
      </c>
      <c r="HS282" t="str">
        <f>""</f>
        <v/>
      </c>
      <c r="HT282" t="str">
        <f>""</f>
        <v/>
      </c>
      <c r="HU282" t="str">
        <f>""</f>
        <v/>
      </c>
      <c r="HV282" t="str">
        <f>""</f>
        <v/>
      </c>
      <c r="HW282" t="str">
        <f>""</f>
        <v/>
      </c>
      <c r="HX282" t="str">
        <f>""</f>
        <v/>
      </c>
      <c r="HY282" t="str">
        <f>""</f>
        <v/>
      </c>
      <c r="HZ282" t="str">
        <f>""</f>
        <v/>
      </c>
      <c r="IA282" t="str">
        <f>""</f>
        <v/>
      </c>
      <c r="IB282" t="str">
        <f>""</f>
        <v/>
      </c>
      <c r="IC282" t="str">
        <f>""</f>
        <v/>
      </c>
      <c r="ID282" t="str">
        <f>""</f>
        <v/>
      </c>
      <c r="IE282" t="str">
        <f>""</f>
        <v/>
      </c>
      <c r="IF282" t="str">
        <f>""</f>
        <v/>
      </c>
      <c r="IG282" t="str">
        <f>""</f>
        <v/>
      </c>
      <c r="IH282" t="str">
        <f>""</f>
        <v/>
      </c>
      <c r="II282" t="str">
        <f>""</f>
        <v/>
      </c>
      <c r="IJ282" t="str">
        <f>""</f>
        <v/>
      </c>
      <c r="IK282" t="str">
        <f>""</f>
        <v/>
      </c>
      <c r="IL282" t="str">
        <f>""</f>
        <v/>
      </c>
      <c r="IM282" t="str">
        <f>""</f>
        <v/>
      </c>
      <c r="IN282" t="str">
        <f>""</f>
        <v/>
      </c>
      <c r="IO282" t="str">
        <f>""</f>
        <v/>
      </c>
      <c r="IP282" t="str">
        <f>""</f>
        <v/>
      </c>
      <c r="IQ282" t="str">
        <f>""</f>
        <v/>
      </c>
      <c r="IR282" t="str">
        <f>""</f>
        <v/>
      </c>
      <c r="IS282" t="str">
        <f>""</f>
        <v/>
      </c>
      <c r="IT282" t="str">
        <f>""</f>
        <v/>
      </c>
      <c r="IU282" t="str">
        <f>""</f>
        <v/>
      </c>
      <c r="IV282" t="str">
        <f>""</f>
        <v/>
      </c>
      <c r="IW282" t="str">
        <f>""</f>
        <v/>
      </c>
      <c r="IX282" t="str">
        <f>""</f>
        <v/>
      </c>
      <c r="IY282" t="str">
        <f>""</f>
        <v/>
      </c>
      <c r="IZ282" t="str">
        <f>""</f>
        <v/>
      </c>
      <c r="JA282" t="str">
        <f>""</f>
        <v/>
      </c>
      <c r="JB282" t="str">
        <f>""</f>
        <v/>
      </c>
      <c r="JC282" t="str">
        <f>""</f>
        <v/>
      </c>
      <c r="JD282" t="str">
        <f>""</f>
        <v/>
      </c>
      <c r="JE282" t="str">
        <f>""</f>
        <v/>
      </c>
      <c r="JF282" t="str">
        <f>""</f>
        <v/>
      </c>
      <c r="JG282" t="str">
        <f>""</f>
        <v/>
      </c>
      <c r="JH282" t="str">
        <f>""</f>
        <v/>
      </c>
      <c r="JI282" t="str">
        <f>""</f>
        <v/>
      </c>
      <c r="JJ282" t="str">
        <f>""</f>
        <v/>
      </c>
      <c r="JK282" t="str">
        <f>""</f>
        <v/>
      </c>
    </row>
    <row r="283" spans="1:271" x14ac:dyDescent="0.3">
      <c r="A283" t="str">
        <f>""</f>
        <v/>
      </c>
      <c r="B283" t="str">
        <f>""</f>
        <v/>
      </c>
      <c r="C283" t="str">
        <f>""</f>
        <v/>
      </c>
      <c r="D283" t="str">
        <f>""</f>
        <v/>
      </c>
      <c r="E283" t="str">
        <f>""</f>
        <v/>
      </c>
      <c r="F283" t="str">
        <f>""</f>
        <v/>
      </c>
      <c r="G283" t="str">
        <f>""</f>
        <v/>
      </c>
      <c r="H283" t="str">
        <f>""</f>
        <v/>
      </c>
      <c r="I283" t="str">
        <f>""</f>
        <v/>
      </c>
      <c r="J283" t="str">
        <f>""</f>
        <v/>
      </c>
      <c r="K283" t="str">
        <f>""</f>
        <v/>
      </c>
      <c r="L283" t="str">
        <f>""</f>
        <v/>
      </c>
      <c r="M283" t="str">
        <f>""</f>
        <v/>
      </c>
      <c r="N283" t="str">
        <f>""</f>
        <v/>
      </c>
      <c r="O283" t="str">
        <f>""</f>
        <v/>
      </c>
      <c r="P283" t="str">
        <f>""</f>
        <v/>
      </c>
      <c r="Q283" t="str">
        <f>""</f>
        <v/>
      </c>
      <c r="R283" t="str">
        <f>""</f>
        <v/>
      </c>
      <c r="S283" t="str">
        <f>""</f>
        <v/>
      </c>
      <c r="T283" t="str">
        <f>""</f>
        <v/>
      </c>
      <c r="U283" t="str">
        <f>""</f>
        <v/>
      </c>
      <c r="V283" t="str">
        <f>""</f>
        <v/>
      </c>
      <c r="W283" t="str">
        <f>""</f>
        <v/>
      </c>
      <c r="X283" t="str">
        <f>""</f>
        <v/>
      </c>
      <c r="Y283" t="str">
        <f>""</f>
        <v/>
      </c>
      <c r="Z283" t="str">
        <f>""</f>
        <v/>
      </c>
      <c r="AA283" t="str">
        <f>""</f>
        <v/>
      </c>
      <c r="AB283" t="str">
        <f>""</f>
        <v/>
      </c>
      <c r="AC283" t="str">
        <f>""</f>
        <v/>
      </c>
      <c r="AD283" t="str">
        <f>""</f>
        <v/>
      </c>
      <c r="AE283" t="str">
        <f>""</f>
        <v/>
      </c>
      <c r="AF283" t="str">
        <f>""</f>
        <v/>
      </c>
      <c r="AG283" t="str">
        <f>""</f>
        <v/>
      </c>
      <c r="AH283" t="str">
        <f>""</f>
        <v/>
      </c>
      <c r="AI283" t="str">
        <f>""</f>
        <v/>
      </c>
      <c r="AJ283" t="str">
        <f>""</f>
        <v/>
      </c>
      <c r="AK283" t="str">
        <f>""</f>
        <v/>
      </c>
      <c r="AL283" t="str">
        <f>""</f>
        <v/>
      </c>
      <c r="AM283" t="str">
        <f>""</f>
        <v/>
      </c>
      <c r="AN283" t="str">
        <f>""</f>
        <v/>
      </c>
      <c r="AO283" t="str">
        <f>""</f>
        <v/>
      </c>
      <c r="AP283" t="str">
        <f>""</f>
        <v/>
      </c>
      <c r="AQ283" t="str">
        <f>""</f>
        <v/>
      </c>
      <c r="AR283" t="str">
        <f>""</f>
        <v/>
      </c>
      <c r="AS283" t="str">
        <f>""</f>
        <v/>
      </c>
      <c r="AT283" t="str">
        <f>""</f>
        <v/>
      </c>
      <c r="AU283" t="str">
        <f>""</f>
        <v/>
      </c>
      <c r="AV283" t="str">
        <f>""</f>
        <v/>
      </c>
      <c r="AW283" t="str">
        <f>""</f>
        <v/>
      </c>
      <c r="AX283" t="str">
        <f>""</f>
        <v/>
      </c>
      <c r="AY283" t="str">
        <f>""</f>
        <v/>
      </c>
      <c r="AZ283" t="str">
        <f>""</f>
        <v/>
      </c>
      <c r="BA283" t="str">
        <f>""</f>
        <v/>
      </c>
      <c r="BB283" t="str">
        <f>""</f>
        <v/>
      </c>
      <c r="BC283" t="str">
        <f>""</f>
        <v/>
      </c>
      <c r="BD283" t="str">
        <f>""</f>
        <v/>
      </c>
      <c r="BE283" t="str">
        <f>""</f>
        <v/>
      </c>
      <c r="BF283" t="str">
        <f>""</f>
        <v/>
      </c>
      <c r="BG283" t="str">
        <f>""</f>
        <v/>
      </c>
      <c r="BH283" t="str">
        <f>""</f>
        <v/>
      </c>
      <c r="BI283" t="str">
        <f>""</f>
        <v/>
      </c>
      <c r="BJ283" t="str">
        <f>""</f>
        <v/>
      </c>
      <c r="BK283" t="str">
        <f>""</f>
        <v/>
      </c>
      <c r="BL283" t="str">
        <f>""</f>
        <v/>
      </c>
      <c r="BM283" t="str">
        <f>""</f>
        <v/>
      </c>
      <c r="BN283" t="str">
        <f>""</f>
        <v/>
      </c>
      <c r="BO283" t="str">
        <f>""</f>
        <v/>
      </c>
      <c r="BP283" t="str">
        <f>""</f>
        <v/>
      </c>
      <c r="BQ283" t="str">
        <f>""</f>
        <v/>
      </c>
      <c r="BR283" t="str">
        <f>""</f>
        <v/>
      </c>
      <c r="BS283" t="str">
        <f>""</f>
        <v/>
      </c>
      <c r="BT283" t="str">
        <f>""</f>
        <v/>
      </c>
      <c r="BU283" t="str">
        <f>""</f>
        <v/>
      </c>
      <c r="BV283" t="str">
        <f>""</f>
        <v/>
      </c>
      <c r="BW283" t="str">
        <f>""</f>
        <v/>
      </c>
      <c r="BX283" t="str">
        <f>""</f>
        <v/>
      </c>
      <c r="BY283" t="str">
        <f>""</f>
        <v/>
      </c>
      <c r="BZ283" t="str">
        <f>""</f>
        <v/>
      </c>
      <c r="CA283" t="str">
        <f>""</f>
        <v/>
      </c>
      <c r="CB283" t="str">
        <f>""</f>
        <v/>
      </c>
      <c r="CC283" t="str">
        <f>""</f>
        <v/>
      </c>
      <c r="CD283" t="str">
        <f>""</f>
        <v/>
      </c>
      <c r="CE283" t="str">
        <f>""</f>
        <v/>
      </c>
      <c r="CF283" t="str">
        <f>""</f>
        <v/>
      </c>
      <c r="CG283" t="str">
        <f>""</f>
        <v/>
      </c>
      <c r="CH283" t="str">
        <f>""</f>
        <v/>
      </c>
      <c r="CI283" t="str">
        <f>""</f>
        <v/>
      </c>
      <c r="CJ283" t="str">
        <f>""</f>
        <v/>
      </c>
      <c r="CK283" t="str">
        <f>""</f>
        <v/>
      </c>
      <c r="CL283" t="str">
        <f>""</f>
        <v/>
      </c>
      <c r="CM283" t="str">
        <f>""</f>
        <v/>
      </c>
      <c r="CN283" t="str">
        <f>""</f>
        <v/>
      </c>
      <c r="CO283" t="str">
        <f>""</f>
        <v/>
      </c>
      <c r="CP283" t="str">
        <f>""</f>
        <v/>
      </c>
      <c r="CQ283" t="str">
        <f>""</f>
        <v/>
      </c>
      <c r="CR283" t="str">
        <f>""</f>
        <v/>
      </c>
      <c r="CS283" t="str">
        <f>""</f>
        <v/>
      </c>
      <c r="CT283" t="str">
        <f>""</f>
        <v/>
      </c>
      <c r="CU283" t="str">
        <f>""</f>
        <v/>
      </c>
      <c r="CV283" t="str">
        <f>""</f>
        <v/>
      </c>
      <c r="CW283" t="str">
        <f>""</f>
        <v/>
      </c>
      <c r="CX283" t="str">
        <f>""</f>
        <v/>
      </c>
      <c r="CY283" t="str">
        <f>""</f>
        <v/>
      </c>
      <c r="CZ283" t="str">
        <f>""</f>
        <v/>
      </c>
      <c r="DA283" t="str">
        <f>""</f>
        <v/>
      </c>
      <c r="DB283" t="str">
        <f>""</f>
        <v/>
      </c>
      <c r="DC283" t="str">
        <f>""</f>
        <v/>
      </c>
      <c r="DD283" t="str">
        <f>""</f>
        <v/>
      </c>
      <c r="DE283" t="str">
        <f>""</f>
        <v/>
      </c>
      <c r="DF283" t="str">
        <f>""</f>
        <v/>
      </c>
      <c r="DG283" t="str">
        <f>""</f>
        <v/>
      </c>
      <c r="DH283" t="str">
        <f>""</f>
        <v/>
      </c>
      <c r="DI283" t="str">
        <f>""</f>
        <v/>
      </c>
      <c r="DJ283" t="str">
        <f>""</f>
        <v/>
      </c>
      <c r="DK283" t="str">
        <f>""</f>
        <v/>
      </c>
      <c r="DL283" t="str">
        <f>""</f>
        <v/>
      </c>
      <c r="DM283" t="str">
        <f>""</f>
        <v/>
      </c>
      <c r="DN283" t="str">
        <f>""</f>
        <v/>
      </c>
      <c r="DO283" t="str">
        <f>""</f>
        <v/>
      </c>
      <c r="DP283" t="str">
        <f>""</f>
        <v/>
      </c>
      <c r="DQ283" t="str">
        <f>""</f>
        <v/>
      </c>
      <c r="DR283" t="str">
        <f>""</f>
        <v/>
      </c>
      <c r="DS283" t="str">
        <f>""</f>
        <v/>
      </c>
      <c r="DT283" t="str">
        <f>""</f>
        <v/>
      </c>
      <c r="DU283" t="str">
        <f>""</f>
        <v/>
      </c>
      <c r="DV283" t="str">
        <f>""</f>
        <v/>
      </c>
      <c r="DW283" t="str">
        <f>""</f>
        <v/>
      </c>
      <c r="DX283" t="str">
        <f>""</f>
        <v/>
      </c>
      <c r="DY283" t="str">
        <f>""</f>
        <v/>
      </c>
      <c r="DZ283" t="str">
        <f>""</f>
        <v/>
      </c>
      <c r="EA283" t="str">
        <f>""</f>
        <v/>
      </c>
      <c r="EB283" t="str">
        <f>""</f>
        <v/>
      </c>
      <c r="EC283" t="str">
        <f>""</f>
        <v/>
      </c>
      <c r="ED283" t="str">
        <f>""</f>
        <v/>
      </c>
      <c r="EE283" t="str">
        <f>""</f>
        <v/>
      </c>
      <c r="EF283" t="str">
        <f>""</f>
        <v/>
      </c>
      <c r="EG283" t="str">
        <f>""</f>
        <v/>
      </c>
      <c r="EH283" t="str">
        <f>""</f>
        <v/>
      </c>
      <c r="EI283" t="str">
        <f>""</f>
        <v/>
      </c>
      <c r="EJ283" t="str">
        <f>""</f>
        <v/>
      </c>
      <c r="EK283" t="str">
        <f>""</f>
        <v/>
      </c>
      <c r="EL283" t="str">
        <f>""</f>
        <v/>
      </c>
      <c r="EM283" t="str">
        <f>""</f>
        <v/>
      </c>
      <c r="EN283" t="str">
        <f>""</f>
        <v/>
      </c>
      <c r="EO283" t="str">
        <f>""</f>
        <v/>
      </c>
      <c r="EP283" t="str">
        <f>""</f>
        <v/>
      </c>
      <c r="EQ283" t="str">
        <f>""</f>
        <v/>
      </c>
      <c r="ER283" t="str">
        <f>""</f>
        <v/>
      </c>
      <c r="ES283" t="str">
        <f>""</f>
        <v/>
      </c>
      <c r="ET283" t="str">
        <f>""</f>
        <v/>
      </c>
      <c r="EU283" t="str">
        <f>""</f>
        <v/>
      </c>
      <c r="EV283" t="str">
        <f>""</f>
        <v/>
      </c>
      <c r="EW283" t="str">
        <f>""</f>
        <v/>
      </c>
      <c r="EX283" t="str">
        <f>""</f>
        <v/>
      </c>
      <c r="EY283" t="str">
        <f>""</f>
        <v/>
      </c>
      <c r="EZ283" t="str">
        <f>""</f>
        <v/>
      </c>
      <c r="FA283" t="str">
        <f>""</f>
        <v/>
      </c>
      <c r="FB283" t="str">
        <f>""</f>
        <v/>
      </c>
      <c r="FC283" t="str">
        <f>""</f>
        <v/>
      </c>
      <c r="FD283" t="str">
        <f>""</f>
        <v/>
      </c>
      <c r="FE283" t="str">
        <f>""</f>
        <v/>
      </c>
      <c r="FF283" t="str">
        <f>""</f>
        <v/>
      </c>
      <c r="FG283" t="str">
        <f>""</f>
        <v/>
      </c>
      <c r="FH283" t="str">
        <f>""</f>
        <v/>
      </c>
      <c r="FI283" t="str">
        <f>""</f>
        <v/>
      </c>
      <c r="FJ283" t="str">
        <f>""</f>
        <v/>
      </c>
      <c r="FK283" t="str">
        <f>""</f>
        <v/>
      </c>
      <c r="FL283" t="str">
        <f>""</f>
        <v/>
      </c>
      <c r="FM283" t="str">
        <f>""</f>
        <v/>
      </c>
      <c r="FN283" t="str">
        <f>""</f>
        <v/>
      </c>
      <c r="FO283" t="str">
        <f>""</f>
        <v/>
      </c>
      <c r="FP283" t="str">
        <f>""</f>
        <v/>
      </c>
      <c r="FQ283" t="str">
        <f>""</f>
        <v/>
      </c>
      <c r="FR283" t="str">
        <f>""</f>
        <v/>
      </c>
      <c r="FS283" t="str">
        <f>""</f>
        <v/>
      </c>
      <c r="FT283" t="str">
        <f>""</f>
        <v/>
      </c>
      <c r="FU283" t="str">
        <f>""</f>
        <v/>
      </c>
      <c r="FV283" t="str">
        <f>""</f>
        <v/>
      </c>
      <c r="FW283" t="str">
        <f>""</f>
        <v/>
      </c>
      <c r="FX283" t="str">
        <f>""</f>
        <v/>
      </c>
      <c r="FY283" t="str">
        <f>""</f>
        <v/>
      </c>
      <c r="FZ283" t="str">
        <f>""</f>
        <v/>
      </c>
      <c r="GA283" t="str">
        <f>""</f>
        <v/>
      </c>
      <c r="GB283" t="str">
        <f>""</f>
        <v/>
      </c>
      <c r="GC283" t="str">
        <f>""</f>
        <v/>
      </c>
      <c r="GD283" t="str">
        <f>""</f>
        <v/>
      </c>
      <c r="GE283" t="str">
        <f>""</f>
        <v/>
      </c>
      <c r="GF283" t="str">
        <f>""</f>
        <v/>
      </c>
      <c r="GG283" t="str">
        <f>""</f>
        <v/>
      </c>
      <c r="GH283" t="str">
        <f>""</f>
        <v/>
      </c>
      <c r="GI283" t="str">
        <f>"(0.103)"</f>
        <v>(0.103)</v>
      </c>
      <c r="GJ283" t="str">
        <f>"(0.0811)"</f>
        <v>(0.0811)</v>
      </c>
      <c r="GK283" t="str">
        <f>"(0.0438)"</f>
        <v>(0.0438)</v>
      </c>
      <c r="GL283" t="str">
        <f>""</f>
        <v/>
      </c>
      <c r="GM283" t="str">
        <f>""</f>
        <v/>
      </c>
      <c r="GN283" t="str">
        <f>""</f>
        <v/>
      </c>
      <c r="GO283" t="str">
        <f>""</f>
        <v/>
      </c>
      <c r="GP283" t="str">
        <f>""</f>
        <v/>
      </c>
      <c r="GQ283" t="str">
        <f>""</f>
        <v/>
      </c>
      <c r="GR283" t="str">
        <f>""</f>
        <v/>
      </c>
      <c r="GS283" t="str">
        <f>""</f>
        <v/>
      </c>
      <c r="GT283" t="str">
        <f>""</f>
        <v/>
      </c>
      <c r="GU283" t="str">
        <f>""</f>
        <v/>
      </c>
      <c r="GV283" t="str">
        <f>""</f>
        <v/>
      </c>
      <c r="GW283" t="str">
        <f>""</f>
        <v/>
      </c>
      <c r="GX283" t="str">
        <f>""</f>
        <v/>
      </c>
      <c r="GY283" t="str">
        <f>""</f>
        <v/>
      </c>
      <c r="GZ283" t="str">
        <f>""</f>
        <v/>
      </c>
      <c r="HA283" t="str">
        <f>""</f>
        <v/>
      </c>
      <c r="HB283" t="str">
        <f>""</f>
        <v/>
      </c>
      <c r="HC283" t="str">
        <f>""</f>
        <v/>
      </c>
      <c r="HD283" t="str">
        <f>""</f>
        <v/>
      </c>
      <c r="HE283" t="str">
        <f>""</f>
        <v/>
      </c>
      <c r="HF283" t="str">
        <f>""</f>
        <v/>
      </c>
      <c r="HG283" t="str">
        <f>""</f>
        <v/>
      </c>
      <c r="HH283" t="str">
        <f>""</f>
        <v/>
      </c>
      <c r="HI283" t="str">
        <f>""</f>
        <v/>
      </c>
      <c r="HJ283" t="str">
        <f>""</f>
        <v/>
      </c>
      <c r="HK283" t="str">
        <f>""</f>
        <v/>
      </c>
      <c r="HL283" t="str">
        <f>""</f>
        <v/>
      </c>
      <c r="HM283" t="str">
        <f>""</f>
        <v/>
      </c>
      <c r="HN283" t="str">
        <f>""</f>
        <v/>
      </c>
      <c r="HO283" t="str">
        <f>""</f>
        <v/>
      </c>
      <c r="HP283" t="str">
        <f>""</f>
        <v/>
      </c>
      <c r="HQ283" t="str">
        <f>""</f>
        <v/>
      </c>
      <c r="HR283" t="str">
        <f>""</f>
        <v/>
      </c>
      <c r="HS283" t="str">
        <f>""</f>
        <v/>
      </c>
      <c r="HT283" t="str">
        <f>""</f>
        <v/>
      </c>
      <c r="HU283" t="str">
        <f>""</f>
        <v/>
      </c>
      <c r="HV283" t="str">
        <f>""</f>
        <v/>
      </c>
      <c r="HW283" t="str">
        <f>""</f>
        <v/>
      </c>
      <c r="HX283" t="str">
        <f>""</f>
        <v/>
      </c>
      <c r="HY283" t="str">
        <f>""</f>
        <v/>
      </c>
      <c r="HZ283" t="str">
        <f>""</f>
        <v/>
      </c>
      <c r="IA283" t="str">
        <f>""</f>
        <v/>
      </c>
      <c r="IB283" t="str">
        <f>""</f>
        <v/>
      </c>
      <c r="IC283" t="str">
        <f>""</f>
        <v/>
      </c>
      <c r="ID283" t="str">
        <f>""</f>
        <v/>
      </c>
      <c r="IE283" t="str">
        <f>""</f>
        <v/>
      </c>
      <c r="IF283" t="str">
        <f>""</f>
        <v/>
      </c>
      <c r="IG283" t="str">
        <f>""</f>
        <v/>
      </c>
      <c r="IH283" t="str">
        <f>""</f>
        <v/>
      </c>
      <c r="II283" t="str">
        <f>""</f>
        <v/>
      </c>
      <c r="IJ283" t="str">
        <f>""</f>
        <v/>
      </c>
      <c r="IK283" t="str">
        <f>""</f>
        <v/>
      </c>
      <c r="IL283" t="str">
        <f>""</f>
        <v/>
      </c>
      <c r="IM283" t="str">
        <f>""</f>
        <v/>
      </c>
      <c r="IN283" t="str">
        <f>""</f>
        <v/>
      </c>
      <c r="IO283" t="str">
        <f>""</f>
        <v/>
      </c>
      <c r="IP283" t="str">
        <f>""</f>
        <v/>
      </c>
      <c r="IQ283" t="str">
        <f>""</f>
        <v/>
      </c>
      <c r="IR283" t="str">
        <f>""</f>
        <v/>
      </c>
      <c r="IS283" t="str">
        <f>""</f>
        <v/>
      </c>
      <c r="IT283" t="str">
        <f>""</f>
        <v/>
      </c>
      <c r="IU283" t="str">
        <f>""</f>
        <v/>
      </c>
      <c r="IV283" t="str">
        <f>""</f>
        <v/>
      </c>
      <c r="IW283" t="str">
        <f>""</f>
        <v/>
      </c>
      <c r="IX283" t="str">
        <f>""</f>
        <v/>
      </c>
      <c r="IY283" t="str">
        <f>""</f>
        <v/>
      </c>
      <c r="IZ283" t="str">
        <f>""</f>
        <v/>
      </c>
      <c r="JA283" t="str">
        <f>""</f>
        <v/>
      </c>
      <c r="JB283" t="str">
        <f>""</f>
        <v/>
      </c>
      <c r="JC283" t="str">
        <f>""</f>
        <v/>
      </c>
      <c r="JD283" t="str">
        <f>""</f>
        <v/>
      </c>
      <c r="JE283" t="str">
        <f>""</f>
        <v/>
      </c>
      <c r="JF283" t="str">
        <f>""</f>
        <v/>
      </c>
      <c r="JG283" t="str">
        <f>""</f>
        <v/>
      </c>
      <c r="JH283" t="str">
        <f>""</f>
        <v/>
      </c>
      <c r="JI283" t="str">
        <f>""</f>
        <v/>
      </c>
      <c r="JJ283" t="str">
        <f>""</f>
        <v/>
      </c>
      <c r="JK283" t="str">
        <f>""</f>
        <v/>
      </c>
    </row>
    <row r="285" spans="1:271" x14ac:dyDescent="0.3">
      <c r="A285" t="str">
        <f>"c.zMETAB5#c.PM5"</f>
        <v>c.zMETAB5#c.PM5</v>
      </c>
      <c r="B285" t="str">
        <f>""</f>
        <v/>
      </c>
      <c r="C285" t="str">
        <f>""</f>
        <v/>
      </c>
      <c r="D285" t="str">
        <f>""</f>
        <v/>
      </c>
      <c r="E285" t="str">
        <f>""</f>
        <v/>
      </c>
      <c r="F285" t="str">
        <f>""</f>
        <v/>
      </c>
      <c r="G285" t="str">
        <f>""</f>
        <v/>
      </c>
      <c r="H285" t="str">
        <f>""</f>
        <v/>
      </c>
      <c r="I285" t="str">
        <f>""</f>
        <v/>
      </c>
      <c r="J285" t="str">
        <f>""</f>
        <v/>
      </c>
      <c r="K285" t="str">
        <f>""</f>
        <v/>
      </c>
      <c r="L285" t="str">
        <f>""</f>
        <v/>
      </c>
      <c r="M285" t="str">
        <f>""</f>
        <v/>
      </c>
      <c r="N285" t="str">
        <f>""</f>
        <v/>
      </c>
      <c r="O285" t="str">
        <f>""</f>
        <v/>
      </c>
      <c r="P285" t="str">
        <f>""</f>
        <v/>
      </c>
      <c r="Q285" t="str">
        <f>""</f>
        <v/>
      </c>
      <c r="R285" t="str">
        <f>""</f>
        <v/>
      </c>
      <c r="S285" t="str">
        <f>""</f>
        <v/>
      </c>
      <c r="T285" t="str">
        <f>""</f>
        <v/>
      </c>
      <c r="U285" t="str">
        <f>""</f>
        <v/>
      </c>
      <c r="V285" t="str">
        <f>""</f>
        <v/>
      </c>
      <c r="W285" t="str">
        <f>""</f>
        <v/>
      </c>
      <c r="X285" t="str">
        <f>""</f>
        <v/>
      </c>
      <c r="Y285" t="str">
        <f>""</f>
        <v/>
      </c>
      <c r="Z285" t="str">
        <f>""</f>
        <v/>
      </c>
      <c r="AA285" t="str">
        <f>""</f>
        <v/>
      </c>
      <c r="AB285" t="str">
        <f>""</f>
        <v/>
      </c>
      <c r="AC285" t="str">
        <f>""</f>
        <v/>
      </c>
      <c r="AD285" t="str">
        <f>""</f>
        <v/>
      </c>
      <c r="AE285" t="str">
        <f>""</f>
        <v/>
      </c>
      <c r="AF285" t="str">
        <f>""</f>
        <v/>
      </c>
      <c r="AG285" t="str">
        <f>""</f>
        <v/>
      </c>
      <c r="AH285" t="str">
        <f>""</f>
        <v/>
      </c>
      <c r="AI285" t="str">
        <f>""</f>
        <v/>
      </c>
      <c r="AJ285" t="str">
        <f>""</f>
        <v/>
      </c>
      <c r="AK285" t="str">
        <f>""</f>
        <v/>
      </c>
      <c r="AL285" t="str">
        <f>""</f>
        <v/>
      </c>
      <c r="AM285" t="str">
        <f>""</f>
        <v/>
      </c>
      <c r="AN285" t="str">
        <f>""</f>
        <v/>
      </c>
      <c r="AO285" t="str">
        <f>""</f>
        <v/>
      </c>
      <c r="AP285" t="str">
        <f>""</f>
        <v/>
      </c>
      <c r="AQ285" t="str">
        <f>""</f>
        <v/>
      </c>
      <c r="AR285" t="str">
        <f>""</f>
        <v/>
      </c>
      <c r="AS285" t="str">
        <f>""</f>
        <v/>
      </c>
      <c r="AT285" t="str">
        <f>""</f>
        <v/>
      </c>
      <c r="AU285" t="str">
        <f>""</f>
        <v/>
      </c>
      <c r="AV285" t="str">
        <f>""</f>
        <v/>
      </c>
      <c r="AW285" t="str">
        <f>""</f>
        <v/>
      </c>
      <c r="AX285" t="str">
        <f>""</f>
        <v/>
      </c>
      <c r="AY285" t="str">
        <f>""</f>
        <v/>
      </c>
      <c r="AZ285" t="str">
        <f>""</f>
        <v/>
      </c>
      <c r="BA285" t="str">
        <f>""</f>
        <v/>
      </c>
      <c r="BB285" t="str">
        <f>""</f>
        <v/>
      </c>
      <c r="BC285" t="str">
        <f>""</f>
        <v/>
      </c>
      <c r="BD285" t="str">
        <f>""</f>
        <v/>
      </c>
      <c r="BE285" t="str">
        <f>""</f>
        <v/>
      </c>
      <c r="BF285" t="str">
        <f>""</f>
        <v/>
      </c>
      <c r="BG285" t="str">
        <f>""</f>
        <v/>
      </c>
      <c r="BH285" t="str">
        <f>""</f>
        <v/>
      </c>
      <c r="BI285" t="str">
        <f>""</f>
        <v/>
      </c>
      <c r="BJ285" t="str">
        <f>""</f>
        <v/>
      </c>
      <c r="BK285" t="str">
        <f>""</f>
        <v/>
      </c>
      <c r="BL285" t="str">
        <f>""</f>
        <v/>
      </c>
      <c r="BM285" t="str">
        <f>""</f>
        <v/>
      </c>
      <c r="BN285" t="str">
        <f>""</f>
        <v/>
      </c>
      <c r="BO285" t="str">
        <f>""</f>
        <v/>
      </c>
      <c r="BP285" t="str">
        <f>""</f>
        <v/>
      </c>
      <c r="BQ285" t="str">
        <f>""</f>
        <v/>
      </c>
      <c r="BR285" t="str">
        <f>""</f>
        <v/>
      </c>
      <c r="BS285" t="str">
        <f>""</f>
        <v/>
      </c>
      <c r="BT285" t="str">
        <f>""</f>
        <v/>
      </c>
      <c r="BU285" t="str">
        <f>""</f>
        <v/>
      </c>
      <c r="BV285" t="str">
        <f>""</f>
        <v/>
      </c>
      <c r="BW285" t="str">
        <f>""</f>
        <v/>
      </c>
      <c r="BX285" t="str">
        <f>""</f>
        <v/>
      </c>
      <c r="BY285" t="str">
        <f>""</f>
        <v/>
      </c>
      <c r="BZ285" t="str">
        <f>""</f>
        <v/>
      </c>
      <c r="CA285" t="str">
        <f>""</f>
        <v/>
      </c>
      <c r="CB285" t="str">
        <f>""</f>
        <v/>
      </c>
      <c r="CC285" t="str">
        <f>""</f>
        <v/>
      </c>
      <c r="CD285" t="str">
        <f>""</f>
        <v/>
      </c>
      <c r="CE285" t="str">
        <f>""</f>
        <v/>
      </c>
      <c r="CF285" t="str">
        <f>""</f>
        <v/>
      </c>
      <c r="CG285" t="str">
        <f>""</f>
        <v/>
      </c>
      <c r="CH285" t="str">
        <f>""</f>
        <v/>
      </c>
      <c r="CI285" t="str">
        <f>""</f>
        <v/>
      </c>
      <c r="CJ285" t="str">
        <f>""</f>
        <v/>
      </c>
      <c r="CK285" t="str">
        <f>""</f>
        <v/>
      </c>
      <c r="CL285" t="str">
        <f>""</f>
        <v/>
      </c>
      <c r="CM285" t="str">
        <f>""</f>
        <v/>
      </c>
      <c r="CN285" t="str">
        <f>""</f>
        <v/>
      </c>
      <c r="CO285" t="str">
        <f>""</f>
        <v/>
      </c>
      <c r="CP285" t="str">
        <f>""</f>
        <v/>
      </c>
      <c r="CQ285" t="str">
        <f>""</f>
        <v/>
      </c>
      <c r="CR285" t="str">
        <f>""</f>
        <v/>
      </c>
      <c r="CS285" t="str">
        <f>""</f>
        <v/>
      </c>
      <c r="CT285" t="str">
        <f>""</f>
        <v/>
      </c>
      <c r="CU285" t="str">
        <f>""</f>
        <v/>
      </c>
      <c r="CV285" t="str">
        <f>""</f>
        <v/>
      </c>
      <c r="CW285" t="str">
        <f>""</f>
        <v/>
      </c>
      <c r="CX285" t="str">
        <f>""</f>
        <v/>
      </c>
      <c r="CY285" t="str">
        <f>""</f>
        <v/>
      </c>
      <c r="CZ285" t="str">
        <f>""</f>
        <v/>
      </c>
      <c r="DA285" t="str">
        <f>""</f>
        <v/>
      </c>
      <c r="DB285" t="str">
        <f>""</f>
        <v/>
      </c>
      <c r="DC285" t="str">
        <f>""</f>
        <v/>
      </c>
      <c r="DD285" t="str">
        <f>""</f>
        <v/>
      </c>
      <c r="DE285" t="str">
        <f>""</f>
        <v/>
      </c>
      <c r="DF285" t="str">
        <f>""</f>
        <v/>
      </c>
      <c r="DG285" t="str">
        <f>""</f>
        <v/>
      </c>
      <c r="DH285" t="str">
        <f>""</f>
        <v/>
      </c>
      <c r="DI285" t="str">
        <f>""</f>
        <v/>
      </c>
      <c r="DJ285" t="str">
        <f>""</f>
        <v/>
      </c>
      <c r="DK285" t="str">
        <f>""</f>
        <v/>
      </c>
      <c r="DL285" t="str">
        <f>""</f>
        <v/>
      </c>
      <c r="DM285" t="str">
        <f>""</f>
        <v/>
      </c>
      <c r="DN285" t="str">
        <f>""</f>
        <v/>
      </c>
      <c r="DO285" t="str">
        <f>""</f>
        <v/>
      </c>
      <c r="DP285" t="str">
        <f>""</f>
        <v/>
      </c>
      <c r="DQ285" t="str">
        <f>""</f>
        <v/>
      </c>
      <c r="DR285" t="str">
        <f>""</f>
        <v/>
      </c>
      <c r="DS285" t="str">
        <f>""</f>
        <v/>
      </c>
      <c r="DT285" t="str">
        <f>""</f>
        <v/>
      </c>
      <c r="DU285" t="str">
        <f>""</f>
        <v/>
      </c>
      <c r="DV285" t="str">
        <f>""</f>
        <v/>
      </c>
      <c r="DW285" t="str">
        <f>""</f>
        <v/>
      </c>
      <c r="DX285" t="str">
        <f>""</f>
        <v/>
      </c>
      <c r="DY285" t="str">
        <f>""</f>
        <v/>
      </c>
      <c r="DZ285" t="str">
        <f>""</f>
        <v/>
      </c>
      <c r="EA285" t="str">
        <f>""</f>
        <v/>
      </c>
      <c r="EB285" t="str">
        <f>""</f>
        <v/>
      </c>
      <c r="EC285" t="str">
        <f>""</f>
        <v/>
      </c>
      <c r="ED285" t="str">
        <f>""</f>
        <v/>
      </c>
      <c r="EE285" t="str">
        <f>""</f>
        <v/>
      </c>
      <c r="EF285" t="str">
        <f>""</f>
        <v/>
      </c>
      <c r="EG285" t="str">
        <f>""</f>
        <v/>
      </c>
      <c r="EH285" t="str">
        <f>""</f>
        <v/>
      </c>
      <c r="EI285" t="str">
        <f>""</f>
        <v/>
      </c>
      <c r="EJ285" t="str">
        <f>""</f>
        <v/>
      </c>
      <c r="EK285" t="str">
        <f>""</f>
        <v/>
      </c>
      <c r="EL285" t="str">
        <f>""</f>
        <v/>
      </c>
      <c r="EM285" t="str">
        <f>""</f>
        <v/>
      </c>
      <c r="EN285" t="str">
        <f>""</f>
        <v/>
      </c>
      <c r="EO285" t="str">
        <f>""</f>
        <v/>
      </c>
      <c r="EP285" t="str">
        <f>""</f>
        <v/>
      </c>
      <c r="EQ285" t="str">
        <f>""</f>
        <v/>
      </c>
      <c r="ER285" t="str">
        <f>""</f>
        <v/>
      </c>
      <c r="ES285" t="str">
        <f>""</f>
        <v/>
      </c>
      <c r="ET285" t="str">
        <f>""</f>
        <v/>
      </c>
      <c r="EU285" t="str">
        <f>""</f>
        <v/>
      </c>
      <c r="EV285" t="str">
        <f>""</f>
        <v/>
      </c>
      <c r="EW285" t="str">
        <f>""</f>
        <v/>
      </c>
      <c r="EX285" t="str">
        <f>""</f>
        <v/>
      </c>
      <c r="EY285" t="str">
        <f>""</f>
        <v/>
      </c>
      <c r="EZ285" t="str">
        <f>""</f>
        <v/>
      </c>
      <c r="FA285" t="str">
        <f>""</f>
        <v/>
      </c>
      <c r="FB285" t="str">
        <f>""</f>
        <v/>
      </c>
      <c r="FC285" t="str">
        <f>""</f>
        <v/>
      </c>
      <c r="FD285" t="str">
        <f>""</f>
        <v/>
      </c>
      <c r="FE285" t="str">
        <f>""</f>
        <v/>
      </c>
      <c r="FF285" t="str">
        <f>""</f>
        <v/>
      </c>
      <c r="FG285" t="str">
        <f>""</f>
        <v/>
      </c>
      <c r="FH285" t="str">
        <f>""</f>
        <v/>
      </c>
      <c r="FI285" t="str">
        <f>""</f>
        <v/>
      </c>
      <c r="FJ285" t="str">
        <f>""</f>
        <v/>
      </c>
      <c r="FK285" t="str">
        <f>""</f>
        <v/>
      </c>
      <c r="FL285" t="str">
        <f>""</f>
        <v/>
      </c>
      <c r="FM285" t="str">
        <f>""</f>
        <v/>
      </c>
      <c r="FN285" t="str">
        <f>""</f>
        <v/>
      </c>
      <c r="FO285" t="str">
        <f>""</f>
        <v/>
      </c>
      <c r="FP285" t="str">
        <f>""</f>
        <v/>
      </c>
      <c r="FQ285" t="str">
        <f>""</f>
        <v/>
      </c>
      <c r="FR285" t="str">
        <f>""</f>
        <v/>
      </c>
      <c r="FS285" t="str">
        <f>""</f>
        <v/>
      </c>
      <c r="FT285" t="str">
        <f>""</f>
        <v/>
      </c>
      <c r="FU285" t="str">
        <f>""</f>
        <v/>
      </c>
      <c r="FV285" t="str">
        <f>""</f>
        <v/>
      </c>
      <c r="FW285" t="str">
        <f>""</f>
        <v/>
      </c>
      <c r="FX285" t="str">
        <f>""</f>
        <v/>
      </c>
      <c r="FY285" t="str">
        <f>""</f>
        <v/>
      </c>
      <c r="FZ285" t="str">
        <f>""</f>
        <v/>
      </c>
      <c r="GA285" t="str">
        <f>""</f>
        <v/>
      </c>
      <c r="GB285" t="str">
        <f>""</f>
        <v/>
      </c>
      <c r="GC285" t="str">
        <f>""</f>
        <v/>
      </c>
      <c r="GD285" t="str">
        <f>""</f>
        <v/>
      </c>
      <c r="GE285" t="str">
        <f>""</f>
        <v/>
      </c>
      <c r="GF285" t="str">
        <f>""</f>
        <v/>
      </c>
      <c r="GG285" t="str">
        <f>""</f>
        <v/>
      </c>
      <c r="GH285" t="str">
        <f>""</f>
        <v/>
      </c>
      <c r="GI285" t="str">
        <f>""</f>
        <v/>
      </c>
      <c r="GJ285" t="str">
        <f>""</f>
        <v/>
      </c>
      <c r="GK285" t="str">
        <f>""</f>
        <v/>
      </c>
      <c r="GL285" t="str">
        <f>"0.229*"</f>
        <v>0.229*</v>
      </c>
      <c r="GM285" t="str">
        <f>"0.0186"</f>
        <v>0.0186</v>
      </c>
      <c r="GN285" t="str">
        <f>"-0.0231"</f>
        <v>-0.0231</v>
      </c>
      <c r="GO285" t="str">
        <f>""</f>
        <v/>
      </c>
      <c r="GP285" t="str">
        <f>""</f>
        <v/>
      </c>
      <c r="GQ285" t="str">
        <f>""</f>
        <v/>
      </c>
      <c r="GR285" t="str">
        <f>""</f>
        <v/>
      </c>
      <c r="GS285" t="str">
        <f>""</f>
        <v/>
      </c>
      <c r="GT285" t="str">
        <f>""</f>
        <v/>
      </c>
      <c r="GU285" t="str">
        <f>""</f>
        <v/>
      </c>
      <c r="GV285" t="str">
        <f>""</f>
        <v/>
      </c>
      <c r="GW285" t="str">
        <f>""</f>
        <v/>
      </c>
      <c r="GX285" t="str">
        <f>""</f>
        <v/>
      </c>
      <c r="GY285" t="str">
        <f>""</f>
        <v/>
      </c>
      <c r="GZ285" t="str">
        <f>""</f>
        <v/>
      </c>
      <c r="HA285" t="str">
        <f>""</f>
        <v/>
      </c>
      <c r="HB285" t="str">
        <f>""</f>
        <v/>
      </c>
      <c r="HC285" t="str">
        <f>""</f>
        <v/>
      </c>
      <c r="HD285" t="str">
        <f>""</f>
        <v/>
      </c>
      <c r="HE285" t="str">
        <f>""</f>
        <v/>
      </c>
      <c r="HF285" t="str">
        <f>""</f>
        <v/>
      </c>
      <c r="HG285" t="str">
        <f>""</f>
        <v/>
      </c>
      <c r="HH285" t="str">
        <f>""</f>
        <v/>
      </c>
      <c r="HI285" t="str">
        <f>""</f>
        <v/>
      </c>
      <c r="HJ285" t="str">
        <f>""</f>
        <v/>
      </c>
      <c r="HK285" t="str">
        <f>""</f>
        <v/>
      </c>
      <c r="HL285" t="str">
        <f>""</f>
        <v/>
      </c>
      <c r="HM285" t="str">
        <f>""</f>
        <v/>
      </c>
      <c r="HN285" t="str">
        <f>""</f>
        <v/>
      </c>
      <c r="HO285" t="str">
        <f>""</f>
        <v/>
      </c>
      <c r="HP285" t="str">
        <f>""</f>
        <v/>
      </c>
      <c r="HQ285" t="str">
        <f>""</f>
        <v/>
      </c>
      <c r="HR285" t="str">
        <f>""</f>
        <v/>
      </c>
      <c r="HS285" t="str">
        <f>""</f>
        <v/>
      </c>
      <c r="HT285" t="str">
        <f>""</f>
        <v/>
      </c>
      <c r="HU285" t="str">
        <f>""</f>
        <v/>
      </c>
      <c r="HV285" t="str">
        <f>""</f>
        <v/>
      </c>
      <c r="HW285" t="str">
        <f>""</f>
        <v/>
      </c>
      <c r="HX285" t="str">
        <f>""</f>
        <v/>
      </c>
      <c r="HY285" t="str">
        <f>""</f>
        <v/>
      </c>
      <c r="HZ285" t="str">
        <f>""</f>
        <v/>
      </c>
      <c r="IA285" t="str">
        <f>""</f>
        <v/>
      </c>
      <c r="IB285" t="str">
        <f>""</f>
        <v/>
      </c>
      <c r="IC285" t="str">
        <f>""</f>
        <v/>
      </c>
      <c r="ID285" t="str">
        <f>""</f>
        <v/>
      </c>
      <c r="IE285" t="str">
        <f>""</f>
        <v/>
      </c>
      <c r="IF285" t="str">
        <f>""</f>
        <v/>
      </c>
      <c r="IG285" t="str">
        <f>""</f>
        <v/>
      </c>
      <c r="IH285" t="str">
        <f>""</f>
        <v/>
      </c>
      <c r="II285" t="str">
        <f>""</f>
        <v/>
      </c>
      <c r="IJ285" t="str">
        <f>""</f>
        <v/>
      </c>
      <c r="IK285" t="str">
        <f>""</f>
        <v/>
      </c>
      <c r="IL285" t="str">
        <f>""</f>
        <v/>
      </c>
      <c r="IM285" t="str">
        <f>""</f>
        <v/>
      </c>
      <c r="IN285" t="str">
        <f>""</f>
        <v/>
      </c>
      <c r="IO285" t="str">
        <f>""</f>
        <v/>
      </c>
      <c r="IP285" t="str">
        <f>""</f>
        <v/>
      </c>
      <c r="IQ285" t="str">
        <f>""</f>
        <v/>
      </c>
      <c r="IR285" t="str">
        <f>""</f>
        <v/>
      </c>
      <c r="IS285" t="str">
        <f>""</f>
        <v/>
      </c>
      <c r="IT285" t="str">
        <f>""</f>
        <v/>
      </c>
      <c r="IU285" t="str">
        <f>""</f>
        <v/>
      </c>
      <c r="IV285" t="str">
        <f>""</f>
        <v/>
      </c>
      <c r="IW285" t="str">
        <f>""</f>
        <v/>
      </c>
      <c r="IX285" t="str">
        <f>""</f>
        <v/>
      </c>
      <c r="IY285" t="str">
        <f>""</f>
        <v/>
      </c>
      <c r="IZ285" t="str">
        <f>""</f>
        <v/>
      </c>
      <c r="JA285" t="str">
        <f>""</f>
        <v/>
      </c>
      <c r="JB285" t="str">
        <f>""</f>
        <v/>
      </c>
      <c r="JC285" t="str">
        <f>""</f>
        <v/>
      </c>
      <c r="JD285" t="str">
        <f>""</f>
        <v/>
      </c>
      <c r="JE285" t="str">
        <f>""</f>
        <v/>
      </c>
      <c r="JF285" t="str">
        <f>""</f>
        <v/>
      </c>
      <c r="JG285" t="str">
        <f>""</f>
        <v/>
      </c>
      <c r="JH285" t="str">
        <f>""</f>
        <v/>
      </c>
      <c r="JI285" t="str">
        <f>""</f>
        <v/>
      </c>
      <c r="JJ285" t="str">
        <f>""</f>
        <v/>
      </c>
      <c r="JK285" t="str">
        <f>""</f>
        <v/>
      </c>
    </row>
    <row r="286" spans="1:271" x14ac:dyDescent="0.3">
      <c r="A286" t="str">
        <f>""</f>
        <v/>
      </c>
      <c r="B286" t="str">
        <f>""</f>
        <v/>
      </c>
      <c r="C286" t="str">
        <f>""</f>
        <v/>
      </c>
      <c r="D286" t="str">
        <f>""</f>
        <v/>
      </c>
      <c r="E286" t="str">
        <f>""</f>
        <v/>
      </c>
      <c r="F286" t="str">
        <f>""</f>
        <v/>
      </c>
      <c r="G286" t="str">
        <f>""</f>
        <v/>
      </c>
      <c r="H286" t="str">
        <f>""</f>
        <v/>
      </c>
      <c r="I286" t="str">
        <f>""</f>
        <v/>
      </c>
      <c r="J286" t="str">
        <f>""</f>
        <v/>
      </c>
      <c r="K286" t="str">
        <f>""</f>
        <v/>
      </c>
      <c r="L286" t="str">
        <f>""</f>
        <v/>
      </c>
      <c r="M286" t="str">
        <f>""</f>
        <v/>
      </c>
      <c r="N286" t="str">
        <f>""</f>
        <v/>
      </c>
      <c r="O286" t="str">
        <f>""</f>
        <v/>
      </c>
      <c r="P286" t="str">
        <f>""</f>
        <v/>
      </c>
      <c r="Q286" t="str">
        <f>""</f>
        <v/>
      </c>
      <c r="R286" t="str">
        <f>""</f>
        <v/>
      </c>
      <c r="S286" t="str">
        <f>""</f>
        <v/>
      </c>
      <c r="T286" t="str">
        <f>""</f>
        <v/>
      </c>
      <c r="U286" t="str">
        <f>""</f>
        <v/>
      </c>
      <c r="V286" t="str">
        <f>""</f>
        <v/>
      </c>
      <c r="W286" t="str">
        <f>""</f>
        <v/>
      </c>
      <c r="X286" t="str">
        <f>""</f>
        <v/>
      </c>
      <c r="Y286" t="str">
        <f>""</f>
        <v/>
      </c>
      <c r="Z286" t="str">
        <f>""</f>
        <v/>
      </c>
      <c r="AA286" t="str">
        <f>""</f>
        <v/>
      </c>
      <c r="AB286" t="str">
        <f>""</f>
        <v/>
      </c>
      <c r="AC286" t="str">
        <f>""</f>
        <v/>
      </c>
      <c r="AD286" t="str">
        <f>""</f>
        <v/>
      </c>
      <c r="AE286" t="str">
        <f>""</f>
        <v/>
      </c>
      <c r="AF286" t="str">
        <f>""</f>
        <v/>
      </c>
      <c r="AG286" t="str">
        <f>""</f>
        <v/>
      </c>
      <c r="AH286" t="str">
        <f>""</f>
        <v/>
      </c>
      <c r="AI286" t="str">
        <f>""</f>
        <v/>
      </c>
      <c r="AJ286" t="str">
        <f>""</f>
        <v/>
      </c>
      <c r="AK286" t="str">
        <f>""</f>
        <v/>
      </c>
      <c r="AL286" t="str">
        <f>""</f>
        <v/>
      </c>
      <c r="AM286" t="str">
        <f>""</f>
        <v/>
      </c>
      <c r="AN286" t="str">
        <f>""</f>
        <v/>
      </c>
      <c r="AO286" t="str">
        <f>""</f>
        <v/>
      </c>
      <c r="AP286" t="str">
        <f>""</f>
        <v/>
      </c>
      <c r="AQ286" t="str">
        <f>""</f>
        <v/>
      </c>
      <c r="AR286" t="str">
        <f>""</f>
        <v/>
      </c>
      <c r="AS286" t="str">
        <f>""</f>
        <v/>
      </c>
      <c r="AT286" t="str">
        <f>""</f>
        <v/>
      </c>
      <c r="AU286" t="str">
        <f>""</f>
        <v/>
      </c>
      <c r="AV286" t="str">
        <f>""</f>
        <v/>
      </c>
      <c r="AW286" t="str">
        <f>""</f>
        <v/>
      </c>
      <c r="AX286" t="str">
        <f>""</f>
        <v/>
      </c>
      <c r="AY286" t="str">
        <f>""</f>
        <v/>
      </c>
      <c r="AZ286" t="str">
        <f>""</f>
        <v/>
      </c>
      <c r="BA286" t="str">
        <f>""</f>
        <v/>
      </c>
      <c r="BB286" t="str">
        <f>""</f>
        <v/>
      </c>
      <c r="BC286" t="str">
        <f>""</f>
        <v/>
      </c>
      <c r="BD286" t="str">
        <f>""</f>
        <v/>
      </c>
      <c r="BE286" t="str">
        <f>""</f>
        <v/>
      </c>
      <c r="BF286" t="str">
        <f>""</f>
        <v/>
      </c>
      <c r="BG286" t="str">
        <f>""</f>
        <v/>
      </c>
      <c r="BH286" t="str">
        <f>""</f>
        <v/>
      </c>
      <c r="BI286" t="str">
        <f>""</f>
        <v/>
      </c>
      <c r="BJ286" t="str">
        <f>""</f>
        <v/>
      </c>
      <c r="BK286" t="str">
        <f>""</f>
        <v/>
      </c>
      <c r="BL286" t="str">
        <f>""</f>
        <v/>
      </c>
      <c r="BM286" t="str">
        <f>""</f>
        <v/>
      </c>
      <c r="BN286" t="str">
        <f>""</f>
        <v/>
      </c>
      <c r="BO286" t="str">
        <f>""</f>
        <v/>
      </c>
      <c r="BP286" t="str">
        <f>""</f>
        <v/>
      </c>
      <c r="BQ286" t="str">
        <f>""</f>
        <v/>
      </c>
      <c r="BR286" t="str">
        <f>""</f>
        <v/>
      </c>
      <c r="BS286" t="str">
        <f>""</f>
        <v/>
      </c>
      <c r="BT286" t="str">
        <f>""</f>
        <v/>
      </c>
      <c r="BU286" t="str">
        <f>""</f>
        <v/>
      </c>
      <c r="BV286" t="str">
        <f>""</f>
        <v/>
      </c>
      <c r="BW286" t="str">
        <f>""</f>
        <v/>
      </c>
      <c r="BX286" t="str">
        <f>""</f>
        <v/>
      </c>
      <c r="BY286" t="str">
        <f>""</f>
        <v/>
      </c>
      <c r="BZ286" t="str">
        <f>""</f>
        <v/>
      </c>
      <c r="CA286" t="str">
        <f>""</f>
        <v/>
      </c>
      <c r="CB286" t="str">
        <f>""</f>
        <v/>
      </c>
      <c r="CC286" t="str">
        <f>""</f>
        <v/>
      </c>
      <c r="CD286" t="str">
        <f>""</f>
        <v/>
      </c>
      <c r="CE286" t="str">
        <f>""</f>
        <v/>
      </c>
      <c r="CF286" t="str">
        <f>""</f>
        <v/>
      </c>
      <c r="CG286" t="str">
        <f>""</f>
        <v/>
      </c>
      <c r="CH286" t="str">
        <f>""</f>
        <v/>
      </c>
      <c r="CI286" t="str">
        <f>""</f>
        <v/>
      </c>
      <c r="CJ286" t="str">
        <f>""</f>
        <v/>
      </c>
      <c r="CK286" t="str">
        <f>""</f>
        <v/>
      </c>
      <c r="CL286" t="str">
        <f>""</f>
        <v/>
      </c>
      <c r="CM286" t="str">
        <f>""</f>
        <v/>
      </c>
      <c r="CN286" t="str">
        <f>""</f>
        <v/>
      </c>
      <c r="CO286" t="str">
        <f>""</f>
        <v/>
      </c>
      <c r="CP286" t="str">
        <f>""</f>
        <v/>
      </c>
      <c r="CQ286" t="str">
        <f>""</f>
        <v/>
      </c>
      <c r="CR286" t="str">
        <f>""</f>
        <v/>
      </c>
      <c r="CS286" t="str">
        <f>""</f>
        <v/>
      </c>
      <c r="CT286" t="str">
        <f>""</f>
        <v/>
      </c>
      <c r="CU286" t="str">
        <f>""</f>
        <v/>
      </c>
      <c r="CV286" t="str">
        <f>""</f>
        <v/>
      </c>
      <c r="CW286" t="str">
        <f>""</f>
        <v/>
      </c>
      <c r="CX286" t="str">
        <f>""</f>
        <v/>
      </c>
      <c r="CY286" t="str">
        <f>""</f>
        <v/>
      </c>
      <c r="CZ286" t="str">
        <f>""</f>
        <v/>
      </c>
      <c r="DA286" t="str">
        <f>""</f>
        <v/>
      </c>
      <c r="DB286" t="str">
        <f>""</f>
        <v/>
      </c>
      <c r="DC286" t="str">
        <f>""</f>
        <v/>
      </c>
      <c r="DD286" t="str">
        <f>""</f>
        <v/>
      </c>
      <c r="DE286" t="str">
        <f>""</f>
        <v/>
      </c>
      <c r="DF286" t="str">
        <f>""</f>
        <v/>
      </c>
      <c r="DG286" t="str">
        <f>""</f>
        <v/>
      </c>
      <c r="DH286" t="str">
        <f>""</f>
        <v/>
      </c>
      <c r="DI286" t="str">
        <f>""</f>
        <v/>
      </c>
      <c r="DJ286" t="str">
        <f>""</f>
        <v/>
      </c>
      <c r="DK286" t="str">
        <f>""</f>
        <v/>
      </c>
      <c r="DL286" t="str">
        <f>""</f>
        <v/>
      </c>
      <c r="DM286" t="str">
        <f>""</f>
        <v/>
      </c>
      <c r="DN286" t="str">
        <f>""</f>
        <v/>
      </c>
      <c r="DO286" t="str">
        <f>""</f>
        <v/>
      </c>
      <c r="DP286" t="str">
        <f>""</f>
        <v/>
      </c>
      <c r="DQ286" t="str">
        <f>""</f>
        <v/>
      </c>
      <c r="DR286" t="str">
        <f>""</f>
        <v/>
      </c>
      <c r="DS286" t="str">
        <f>""</f>
        <v/>
      </c>
      <c r="DT286" t="str">
        <f>""</f>
        <v/>
      </c>
      <c r="DU286" t="str">
        <f>""</f>
        <v/>
      </c>
      <c r="DV286" t="str">
        <f>""</f>
        <v/>
      </c>
      <c r="DW286" t="str">
        <f>""</f>
        <v/>
      </c>
      <c r="DX286" t="str">
        <f>""</f>
        <v/>
      </c>
      <c r="DY286" t="str">
        <f>""</f>
        <v/>
      </c>
      <c r="DZ286" t="str">
        <f>""</f>
        <v/>
      </c>
      <c r="EA286" t="str">
        <f>""</f>
        <v/>
      </c>
      <c r="EB286" t="str">
        <f>""</f>
        <v/>
      </c>
      <c r="EC286" t="str">
        <f>""</f>
        <v/>
      </c>
      <c r="ED286" t="str">
        <f>""</f>
        <v/>
      </c>
      <c r="EE286" t="str">
        <f>""</f>
        <v/>
      </c>
      <c r="EF286" t="str">
        <f>""</f>
        <v/>
      </c>
      <c r="EG286" t="str">
        <f>""</f>
        <v/>
      </c>
      <c r="EH286" t="str">
        <f>""</f>
        <v/>
      </c>
      <c r="EI286" t="str">
        <f>""</f>
        <v/>
      </c>
      <c r="EJ286" t="str">
        <f>""</f>
        <v/>
      </c>
      <c r="EK286" t="str">
        <f>""</f>
        <v/>
      </c>
      <c r="EL286" t="str">
        <f>""</f>
        <v/>
      </c>
      <c r="EM286" t="str">
        <f>""</f>
        <v/>
      </c>
      <c r="EN286" t="str">
        <f>""</f>
        <v/>
      </c>
      <c r="EO286" t="str">
        <f>""</f>
        <v/>
      </c>
      <c r="EP286" t="str">
        <f>""</f>
        <v/>
      </c>
      <c r="EQ286" t="str">
        <f>""</f>
        <v/>
      </c>
      <c r="ER286" t="str">
        <f>""</f>
        <v/>
      </c>
      <c r="ES286" t="str">
        <f>""</f>
        <v/>
      </c>
      <c r="ET286" t="str">
        <f>""</f>
        <v/>
      </c>
      <c r="EU286" t="str">
        <f>""</f>
        <v/>
      </c>
      <c r="EV286" t="str">
        <f>""</f>
        <v/>
      </c>
      <c r="EW286" t="str">
        <f>""</f>
        <v/>
      </c>
      <c r="EX286" t="str">
        <f>""</f>
        <v/>
      </c>
      <c r="EY286" t="str">
        <f>""</f>
        <v/>
      </c>
      <c r="EZ286" t="str">
        <f>""</f>
        <v/>
      </c>
      <c r="FA286" t="str">
        <f>""</f>
        <v/>
      </c>
      <c r="FB286" t="str">
        <f>""</f>
        <v/>
      </c>
      <c r="FC286" t="str">
        <f>""</f>
        <v/>
      </c>
      <c r="FD286" t="str">
        <f>""</f>
        <v/>
      </c>
      <c r="FE286" t="str">
        <f>""</f>
        <v/>
      </c>
      <c r="FF286" t="str">
        <f>""</f>
        <v/>
      </c>
      <c r="FG286" t="str">
        <f>""</f>
        <v/>
      </c>
      <c r="FH286" t="str">
        <f>""</f>
        <v/>
      </c>
      <c r="FI286" t="str">
        <f>""</f>
        <v/>
      </c>
      <c r="FJ286" t="str">
        <f>""</f>
        <v/>
      </c>
      <c r="FK286" t="str">
        <f>""</f>
        <v/>
      </c>
      <c r="FL286" t="str">
        <f>""</f>
        <v/>
      </c>
      <c r="FM286" t="str">
        <f>""</f>
        <v/>
      </c>
      <c r="FN286" t="str">
        <f>""</f>
        <v/>
      </c>
      <c r="FO286" t="str">
        <f>""</f>
        <v/>
      </c>
      <c r="FP286" t="str">
        <f>""</f>
        <v/>
      </c>
      <c r="FQ286" t="str">
        <f>""</f>
        <v/>
      </c>
      <c r="FR286" t="str">
        <f>""</f>
        <v/>
      </c>
      <c r="FS286" t="str">
        <f>""</f>
        <v/>
      </c>
      <c r="FT286" t="str">
        <f>""</f>
        <v/>
      </c>
      <c r="FU286" t="str">
        <f>""</f>
        <v/>
      </c>
      <c r="FV286" t="str">
        <f>""</f>
        <v/>
      </c>
      <c r="FW286" t="str">
        <f>""</f>
        <v/>
      </c>
      <c r="FX286" t="str">
        <f>""</f>
        <v/>
      </c>
      <c r="FY286" t="str">
        <f>""</f>
        <v/>
      </c>
      <c r="FZ286" t="str">
        <f>""</f>
        <v/>
      </c>
      <c r="GA286" t="str">
        <f>""</f>
        <v/>
      </c>
      <c r="GB286" t="str">
        <f>""</f>
        <v/>
      </c>
      <c r="GC286" t="str">
        <f>""</f>
        <v/>
      </c>
      <c r="GD286" t="str">
        <f>""</f>
        <v/>
      </c>
      <c r="GE286" t="str">
        <f>""</f>
        <v/>
      </c>
      <c r="GF286" t="str">
        <f>""</f>
        <v/>
      </c>
      <c r="GG286" t="str">
        <f>""</f>
        <v/>
      </c>
      <c r="GH286" t="str">
        <f>""</f>
        <v/>
      </c>
      <c r="GI286" t="str">
        <f>""</f>
        <v/>
      </c>
      <c r="GJ286" t="str">
        <f>""</f>
        <v/>
      </c>
      <c r="GK286" t="str">
        <f>""</f>
        <v/>
      </c>
      <c r="GL286" t="str">
        <f>"(0.103)"</f>
        <v>(0.103)</v>
      </c>
      <c r="GM286" t="str">
        <f>"(0.0816)"</f>
        <v>(0.0816)</v>
      </c>
      <c r="GN286" t="str">
        <f>"(0.0414)"</f>
        <v>(0.0414)</v>
      </c>
      <c r="GO286" t="str">
        <f>""</f>
        <v/>
      </c>
      <c r="GP286" t="str">
        <f>""</f>
        <v/>
      </c>
      <c r="GQ286" t="str">
        <f>""</f>
        <v/>
      </c>
      <c r="GR286" t="str">
        <f>""</f>
        <v/>
      </c>
      <c r="GS286" t="str">
        <f>""</f>
        <v/>
      </c>
      <c r="GT286" t="str">
        <f>""</f>
        <v/>
      </c>
      <c r="GU286" t="str">
        <f>""</f>
        <v/>
      </c>
      <c r="GV286" t="str">
        <f>""</f>
        <v/>
      </c>
      <c r="GW286" t="str">
        <f>""</f>
        <v/>
      </c>
      <c r="GX286" t="str">
        <f>""</f>
        <v/>
      </c>
      <c r="GY286" t="str">
        <f>""</f>
        <v/>
      </c>
      <c r="GZ286" t="str">
        <f>""</f>
        <v/>
      </c>
      <c r="HA286" t="str">
        <f>""</f>
        <v/>
      </c>
      <c r="HB286" t="str">
        <f>""</f>
        <v/>
      </c>
      <c r="HC286" t="str">
        <f>""</f>
        <v/>
      </c>
      <c r="HD286" t="str">
        <f>""</f>
        <v/>
      </c>
      <c r="HE286" t="str">
        <f>""</f>
        <v/>
      </c>
      <c r="HF286" t="str">
        <f>""</f>
        <v/>
      </c>
      <c r="HG286" t="str">
        <f>""</f>
        <v/>
      </c>
      <c r="HH286" t="str">
        <f>""</f>
        <v/>
      </c>
      <c r="HI286" t="str">
        <f>""</f>
        <v/>
      </c>
      <c r="HJ286" t="str">
        <f>""</f>
        <v/>
      </c>
      <c r="HK286" t="str">
        <f>""</f>
        <v/>
      </c>
      <c r="HL286" t="str">
        <f>""</f>
        <v/>
      </c>
      <c r="HM286" t="str">
        <f>""</f>
        <v/>
      </c>
      <c r="HN286" t="str">
        <f>""</f>
        <v/>
      </c>
      <c r="HO286" t="str">
        <f>""</f>
        <v/>
      </c>
      <c r="HP286" t="str">
        <f>""</f>
        <v/>
      </c>
      <c r="HQ286" t="str">
        <f>""</f>
        <v/>
      </c>
      <c r="HR286" t="str">
        <f>""</f>
        <v/>
      </c>
      <c r="HS286" t="str">
        <f>""</f>
        <v/>
      </c>
      <c r="HT286" t="str">
        <f>""</f>
        <v/>
      </c>
      <c r="HU286" t="str">
        <f>""</f>
        <v/>
      </c>
      <c r="HV286" t="str">
        <f>""</f>
        <v/>
      </c>
      <c r="HW286" t="str">
        <f>""</f>
        <v/>
      </c>
      <c r="HX286" t="str">
        <f>""</f>
        <v/>
      </c>
      <c r="HY286" t="str">
        <f>""</f>
        <v/>
      </c>
      <c r="HZ286" t="str">
        <f>""</f>
        <v/>
      </c>
      <c r="IA286" t="str">
        <f>""</f>
        <v/>
      </c>
      <c r="IB286" t="str">
        <f>""</f>
        <v/>
      </c>
      <c r="IC286" t="str">
        <f>""</f>
        <v/>
      </c>
      <c r="ID286" t="str">
        <f>""</f>
        <v/>
      </c>
      <c r="IE286" t="str">
        <f>""</f>
        <v/>
      </c>
      <c r="IF286" t="str">
        <f>""</f>
        <v/>
      </c>
      <c r="IG286" t="str">
        <f>""</f>
        <v/>
      </c>
      <c r="IH286" t="str">
        <f>""</f>
        <v/>
      </c>
      <c r="II286" t="str">
        <f>""</f>
        <v/>
      </c>
      <c r="IJ286" t="str">
        <f>""</f>
        <v/>
      </c>
      <c r="IK286" t="str">
        <f>""</f>
        <v/>
      </c>
      <c r="IL286" t="str">
        <f>""</f>
        <v/>
      </c>
      <c r="IM286" t="str">
        <f>""</f>
        <v/>
      </c>
      <c r="IN286" t="str">
        <f>""</f>
        <v/>
      </c>
      <c r="IO286" t="str">
        <f>""</f>
        <v/>
      </c>
      <c r="IP286" t="str">
        <f>""</f>
        <v/>
      </c>
      <c r="IQ286" t="str">
        <f>""</f>
        <v/>
      </c>
      <c r="IR286" t="str">
        <f>""</f>
        <v/>
      </c>
      <c r="IS286" t="str">
        <f>""</f>
        <v/>
      </c>
      <c r="IT286" t="str">
        <f>""</f>
        <v/>
      </c>
      <c r="IU286" t="str">
        <f>""</f>
        <v/>
      </c>
      <c r="IV286" t="str">
        <f>""</f>
        <v/>
      </c>
      <c r="IW286" t="str">
        <f>""</f>
        <v/>
      </c>
      <c r="IX286" t="str">
        <f>""</f>
        <v/>
      </c>
      <c r="IY286" t="str">
        <f>""</f>
        <v/>
      </c>
      <c r="IZ286" t="str">
        <f>""</f>
        <v/>
      </c>
      <c r="JA286" t="str">
        <f>""</f>
        <v/>
      </c>
      <c r="JB286" t="str">
        <f>""</f>
        <v/>
      </c>
      <c r="JC286" t="str">
        <f>""</f>
        <v/>
      </c>
      <c r="JD286" t="str">
        <f>""</f>
        <v/>
      </c>
      <c r="JE286" t="str">
        <f>""</f>
        <v/>
      </c>
      <c r="JF286" t="str">
        <f>""</f>
        <v/>
      </c>
      <c r="JG286" t="str">
        <f>""</f>
        <v/>
      </c>
      <c r="JH286" t="str">
        <f>""</f>
        <v/>
      </c>
      <c r="JI286" t="str">
        <f>""</f>
        <v/>
      </c>
      <c r="JJ286" t="str">
        <f>""</f>
        <v/>
      </c>
      <c r="JK286" t="str">
        <f>""</f>
        <v/>
      </c>
    </row>
    <row r="288" spans="1:271" x14ac:dyDescent="0.3">
      <c r="A288" t="str">
        <f>"c.zMETAB6#c.PM5"</f>
        <v>c.zMETAB6#c.PM5</v>
      </c>
      <c r="B288" t="str">
        <f>""</f>
        <v/>
      </c>
      <c r="C288" t="str">
        <f>""</f>
        <v/>
      </c>
      <c r="D288" t="str">
        <f>""</f>
        <v/>
      </c>
      <c r="E288" t="str">
        <f>""</f>
        <v/>
      </c>
      <c r="F288" t="str">
        <f>""</f>
        <v/>
      </c>
      <c r="G288" t="str">
        <f>""</f>
        <v/>
      </c>
      <c r="H288" t="str">
        <f>""</f>
        <v/>
      </c>
      <c r="I288" t="str">
        <f>""</f>
        <v/>
      </c>
      <c r="J288" t="str">
        <f>""</f>
        <v/>
      </c>
      <c r="K288" t="str">
        <f>""</f>
        <v/>
      </c>
      <c r="L288" t="str">
        <f>""</f>
        <v/>
      </c>
      <c r="M288" t="str">
        <f>""</f>
        <v/>
      </c>
      <c r="N288" t="str">
        <f>""</f>
        <v/>
      </c>
      <c r="O288" t="str">
        <f>""</f>
        <v/>
      </c>
      <c r="P288" t="str">
        <f>""</f>
        <v/>
      </c>
      <c r="Q288" t="str">
        <f>""</f>
        <v/>
      </c>
      <c r="R288" t="str">
        <f>""</f>
        <v/>
      </c>
      <c r="S288" t="str">
        <f>""</f>
        <v/>
      </c>
      <c r="T288" t="str">
        <f>""</f>
        <v/>
      </c>
      <c r="U288" t="str">
        <f>""</f>
        <v/>
      </c>
      <c r="V288" t="str">
        <f>""</f>
        <v/>
      </c>
      <c r="W288" t="str">
        <f>""</f>
        <v/>
      </c>
      <c r="X288" t="str">
        <f>""</f>
        <v/>
      </c>
      <c r="Y288" t="str">
        <f>""</f>
        <v/>
      </c>
      <c r="Z288" t="str">
        <f>""</f>
        <v/>
      </c>
      <c r="AA288" t="str">
        <f>""</f>
        <v/>
      </c>
      <c r="AB288" t="str">
        <f>""</f>
        <v/>
      </c>
      <c r="AC288" t="str">
        <f>""</f>
        <v/>
      </c>
      <c r="AD288" t="str">
        <f>""</f>
        <v/>
      </c>
      <c r="AE288" t="str">
        <f>""</f>
        <v/>
      </c>
      <c r="AF288" t="str">
        <f>""</f>
        <v/>
      </c>
      <c r="AG288" t="str">
        <f>""</f>
        <v/>
      </c>
      <c r="AH288" t="str">
        <f>""</f>
        <v/>
      </c>
      <c r="AI288" t="str">
        <f>""</f>
        <v/>
      </c>
      <c r="AJ288" t="str">
        <f>""</f>
        <v/>
      </c>
      <c r="AK288" t="str">
        <f>""</f>
        <v/>
      </c>
      <c r="AL288" t="str">
        <f>""</f>
        <v/>
      </c>
      <c r="AM288" t="str">
        <f>""</f>
        <v/>
      </c>
      <c r="AN288" t="str">
        <f>""</f>
        <v/>
      </c>
      <c r="AO288" t="str">
        <f>""</f>
        <v/>
      </c>
      <c r="AP288" t="str">
        <f>""</f>
        <v/>
      </c>
      <c r="AQ288" t="str">
        <f>""</f>
        <v/>
      </c>
      <c r="AR288" t="str">
        <f>""</f>
        <v/>
      </c>
      <c r="AS288" t="str">
        <f>""</f>
        <v/>
      </c>
      <c r="AT288" t="str">
        <f>""</f>
        <v/>
      </c>
      <c r="AU288" t="str">
        <f>""</f>
        <v/>
      </c>
      <c r="AV288" t="str">
        <f>""</f>
        <v/>
      </c>
      <c r="AW288" t="str">
        <f>""</f>
        <v/>
      </c>
      <c r="AX288" t="str">
        <f>""</f>
        <v/>
      </c>
      <c r="AY288" t="str">
        <f>""</f>
        <v/>
      </c>
      <c r="AZ288" t="str">
        <f>""</f>
        <v/>
      </c>
      <c r="BA288" t="str">
        <f>""</f>
        <v/>
      </c>
      <c r="BB288" t="str">
        <f>""</f>
        <v/>
      </c>
      <c r="BC288" t="str">
        <f>""</f>
        <v/>
      </c>
      <c r="BD288" t="str">
        <f>""</f>
        <v/>
      </c>
      <c r="BE288" t="str">
        <f>""</f>
        <v/>
      </c>
      <c r="BF288" t="str">
        <f>""</f>
        <v/>
      </c>
      <c r="BG288" t="str">
        <f>""</f>
        <v/>
      </c>
      <c r="BH288" t="str">
        <f>""</f>
        <v/>
      </c>
      <c r="BI288" t="str">
        <f>""</f>
        <v/>
      </c>
      <c r="BJ288" t="str">
        <f>""</f>
        <v/>
      </c>
      <c r="BK288" t="str">
        <f>""</f>
        <v/>
      </c>
      <c r="BL288" t="str">
        <f>""</f>
        <v/>
      </c>
      <c r="BM288" t="str">
        <f>""</f>
        <v/>
      </c>
      <c r="BN288" t="str">
        <f>""</f>
        <v/>
      </c>
      <c r="BO288" t="str">
        <f>""</f>
        <v/>
      </c>
      <c r="BP288" t="str">
        <f>""</f>
        <v/>
      </c>
      <c r="BQ288" t="str">
        <f>""</f>
        <v/>
      </c>
      <c r="BR288" t="str">
        <f>""</f>
        <v/>
      </c>
      <c r="BS288" t="str">
        <f>""</f>
        <v/>
      </c>
      <c r="BT288" t="str">
        <f>""</f>
        <v/>
      </c>
      <c r="BU288" t="str">
        <f>""</f>
        <v/>
      </c>
      <c r="BV288" t="str">
        <f>""</f>
        <v/>
      </c>
      <c r="BW288" t="str">
        <f>""</f>
        <v/>
      </c>
      <c r="BX288" t="str">
        <f>""</f>
        <v/>
      </c>
      <c r="BY288" t="str">
        <f>""</f>
        <v/>
      </c>
      <c r="BZ288" t="str">
        <f>""</f>
        <v/>
      </c>
      <c r="CA288" t="str">
        <f>""</f>
        <v/>
      </c>
      <c r="CB288" t="str">
        <f>""</f>
        <v/>
      </c>
      <c r="CC288" t="str">
        <f>""</f>
        <v/>
      </c>
      <c r="CD288" t="str">
        <f>""</f>
        <v/>
      </c>
      <c r="CE288" t="str">
        <f>""</f>
        <v/>
      </c>
      <c r="CF288" t="str">
        <f>""</f>
        <v/>
      </c>
      <c r="CG288" t="str">
        <f>""</f>
        <v/>
      </c>
      <c r="CH288" t="str">
        <f>""</f>
        <v/>
      </c>
      <c r="CI288" t="str">
        <f>""</f>
        <v/>
      </c>
      <c r="CJ288" t="str">
        <f>""</f>
        <v/>
      </c>
      <c r="CK288" t="str">
        <f>""</f>
        <v/>
      </c>
      <c r="CL288" t="str">
        <f>""</f>
        <v/>
      </c>
      <c r="CM288" t="str">
        <f>""</f>
        <v/>
      </c>
      <c r="CN288" t="str">
        <f>""</f>
        <v/>
      </c>
      <c r="CO288" t="str">
        <f>""</f>
        <v/>
      </c>
      <c r="CP288" t="str">
        <f>""</f>
        <v/>
      </c>
      <c r="CQ288" t="str">
        <f>""</f>
        <v/>
      </c>
      <c r="CR288" t="str">
        <f>""</f>
        <v/>
      </c>
      <c r="CS288" t="str">
        <f>""</f>
        <v/>
      </c>
      <c r="CT288" t="str">
        <f>""</f>
        <v/>
      </c>
      <c r="CU288" t="str">
        <f>""</f>
        <v/>
      </c>
      <c r="CV288" t="str">
        <f>""</f>
        <v/>
      </c>
      <c r="CW288" t="str">
        <f>""</f>
        <v/>
      </c>
      <c r="CX288" t="str">
        <f>""</f>
        <v/>
      </c>
      <c r="CY288" t="str">
        <f>""</f>
        <v/>
      </c>
      <c r="CZ288" t="str">
        <f>""</f>
        <v/>
      </c>
      <c r="DA288" t="str">
        <f>""</f>
        <v/>
      </c>
      <c r="DB288" t="str">
        <f>""</f>
        <v/>
      </c>
      <c r="DC288" t="str">
        <f>""</f>
        <v/>
      </c>
      <c r="DD288" t="str">
        <f>""</f>
        <v/>
      </c>
      <c r="DE288" t="str">
        <f>""</f>
        <v/>
      </c>
      <c r="DF288" t="str">
        <f>""</f>
        <v/>
      </c>
      <c r="DG288" t="str">
        <f>""</f>
        <v/>
      </c>
      <c r="DH288" t="str">
        <f>""</f>
        <v/>
      </c>
      <c r="DI288" t="str">
        <f>""</f>
        <v/>
      </c>
      <c r="DJ288" t="str">
        <f>""</f>
        <v/>
      </c>
      <c r="DK288" t="str">
        <f>""</f>
        <v/>
      </c>
      <c r="DL288" t="str">
        <f>""</f>
        <v/>
      </c>
      <c r="DM288" t="str">
        <f>""</f>
        <v/>
      </c>
      <c r="DN288" t="str">
        <f>""</f>
        <v/>
      </c>
      <c r="DO288" t="str">
        <f>""</f>
        <v/>
      </c>
      <c r="DP288" t="str">
        <f>""</f>
        <v/>
      </c>
      <c r="DQ288" t="str">
        <f>""</f>
        <v/>
      </c>
      <c r="DR288" t="str">
        <f>""</f>
        <v/>
      </c>
      <c r="DS288" t="str">
        <f>""</f>
        <v/>
      </c>
      <c r="DT288" t="str">
        <f>""</f>
        <v/>
      </c>
      <c r="DU288" t="str">
        <f>""</f>
        <v/>
      </c>
      <c r="DV288" t="str">
        <f>""</f>
        <v/>
      </c>
      <c r="DW288" t="str">
        <f>""</f>
        <v/>
      </c>
      <c r="DX288" t="str">
        <f>""</f>
        <v/>
      </c>
      <c r="DY288" t="str">
        <f>""</f>
        <v/>
      </c>
      <c r="DZ288" t="str">
        <f>""</f>
        <v/>
      </c>
      <c r="EA288" t="str">
        <f>""</f>
        <v/>
      </c>
      <c r="EB288" t="str">
        <f>""</f>
        <v/>
      </c>
      <c r="EC288" t="str">
        <f>""</f>
        <v/>
      </c>
      <c r="ED288" t="str">
        <f>""</f>
        <v/>
      </c>
      <c r="EE288" t="str">
        <f>""</f>
        <v/>
      </c>
      <c r="EF288" t="str">
        <f>""</f>
        <v/>
      </c>
      <c r="EG288" t="str">
        <f>""</f>
        <v/>
      </c>
      <c r="EH288" t="str">
        <f>""</f>
        <v/>
      </c>
      <c r="EI288" t="str">
        <f>""</f>
        <v/>
      </c>
      <c r="EJ288" t="str">
        <f>""</f>
        <v/>
      </c>
      <c r="EK288" t="str">
        <f>""</f>
        <v/>
      </c>
      <c r="EL288" t="str">
        <f>""</f>
        <v/>
      </c>
      <c r="EM288" t="str">
        <f>""</f>
        <v/>
      </c>
      <c r="EN288" t="str">
        <f>""</f>
        <v/>
      </c>
      <c r="EO288" t="str">
        <f>""</f>
        <v/>
      </c>
      <c r="EP288" t="str">
        <f>""</f>
        <v/>
      </c>
      <c r="EQ288" t="str">
        <f>""</f>
        <v/>
      </c>
      <c r="ER288" t="str">
        <f>""</f>
        <v/>
      </c>
      <c r="ES288" t="str">
        <f>""</f>
        <v/>
      </c>
      <c r="ET288" t="str">
        <f>""</f>
        <v/>
      </c>
      <c r="EU288" t="str">
        <f>""</f>
        <v/>
      </c>
      <c r="EV288" t="str">
        <f>""</f>
        <v/>
      </c>
      <c r="EW288" t="str">
        <f>""</f>
        <v/>
      </c>
      <c r="EX288" t="str">
        <f>""</f>
        <v/>
      </c>
      <c r="EY288" t="str">
        <f>""</f>
        <v/>
      </c>
      <c r="EZ288" t="str">
        <f>""</f>
        <v/>
      </c>
      <c r="FA288" t="str">
        <f>""</f>
        <v/>
      </c>
      <c r="FB288" t="str">
        <f>""</f>
        <v/>
      </c>
      <c r="FC288" t="str">
        <f>""</f>
        <v/>
      </c>
      <c r="FD288" t="str">
        <f>""</f>
        <v/>
      </c>
      <c r="FE288" t="str">
        <f>""</f>
        <v/>
      </c>
      <c r="FF288" t="str">
        <f>""</f>
        <v/>
      </c>
      <c r="FG288" t="str">
        <f>""</f>
        <v/>
      </c>
      <c r="FH288" t="str">
        <f>""</f>
        <v/>
      </c>
      <c r="FI288" t="str">
        <f>""</f>
        <v/>
      </c>
      <c r="FJ288" t="str">
        <f>""</f>
        <v/>
      </c>
      <c r="FK288" t="str">
        <f>""</f>
        <v/>
      </c>
      <c r="FL288" t="str">
        <f>""</f>
        <v/>
      </c>
      <c r="FM288" t="str">
        <f>""</f>
        <v/>
      </c>
      <c r="FN288" t="str">
        <f>""</f>
        <v/>
      </c>
      <c r="FO288" t="str">
        <f>""</f>
        <v/>
      </c>
      <c r="FP288" t="str">
        <f>""</f>
        <v/>
      </c>
      <c r="FQ288" t="str">
        <f>""</f>
        <v/>
      </c>
      <c r="FR288" t="str">
        <f>""</f>
        <v/>
      </c>
      <c r="FS288" t="str">
        <f>""</f>
        <v/>
      </c>
      <c r="FT288" t="str">
        <f>""</f>
        <v/>
      </c>
      <c r="FU288" t="str">
        <f>""</f>
        <v/>
      </c>
      <c r="FV288" t="str">
        <f>""</f>
        <v/>
      </c>
      <c r="FW288" t="str">
        <f>""</f>
        <v/>
      </c>
      <c r="FX288" t="str">
        <f>""</f>
        <v/>
      </c>
      <c r="FY288" t="str">
        <f>""</f>
        <v/>
      </c>
      <c r="FZ288" t="str">
        <f>""</f>
        <v/>
      </c>
      <c r="GA288" t="str">
        <f>""</f>
        <v/>
      </c>
      <c r="GB288" t="str">
        <f>""</f>
        <v/>
      </c>
      <c r="GC288" t="str">
        <f>""</f>
        <v/>
      </c>
      <c r="GD288" t="str">
        <f>""</f>
        <v/>
      </c>
      <c r="GE288" t="str">
        <f>""</f>
        <v/>
      </c>
      <c r="GF288" t="str">
        <f>""</f>
        <v/>
      </c>
      <c r="GG288" t="str">
        <f>""</f>
        <v/>
      </c>
      <c r="GH288" t="str">
        <f>""</f>
        <v/>
      </c>
      <c r="GI288" t="str">
        <f>""</f>
        <v/>
      </c>
      <c r="GJ288" t="str">
        <f>""</f>
        <v/>
      </c>
      <c r="GK288" t="str">
        <f>""</f>
        <v/>
      </c>
      <c r="GL288" t="str">
        <f>""</f>
        <v/>
      </c>
      <c r="GM288" t="str">
        <f>""</f>
        <v/>
      </c>
      <c r="GN288" t="str">
        <f>""</f>
        <v/>
      </c>
      <c r="GO288" t="str">
        <f>"0.0886"</f>
        <v>0.0886</v>
      </c>
      <c r="GP288" t="str">
        <f>"0.0417"</f>
        <v>0.0417</v>
      </c>
      <c r="GQ288" t="str">
        <f>"0.00927"</f>
        <v>0.00927</v>
      </c>
      <c r="GR288" t="str">
        <f>""</f>
        <v/>
      </c>
      <c r="GS288" t="str">
        <f>""</f>
        <v/>
      </c>
      <c r="GT288" t="str">
        <f>""</f>
        <v/>
      </c>
      <c r="GU288" t="str">
        <f>""</f>
        <v/>
      </c>
      <c r="GV288" t="str">
        <f>""</f>
        <v/>
      </c>
      <c r="GW288" t="str">
        <f>""</f>
        <v/>
      </c>
      <c r="GX288" t="str">
        <f>""</f>
        <v/>
      </c>
      <c r="GY288" t="str">
        <f>""</f>
        <v/>
      </c>
      <c r="GZ288" t="str">
        <f>""</f>
        <v/>
      </c>
      <c r="HA288" t="str">
        <f>""</f>
        <v/>
      </c>
      <c r="HB288" t="str">
        <f>""</f>
        <v/>
      </c>
      <c r="HC288" t="str">
        <f>""</f>
        <v/>
      </c>
      <c r="HD288" t="str">
        <f>""</f>
        <v/>
      </c>
      <c r="HE288" t="str">
        <f>""</f>
        <v/>
      </c>
      <c r="HF288" t="str">
        <f>""</f>
        <v/>
      </c>
      <c r="HG288" t="str">
        <f>""</f>
        <v/>
      </c>
      <c r="HH288" t="str">
        <f>""</f>
        <v/>
      </c>
      <c r="HI288" t="str">
        <f>""</f>
        <v/>
      </c>
      <c r="HJ288" t="str">
        <f>""</f>
        <v/>
      </c>
      <c r="HK288" t="str">
        <f>""</f>
        <v/>
      </c>
      <c r="HL288" t="str">
        <f>""</f>
        <v/>
      </c>
      <c r="HM288" t="str">
        <f>""</f>
        <v/>
      </c>
      <c r="HN288" t="str">
        <f>""</f>
        <v/>
      </c>
      <c r="HO288" t="str">
        <f>""</f>
        <v/>
      </c>
      <c r="HP288" t="str">
        <f>""</f>
        <v/>
      </c>
      <c r="HQ288" t="str">
        <f>""</f>
        <v/>
      </c>
      <c r="HR288" t="str">
        <f>""</f>
        <v/>
      </c>
      <c r="HS288" t="str">
        <f>""</f>
        <v/>
      </c>
      <c r="HT288" t="str">
        <f>""</f>
        <v/>
      </c>
      <c r="HU288" t="str">
        <f>""</f>
        <v/>
      </c>
      <c r="HV288" t="str">
        <f>""</f>
        <v/>
      </c>
      <c r="HW288" t="str">
        <f>""</f>
        <v/>
      </c>
      <c r="HX288" t="str">
        <f>""</f>
        <v/>
      </c>
      <c r="HY288" t="str">
        <f>""</f>
        <v/>
      </c>
      <c r="HZ288" t="str">
        <f>""</f>
        <v/>
      </c>
      <c r="IA288" t="str">
        <f>""</f>
        <v/>
      </c>
      <c r="IB288" t="str">
        <f>""</f>
        <v/>
      </c>
      <c r="IC288" t="str">
        <f>""</f>
        <v/>
      </c>
      <c r="ID288" t="str">
        <f>""</f>
        <v/>
      </c>
      <c r="IE288" t="str">
        <f>""</f>
        <v/>
      </c>
      <c r="IF288" t="str">
        <f>""</f>
        <v/>
      </c>
      <c r="IG288" t="str">
        <f>""</f>
        <v/>
      </c>
      <c r="IH288" t="str">
        <f>""</f>
        <v/>
      </c>
      <c r="II288" t="str">
        <f>""</f>
        <v/>
      </c>
      <c r="IJ288" t="str">
        <f>""</f>
        <v/>
      </c>
      <c r="IK288" t="str">
        <f>""</f>
        <v/>
      </c>
      <c r="IL288" t="str">
        <f>""</f>
        <v/>
      </c>
      <c r="IM288" t="str">
        <f>""</f>
        <v/>
      </c>
      <c r="IN288" t="str">
        <f>""</f>
        <v/>
      </c>
      <c r="IO288" t="str">
        <f>""</f>
        <v/>
      </c>
      <c r="IP288" t="str">
        <f>""</f>
        <v/>
      </c>
      <c r="IQ288" t="str">
        <f>""</f>
        <v/>
      </c>
      <c r="IR288" t="str">
        <f>""</f>
        <v/>
      </c>
      <c r="IS288" t="str">
        <f>""</f>
        <v/>
      </c>
      <c r="IT288" t="str">
        <f>""</f>
        <v/>
      </c>
      <c r="IU288" t="str">
        <f>""</f>
        <v/>
      </c>
      <c r="IV288" t="str">
        <f>""</f>
        <v/>
      </c>
      <c r="IW288" t="str">
        <f>""</f>
        <v/>
      </c>
      <c r="IX288" t="str">
        <f>""</f>
        <v/>
      </c>
      <c r="IY288" t="str">
        <f>""</f>
        <v/>
      </c>
      <c r="IZ288" t="str">
        <f>""</f>
        <v/>
      </c>
      <c r="JA288" t="str">
        <f>""</f>
        <v/>
      </c>
      <c r="JB288" t="str">
        <f>""</f>
        <v/>
      </c>
      <c r="JC288" t="str">
        <f>""</f>
        <v/>
      </c>
      <c r="JD288" t="str">
        <f>""</f>
        <v/>
      </c>
      <c r="JE288" t="str">
        <f>""</f>
        <v/>
      </c>
      <c r="JF288" t="str">
        <f>""</f>
        <v/>
      </c>
      <c r="JG288" t="str">
        <f>""</f>
        <v/>
      </c>
      <c r="JH288" t="str">
        <f>""</f>
        <v/>
      </c>
      <c r="JI288" t="str">
        <f>""</f>
        <v/>
      </c>
      <c r="JJ288" t="str">
        <f>""</f>
        <v/>
      </c>
      <c r="JK288" t="str">
        <f>""</f>
        <v/>
      </c>
    </row>
    <row r="289" spans="1:271" x14ac:dyDescent="0.3">
      <c r="A289" t="str">
        <f>""</f>
        <v/>
      </c>
      <c r="B289" t="str">
        <f>""</f>
        <v/>
      </c>
      <c r="C289" t="str">
        <f>""</f>
        <v/>
      </c>
      <c r="D289" t="str">
        <f>""</f>
        <v/>
      </c>
      <c r="E289" t="str">
        <f>""</f>
        <v/>
      </c>
      <c r="F289" t="str">
        <f>""</f>
        <v/>
      </c>
      <c r="G289" t="str">
        <f>""</f>
        <v/>
      </c>
      <c r="H289" t="str">
        <f>""</f>
        <v/>
      </c>
      <c r="I289" t="str">
        <f>""</f>
        <v/>
      </c>
      <c r="J289" t="str">
        <f>""</f>
        <v/>
      </c>
      <c r="K289" t="str">
        <f>""</f>
        <v/>
      </c>
      <c r="L289" t="str">
        <f>""</f>
        <v/>
      </c>
      <c r="M289" t="str">
        <f>""</f>
        <v/>
      </c>
      <c r="N289" t="str">
        <f>""</f>
        <v/>
      </c>
      <c r="O289" t="str">
        <f>""</f>
        <v/>
      </c>
      <c r="P289" t="str">
        <f>""</f>
        <v/>
      </c>
      <c r="Q289" t="str">
        <f>""</f>
        <v/>
      </c>
      <c r="R289" t="str">
        <f>""</f>
        <v/>
      </c>
      <c r="S289" t="str">
        <f>""</f>
        <v/>
      </c>
      <c r="T289" t="str">
        <f>""</f>
        <v/>
      </c>
      <c r="U289" t="str">
        <f>""</f>
        <v/>
      </c>
      <c r="V289" t="str">
        <f>""</f>
        <v/>
      </c>
      <c r="W289" t="str">
        <f>""</f>
        <v/>
      </c>
      <c r="X289" t="str">
        <f>""</f>
        <v/>
      </c>
      <c r="Y289" t="str">
        <f>""</f>
        <v/>
      </c>
      <c r="Z289" t="str">
        <f>""</f>
        <v/>
      </c>
      <c r="AA289" t="str">
        <f>""</f>
        <v/>
      </c>
      <c r="AB289" t="str">
        <f>""</f>
        <v/>
      </c>
      <c r="AC289" t="str">
        <f>""</f>
        <v/>
      </c>
      <c r="AD289" t="str">
        <f>""</f>
        <v/>
      </c>
      <c r="AE289" t="str">
        <f>""</f>
        <v/>
      </c>
      <c r="AF289" t="str">
        <f>""</f>
        <v/>
      </c>
      <c r="AG289" t="str">
        <f>""</f>
        <v/>
      </c>
      <c r="AH289" t="str">
        <f>""</f>
        <v/>
      </c>
      <c r="AI289" t="str">
        <f>""</f>
        <v/>
      </c>
      <c r="AJ289" t="str">
        <f>""</f>
        <v/>
      </c>
      <c r="AK289" t="str">
        <f>""</f>
        <v/>
      </c>
      <c r="AL289" t="str">
        <f>""</f>
        <v/>
      </c>
      <c r="AM289" t="str">
        <f>""</f>
        <v/>
      </c>
      <c r="AN289" t="str">
        <f>""</f>
        <v/>
      </c>
      <c r="AO289" t="str">
        <f>""</f>
        <v/>
      </c>
      <c r="AP289" t="str">
        <f>""</f>
        <v/>
      </c>
      <c r="AQ289" t="str">
        <f>""</f>
        <v/>
      </c>
      <c r="AR289" t="str">
        <f>""</f>
        <v/>
      </c>
      <c r="AS289" t="str">
        <f>""</f>
        <v/>
      </c>
      <c r="AT289" t="str">
        <f>""</f>
        <v/>
      </c>
      <c r="AU289" t="str">
        <f>""</f>
        <v/>
      </c>
      <c r="AV289" t="str">
        <f>""</f>
        <v/>
      </c>
      <c r="AW289" t="str">
        <f>""</f>
        <v/>
      </c>
      <c r="AX289" t="str">
        <f>""</f>
        <v/>
      </c>
      <c r="AY289" t="str">
        <f>""</f>
        <v/>
      </c>
      <c r="AZ289" t="str">
        <f>""</f>
        <v/>
      </c>
      <c r="BA289" t="str">
        <f>""</f>
        <v/>
      </c>
      <c r="BB289" t="str">
        <f>""</f>
        <v/>
      </c>
      <c r="BC289" t="str">
        <f>""</f>
        <v/>
      </c>
      <c r="BD289" t="str">
        <f>""</f>
        <v/>
      </c>
      <c r="BE289" t="str">
        <f>""</f>
        <v/>
      </c>
      <c r="BF289" t="str">
        <f>""</f>
        <v/>
      </c>
      <c r="BG289" t="str">
        <f>""</f>
        <v/>
      </c>
      <c r="BH289" t="str">
        <f>""</f>
        <v/>
      </c>
      <c r="BI289" t="str">
        <f>""</f>
        <v/>
      </c>
      <c r="BJ289" t="str">
        <f>""</f>
        <v/>
      </c>
      <c r="BK289" t="str">
        <f>""</f>
        <v/>
      </c>
      <c r="BL289" t="str">
        <f>""</f>
        <v/>
      </c>
      <c r="BM289" t="str">
        <f>""</f>
        <v/>
      </c>
      <c r="BN289" t="str">
        <f>""</f>
        <v/>
      </c>
      <c r="BO289" t="str">
        <f>""</f>
        <v/>
      </c>
      <c r="BP289" t="str">
        <f>""</f>
        <v/>
      </c>
      <c r="BQ289" t="str">
        <f>""</f>
        <v/>
      </c>
      <c r="BR289" t="str">
        <f>""</f>
        <v/>
      </c>
      <c r="BS289" t="str">
        <f>""</f>
        <v/>
      </c>
      <c r="BT289" t="str">
        <f>""</f>
        <v/>
      </c>
      <c r="BU289" t="str">
        <f>""</f>
        <v/>
      </c>
      <c r="BV289" t="str">
        <f>""</f>
        <v/>
      </c>
      <c r="BW289" t="str">
        <f>""</f>
        <v/>
      </c>
      <c r="BX289" t="str">
        <f>""</f>
        <v/>
      </c>
      <c r="BY289" t="str">
        <f>""</f>
        <v/>
      </c>
      <c r="BZ289" t="str">
        <f>""</f>
        <v/>
      </c>
      <c r="CA289" t="str">
        <f>""</f>
        <v/>
      </c>
      <c r="CB289" t="str">
        <f>""</f>
        <v/>
      </c>
      <c r="CC289" t="str">
        <f>""</f>
        <v/>
      </c>
      <c r="CD289" t="str">
        <f>""</f>
        <v/>
      </c>
      <c r="CE289" t="str">
        <f>""</f>
        <v/>
      </c>
      <c r="CF289" t="str">
        <f>""</f>
        <v/>
      </c>
      <c r="CG289" t="str">
        <f>""</f>
        <v/>
      </c>
      <c r="CH289" t="str">
        <f>""</f>
        <v/>
      </c>
      <c r="CI289" t="str">
        <f>""</f>
        <v/>
      </c>
      <c r="CJ289" t="str">
        <f>""</f>
        <v/>
      </c>
      <c r="CK289" t="str">
        <f>""</f>
        <v/>
      </c>
      <c r="CL289" t="str">
        <f>""</f>
        <v/>
      </c>
      <c r="CM289" t="str">
        <f>""</f>
        <v/>
      </c>
      <c r="CN289" t="str">
        <f>""</f>
        <v/>
      </c>
      <c r="CO289" t="str">
        <f>""</f>
        <v/>
      </c>
      <c r="CP289" t="str">
        <f>""</f>
        <v/>
      </c>
      <c r="CQ289" t="str">
        <f>""</f>
        <v/>
      </c>
      <c r="CR289" t="str">
        <f>""</f>
        <v/>
      </c>
      <c r="CS289" t="str">
        <f>""</f>
        <v/>
      </c>
      <c r="CT289" t="str">
        <f>""</f>
        <v/>
      </c>
      <c r="CU289" t="str">
        <f>""</f>
        <v/>
      </c>
      <c r="CV289" t="str">
        <f>""</f>
        <v/>
      </c>
      <c r="CW289" t="str">
        <f>""</f>
        <v/>
      </c>
      <c r="CX289" t="str">
        <f>""</f>
        <v/>
      </c>
      <c r="CY289" t="str">
        <f>""</f>
        <v/>
      </c>
      <c r="CZ289" t="str">
        <f>""</f>
        <v/>
      </c>
      <c r="DA289" t="str">
        <f>""</f>
        <v/>
      </c>
      <c r="DB289" t="str">
        <f>""</f>
        <v/>
      </c>
      <c r="DC289" t="str">
        <f>""</f>
        <v/>
      </c>
      <c r="DD289" t="str">
        <f>""</f>
        <v/>
      </c>
      <c r="DE289" t="str">
        <f>""</f>
        <v/>
      </c>
      <c r="DF289" t="str">
        <f>""</f>
        <v/>
      </c>
      <c r="DG289" t="str">
        <f>""</f>
        <v/>
      </c>
      <c r="DH289" t="str">
        <f>""</f>
        <v/>
      </c>
      <c r="DI289" t="str">
        <f>""</f>
        <v/>
      </c>
      <c r="DJ289" t="str">
        <f>""</f>
        <v/>
      </c>
      <c r="DK289" t="str">
        <f>""</f>
        <v/>
      </c>
      <c r="DL289" t="str">
        <f>""</f>
        <v/>
      </c>
      <c r="DM289" t="str">
        <f>""</f>
        <v/>
      </c>
      <c r="DN289" t="str">
        <f>""</f>
        <v/>
      </c>
      <c r="DO289" t="str">
        <f>""</f>
        <v/>
      </c>
      <c r="DP289" t="str">
        <f>""</f>
        <v/>
      </c>
      <c r="DQ289" t="str">
        <f>""</f>
        <v/>
      </c>
      <c r="DR289" t="str">
        <f>""</f>
        <v/>
      </c>
      <c r="DS289" t="str">
        <f>""</f>
        <v/>
      </c>
      <c r="DT289" t="str">
        <f>""</f>
        <v/>
      </c>
      <c r="DU289" t="str">
        <f>""</f>
        <v/>
      </c>
      <c r="DV289" t="str">
        <f>""</f>
        <v/>
      </c>
      <c r="DW289" t="str">
        <f>""</f>
        <v/>
      </c>
      <c r="DX289" t="str">
        <f>""</f>
        <v/>
      </c>
      <c r="DY289" t="str">
        <f>""</f>
        <v/>
      </c>
      <c r="DZ289" t="str">
        <f>""</f>
        <v/>
      </c>
      <c r="EA289" t="str">
        <f>""</f>
        <v/>
      </c>
      <c r="EB289" t="str">
        <f>""</f>
        <v/>
      </c>
      <c r="EC289" t="str">
        <f>""</f>
        <v/>
      </c>
      <c r="ED289" t="str">
        <f>""</f>
        <v/>
      </c>
      <c r="EE289" t="str">
        <f>""</f>
        <v/>
      </c>
      <c r="EF289" t="str">
        <f>""</f>
        <v/>
      </c>
      <c r="EG289" t="str">
        <f>""</f>
        <v/>
      </c>
      <c r="EH289" t="str">
        <f>""</f>
        <v/>
      </c>
      <c r="EI289" t="str">
        <f>""</f>
        <v/>
      </c>
      <c r="EJ289" t="str">
        <f>""</f>
        <v/>
      </c>
      <c r="EK289" t="str">
        <f>""</f>
        <v/>
      </c>
      <c r="EL289" t="str">
        <f>""</f>
        <v/>
      </c>
      <c r="EM289" t="str">
        <f>""</f>
        <v/>
      </c>
      <c r="EN289" t="str">
        <f>""</f>
        <v/>
      </c>
      <c r="EO289" t="str">
        <f>""</f>
        <v/>
      </c>
      <c r="EP289" t="str">
        <f>""</f>
        <v/>
      </c>
      <c r="EQ289" t="str">
        <f>""</f>
        <v/>
      </c>
      <c r="ER289" t="str">
        <f>""</f>
        <v/>
      </c>
      <c r="ES289" t="str">
        <f>""</f>
        <v/>
      </c>
      <c r="ET289" t="str">
        <f>""</f>
        <v/>
      </c>
      <c r="EU289" t="str">
        <f>""</f>
        <v/>
      </c>
      <c r="EV289" t="str">
        <f>""</f>
        <v/>
      </c>
      <c r="EW289" t="str">
        <f>""</f>
        <v/>
      </c>
      <c r="EX289" t="str">
        <f>""</f>
        <v/>
      </c>
      <c r="EY289" t="str">
        <f>""</f>
        <v/>
      </c>
      <c r="EZ289" t="str">
        <f>""</f>
        <v/>
      </c>
      <c r="FA289" t="str">
        <f>""</f>
        <v/>
      </c>
      <c r="FB289" t="str">
        <f>""</f>
        <v/>
      </c>
      <c r="FC289" t="str">
        <f>""</f>
        <v/>
      </c>
      <c r="FD289" t="str">
        <f>""</f>
        <v/>
      </c>
      <c r="FE289" t="str">
        <f>""</f>
        <v/>
      </c>
      <c r="FF289" t="str">
        <f>""</f>
        <v/>
      </c>
      <c r="FG289" t="str">
        <f>""</f>
        <v/>
      </c>
      <c r="FH289" t="str">
        <f>""</f>
        <v/>
      </c>
      <c r="FI289" t="str">
        <f>""</f>
        <v/>
      </c>
      <c r="FJ289" t="str">
        <f>""</f>
        <v/>
      </c>
      <c r="FK289" t="str">
        <f>""</f>
        <v/>
      </c>
      <c r="FL289" t="str">
        <f>""</f>
        <v/>
      </c>
      <c r="FM289" t="str">
        <f>""</f>
        <v/>
      </c>
      <c r="FN289" t="str">
        <f>""</f>
        <v/>
      </c>
      <c r="FO289" t="str">
        <f>""</f>
        <v/>
      </c>
      <c r="FP289" t="str">
        <f>""</f>
        <v/>
      </c>
      <c r="FQ289" t="str">
        <f>""</f>
        <v/>
      </c>
      <c r="FR289" t="str">
        <f>""</f>
        <v/>
      </c>
      <c r="FS289" t="str">
        <f>""</f>
        <v/>
      </c>
      <c r="FT289" t="str">
        <f>""</f>
        <v/>
      </c>
      <c r="FU289" t="str">
        <f>""</f>
        <v/>
      </c>
      <c r="FV289" t="str">
        <f>""</f>
        <v/>
      </c>
      <c r="FW289" t="str">
        <f>""</f>
        <v/>
      </c>
      <c r="FX289" t="str">
        <f>""</f>
        <v/>
      </c>
      <c r="FY289" t="str">
        <f>""</f>
        <v/>
      </c>
      <c r="FZ289" t="str">
        <f>""</f>
        <v/>
      </c>
      <c r="GA289" t="str">
        <f>""</f>
        <v/>
      </c>
      <c r="GB289" t="str">
        <f>""</f>
        <v/>
      </c>
      <c r="GC289" t="str">
        <f>""</f>
        <v/>
      </c>
      <c r="GD289" t="str">
        <f>""</f>
        <v/>
      </c>
      <c r="GE289" t="str">
        <f>""</f>
        <v/>
      </c>
      <c r="GF289" t="str">
        <f>""</f>
        <v/>
      </c>
      <c r="GG289" t="str">
        <f>""</f>
        <v/>
      </c>
      <c r="GH289" t="str">
        <f>""</f>
        <v/>
      </c>
      <c r="GI289" t="str">
        <f>""</f>
        <v/>
      </c>
      <c r="GJ289" t="str">
        <f>""</f>
        <v/>
      </c>
      <c r="GK289" t="str">
        <f>""</f>
        <v/>
      </c>
      <c r="GL289" t="str">
        <f>""</f>
        <v/>
      </c>
      <c r="GM289" t="str">
        <f>""</f>
        <v/>
      </c>
      <c r="GN289" t="str">
        <f>""</f>
        <v/>
      </c>
      <c r="GO289" t="str">
        <f>"(0.103)"</f>
        <v>(0.103)</v>
      </c>
      <c r="GP289" t="str">
        <f>"(0.0815)"</f>
        <v>(0.0815)</v>
      </c>
      <c r="GQ289" t="str">
        <f>"(0.0439)"</f>
        <v>(0.0439)</v>
      </c>
      <c r="GR289" t="str">
        <f>""</f>
        <v/>
      </c>
      <c r="GS289" t="str">
        <f>""</f>
        <v/>
      </c>
      <c r="GT289" t="str">
        <f>""</f>
        <v/>
      </c>
      <c r="GU289" t="str">
        <f>""</f>
        <v/>
      </c>
      <c r="GV289" t="str">
        <f>""</f>
        <v/>
      </c>
      <c r="GW289" t="str">
        <f>""</f>
        <v/>
      </c>
      <c r="GX289" t="str">
        <f>""</f>
        <v/>
      </c>
      <c r="GY289" t="str">
        <f>""</f>
        <v/>
      </c>
      <c r="GZ289" t="str">
        <f>""</f>
        <v/>
      </c>
      <c r="HA289" t="str">
        <f>""</f>
        <v/>
      </c>
      <c r="HB289" t="str">
        <f>""</f>
        <v/>
      </c>
      <c r="HC289" t="str">
        <f>""</f>
        <v/>
      </c>
      <c r="HD289" t="str">
        <f>""</f>
        <v/>
      </c>
      <c r="HE289" t="str">
        <f>""</f>
        <v/>
      </c>
      <c r="HF289" t="str">
        <f>""</f>
        <v/>
      </c>
      <c r="HG289" t="str">
        <f>""</f>
        <v/>
      </c>
      <c r="HH289" t="str">
        <f>""</f>
        <v/>
      </c>
      <c r="HI289" t="str">
        <f>""</f>
        <v/>
      </c>
      <c r="HJ289" t="str">
        <f>""</f>
        <v/>
      </c>
      <c r="HK289" t="str">
        <f>""</f>
        <v/>
      </c>
      <c r="HL289" t="str">
        <f>""</f>
        <v/>
      </c>
      <c r="HM289" t="str">
        <f>""</f>
        <v/>
      </c>
      <c r="HN289" t="str">
        <f>""</f>
        <v/>
      </c>
      <c r="HO289" t="str">
        <f>""</f>
        <v/>
      </c>
      <c r="HP289" t="str">
        <f>""</f>
        <v/>
      </c>
      <c r="HQ289" t="str">
        <f>""</f>
        <v/>
      </c>
      <c r="HR289" t="str">
        <f>""</f>
        <v/>
      </c>
      <c r="HS289" t="str">
        <f>""</f>
        <v/>
      </c>
      <c r="HT289" t="str">
        <f>""</f>
        <v/>
      </c>
      <c r="HU289" t="str">
        <f>""</f>
        <v/>
      </c>
      <c r="HV289" t="str">
        <f>""</f>
        <v/>
      </c>
      <c r="HW289" t="str">
        <f>""</f>
        <v/>
      </c>
      <c r="HX289" t="str">
        <f>""</f>
        <v/>
      </c>
      <c r="HY289" t="str">
        <f>""</f>
        <v/>
      </c>
      <c r="HZ289" t="str">
        <f>""</f>
        <v/>
      </c>
      <c r="IA289" t="str">
        <f>""</f>
        <v/>
      </c>
      <c r="IB289" t="str">
        <f>""</f>
        <v/>
      </c>
      <c r="IC289" t="str">
        <f>""</f>
        <v/>
      </c>
      <c r="ID289" t="str">
        <f>""</f>
        <v/>
      </c>
      <c r="IE289" t="str">
        <f>""</f>
        <v/>
      </c>
      <c r="IF289" t="str">
        <f>""</f>
        <v/>
      </c>
      <c r="IG289" t="str">
        <f>""</f>
        <v/>
      </c>
      <c r="IH289" t="str">
        <f>""</f>
        <v/>
      </c>
      <c r="II289" t="str">
        <f>""</f>
        <v/>
      </c>
      <c r="IJ289" t="str">
        <f>""</f>
        <v/>
      </c>
      <c r="IK289" t="str">
        <f>""</f>
        <v/>
      </c>
      <c r="IL289" t="str">
        <f>""</f>
        <v/>
      </c>
      <c r="IM289" t="str">
        <f>""</f>
        <v/>
      </c>
      <c r="IN289" t="str">
        <f>""</f>
        <v/>
      </c>
      <c r="IO289" t="str">
        <f>""</f>
        <v/>
      </c>
      <c r="IP289" t="str">
        <f>""</f>
        <v/>
      </c>
      <c r="IQ289" t="str">
        <f>""</f>
        <v/>
      </c>
      <c r="IR289" t="str">
        <f>""</f>
        <v/>
      </c>
      <c r="IS289" t="str">
        <f>""</f>
        <v/>
      </c>
      <c r="IT289" t="str">
        <f>""</f>
        <v/>
      </c>
      <c r="IU289" t="str">
        <f>""</f>
        <v/>
      </c>
      <c r="IV289" t="str">
        <f>""</f>
        <v/>
      </c>
      <c r="IW289" t="str">
        <f>""</f>
        <v/>
      </c>
      <c r="IX289" t="str">
        <f>""</f>
        <v/>
      </c>
      <c r="IY289" t="str">
        <f>""</f>
        <v/>
      </c>
      <c r="IZ289" t="str">
        <f>""</f>
        <v/>
      </c>
      <c r="JA289" t="str">
        <f>""</f>
        <v/>
      </c>
      <c r="JB289" t="str">
        <f>""</f>
        <v/>
      </c>
      <c r="JC289" t="str">
        <f>""</f>
        <v/>
      </c>
      <c r="JD289" t="str">
        <f>""</f>
        <v/>
      </c>
      <c r="JE289" t="str">
        <f>""</f>
        <v/>
      </c>
      <c r="JF289" t="str">
        <f>""</f>
        <v/>
      </c>
      <c r="JG289" t="str">
        <f>""</f>
        <v/>
      </c>
      <c r="JH289" t="str">
        <f>""</f>
        <v/>
      </c>
      <c r="JI289" t="str">
        <f>""</f>
        <v/>
      </c>
      <c r="JJ289" t="str">
        <f>""</f>
        <v/>
      </c>
      <c r="JK289" t="str">
        <f>""</f>
        <v/>
      </c>
    </row>
    <row r="291" spans="1:271" x14ac:dyDescent="0.3">
      <c r="A291" t="str">
        <f>"c.zMETAB7#c.PM5"</f>
        <v>c.zMETAB7#c.PM5</v>
      </c>
      <c r="B291" t="str">
        <f>""</f>
        <v/>
      </c>
      <c r="C291" t="str">
        <f>""</f>
        <v/>
      </c>
      <c r="D291" t="str">
        <f>""</f>
        <v/>
      </c>
      <c r="E291" t="str">
        <f>""</f>
        <v/>
      </c>
      <c r="F291" t="str">
        <f>""</f>
        <v/>
      </c>
      <c r="G291" t="str">
        <f>""</f>
        <v/>
      </c>
      <c r="H291" t="str">
        <f>""</f>
        <v/>
      </c>
      <c r="I291" t="str">
        <f>""</f>
        <v/>
      </c>
      <c r="J291" t="str">
        <f>""</f>
        <v/>
      </c>
      <c r="K291" t="str">
        <f>""</f>
        <v/>
      </c>
      <c r="L291" t="str">
        <f>""</f>
        <v/>
      </c>
      <c r="M291" t="str">
        <f>""</f>
        <v/>
      </c>
      <c r="N291" t="str">
        <f>""</f>
        <v/>
      </c>
      <c r="O291" t="str">
        <f>""</f>
        <v/>
      </c>
      <c r="P291" t="str">
        <f>""</f>
        <v/>
      </c>
      <c r="Q291" t="str">
        <f>""</f>
        <v/>
      </c>
      <c r="R291" t="str">
        <f>""</f>
        <v/>
      </c>
      <c r="S291" t="str">
        <f>""</f>
        <v/>
      </c>
      <c r="T291" t="str">
        <f>""</f>
        <v/>
      </c>
      <c r="U291" t="str">
        <f>""</f>
        <v/>
      </c>
      <c r="V291" t="str">
        <f>""</f>
        <v/>
      </c>
      <c r="W291" t="str">
        <f>""</f>
        <v/>
      </c>
      <c r="X291" t="str">
        <f>""</f>
        <v/>
      </c>
      <c r="Y291" t="str">
        <f>""</f>
        <v/>
      </c>
      <c r="Z291" t="str">
        <f>""</f>
        <v/>
      </c>
      <c r="AA291" t="str">
        <f>""</f>
        <v/>
      </c>
      <c r="AB291" t="str">
        <f>""</f>
        <v/>
      </c>
      <c r="AC291" t="str">
        <f>""</f>
        <v/>
      </c>
      <c r="AD291" t="str">
        <f>""</f>
        <v/>
      </c>
      <c r="AE291" t="str">
        <f>""</f>
        <v/>
      </c>
      <c r="AF291" t="str">
        <f>""</f>
        <v/>
      </c>
      <c r="AG291" t="str">
        <f>""</f>
        <v/>
      </c>
      <c r="AH291" t="str">
        <f>""</f>
        <v/>
      </c>
      <c r="AI291" t="str">
        <f>""</f>
        <v/>
      </c>
      <c r="AJ291" t="str">
        <f>""</f>
        <v/>
      </c>
      <c r="AK291" t="str">
        <f>""</f>
        <v/>
      </c>
      <c r="AL291" t="str">
        <f>""</f>
        <v/>
      </c>
      <c r="AM291" t="str">
        <f>""</f>
        <v/>
      </c>
      <c r="AN291" t="str">
        <f>""</f>
        <v/>
      </c>
      <c r="AO291" t="str">
        <f>""</f>
        <v/>
      </c>
      <c r="AP291" t="str">
        <f>""</f>
        <v/>
      </c>
      <c r="AQ291" t="str">
        <f>""</f>
        <v/>
      </c>
      <c r="AR291" t="str">
        <f>""</f>
        <v/>
      </c>
      <c r="AS291" t="str">
        <f>""</f>
        <v/>
      </c>
      <c r="AT291" t="str">
        <f>""</f>
        <v/>
      </c>
      <c r="AU291" t="str">
        <f>""</f>
        <v/>
      </c>
      <c r="AV291" t="str">
        <f>""</f>
        <v/>
      </c>
      <c r="AW291" t="str">
        <f>""</f>
        <v/>
      </c>
      <c r="AX291" t="str">
        <f>""</f>
        <v/>
      </c>
      <c r="AY291" t="str">
        <f>""</f>
        <v/>
      </c>
      <c r="AZ291" t="str">
        <f>""</f>
        <v/>
      </c>
      <c r="BA291" t="str">
        <f>""</f>
        <v/>
      </c>
      <c r="BB291" t="str">
        <f>""</f>
        <v/>
      </c>
      <c r="BC291" t="str">
        <f>""</f>
        <v/>
      </c>
      <c r="BD291" t="str">
        <f>""</f>
        <v/>
      </c>
      <c r="BE291" t="str">
        <f>""</f>
        <v/>
      </c>
      <c r="BF291" t="str">
        <f>""</f>
        <v/>
      </c>
      <c r="BG291" t="str">
        <f>""</f>
        <v/>
      </c>
      <c r="BH291" t="str">
        <f>""</f>
        <v/>
      </c>
      <c r="BI291" t="str">
        <f>""</f>
        <v/>
      </c>
      <c r="BJ291" t="str">
        <f>""</f>
        <v/>
      </c>
      <c r="BK291" t="str">
        <f>""</f>
        <v/>
      </c>
      <c r="BL291" t="str">
        <f>""</f>
        <v/>
      </c>
      <c r="BM291" t="str">
        <f>""</f>
        <v/>
      </c>
      <c r="BN291" t="str">
        <f>""</f>
        <v/>
      </c>
      <c r="BO291" t="str">
        <f>""</f>
        <v/>
      </c>
      <c r="BP291" t="str">
        <f>""</f>
        <v/>
      </c>
      <c r="BQ291" t="str">
        <f>""</f>
        <v/>
      </c>
      <c r="BR291" t="str">
        <f>""</f>
        <v/>
      </c>
      <c r="BS291" t="str">
        <f>""</f>
        <v/>
      </c>
      <c r="BT291" t="str">
        <f>""</f>
        <v/>
      </c>
      <c r="BU291" t="str">
        <f>""</f>
        <v/>
      </c>
      <c r="BV291" t="str">
        <f>""</f>
        <v/>
      </c>
      <c r="BW291" t="str">
        <f>""</f>
        <v/>
      </c>
      <c r="BX291" t="str">
        <f>""</f>
        <v/>
      </c>
      <c r="BY291" t="str">
        <f>""</f>
        <v/>
      </c>
      <c r="BZ291" t="str">
        <f>""</f>
        <v/>
      </c>
      <c r="CA291" t="str">
        <f>""</f>
        <v/>
      </c>
      <c r="CB291" t="str">
        <f>""</f>
        <v/>
      </c>
      <c r="CC291" t="str">
        <f>""</f>
        <v/>
      </c>
      <c r="CD291" t="str">
        <f>""</f>
        <v/>
      </c>
      <c r="CE291" t="str">
        <f>""</f>
        <v/>
      </c>
      <c r="CF291" t="str">
        <f>""</f>
        <v/>
      </c>
      <c r="CG291" t="str">
        <f>""</f>
        <v/>
      </c>
      <c r="CH291" t="str">
        <f>""</f>
        <v/>
      </c>
      <c r="CI291" t="str">
        <f>""</f>
        <v/>
      </c>
      <c r="CJ291" t="str">
        <f>""</f>
        <v/>
      </c>
      <c r="CK291" t="str">
        <f>""</f>
        <v/>
      </c>
      <c r="CL291" t="str">
        <f>""</f>
        <v/>
      </c>
      <c r="CM291" t="str">
        <f>""</f>
        <v/>
      </c>
      <c r="CN291" t="str">
        <f>""</f>
        <v/>
      </c>
      <c r="CO291" t="str">
        <f>""</f>
        <v/>
      </c>
      <c r="CP291" t="str">
        <f>""</f>
        <v/>
      </c>
      <c r="CQ291" t="str">
        <f>""</f>
        <v/>
      </c>
      <c r="CR291" t="str">
        <f>""</f>
        <v/>
      </c>
      <c r="CS291" t="str">
        <f>""</f>
        <v/>
      </c>
      <c r="CT291" t="str">
        <f>""</f>
        <v/>
      </c>
      <c r="CU291" t="str">
        <f>""</f>
        <v/>
      </c>
      <c r="CV291" t="str">
        <f>""</f>
        <v/>
      </c>
      <c r="CW291" t="str">
        <f>""</f>
        <v/>
      </c>
      <c r="CX291" t="str">
        <f>""</f>
        <v/>
      </c>
      <c r="CY291" t="str">
        <f>""</f>
        <v/>
      </c>
      <c r="CZ291" t="str">
        <f>""</f>
        <v/>
      </c>
      <c r="DA291" t="str">
        <f>""</f>
        <v/>
      </c>
      <c r="DB291" t="str">
        <f>""</f>
        <v/>
      </c>
      <c r="DC291" t="str">
        <f>""</f>
        <v/>
      </c>
      <c r="DD291" t="str">
        <f>""</f>
        <v/>
      </c>
      <c r="DE291" t="str">
        <f>""</f>
        <v/>
      </c>
      <c r="DF291" t="str">
        <f>""</f>
        <v/>
      </c>
      <c r="DG291" t="str">
        <f>""</f>
        <v/>
      </c>
      <c r="DH291" t="str">
        <f>""</f>
        <v/>
      </c>
      <c r="DI291" t="str">
        <f>""</f>
        <v/>
      </c>
      <c r="DJ291" t="str">
        <f>""</f>
        <v/>
      </c>
      <c r="DK291" t="str">
        <f>""</f>
        <v/>
      </c>
      <c r="DL291" t="str">
        <f>""</f>
        <v/>
      </c>
      <c r="DM291" t="str">
        <f>""</f>
        <v/>
      </c>
      <c r="DN291" t="str">
        <f>""</f>
        <v/>
      </c>
      <c r="DO291" t="str">
        <f>""</f>
        <v/>
      </c>
      <c r="DP291" t="str">
        <f>""</f>
        <v/>
      </c>
      <c r="DQ291" t="str">
        <f>""</f>
        <v/>
      </c>
      <c r="DR291" t="str">
        <f>""</f>
        <v/>
      </c>
      <c r="DS291" t="str">
        <f>""</f>
        <v/>
      </c>
      <c r="DT291" t="str">
        <f>""</f>
        <v/>
      </c>
      <c r="DU291" t="str">
        <f>""</f>
        <v/>
      </c>
      <c r="DV291" t="str">
        <f>""</f>
        <v/>
      </c>
      <c r="DW291" t="str">
        <f>""</f>
        <v/>
      </c>
      <c r="DX291" t="str">
        <f>""</f>
        <v/>
      </c>
      <c r="DY291" t="str">
        <f>""</f>
        <v/>
      </c>
      <c r="DZ291" t="str">
        <f>""</f>
        <v/>
      </c>
      <c r="EA291" t="str">
        <f>""</f>
        <v/>
      </c>
      <c r="EB291" t="str">
        <f>""</f>
        <v/>
      </c>
      <c r="EC291" t="str">
        <f>""</f>
        <v/>
      </c>
      <c r="ED291" t="str">
        <f>""</f>
        <v/>
      </c>
      <c r="EE291" t="str">
        <f>""</f>
        <v/>
      </c>
      <c r="EF291" t="str">
        <f>""</f>
        <v/>
      </c>
      <c r="EG291" t="str">
        <f>""</f>
        <v/>
      </c>
      <c r="EH291" t="str">
        <f>""</f>
        <v/>
      </c>
      <c r="EI291" t="str">
        <f>""</f>
        <v/>
      </c>
      <c r="EJ291" t="str">
        <f>""</f>
        <v/>
      </c>
      <c r="EK291" t="str">
        <f>""</f>
        <v/>
      </c>
      <c r="EL291" t="str">
        <f>""</f>
        <v/>
      </c>
      <c r="EM291" t="str">
        <f>""</f>
        <v/>
      </c>
      <c r="EN291" t="str">
        <f>""</f>
        <v/>
      </c>
      <c r="EO291" t="str">
        <f>""</f>
        <v/>
      </c>
      <c r="EP291" t="str">
        <f>""</f>
        <v/>
      </c>
      <c r="EQ291" t="str">
        <f>""</f>
        <v/>
      </c>
      <c r="ER291" t="str">
        <f>""</f>
        <v/>
      </c>
      <c r="ES291" t="str">
        <f>""</f>
        <v/>
      </c>
      <c r="ET291" t="str">
        <f>""</f>
        <v/>
      </c>
      <c r="EU291" t="str">
        <f>""</f>
        <v/>
      </c>
      <c r="EV291" t="str">
        <f>""</f>
        <v/>
      </c>
      <c r="EW291" t="str">
        <f>""</f>
        <v/>
      </c>
      <c r="EX291" t="str">
        <f>""</f>
        <v/>
      </c>
      <c r="EY291" t="str">
        <f>""</f>
        <v/>
      </c>
      <c r="EZ291" t="str">
        <f>""</f>
        <v/>
      </c>
      <c r="FA291" t="str">
        <f>""</f>
        <v/>
      </c>
      <c r="FB291" t="str">
        <f>""</f>
        <v/>
      </c>
      <c r="FC291" t="str">
        <f>""</f>
        <v/>
      </c>
      <c r="FD291" t="str">
        <f>""</f>
        <v/>
      </c>
      <c r="FE291" t="str">
        <f>""</f>
        <v/>
      </c>
      <c r="FF291" t="str">
        <f>""</f>
        <v/>
      </c>
      <c r="FG291" t="str">
        <f>""</f>
        <v/>
      </c>
      <c r="FH291" t="str">
        <f>""</f>
        <v/>
      </c>
      <c r="FI291" t="str">
        <f>""</f>
        <v/>
      </c>
      <c r="FJ291" t="str">
        <f>""</f>
        <v/>
      </c>
      <c r="FK291" t="str">
        <f>""</f>
        <v/>
      </c>
      <c r="FL291" t="str">
        <f>""</f>
        <v/>
      </c>
      <c r="FM291" t="str">
        <f>""</f>
        <v/>
      </c>
      <c r="FN291" t="str">
        <f>""</f>
        <v/>
      </c>
      <c r="FO291" t="str">
        <f>""</f>
        <v/>
      </c>
      <c r="FP291" t="str">
        <f>""</f>
        <v/>
      </c>
      <c r="FQ291" t="str">
        <f>""</f>
        <v/>
      </c>
      <c r="FR291" t="str">
        <f>""</f>
        <v/>
      </c>
      <c r="FS291" t="str">
        <f>""</f>
        <v/>
      </c>
      <c r="FT291" t="str">
        <f>""</f>
        <v/>
      </c>
      <c r="FU291" t="str">
        <f>""</f>
        <v/>
      </c>
      <c r="FV291" t="str">
        <f>""</f>
        <v/>
      </c>
      <c r="FW291" t="str">
        <f>""</f>
        <v/>
      </c>
      <c r="FX291" t="str">
        <f>""</f>
        <v/>
      </c>
      <c r="FY291" t="str">
        <f>""</f>
        <v/>
      </c>
      <c r="FZ291" t="str">
        <f>""</f>
        <v/>
      </c>
      <c r="GA291" t="str">
        <f>""</f>
        <v/>
      </c>
      <c r="GB291" t="str">
        <f>""</f>
        <v/>
      </c>
      <c r="GC291" t="str">
        <f>""</f>
        <v/>
      </c>
      <c r="GD291" t="str">
        <f>""</f>
        <v/>
      </c>
      <c r="GE291" t="str">
        <f>""</f>
        <v/>
      </c>
      <c r="GF291" t="str">
        <f>""</f>
        <v/>
      </c>
      <c r="GG291" t="str">
        <f>""</f>
        <v/>
      </c>
      <c r="GH291" t="str">
        <f>""</f>
        <v/>
      </c>
      <c r="GI291" t="str">
        <f>""</f>
        <v/>
      </c>
      <c r="GJ291" t="str">
        <f>""</f>
        <v/>
      </c>
      <c r="GK291" t="str">
        <f>""</f>
        <v/>
      </c>
      <c r="GL291" t="str">
        <f>""</f>
        <v/>
      </c>
      <c r="GM291" t="str">
        <f>""</f>
        <v/>
      </c>
      <c r="GN291" t="str">
        <f>""</f>
        <v/>
      </c>
      <c r="GO291" t="str">
        <f>""</f>
        <v/>
      </c>
      <c r="GP291" t="str">
        <f>""</f>
        <v/>
      </c>
      <c r="GQ291" t="str">
        <f>""</f>
        <v/>
      </c>
      <c r="GR291" t="str">
        <f>"0.0484"</f>
        <v>0.0484</v>
      </c>
      <c r="GS291" t="str">
        <f>"0.0372"</f>
        <v>0.0372</v>
      </c>
      <c r="GT291" t="str">
        <f>"-0.0700"</f>
        <v>-0.0700</v>
      </c>
      <c r="GU291" t="str">
        <f>""</f>
        <v/>
      </c>
      <c r="GV291" t="str">
        <f>""</f>
        <v/>
      </c>
      <c r="GW291" t="str">
        <f>""</f>
        <v/>
      </c>
      <c r="GX291" t="str">
        <f>""</f>
        <v/>
      </c>
      <c r="GY291" t="str">
        <f>""</f>
        <v/>
      </c>
      <c r="GZ291" t="str">
        <f>""</f>
        <v/>
      </c>
      <c r="HA291" t="str">
        <f>""</f>
        <v/>
      </c>
      <c r="HB291" t="str">
        <f>""</f>
        <v/>
      </c>
      <c r="HC291" t="str">
        <f>""</f>
        <v/>
      </c>
      <c r="HD291" t="str">
        <f>""</f>
        <v/>
      </c>
      <c r="HE291" t="str">
        <f>""</f>
        <v/>
      </c>
      <c r="HF291" t="str">
        <f>""</f>
        <v/>
      </c>
      <c r="HG291" t="str">
        <f>""</f>
        <v/>
      </c>
      <c r="HH291" t="str">
        <f>""</f>
        <v/>
      </c>
      <c r="HI291" t="str">
        <f>""</f>
        <v/>
      </c>
      <c r="HJ291" t="str">
        <f>""</f>
        <v/>
      </c>
      <c r="HK291" t="str">
        <f>""</f>
        <v/>
      </c>
      <c r="HL291" t="str">
        <f>""</f>
        <v/>
      </c>
      <c r="HM291" t="str">
        <f>""</f>
        <v/>
      </c>
      <c r="HN291" t="str">
        <f>""</f>
        <v/>
      </c>
      <c r="HO291" t="str">
        <f>""</f>
        <v/>
      </c>
      <c r="HP291" t="str">
        <f>""</f>
        <v/>
      </c>
      <c r="HQ291" t="str">
        <f>""</f>
        <v/>
      </c>
      <c r="HR291" t="str">
        <f>""</f>
        <v/>
      </c>
      <c r="HS291" t="str">
        <f>""</f>
        <v/>
      </c>
      <c r="HT291" t="str">
        <f>""</f>
        <v/>
      </c>
      <c r="HU291" t="str">
        <f>""</f>
        <v/>
      </c>
      <c r="HV291" t="str">
        <f>""</f>
        <v/>
      </c>
      <c r="HW291" t="str">
        <f>""</f>
        <v/>
      </c>
      <c r="HX291" t="str">
        <f>""</f>
        <v/>
      </c>
      <c r="HY291" t="str">
        <f>""</f>
        <v/>
      </c>
      <c r="HZ291" t="str">
        <f>""</f>
        <v/>
      </c>
      <c r="IA291" t="str">
        <f>""</f>
        <v/>
      </c>
      <c r="IB291" t="str">
        <f>""</f>
        <v/>
      </c>
      <c r="IC291" t="str">
        <f>""</f>
        <v/>
      </c>
      <c r="ID291" t="str">
        <f>""</f>
        <v/>
      </c>
      <c r="IE291" t="str">
        <f>""</f>
        <v/>
      </c>
      <c r="IF291" t="str">
        <f>""</f>
        <v/>
      </c>
      <c r="IG291" t="str">
        <f>""</f>
        <v/>
      </c>
      <c r="IH291" t="str">
        <f>""</f>
        <v/>
      </c>
      <c r="II291" t="str">
        <f>""</f>
        <v/>
      </c>
      <c r="IJ291" t="str">
        <f>""</f>
        <v/>
      </c>
      <c r="IK291" t="str">
        <f>""</f>
        <v/>
      </c>
      <c r="IL291" t="str">
        <f>""</f>
        <v/>
      </c>
      <c r="IM291" t="str">
        <f>""</f>
        <v/>
      </c>
      <c r="IN291" t="str">
        <f>""</f>
        <v/>
      </c>
      <c r="IO291" t="str">
        <f>""</f>
        <v/>
      </c>
      <c r="IP291" t="str">
        <f>""</f>
        <v/>
      </c>
      <c r="IQ291" t="str">
        <f>""</f>
        <v/>
      </c>
      <c r="IR291" t="str">
        <f>""</f>
        <v/>
      </c>
      <c r="IS291" t="str">
        <f>""</f>
        <v/>
      </c>
      <c r="IT291" t="str">
        <f>""</f>
        <v/>
      </c>
      <c r="IU291" t="str">
        <f>""</f>
        <v/>
      </c>
      <c r="IV291" t="str">
        <f>""</f>
        <v/>
      </c>
      <c r="IW291" t="str">
        <f>""</f>
        <v/>
      </c>
      <c r="IX291" t="str">
        <f>""</f>
        <v/>
      </c>
      <c r="IY291" t="str">
        <f>""</f>
        <v/>
      </c>
      <c r="IZ291" t="str">
        <f>""</f>
        <v/>
      </c>
      <c r="JA291" t="str">
        <f>""</f>
        <v/>
      </c>
      <c r="JB291" t="str">
        <f>""</f>
        <v/>
      </c>
      <c r="JC291" t="str">
        <f>""</f>
        <v/>
      </c>
      <c r="JD291" t="str">
        <f>""</f>
        <v/>
      </c>
      <c r="JE291" t="str">
        <f>""</f>
        <v/>
      </c>
      <c r="JF291" t="str">
        <f>""</f>
        <v/>
      </c>
      <c r="JG291" t="str">
        <f>""</f>
        <v/>
      </c>
      <c r="JH291" t="str">
        <f>""</f>
        <v/>
      </c>
      <c r="JI291" t="str">
        <f>""</f>
        <v/>
      </c>
      <c r="JJ291" t="str">
        <f>""</f>
        <v/>
      </c>
      <c r="JK291" t="str">
        <f>""</f>
        <v/>
      </c>
    </row>
    <row r="292" spans="1:271" x14ac:dyDescent="0.3">
      <c r="A292" t="str">
        <f>""</f>
        <v/>
      </c>
      <c r="B292" t="str">
        <f>""</f>
        <v/>
      </c>
      <c r="C292" t="str">
        <f>""</f>
        <v/>
      </c>
      <c r="D292" t="str">
        <f>""</f>
        <v/>
      </c>
      <c r="E292" t="str">
        <f>""</f>
        <v/>
      </c>
      <c r="F292" t="str">
        <f>""</f>
        <v/>
      </c>
      <c r="G292" t="str">
        <f>""</f>
        <v/>
      </c>
      <c r="H292" t="str">
        <f>""</f>
        <v/>
      </c>
      <c r="I292" t="str">
        <f>""</f>
        <v/>
      </c>
      <c r="J292" t="str">
        <f>""</f>
        <v/>
      </c>
      <c r="K292" t="str">
        <f>""</f>
        <v/>
      </c>
      <c r="L292" t="str">
        <f>""</f>
        <v/>
      </c>
      <c r="M292" t="str">
        <f>""</f>
        <v/>
      </c>
      <c r="N292" t="str">
        <f>""</f>
        <v/>
      </c>
      <c r="O292" t="str">
        <f>""</f>
        <v/>
      </c>
      <c r="P292" t="str">
        <f>""</f>
        <v/>
      </c>
      <c r="Q292" t="str">
        <f>""</f>
        <v/>
      </c>
      <c r="R292" t="str">
        <f>""</f>
        <v/>
      </c>
      <c r="S292" t="str">
        <f>""</f>
        <v/>
      </c>
      <c r="T292" t="str">
        <f>""</f>
        <v/>
      </c>
      <c r="U292" t="str">
        <f>""</f>
        <v/>
      </c>
      <c r="V292" t="str">
        <f>""</f>
        <v/>
      </c>
      <c r="W292" t="str">
        <f>""</f>
        <v/>
      </c>
      <c r="X292" t="str">
        <f>""</f>
        <v/>
      </c>
      <c r="Y292" t="str">
        <f>""</f>
        <v/>
      </c>
      <c r="Z292" t="str">
        <f>""</f>
        <v/>
      </c>
      <c r="AA292" t="str">
        <f>""</f>
        <v/>
      </c>
      <c r="AB292" t="str">
        <f>""</f>
        <v/>
      </c>
      <c r="AC292" t="str">
        <f>""</f>
        <v/>
      </c>
      <c r="AD292" t="str">
        <f>""</f>
        <v/>
      </c>
      <c r="AE292" t="str">
        <f>""</f>
        <v/>
      </c>
      <c r="AF292" t="str">
        <f>""</f>
        <v/>
      </c>
      <c r="AG292" t="str">
        <f>""</f>
        <v/>
      </c>
      <c r="AH292" t="str">
        <f>""</f>
        <v/>
      </c>
      <c r="AI292" t="str">
        <f>""</f>
        <v/>
      </c>
      <c r="AJ292" t="str">
        <f>""</f>
        <v/>
      </c>
      <c r="AK292" t="str">
        <f>""</f>
        <v/>
      </c>
      <c r="AL292" t="str">
        <f>""</f>
        <v/>
      </c>
      <c r="AM292" t="str">
        <f>""</f>
        <v/>
      </c>
      <c r="AN292" t="str">
        <f>""</f>
        <v/>
      </c>
      <c r="AO292" t="str">
        <f>""</f>
        <v/>
      </c>
      <c r="AP292" t="str">
        <f>""</f>
        <v/>
      </c>
      <c r="AQ292" t="str">
        <f>""</f>
        <v/>
      </c>
      <c r="AR292" t="str">
        <f>""</f>
        <v/>
      </c>
      <c r="AS292" t="str">
        <f>""</f>
        <v/>
      </c>
      <c r="AT292" t="str">
        <f>""</f>
        <v/>
      </c>
      <c r="AU292" t="str">
        <f>""</f>
        <v/>
      </c>
      <c r="AV292" t="str">
        <f>""</f>
        <v/>
      </c>
      <c r="AW292" t="str">
        <f>""</f>
        <v/>
      </c>
      <c r="AX292" t="str">
        <f>""</f>
        <v/>
      </c>
      <c r="AY292" t="str">
        <f>""</f>
        <v/>
      </c>
      <c r="AZ292" t="str">
        <f>""</f>
        <v/>
      </c>
      <c r="BA292" t="str">
        <f>""</f>
        <v/>
      </c>
      <c r="BB292" t="str">
        <f>""</f>
        <v/>
      </c>
      <c r="BC292" t="str">
        <f>""</f>
        <v/>
      </c>
      <c r="BD292" t="str">
        <f>""</f>
        <v/>
      </c>
      <c r="BE292" t="str">
        <f>""</f>
        <v/>
      </c>
      <c r="BF292" t="str">
        <f>""</f>
        <v/>
      </c>
      <c r="BG292" t="str">
        <f>""</f>
        <v/>
      </c>
      <c r="BH292" t="str">
        <f>""</f>
        <v/>
      </c>
      <c r="BI292" t="str">
        <f>""</f>
        <v/>
      </c>
      <c r="BJ292" t="str">
        <f>""</f>
        <v/>
      </c>
      <c r="BK292" t="str">
        <f>""</f>
        <v/>
      </c>
      <c r="BL292" t="str">
        <f>""</f>
        <v/>
      </c>
      <c r="BM292" t="str">
        <f>""</f>
        <v/>
      </c>
      <c r="BN292" t="str">
        <f>""</f>
        <v/>
      </c>
      <c r="BO292" t="str">
        <f>""</f>
        <v/>
      </c>
      <c r="BP292" t="str">
        <f>""</f>
        <v/>
      </c>
      <c r="BQ292" t="str">
        <f>""</f>
        <v/>
      </c>
      <c r="BR292" t="str">
        <f>""</f>
        <v/>
      </c>
      <c r="BS292" t="str">
        <f>""</f>
        <v/>
      </c>
      <c r="BT292" t="str">
        <f>""</f>
        <v/>
      </c>
      <c r="BU292" t="str">
        <f>""</f>
        <v/>
      </c>
      <c r="BV292" t="str">
        <f>""</f>
        <v/>
      </c>
      <c r="BW292" t="str">
        <f>""</f>
        <v/>
      </c>
      <c r="BX292" t="str">
        <f>""</f>
        <v/>
      </c>
      <c r="BY292" t="str">
        <f>""</f>
        <v/>
      </c>
      <c r="BZ292" t="str">
        <f>""</f>
        <v/>
      </c>
      <c r="CA292" t="str">
        <f>""</f>
        <v/>
      </c>
      <c r="CB292" t="str">
        <f>""</f>
        <v/>
      </c>
      <c r="CC292" t="str">
        <f>""</f>
        <v/>
      </c>
      <c r="CD292" t="str">
        <f>""</f>
        <v/>
      </c>
      <c r="CE292" t="str">
        <f>""</f>
        <v/>
      </c>
      <c r="CF292" t="str">
        <f>""</f>
        <v/>
      </c>
      <c r="CG292" t="str">
        <f>""</f>
        <v/>
      </c>
      <c r="CH292" t="str">
        <f>""</f>
        <v/>
      </c>
      <c r="CI292" t="str">
        <f>""</f>
        <v/>
      </c>
      <c r="CJ292" t="str">
        <f>""</f>
        <v/>
      </c>
      <c r="CK292" t="str">
        <f>""</f>
        <v/>
      </c>
      <c r="CL292" t="str">
        <f>""</f>
        <v/>
      </c>
      <c r="CM292" t="str">
        <f>""</f>
        <v/>
      </c>
      <c r="CN292" t="str">
        <f>""</f>
        <v/>
      </c>
      <c r="CO292" t="str">
        <f>""</f>
        <v/>
      </c>
      <c r="CP292" t="str">
        <f>""</f>
        <v/>
      </c>
      <c r="CQ292" t="str">
        <f>""</f>
        <v/>
      </c>
      <c r="CR292" t="str">
        <f>""</f>
        <v/>
      </c>
      <c r="CS292" t="str">
        <f>""</f>
        <v/>
      </c>
      <c r="CT292" t="str">
        <f>""</f>
        <v/>
      </c>
      <c r="CU292" t="str">
        <f>""</f>
        <v/>
      </c>
      <c r="CV292" t="str">
        <f>""</f>
        <v/>
      </c>
      <c r="CW292" t="str">
        <f>""</f>
        <v/>
      </c>
      <c r="CX292" t="str">
        <f>""</f>
        <v/>
      </c>
      <c r="CY292" t="str">
        <f>""</f>
        <v/>
      </c>
      <c r="CZ292" t="str">
        <f>""</f>
        <v/>
      </c>
      <c r="DA292" t="str">
        <f>""</f>
        <v/>
      </c>
      <c r="DB292" t="str">
        <f>""</f>
        <v/>
      </c>
      <c r="DC292" t="str">
        <f>""</f>
        <v/>
      </c>
      <c r="DD292" t="str">
        <f>""</f>
        <v/>
      </c>
      <c r="DE292" t="str">
        <f>""</f>
        <v/>
      </c>
      <c r="DF292" t="str">
        <f>""</f>
        <v/>
      </c>
      <c r="DG292" t="str">
        <f>""</f>
        <v/>
      </c>
      <c r="DH292" t="str">
        <f>""</f>
        <v/>
      </c>
      <c r="DI292" t="str">
        <f>""</f>
        <v/>
      </c>
      <c r="DJ292" t="str">
        <f>""</f>
        <v/>
      </c>
      <c r="DK292" t="str">
        <f>""</f>
        <v/>
      </c>
      <c r="DL292" t="str">
        <f>""</f>
        <v/>
      </c>
      <c r="DM292" t="str">
        <f>""</f>
        <v/>
      </c>
      <c r="DN292" t="str">
        <f>""</f>
        <v/>
      </c>
      <c r="DO292" t="str">
        <f>""</f>
        <v/>
      </c>
      <c r="DP292" t="str">
        <f>""</f>
        <v/>
      </c>
      <c r="DQ292" t="str">
        <f>""</f>
        <v/>
      </c>
      <c r="DR292" t="str">
        <f>""</f>
        <v/>
      </c>
      <c r="DS292" t="str">
        <f>""</f>
        <v/>
      </c>
      <c r="DT292" t="str">
        <f>""</f>
        <v/>
      </c>
      <c r="DU292" t="str">
        <f>""</f>
        <v/>
      </c>
      <c r="DV292" t="str">
        <f>""</f>
        <v/>
      </c>
      <c r="DW292" t="str">
        <f>""</f>
        <v/>
      </c>
      <c r="DX292" t="str">
        <f>""</f>
        <v/>
      </c>
      <c r="DY292" t="str">
        <f>""</f>
        <v/>
      </c>
      <c r="DZ292" t="str">
        <f>""</f>
        <v/>
      </c>
      <c r="EA292" t="str">
        <f>""</f>
        <v/>
      </c>
      <c r="EB292" t="str">
        <f>""</f>
        <v/>
      </c>
      <c r="EC292" t="str">
        <f>""</f>
        <v/>
      </c>
      <c r="ED292" t="str">
        <f>""</f>
        <v/>
      </c>
      <c r="EE292" t="str">
        <f>""</f>
        <v/>
      </c>
      <c r="EF292" t="str">
        <f>""</f>
        <v/>
      </c>
      <c r="EG292" t="str">
        <f>""</f>
        <v/>
      </c>
      <c r="EH292" t="str">
        <f>""</f>
        <v/>
      </c>
      <c r="EI292" t="str">
        <f>""</f>
        <v/>
      </c>
      <c r="EJ292" t="str">
        <f>""</f>
        <v/>
      </c>
      <c r="EK292" t="str">
        <f>""</f>
        <v/>
      </c>
      <c r="EL292" t="str">
        <f>""</f>
        <v/>
      </c>
      <c r="EM292" t="str">
        <f>""</f>
        <v/>
      </c>
      <c r="EN292" t="str">
        <f>""</f>
        <v/>
      </c>
      <c r="EO292" t="str">
        <f>""</f>
        <v/>
      </c>
      <c r="EP292" t="str">
        <f>""</f>
        <v/>
      </c>
      <c r="EQ292" t="str">
        <f>""</f>
        <v/>
      </c>
      <c r="ER292" t="str">
        <f>""</f>
        <v/>
      </c>
      <c r="ES292" t="str">
        <f>""</f>
        <v/>
      </c>
      <c r="ET292" t="str">
        <f>""</f>
        <v/>
      </c>
      <c r="EU292" t="str">
        <f>""</f>
        <v/>
      </c>
      <c r="EV292" t="str">
        <f>""</f>
        <v/>
      </c>
      <c r="EW292" t="str">
        <f>""</f>
        <v/>
      </c>
      <c r="EX292" t="str">
        <f>""</f>
        <v/>
      </c>
      <c r="EY292" t="str">
        <f>""</f>
        <v/>
      </c>
      <c r="EZ292" t="str">
        <f>""</f>
        <v/>
      </c>
      <c r="FA292" t="str">
        <f>""</f>
        <v/>
      </c>
      <c r="FB292" t="str">
        <f>""</f>
        <v/>
      </c>
      <c r="FC292" t="str">
        <f>""</f>
        <v/>
      </c>
      <c r="FD292" t="str">
        <f>""</f>
        <v/>
      </c>
      <c r="FE292" t="str">
        <f>""</f>
        <v/>
      </c>
      <c r="FF292" t="str">
        <f>""</f>
        <v/>
      </c>
      <c r="FG292" t="str">
        <f>""</f>
        <v/>
      </c>
      <c r="FH292" t="str">
        <f>""</f>
        <v/>
      </c>
      <c r="FI292" t="str">
        <f>""</f>
        <v/>
      </c>
      <c r="FJ292" t="str">
        <f>""</f>
        <v/>
      </c>
      <c r="FK292" t="str">
        <f>""</f>
        <v/>
      </c>
      <c r="FL292" t="str">
        <f>""</f>
        <v/>
      </c>
      <c r="FM292" t="str">
        <f>""</f>
        <v/>
      </c>
      <c r="FN292" t="str">
        <f>""</f>
        <v/>
      </c>
      <c r="FO292" t="str">
        <f>""</f>
        <v/>
      </c>
      <c r="FP292" t="str">
        <f>""</f>
        <v/>
      </c>
      <c r="FQ292" t="str">
        <f>""</f>
        <v/>
      </c>
      <c r="FR292" t="str">
        <f>""</f>
        <v/>
      </c>
      <c r="FS292" t="str">
        <f>""</f>
        <v/>
      </c>
      <c r="FT292" t="str">
        <f>""</f>
        <v/>
      </c>
      <c r="FU292" t="str">
        <f>""</f>
        <v/>
      </c>
      <c r="FV292" t="str">
        <f>""</f>
        <v/>
      </c>
      <c r="FW292" t="str">
        <f>""</f>
        <v/>
      </c>
      <c r="FX292" t="str">
        <f>""</f>
        <v/>
      </c>
      <c r="FY292" t="str">
        <f>""</f>
        <v/>
      </c>
      <c r="FZ292" t="str">
        <f>""</f>
        <v/>
      </c>
      <c r="GA292" t="str">
        <f>""</f>
        <v/>
      </c>
      <c r="GB292" t="str">
        <f>""</f>
        <v/>
      </c>
      <c r="GC292" t="str">
        <f>""</f>
        <v/>
      </c>
      <c r="GD292" t="str">
        <f>""</f>
        <v/>
      </c>
      <c r="GE292" t="str">
        <f>""</f>
        <v/>
      </c>
      <c r="GF292" t="str">
        <f>""</f>
        <v/>
      </c>
      <c r="GG292" t="str">
        <f>""</f>
        <v/>
      </c>
      <c r="GH292" t="str">
        <f>""</f>
        <v/>
      </c>
      <c r="GI292" t="str">
        <f>""</f>
        <v/>
      </c>
      <c r="GJ292" t="str">
        <f>""</f>
        <v/>
      </c>
      <c r="GK292" t="str">
        <f>""</f>
        <v/>
      </c>
      <c r="GL292" t="str">
        <f>""</f>
        <v/>
      </c>
      <c r="GM292" t="str">
        <f>""</f>
        <v/>
      </c>
      <c r="GN292" t="str">
        <f>""</f>
        <v/>
      </c>
      <c r="GO292" t="str">
        <f>""</f>
        <v/>
      </c>
      <c r="GP292" t="str">
        <f>""</f>
        <v/>
      </c>
      <c r="GQ292" t="str">
        <f>""</f>
        <v/>
      </c>
      <c r="GR292" t="str">
        <f>"(0.104)"</f>
        <v>(0.104)</v>
      </c>
      <c r="GS292" t="str">
        <f>"(0.0828)"</f>
        <v>(0.0828)</v>
      </c>
      <c r="GT292" t="str">
        <f>"(0.0455)"</f>
        <v>(0.0455)</v>
      </c>
      <c r="GU292" t="str">
        <f>""</f>
        <v/>
      </c>
      <c r="GV292" t="str">
        <f>""</f>
        <v/>
      </c>
      <c r="GW292" t="str">
        <f>""</f>
        <v/>
      </c>
      <c r="GX292" t="str">
        <f>""</f>
        <v/>
      </c>
      <c r="GY292" t="str">
        <f>""</f>
        <v/>
      </c>
      <c r="GZ292" t="str">
        <f>""</f>
        <v/>
      </c>
      <c r="HA292" t="str">
        <f>""</f>
        <v/>
      </c>
      <c r="HB292" t="str">
        <f>""</f>
        <v/>
      </c>
      <c r="HC292" t="str">
        <f>""</f>
        <v/>
      </c>
      <c r="HD292" t="str">
        <f>""</f>
        <v/>
      </c>
      <c r="HE292" t="str">
        <f>""</f>
        <v/>
      </c>
      <c r="HF292" t="str">
        <f>""</f>
        <v/>
      </c>
      <c r="HG292" t="str">
        <f>""</f>
        <v/>
      </c>
      <c r="HH292" t="str">
        <f>""</f>
        <v/>
      </c>
      <c r="HI292" t="str">
        <f>""</f>
        <v/>
      </c>
      <c r="HJ292" t="str">
        <f>""</f>
        <v/>
      </c>
      <c r="HK292" t="str">
        <f>""</f>
        <v/>
      </c>
      <c r="HL292" t="str">
        <f>""</f>
        <v/>
      </c>
      <c r="HM292" t="str">
        <f>""</f>
        <v/>
      </c>
      <c r="HN292" t="str">
        <f>""</f>
        <v/>
      </c>
      <c r="HO292" t="str">
        <f>""</f>
        <v/>
      </c>
      <c r="HP292" t="str">
        <f>""</f>
        <v/>
      </c>
      <c r="HQ292" t="str">
        <f>""</f>
        <v/>
      </c>
      <c r="HR292" t="str">
        <f>""</f>
        <v/>
      </c>
      <c r="HS292" t="str">
        <f>""</f>
        <v/>
      </c>
      <c r="HT292" t="str">
        <f>""</f>
        <v/>
      </c>
      <c r="HU292" t="str">
        <f>""</f>
        <v/>
      </c>
      <c r="HV292" t="str">
        <f>""</f>
        <v/>
      </c>
      <c r="HW292" t="str">
        <f>""</f>
        <v/>
      </c>
      <c r="HX292" t="str">
        <f>""</f>
        <v/>
      </c>
      <c r="HY292" t="str">
        <f>""</f>
        <v/>
      </c>
      <c r="HZ292" t="str">
        <f>""</f>
        <v/>
      </c>
      <c r="IA292" t="str">
        <f>""</f>
        <v/>
      </c>
      <c r="IB292" t="str">
        <f>""</f>
        <v/>
      </c>
      <c r="IC292" t="str">
        <f>""</f>
        <v/>
      </c>
      <c r="ID292" t="str">
        <f>""</f>
        <v/>
      </c>
      <c r="IE292" t="str">
        <f>""</f>
        <v/>
      </c>
      <c r="IF292" t="str">
        <f>""</f>
        <v/>
      </c>
      <c r="IG292" t="str">
        <f>""</f>
        <v/>
      </c>
      <c r="IH292" t="str">
        <f>""</f>
        <v/>
      </c>
      <c r="II292" t="str">
        <f>""</f>
        <v/>
      </c>
      <c r="IJ292" t="str">
        <f>""</f>
        <v/>
      </c>
      <c r="IK292" t="str">
        <f>""</f>
        <v/>
      </c>
      <c r="IL292" t="str">
        <f>""</f>
        <v/>
      </c>
      <c r="IM292" t="str">
        <f>""</f>
        <v/>
      </c>
      <c r="IN292" t="str">
        <f>""</f>
        <v/>
      </c>
      <c r="IO292" t="str">
        <f>""</f>
        <v/>
      </c>
      <c r="IP292" t="str">
        <f>""</f>
        <v/>
      </c>
      <c r="IQ292" t="str">
        <f>""</f>
        <v/>
      </c>
      <c r="IR292" t="str">
        <f>""</f>
        <v/>
      </c>
      <c r="IS292" t="str">
        <f>""</f>
        <v/>
      </c>
      <c r="IT292" t="str">
        <f>""</f>
        <v/>
      </c>
      <c r="IU292" t="str">
        <f>""</f>
        <v/>
      </c>
      <c r="IV292" t="str">
        <f>""</f>
        <v/>
      </c>
      <c r="IW292" t="str">
        <f>""</f>
        <v/>
      </c>
      <c r="IX292" t="str">
        <f>""</f>
        <v/>
      </c>
      <c r="IY292" t="str">
        <f>""</f>
        <v/>
      </c>
      <c r="IZ292" t="str">
        <f>""</f>
        <v/>
      </c>
      <c r="JA292" t="str">
        <f>""</f>
        <v/>
      </c>
      <c r="JB292" t="str">
        <f>""</f>
        <v/>
      </c>
      <c r="JC292" t="str">
        <f>""</f>
        <v/>
      </c>
      <c r="JD292" t="str">
        <f>""</f>
        <v/>
      </c>
      <c r="JE292" t="str">
        <f>""</f>
        <v/>
      </c>
      <c r="JF292" t="str">
        <f>""</f>
        <v/>
      </c>
      <c r="JG292" t="str">
        <f>""</f>
        <v/>
      </c>
      <c r="JH292" t="str">
        <f>""</f>
        <v/>
      </c>
      <c r="JI292" t="str">
        <f>""</f>
        <v/>
      </c>
      <c r="JJ292" t="str">
        <f>""</f>
        <v/>
      </c>
      <c r="JK292" t="str">
        <f>""</f>
        <v/>
      </c>
    </row>
    <row r="294" spans="1:271" x14ac:dyDescent="0.3">
      <c r="A294" t="str">
        <f>"c.zMETAB8#c.PM5"</f>
        <v>c.zMETAB8#c.PM5</v>
      </c>
      <c r="B294" t="str">
        <f>""</f>
        <v/>
      </c>
      <c r="C294" t="str">
        <f>""</f>
        <v/>
      </c>
      <c r="D294" t="str">
        <f>""</f>
        <v/>
      </c>
      <c r="E294" t="str">
        <f>""</f>
        <v/>
      </c>
      <c r="F294" t="str">
        <f>""</f>
        <v/>
      </c>
      <c r="G294" t="str">
        <f>""</f>
        <v/>
      </c>
      <c r="H294" t="str">
        <f>""</f>
        <v/>
      </c>
      <c r="I294" t="str">
        <f>""</f>
        <v/>
      </c>
      <c r="J294" t="str">
        <f>""</f>
        <v/>
      </c>
      <c r="K294" t="str">
        <f>""</f>
        <v/>
      </c>
      <c r="L294" t="str">
        <f>""</f>
        <v/>
      </c>
      <c r="M294" t="str">
        <f>""</f>
        <v/>
      </c>
      <c r="N294" t="str">
        <f>""</f>
        <v/>
      </c>
      <c r="O294" t="str">
        <f>""</f>
        <v/>
      </c>
      <c r="P294" t="str">
        <f>""</f>
        <v/>
      </c>
      <c r="Q294" t="str">
        <f>""</f>
        <v/>
      </c>
      <c r="R294" t="str">
        <f>""</f>
        <v/>
      </c>
      <c r="S294" t="str">
        <f>""</f>
        <v/>
      </c>
      <c r="T294" t="str">
        <f>""</f>
        <v/>
      </c>
      <c r="U294" t="str">
        <f>""</f>
        <v/>
      </c>
      <c r="V294" t="str">
        <f>""</f>
        <v/>
      </c>
      <c r="W294" t="str">
        <f>""</f>
        <v/>
      </c>
      <c r="X294" t="str">
        <f>""</f>
        <v/>
      </c>
      <c r="Y294" t="str">
        <f>""</f>
        <v/>
      </c>
      <c r="Z294" t="str">
        <f>""</f>
        <v/>
      </c>
      <c r="AA294" t="str">
        <f>""</f>
        <v/>
      </c>
      <c r="AB294" t="str">
        <f>""</f>
        <v/>
      </c>
      <c r="AC294" t="str">
        <f>""</f>
        <v/>
      </c>
      <c r="AD294" t="str">
        <f>""</f>
        <v/>
      </c>
      <c r="AE294" t="str">
        <f>""</f>
        <v/>
      </c>
      <c r="AF294" t="str">
        <f>""</f>
        <v/>
      </c>
      <c r="AG294" t="str">
        <f>""</f>
        <v/>
      </c>
      <c r="AH294" t="str">
        <f>""</f>
        <v/>
      </c>
      <c r="AI294" t="str">
        <f>""</f>
        <v/>
      </c>
      <c r="AJ294" t="str">
        <f>""</f>
        <v/>
      </c>
      <c r="AK294" t="str">
        <f>""</f>
        <v/>
      </c>
      <c r="AL294" t="str">
        <f>""</f>
        <v/>
      </c>
      <c r="AM294" t="str">
        <f>""</f>
        <v/>
      </c>
      <c r="AN294" t="str">
        <f>""</f>
        <v/>
      </c>
      <c r="AO294" t="str">
        <f>""</f>
        <v/>
      </c>
      <c r="AP294" t="str">
        <f>""</f>
        <v/>
      </c>
      <c r="AQ294" t="str">
        <f>""</f>
        <v/>
      </c>
      <c r="AR294" t="str">
        <f>""</f>
        <v/>
      </c>
      <c r="AS294" t="str">
        <f>""</f>
        <v/>
      </c>
      <c r="AT294" t="str">
        <f>""</f>
        <v/>
      </c>
      <c r="AU294" t="str">
        <f>""</f>
        <v/>
      </c>
      <c r="AV294" t="str">
        <f>""</f>
        <v/>
      </c>
      <c r="AW294" t="str">
        <f>""</f>
        <v/>
      </c>
      <c r="AX294" t="str">
        <f>""</f>
        <v/>
      </c>
      <c r="AY294" t="str">
        <f>""</f>
        <v/>
      </c>
      <c r="AZ294" t="str">
        <f>""</f>
        <v/>
      </c>
      <c r="BA294" t="str">
        <f>""</f>
        <v/>
      </c>
      <c r="BB294" t="str">
        <f>""</f>
        <v/>
      </c>
      <c r="BC294" t="str">
        <f>""</f>
        <v/>
      </c>
      <c r="BD294" t="str">
        <f>""</f>
        <v/>
      </c>
      <c r="BE294" t="str">
        <f>""</f>
        <v/>
      </c>
      <c r="BF294" t="str">
        <f>""</f>
        <v/>
      </c>
      <c r="BG294" t="str">
        <f>""</f>
        <v/>
      </c>
      <c r="BH294" t="str">
        <f>""</f>
        <v/>
      </c>
      <c r="BI294" t="str">
        <f>""</f>
        <v/>
      </c>
      <c r="BJ294" t="str">
        <f>""</f>
        <v/>
      </c>
      <c r="BK294" t="str">
        <f>""</f>
        <v/>
      </c>
      <c r="BL294" t="str">
        <f>""</f>
        <v/>
      </c>
      <c r="BM294" t="str">
        <f>""</f>
        <v/>
      </c>
      <c r="BN294" t="str">
        <f>""</f>
        <v/>
      </c>
      <c r="BO294" t="str">
        <f>""</f>
        <v/>
      </c>
      <c r="BP294" t="str">
        <f>""</f>
        <v/>
      </c>
      <c r="BQ294" t="str">
        <f>""</f>
        <v/>
      </c>
      <c r="BR294" t="str">
        <f>""</f>
        <v/>
      </c>
      <c r="BS294" t="str">
        <f>""</f>
        <v/>
      </c>
      <c r="BT294" t="str">
        <f>""</f>
        <v/>
      </c>
      <c r="BU294" t="str">
        <f>""</f>
        <v/>
      </c>
      <c r="BV294" t="str">
        <f>""</f>
        <v/>
      </c>
      <c r="BW294" t="str">
        <f>""</f>
        <v/>
      </c>
      <c r="BX294" t="str">
        <f>""</f>
        <v/>
      </c>
      <c r="BY294" t="str">
        <f>""</f>
        <v/>
      </c>
      <c r="BZ294" t="str">
        <f>""</f>
        <v/>
      </c>
      <c r="CA294" t="str">
        <f>""</f>
        <v/>
      </c>
      <c r="CB294" t="str">
        <f>""</f>
        <v/>
      </c>
      <c r="CC294" t="str">
        <f>""</f>
        <v/>
      </c>
      <c r="CD294" t="str">
        <f>""</f>
        <v/>
      </c>
      <c r="CE294" t="str">
        <f>""</f>
        <v/>
      </c>
      <c r="CF294" t="str">
        <f>""</f>
        <v/>
      </c>
      <c r="CG294" t="str">
        <f>""</f>
        <v/>
      </c>
      <c r="CH294" t="str">
        <f>""</f>
        <v/>
      </c>
      <c r="CI294" t="str">
        <f>""</f>
        <v/>
      </c>
      <c r="CJ294" t="str">
        <f>""</f>
        <v/>
      </c>
      <c r="CK294" t="str">
        <f>""</f>
        <v/>
      </c>
      <c r="CL294" t="str">
        <f>""</f>
        <v/>
      </c>
      <c r="CM294" t="str">
        <f>""</f>
        <v/>
      </c>
      <c r="CN294" t="str">
        <f>""</f>
        <v/>
      </c>
      <c r="CO294" t="str">
        <f>""</f>
        <v/>
      </c>
      <c r="CP294" t="str">
        <f>""</f>
        <v/>
      </c>
      <c r="CQ294" t="str">
        <f>""</f>
        <v/>
      </c>
      <c r="CR294" t="str">
        <f>""</f>
        <v/>
      </c>
      <c r="CS294" t="str">
        <f>""</f>
        <v/>
      </c>
      <c r="CT294" t="str">
        <f>""</f>
        <v/>
      </c>
      <c r="CU294" t="str">
        <f>""</f>
        <v/>
      </c>
      <c r="CV294" t="str">
        <f>""</f>
        <v/>
      </c>
      <c r="CW294" t="str">
        <f>""</f>
        <v/>
      </c>
      <c r="CX294" t="str">
        <f>""</f>
        <v/>
      </c>
      <c r="CY294" t="str">
        <f>""</f>
        <v/>
      </c>
      <c r="CZ294" t="str">
        <f>""</f>
        <v/>
      </c>
      <c r="DA294" t="str">
        <f>""</f>
        <v/>
      </c>
      <c r="DB294" t="str">
        <f>""</f>
        <v/>
      </c>
      <c r="DC294" t="str">
        <f>""</f>
        <v/>
      </c>
      <c r="DD294" t="str">
        <f>""</f>
        <v/>
      </c>
      <c r="DE294" t="str">
        <f>""</f>
        <v/>
      </c>
      <c r="DF294" t="str">
        <f>""</f>
        <v/>
      </c>
      <c r="DG294" t="str">
        <f>""</f>
        <v/>
      </c>
      <c r="DH294" t="str">
        <f>""</f>
        <v/>
      </c>
      <c r="DI294" t="str">
        <f>""</f>
        <v/>
      </c>
      <c r="DJ294" t="str">
        <f>""</f>
        <v/>
      </c>
      <c r="DK294" t="str">
        <f>""</f>
        <v/>
      </c>
      <c r="DL294" t="str">
        <f>""</f>
        <v/>
      </c>
      <c r="DM294" t="str">
        <f>""</f>
        <v/>
      </c>
      <c r="DN294" t="str">
        <f>""</f>
        <v/>
      </c>
      <c r="DO294" t="str">
        <f>""</f>
        <v/>
      </c>
      <c r="DP294" t="str">
        <f>""</f>
        <v/>
      </c>
      <c r="DQ294" t="str">
        <f>""</f>
        <v/>
      </c>
      <c r="DR294" t="str">
        <f>""</f>
        <v/>
      </c>
      <c r="DS294" t="str">
        <f>""</f>
        <v/>
      </c>
      <c r="DT294" t="str">
        <f>""</f>
        <v/>
      </c>
      <c r="DU294" t="str">
        <f>""</f>
        <v/>
      </c>
      <c r="DV294" t="str">
        <f>""</f>
        <v/>
      </c>
      <c r="DW294" t="str">
        <f>""</f>
        <v/>
      </c>
      <c r="DX294" t="str">
        <f>""</f>
        <v/>
      </c>
      <c r="DY294" t="str">
        <f>""</f>
        <v/>
      </c>
      <c r="DZ294" t="str">
        <f>""</f>
        <v/>
      </c>
      <c r="EA294" t="str">
        <f>""</f>
        <v/>
      </c>
      <c r="EB294" t="str">
        <f>""</f>
        <v/>
      </c>
      <c r="EC294" t="str">
        <f>""</f>
        <v/>
      </c>
      <c r="ED294" t="str">
        <f>""</f>
        <v/>
      </c>
      <c r="EE294" t="str">
        <f>""</f>
        <v/>
      </c>
      <c r="EF294" t="str">
        <f>""</f>
        <v/>
      </c>
      <c r="EG294" t="str">
        <f>""</f>
        <v/>
      </c>
      <c r="EH294" t="str">
        <f>""</f>
        <v/>
      </c>
      <c r="EI294" t="str">
        <f>""</f>
        <v/>
      </c>
      <c r="EJ294" t="str">
        <f>""</f>
        <v/>
      </c>
      <c r="EK294" t="str">
        <f>""</f>
        <v/>
      </c>
      <c r="EL294" t="str">
        <f>""</f>
        <v/>
      </c>
      <c r="EM294" t="str">
        <f>""</f>
        <v/>
      </c>
      <c r="EN294" t="str">
        <f>""</f>
        <v/>
      </c>
      <c r="EO294" t="str">
        <f>""</f>
        <v/>
      </c>
      <c r="EP294" t="str">
        <f>""</f>
        <v/>
      </c>
      <c r="EQ294" t="str">
        <f>""</f>
        <v/>
      </c>
      <c r="ER294" t="str">
        <f>""</f>
        <v/>
      </c>
      <c r="ES294" t="str">
        <f>""</f>
        <v/>
      </c>
      <c r="ET294" t="str">
        <f>""</f>
        <v/>
      </c>
      <c r="EU294" t="str">
        <f>""</f>
        <v/>
      </c>
      <c r="EV294" t="str">
        <f>""</f>
        <v/>
      </c>
      <c r="EW294" t="str">
        <f>""</f>
        <v/>
      </c>
      <c r="EX294" t="str">
        <f>""</f>
        <v/>
      </c>
      <c r="EY294" t="str">
        <f>""</f>
        <v/>
      </c>
      <c r="EZ294" t="str">
        <f>""</f>
        <v/>
      </c>
      <c r="FA294" t="str">
        <f>""</f>
        <v/>
      </c>
      <c r="FB294" t="str">
        <f>""</f>
        <v/>
      </c>
      <c r="FC294" t="str">
        <f>""</f>
        <v/>
      </c>
      <c r="FD294" t="str">
        <f>""</f>
        <v/>
      </c>
      <c r="FE294" t="str">
        <f>""</f>
        <v/>
      </c>
      <c r="FF294" t="str">
        <f>""</f>
        <v/>
      </c>
      <c r="FG294" t="str">
        <f>""</f>
        <v/>
      </c>
      <c r="FH294" t="str">
        <f>""</f>
        <v/>
      </c>
      <c r="FI294" t="str">
        <f>""</f>
        <v/>
      </c>
      <c r="FJ294" t="str">
        <f>""</f>
        <v/>
      </c>
      <c r="FK294" t="str">
        <f>""</f>
        <v/>
      </c>
      <c r="FL294" t="str">
        <f>""</f>
        <v/>
      </c>
      <c r="FM294" t="str">
        <f>""</f>
        <v/>
      </c>
      <c r="FN294" t="str">
        <f>""</f>
        <v/>
      </c>
      <c r="FO294" t="str">
        <f>""</f>
        <v/>
      </c>
      <c r="FP294" t="str">
        <f>""</f>
        <v/>
      </c>
      <c r="FQ294" t="str">
        <f>""</f>
        <v/>
      </c>
      <c r="FR294" t="str">
        <f>""</f>
        <v/>
      </c>
      <c r="FS294" t="str">
        <f>""</f>
        <v/>
      </c>
      <c r="FT294" t="str">
        <f>""</f>
        <v/>
      </c>
      <c r="FU294" t="str">
        <f>""</f>
        <v/>
      </c>
      <c r="FV294" t="str">
        <f>""</f>
        <v/>
      </c>
      <c r="FW294" t="str">
        <f>""</f>
        <v/>
      </c>
      <c r="FX294" t="str">
        <f>""</f>
        <v/>
      </c>
      <c r="FY294" t="str">
        <f>""</f>
        <v/>
      </c>
      <c r="FZ294" t="str">
        <f>""</f>
        <v/>
      </c>
      <c r="GA294" t="str">
        <f>""</f>
        <v/>
      </c>
      <c r="GB294" t="str">
        <f>""</f>
        <v/>
      </c>
      <c r="GC294" t="str">
        <f>""</f>
        <v/>
      </c>
      <c r="GD294" t="str">
        <f>""</f>
        <v/>
      </c>
      <c r="GE294" t="str">
        <f>""</f>
        <v/>
      </c>
      <c r="GF294" t="str">
        <f>""</f>
        <v/>
      </c>
      <c r="GG294" t="str">
        <f>""</f>
        <v/>
      </c>
      <c r="GH294" t="str">
        <f>""</f>
        <v/>
      </c>
      <c r="GI294" t="str">
        <f>""</f>
        <v/>
      </c>
      <c r="GJ294" t="str">
        <f>""</f>
        <v/>
      </c>
      <c r="GK294" t="str">
        <f>""</f>
        <v/>
      </c>
      <c r="GL294" t="str">
        <f>""</f>
        <v/>
      </c>
      <c r="GM294" t="str">
        <f>""</f>
        <v/>
      </c>
      <c r="GN294" t="str">
        <f>""</f>
        <v/>
      </c>
      <c r="GO294" t="str">
        <f>""</f>
        <v/>
      </c>
      <c r="GP294" t="str">
        <f>""</f>
        <v/>
      </c>
      <c r="GQ294" t="str">
        <f>""</f>
        <v/>
      </c>
      <c r="GR294" t="str">
        <f>""</f>
        <v/>
      </c>
      <c r="GS294" t="str">
        <f>""</f>
        <v/>
      </c>
      <c r="GT294" t="str">
        <f>""</f>
        <v/>
      </c>
      <c r="GU294" t="str">
        <f>"-0.0922"</f>
        <v>-0.0922</v>
      </c>
      <c r="GV294" t="str">
        <f>"0.0364"</f>
        <v>0.0364</v>
      </c>
      <c r="GW294" t="str">
        <f>"0.0179"</f>
        <v>0.0179</v>
      </c>
      <c r="GX294" t="str">
        <f>""</f>
        <v/>
      </c>
      <c r="GY294" t="str">
        <f>""</f>
        <v/>
      </c>
      <c r="GZ294" t="str">
        <f>""</f>
        <v/>
      </c>
      <c r="HA294" t="str">
        <f>""</f>
        <v/>
      </c>
      <c r="HB294" t="str">
        <f>""</f>
        <v/>
      </c>
      <c r="HC294" t="str">
        <f>""</f>
        <v/>
      </c>
      <c r="HD294" t="str">
        <f>""</f>
        <v/>
      </c>
      <c r="HE294" t="str">
        <f>""</f>
        <v/>
      </c>
      <c r="HF294" t="str">
        <f>""</f>
        <v/>
      </c>
      <c r="HG294" t="str">
        <f>""</f>
        <v/>
      </c>
      <c r="HH294" t="str">
        <f>""</f>
        <v/>
      </c>
      <c r="HI294" t="str">
        <f>""</f>
        <v/>
      </c>
      <c r="HJ294" t="str">
        <f>""</f>
        <v/>
      </c>
      <c r="HK294" t="str">
        <f>""</f>
        <v/>
      </c>
      <c r="HL294" t="str">
        <f>""</f>
        <v/>
      </c>
      <c r="HM294" t="str">
        <f>""</f>
        <v/>
      </c>
      <c r="HN294" t="str">
        <f>""</f>
        <v/>
      </c>
      <c r="HO294" t="str">
        <f>""</f>
        <v/>
      </c>
      <c r="HP294" t="str">
        <f>""</f>
        <v/>
      </c>
      <c r="HQ294" t="str">
        <f>""</f>
        <v/>
      </c>
      <c r="HR294" t="str">
        <f>""</f>
        <v/>
      </c>
      <c r="HS294" t="str">
        <f>""</f>
        <v/>
      </c>
      <c r="HT294" t="str">
        <f>""</f>
        <v/>
      </c>
      <c r="HU294" t="str">
        <f>""</f>
        <v/>
      </c>
      <c r="HV294" t="str">
        <f>""</f>
        <v/>
      </c>
      <c r="HW294" t="str">
        <f>""</f>
        <v/>
      </c>
      <c r="HX294" t="str">
        <f>""</f>
        <v/>
      </c>
      <c r="HY294" t="str">
        <f>""</f>
        <v/>
      </c>
      <c r="HZ294" t="str">
        <f>""</f>
        <v/>
      </c>
      <c r="IA294" t="str">
        <f>""</f>
        <v/>
      </c>
      <c r="IB294" t="str">
        <f>""</f>
        <v/>
      </c>
      <c r="IC294" t="str">
        <f>""</f>
        <v/>
      </c>
      <c r="ID294" t="str">
        <f>""</f>
        <v/>
      </c>
      <c r="IE294" t="str">
        <f>""</f>
        <v/>
      </c>
      <c r="IF294" t="str">
        <f>""</f>
        <v/>
      </c>
      <c r="IG294" t="str">
        <f>""</f>
        <v/>
      </c>
      <c r="IH294" t="str">
        <f>""</f>
        <v/>
      </c>
      <c r="II294" t="str">
        <f>""</f>
        <v/>
      </c>
      <c r="IJ294" t="str">
        <f>""</f>
        <v/>
      </c>
      <c r="IK294" t="str">
        <f>""</f>
        <v/>
      </c>
      <c r="IL294" t="str">
        <f>""</f>
        <v/>
      </c>
      <c r="IM294" t="str">
        <f>""</f>
        <v/>
      </c>
      <c r="IN294" t="str">
        <f>""</f>
        <v/>
      </c>
      <c r="IO294" t="str">
        <f>""</f>
        <v/>
      </c>
      <c r="IP294" t="str">
        <f>""</f>
        <v/>
      </c>
      <c r="IQ294" t="str">
        <f>""</f>
        <v/>
      </c>
      <c r="IR294" t="str">
        <f>""</f>
        <v/>
      </c>
      <c r="IS294" t="str">
        <f>""</f>
        <v/>
      </c>
      <c r="IT294" t="str">
        <f>""</f>
        <v/>
      </c>
      <c r="IU294" t="str">
        <f>""</f>
        <v/>
      </c>
      <c r="IV294" t="str">
        <f>""</f>
        <v/>
      </c>
      <c r="IW294" t="str">
        <f>""</f>
        <v/>
      </c>
      <c r="IX294" t="str">
        <f>""</f>
        <v/>
      </c>
      <c r="IY294" t="str">
        <f>""</f>
        <v/>
      </c>
      <c r="IZ294" t="str">
        <f>""</f>
        <v/>
      </c>
      <c r="JA294" t="str">
        <f>""</f>
        <v/>
      </c>
      <c r="JB294" t="str">
        <f>""</f>
        <v/>
      </c>
      <c r="JC294" t="str">
        <f>""</f>
        <v/>
      </c>
      <c r="JD294" t="str">
        <f>""</f>
        <v/>
      </c>
      <c r="JE294" t="str">
        <f>""</f>
        <v/>
      </c>
      <c r="JF294" t="str">
        <f>""</f>
        <v/>
      </c>
      <c r="JG294" t="str">
        <f>""</f>
        <v/>
      </c>
      <c r="JH294" t="str">
        <f>""</f>
        <v/>
      </c>
      <c r="JI294" t="str">
        <f>""</f>
        <v/>
      </c>
      <c r="JJ294" t="str">
        <f>""</f>
        <v/>
      </c>
      <c r="JK294" t="str">
        <f>""</f>
        <v/>
      </c>
    </row>
    <row r="295" spans="1:271" x14ac:dyDescent="0.3">
      <c r="A295" t="str">
        <f>""</f>
        <v/>
      </c>
      <c r="B295" t="str">
        <f>""</f>
        <v/>
      </c>
      <c r="C295" t="str">
        <f>""</f>
        <v/>
      </c>
      <c r="D295" t="str">
        <f>""</f>
        <v/>
      </c>
      <c r="E295" t="str">
        <f>""</f>
        <v/>
      </c>
      <c r="F295" t="str">
        <f>""</f>
        <v/>
      </c>
      <c r="G295" t="str">
        <f>""</f>
        <v/>
      </c>
      <c r="H295" t="str">
        <f>""</f>
        <v/>
      </c>
      <c r="I295" t="str">
        <f>""</f>
        <v/>
      </c>
      <c r="J295" t="str">
        <f>""</f>
        <v/>
      </c>
      <c r="K295" t="str">
        <f>""</f>
        <v/>
      </c>
      <c r="L295" t="str">
        <f>""</f>
        <v/>
      </c>
      <c r="M295" t="str">
        <f>""</f>
        <v/>
      </c>
      <c r="N295" t="str">
        <f>""</f>
        <v/>
      </c>
      <c r="O295" t="str">
        <f>""</f>
        <v/>
      </c>
      <c r="P295" t="str">
        <f>""</f>
        <v/>
      </c>
      <c r="Q295" t="str">
        <f>""</f>
        <v/>
      </c>
      <c r="R295" t="str">
        <f>""</f>
        <v/>
      </c>
      <c r="S295" t="str">
        <f>""</f>
        <v/>
      </c>
      <c r="T295" t="str">
        <f>""</f>
        <v/>
      </c>
      <c r="U295" t="str">
        <f>""</f>
        <v/>
      </c>
      <c r="V295" t="str">
        <f>""</f>
        <v/>
      </c>
      <c r="W295" t="str">
        <f>""</f>
        <v/>
      </c>
      <c r="X295" t="str">
        <f>""</f>
        <v/>
      </c>
      <c r="Y295" t="str">
        <f>""</f>
        <v/>
      </c>
      <c r="Z295" t="str">
        <f>""</f>
        <v/>
      </c>
      <c r="AA295" t="str">
        <f>""</f>
        <v/>
      </c>
      <c r="AB295" t="str">
        <f>""</f>
        <v/>
      </c>
      <c r="AC295" t="str">
        <f>""</f>
        <v/>
      </c>
      <c r="AD295" t="str">
        <f>""</f>
        <v/>
      </c>
      <c r="AE295" t="str">
        <f>""</f>
        <v/>
      </c>
      <c r="AF295" t="str">
        <f>""</f>
        <v/>
      </c>
      <c r="AG295" t="str">
        <f>""</f>
        <v/>
      </c>
      <c r="AH295" t="str">
        <f>""</f>
        <v/>
      </c>
      <c r="AI295" t="str">
        <f>""</f>
        <v/>
      </c>
      <c r="AJ295" t="str">
        <f>""</f>
        <v/>
      </c>
      <c r="AK295" t="str">
        <f>""</f>
        <v/>
      </c>
      <c r="AL295" t="str">
        <f>""</f>
        <v/>
      </c>
      <c r="AM295" t="str">
        <f>""</f>
        <v/>
      </c>
      <c r="AN295" t="str">
        <f>""</f>
        <v/>
      </c>
      <c r="AO295" t="str">
        <f>""</f>
        <v/>
      </c>
      <c r="AP295" t="str">
        <f>""</f>
        <v/>
      </c>
      <c r="AQ295" t="str">
        <f>""</f>
        <v/>
      </c>
      <c r="AR295" t="str">
        <f>""</f>
        <v/>
      </c>
      <c r="AS295" t="str">
        <f>""</f>
        <v/>
      </c>
      <c r="AT295" t="str">
        <f>""</f>
        <v/>
      </c>
      <c r="AU295" t="str">
        <f>""</f>
        <v/>
      </c>
      <c r="AV295" t="str">
        <f>""</f>
        <v/>
      </c>
      <c r="AW295" t="str">
        <f>""</f>
        <v/>
      </c>
      <c r="AX295" t="str">
        <f>""</f>
        <v/>
      </c>
      <c r="AY295" t="str">
        <f>""</f>
        <v/>
      </c>
      <c r="AZ295" t="str">
        <f>""</f>
        <v/>
      </c>
      <c r="BA295" t="str">
        <f>""</f>
        <v/>
      </c>
      <c r="BB295" t="str">
        <f>""</f>
        <v/>
      </c>
      <c r="BC295" t="str">
        <f>""</f>
        <v/>
      </c>
      <c r="BD295" t="str">
        <f>""</f>
        <v/>
      </c>
      <c r="BE295" t="str">
        <f>""</f>
        <v/>
      </c>
      <c r="BF295" t="str">
        <f>""</f>
        <v/>
      </c>
      <c r="BG295" t="str">
        <f>""</f>
        <v/>
      </c>
      <c r="BH295" t="str">
        <f>""</f>
        <v/>
      </c>
      <c r="BI295" t="str">
        <f>""</f>
        <v/>
      </c>
      <c r="BJ295" t="str">
        <f>""</f>
        <v/>
      </c>
      <c r="BK295" t="str">
        <f>""</f>
        <v/>
      </c>
      <c r="BL295" t="str">
        <f>""</f>
        <v/>
      </c>
      <c r="BM295" t="str">
        <f>""</f>
        <v/>
      </c>
      <c r="BN295" t="str">
        <f>""</f>
        <v/>
      </c>
      <c r="BO295" t="str">
        <f>""</f>
        <v/>
      </c>
      <c r="BP295" t="str">
        <f>""</f>
        <v/>
      </c>
      <c r="BQ295" t="str">
        <f>""</f>
        <v/>
      </c>
      <c r="BR295" t="str">
        <f>""</f>
        <v/>
      </c>
      <c r="BS295" t="str">
        <f>""</f>
        <v/>
      </c>
      <c r="BT295" t="str">
        <f>""</f>
        <v/>
      </c>
      <c r="BU295" t="str">
        <f>""</f>
        <v/>
      </c>
      <c r="BV295" t="str">
        <f>""</f>
        <v/>
      </c>
      <c r="BW295" t="str">
        <f>""</f>
        <v/>
      </c>
      <c r="BX295" t="str">
        <f>""</f>
        <v/>
      </c>
      <c r="BY295" t="str">
        <f>""</f>
        <v/>
      </c>
      <c r="BZ295" t="str">
        <f>""</f>
        <v/>
      </c>
      <c r="CA295" t="str">
        <f>""</f>
        <v/>
      </c>
      <c r="CB295" t="str">
        <f>""</f>
        <v/>
      </c>
      <c r="CC295" t="str">
        <f>""</f>
        <v/>
      </c>
      <c r="CD295" t="str">
        <f>""</f>
        <v/>
      </c>
      <c r="CE295" t="str">
        <f>""</f>
        <v/>
      </c>
      <c r="CF295" t="str">
        <f>""</f>
        <v/>
      </c>
      <c r="CG295" t="str">
        <f>""</f>
        <v/>
      </c>
      <c r="CH295" t="str">
        <f>""</f>
        <v/>
      </c>
      <c r="CI295" t="str">
        <f>""</f>
        <v/>
      </c>
      <c r="CJ295" t="str">
        <f>""</f>
        <v/>
      </c>
      <c r="CK295" t="str">
        <f>""</f>
        <v/>
      </c>
      <c r="CL295" t="str">
        <f>""</f>
        <v/>
      </c>
      <c r="CM295" t="str">
        <f>""</f>
        <v/>
      </c>
      <c r="CN295" t="str">
        <f>""</f>
        <v/>
      </c>
      <c r="CO295" t="str">
        <f>""</f>
        <v/>
      </c>
      <c r="CP295" t="str">
        <f>""</f>
        <v/>
      </c>
      <c r="CQ295" t="str">
        <f>""</f>
        <v/>
      </c>
      <c r="CR295" t="str">
        <f>""</f>
        <v/>
      </c>
      <c r="CS295" t="str">
        <f>""</f>
        <v/>
      </c>
      <c r="CT295" t="str">
        <f>""</f>
        <v/>
      </c>
      <c r="CU295" t="str">
        <f>""</f>
        <v/>
      </c>
      <c r="CV295" t="str">
        <f>""</f>
        <v/>
      </c>
      <c r="CW295" t="str">
        <f>""</f>
        <v/>
      </c>
      <c r="CX295" t="str">
        <f>""</f>
        <v/>
      </c>
      <c r="CY295" t="str">
        <f>""</f>
        <v/>
      </c>
      <c r="CZ295" t="str">
        <f>""</f>
        <v/>
      </c>
      <c r="DA295" t="str">
        <f>""</f>
        <v/>
      </c>
      <c r="DB295" t="str">
        <f>""</f>
        <v/>
      </c>
      <c r="DC295" t="str">
        <f>""</f>
        <v/>
      </c>
      <c r="DD295" t="str">
        <f>""</f>
        <v/>
      </c>
      <c r="DE295" t="str">
        <f>""</f>
        <v/>
      </c>
      <c r="DF295" t="str">
        <f>""</f>
        <v/>
      </c>
      <c r="DG295" t="str">
        <f>""</f>
        <v/>
      </c>
      <c r="DH295" t="str">
        <f>""</f>
        <v/>
      </c>
      <c r="DI295" t="str">
        <f>""</f>
        <v/>
      </c>
      <c r="DJ295" t="str">
        <f>""</f>
        <v/>
      </c>
      <c r="DK295" t="str">
        <f>""</f>
        <v/>
      </c>
      <c r="DL295" t="str">
        <f>""</f>
        <v/>
      </c>
      <c r="DM295" t="str">
        <f>""</f>
        <v/>
      </c>
      <c r="DN295" t="str">
        <f>""</f>
        <v/>
      </c>
      <c r="DO295" t="str">
        <f>""</f>
        <v/>
      </c>
      <c r="DP295" t="str">
        <f>""</f>
        <v/>
      </c>
      <c r="DQ295" t="str">
        <f>""</f>
        <v/>
      </c>
      <c r="DR295" t="str">
        <f>""</f>
        <v/>
      </c>
      <c r="DS295" t="str">
        <f>""</f>
        <v/>
      </c>
      <c r="DT295" t="str">
        <f>""</f>
        <v/>
      </c>
      <c r="DU295" t="str">
        <f>""</f>
        <v/>
      </c>
      <c r="DV295" t="str">
        <f>""</f>
        <v/>
      </c>
      <c r="DW295" t="str">
        <f>""</f>
        <v/>
      </c>
      <c r="DX295" t="str">
        <f>""</f>
        <v/>
      </c>
      <c r="DY295" t="str">
        <f>""</f>
        <v/>
      </c>
      <c r="DZ295" t="str">
        <f>""</f>
        <v/>
      </c>
      <c r="EA295" t="str">
        <f>""</f>
        <v/>
      </c>
      <c r="EB295" t="str">
        <f>""</f>
        <v/>
      </c>
      <c r="EC295" t="str">
        <f>""</f>
        <v/>
      </c>
      <c r="ED295" t="str">
        <f>""</f>
        <v/>
      </c>
      <c r="EE295" t="str">
        <f>""</f>
        <v/>
      </c>
      <c r="EF295" t="str">
        <f>""</f>
        <v/>
      </c>
      <c r="EG295" t="str">
        <f>""</f>
        <v/>
      </c>
      <c r="EH295" t="str">
        <f>""</f>
        <v/>
      </c>
      <c r="EI295" t="str">
        <f>""</f>
        <v/>
      </c>
      <c r="EJ295" t="str">
        <f>""</f>
        <v/>
      </c>
      <c r="EK295" t="str">
        <f>""</f>
        <v/>
      </c>
      <c r="EL295" t="str">
        <f>""</f>
        <v/>
      </c>
      <c r="EM295" t="str">
        <f>""</f>
        <v/>
      </c>
      <c r="EN295" t="str">
        <f>""</f>
        <v/>
      </c>
      <c r="EO295" t="str">
        <f>""</f>
        <v/>
      </c>
      <c r="EP295" t="str">
        <f>""</f>
        <v/>
      </c>
      <c r="EQ295" t="str">
        <f>""</f>
        <v/>
      </c>
      <c r="ER295" t="str">
        <f>""</f>
        <v/>
      </c>
      <c r="ES295" t="str">
        <f>""</f>
        <v/>
      </c>
      <c r="ET295" t="str">
        <f>""</f>
        <v/>
      </c>
      <c r="EU295" t="str">
        <f>""</f>
        <v/>
      </c>
      <c r="EV295" t="str">
        <f>""</f>
        <v/>
      </c>
      <c r="EW295" t="str">
        <f>""</f>
        <v/>
      </c>
      <c r="EX295" t="str">
        <f>""</f>
        <v/>
      </c>
      <c r="EY295" t="str">
        <f>""</f>
        <v/>
      </c>
      <c r="EZ295" t="str">
        <f>""</f>
        <v/>
      </c>
      <c r="FA295" t="str">
        <f>""</f>
        <v/>
      </c>
      <c r="FB295" t="str">
        <f>""</f>
        <v/>
      </c>
      <c r="FC295" t="str">
        <f>""</f>
        <v/>
      </c>
      <c r="FD295" t="str">
        <f>""</f>
        <v/>
      </c>
      <c r="FE295" t="str">
        <f>""</f>
        <v/>
      </c>
      <c r="FF295" t="str">
        <f>""</f>
        <v/>
      </c>
      <c r="FG295" t="str">
        <f>""</f>
        <v/>
      </c>
      <c r="FH295" t="str">
        <f>""</f>
        <v/>
      </c>
      <c r="FI295" t="str">
        <f>""</f>
        <v/>
      </c>
      <c r="FJ295" t="str">
        <f>""</f>
        <v/>
      </c>
      <c r="FK295" t="str">
        <f>""</f>
        <v/>
      </c>
      <c r="FL295" t="str">
        <f>""</f>
        <v/>
      </c>
      <c r="FM295" t="str">
        <f>""</f>
        <v/>
      </c>
      <c r="FN295" t="str">
        <f>""</f>
        <v/>
      </c>
      <c r="FO295" t="str">
        <f>""</f>
        <v/>
      </c>
      <c r="FP295" t="str">
        <f>""</f>
        <v/>
      </c>
      <c r="FQ295" t="str">
        <f>""</f>
        <v/>
      </c>
      <c r="FR295" t="str">
        <f>""</f>
        <v/>
      </c>
      <c r="FS295" t="str">
        <f>""</f>
        <v/>
      </c>
      <c r="FT295" t="str">
        <f>""</f>
        <v/>
      </c>
      <c r="FU295" t="str">
        <f>""</f>
        <v/>
      </c>
      <c r="FV295" t="str">
        <f>""</f>
        <v/>
      </c>
      <c r="FW295" t="str">
        <f>""</f>
        <v/>
      </c>
      <c r="FX295" t="str">
        <f>""</f>
        <v/>
      </c>
      <c r="FY295" t="str">
        <f>""</f>
        <v/>
      </c>
      <c r="FZ295" t="str">
        <f>""</f>
        <v/>
      </c>
      <c r="GA295" t="str">
        <f>""</f>
        <v/>
      </c>
      <c r="GB295" t="str">
        <f>""</f>
        <v/>
      </c>
      <c r="GC295" t="str">
        <f>""</f>
        <v/>
      </c>
      <c r="GD295" t="str">
        <f>""</f>
        <v/>
      </c>
      <c r="GE295" t="str">
        <f>""</f>
        <v/>
      </c>
      <c r="GF295" t="str">
        <f>""</f>
        <v/>
      </c>
      <c r="GG295" t="str">
        <f>""</f>
        <v/>
      </c>
      <c r="GH295" t="str">
        <f>""</f>
        <v/>
      </c>
      <c r="GI295" t="str">
        <f>""</f>
        <v/>
      </c>
      <c r="GJ295" t="str">
        <f>""</f>
        <v/>
      </c>
      <c r="GK295" t="str">
        <f>""</f>
        <v/>
      </c>
      <c r="GL295" t="str">
        <f>""</f>
        <v/>
      </c>
      <c r="GM295" t="str">
        <f>""</f>
        <v/>
      </c>
      <c r="GN295" t="str">
        <f>""</f>
        <v/>
      </c>
      <c r="GO295" t="str">
        <f>""</f>
        <v/>
      </c>
      <c r="GP295" t="str">
        <f>""</f>
        <v/>
      </c>
      <c r="GQ295" t="str">
        <f>""</f>
        <v/>
      </c>
      <c r="GR295" t="str">
        <f>""</f>
        <v/>
      </c>
      <c r="GS295" t="str">
        <f>""</f>
        <v/>
      </c>
      <c r="GT295" t="str">
        <f>""</f>
        <v/>
      </c>
      <c r="GU295" t="str">
        <f>"(0.108)"</f>
        <v>(0.108)</v>
      </c>
      <c r="GV295" t="str">
        <f>"(0.0861)"</f>
        <v>(0.0861)</v>
      </c>
      <c r="GW295" t="str">
        <f>"(0.0454)"</f>
        <v>(0.0454)</v>
      </c>
      <c r="GX295" t="str">
        <f>""</f>
        <v/>
      </c>
      <c r="GY295" t="str">
        <f>""</f>
        <v/>
      </c>
      <c r="GZ295" t="str">
        <f>""</f>
        <v/>
      </c>
      <c r="HA295" t="str">
        <f>""</f>
        <v/>
      </c>
      <c r="HB295" t="str">
        <f>""</f>
        <v/>
      </c>
      <c r="HC295" t="str">
        <f>""</f>
        <v/>
      </c>
      <c r="HD295" t="str">
        <f>""</f>
        <v/>
      </c>
      <c r="HE295" t="str">
        <f>""</f>
        <v/>
      </c>
      <c r="HF295" t="str">
        <f>""</f>
        <v/>
      </c>
      <c r="HG295" t="str">
        <f>""</f>
        <v/>
      </c>
      <c r="HH295" t="str">
        <f>""</f>
        <v/>
      </c>
      <c r="HI295" t="str">
        <f>""</f>
        <v/>
      </c>
      <c r="HJ295" t="str">
        <f>""</f>
        <v/>
      </c>
      <c r="HK295" t="str">
        <f>""</f>
        <v/>
      </c>
      <c r="HL295" t="str">
        <f>""</f>
        <v/>
      </c>
      <c r="HM295" t="str">
        <f>""</f>
        <v/>
      </c>
      <c r="HN295" t="str">
        <f>""</f>
        <v/>
      </c>
      <c r="HO295" t="str">
        <f>""</f>
        <v/>
      </c>
      <c r="HP295" t="str">
        <f>""</f>
        <v/>
      </c>
      <c r="HQ295" t="str">
        <f>""</f>
        <v/>
      </c>
      <c r="HR295" t="str">
        <f>""</f>
        <v/>
      </c>
      <c r="HS295" t="str">
        <f>""</f>
        <v/>
      </c>
      <c r="HT295" t="str">
        <f>""</f>
        <v/>
      </c>
      <c r="HU295" t="str">
        <f>""</f>
        <v/>
      </c>
      <c r="HV295" t="str">
        <f>""</f>
        <v/>
      </c>
      <c r="HW295" t="str">
        <f>""</f>
        <v/>
      </c>
      <c r="HX295" t="str">
        <f>""</f>
        <v/>
      </c>
      <c r="HY295" t="str">
        <f>""</f>
        <v/>
      </c>
      <c r="HZ295" t="str">
        <f>""</f>
        <v/>
      </c>
      <c r="IA295" t="str">
        <f>""</f>
        <v/>
      </c>
      <c r="IB295" t="str">
        <f>""</f>
        <v/>
      </c>
      <c r="IC295" t="str">
        <f>""</f>
        <v/>
      </c>
      <c r="ID295" t="str">
        <f>""</f>
        <v/>
      </c>
      <c r="IE295" t="str">
        <f>""</f>
        <v/>
      </c>
      <c r="IF295" t="str">
        <f>""</f>
        <v/>
      </c>
      <c r="IG295" t="str">
        <f>""</f>
        <v/>
      </c>
      <c r="IH295" t="str">
        <f>""</f>
        <v/>
      </c>
      <c r="II295" t="str">
        <f>""</f>
        <v/>
      </c>
      <c r="IJ295" t="str">
        <f>""</f>
        <v/>
      </c>
      <c r="IK295" t="str">
        <f>""</f>
        <v/>
      </c>
      <c r="IL295" t="str">
        <f>""</f>
        <v/>
      </c>
      <c r="IM295" t="str">
        <f>""</f>
        <v/>
      </c>
      <c r="IN295" t="str">
        <f>""</f>
        <v/>
      </c>
      <c r="IO295" t="str">
        <f>""</f>
        <v/>
      </c>
      <c r="IP295" t="str">
        <f>""</f>
        <v/>
      </c>
      <c r="IQ295" t="str">
        <f>""</f>
        <v/>
      </c>
      <c r="IR295" t="str">
        <f>""</f>
        <v/>
      </c>
      <c r="IS295" t="str">
        <f>""</f>
        <v/>
      </c>
      <c r="IT295" t="str">
        <f>""</f>
        <v/>
      </c>
      <c r="IU295" t="str">
        <f>""</f>
        <v/>
      </c>
      <c r="IV295" t="str">
        <f>""</f>
        <v/>
      </c>
      <c r="IW295" t="str">
        <f>""</f>
        <v/>
      </c>
      <c r="IX295" t="str">
        <f>""</f>
        <v/>
      </c>
      <c r="IY295" t="str">
        <f>""</f>
        <v/>
      </c>
      <c r="IZ295" t="str">
        <f>""</f>
        <v/>
      </c>
      <c r="JA295" t="str">
        <f>""</f>
        <v/>
      </c>
      <c r="JB295" t="str">
        <f>""</f>
        <v/>
      </c>
      <c r="JC295" t="str">
        <f>""</f>
        <v/>
      </c>
      <c r="JD295" t="str">
        <f>""</f>
        <v/>
      </c>
      <c r="JE295" t="str">
        <f>""</f>
        <v/>
      </c>
      <c r="JF295" t="str">
        <f>""</f>
        <v/>
      </c>
      <c r="JG295" t="str">
        <f>""</f>
        <v/>
      </c>
      <c r="JH295" t="str">
        <f>""</f>
        <v/>
      </c>
      <c r="JI295" t="str">
        <f>""</f>
        <v/>
      </c>
      <c r="JJ295" t="str">
        <f>""</f>
        <v/>
      </c>
      <c r="JK295" t="str">
        <f>""</f>
        <v/>
      </c>
    </row>
    <row r="297" spans="1:271" x14ac:dyDescent="0.3">
      <c r="A297" t="str">
        <f>"c.zMETAB9#c.PM5"</f>
        <v>c.zMETAB9#c.PM5</v>
      </c>
      <c r="B297" t="str">
        <f>""</f>
        <v/>
      </c>
      <c r="C297" t="str">
        <f>""</f>
        <v/>
      </c>
      <c r="D297" t="str">
        <f>""</f>
        <v/>
      </c>
      <c r="E297" t="str">
        <f>""</f>
        <v/>
      </c>
      <c r="F297" t="str">
        <f>""</f>
        <v/>
      </c>
      <c r="G297" t="str">
        <f>""</f>
        <v/>
      </c>
      <c r="H297" t="str">
        <f>""</f>
        <v/>
      </c>
      <c r="I297" t="str">
        <f>""</f>
        <v/>
      </c>
      <c r="J297" t="str">
        <f>""</f>
        <v/>
      </c>
      <c r="K297" t="str">
        <f>""</f>
        <v/>
      </c>
      <c r="L297" t="str">
        <f>""</f>
        <v/>
      </c>
      <c r="M297" t="str">
        <f>""</f>
        <v/>
      </c>
      <c r="N297" t="str">
        <f>""</f>
        <v/>
      </c>
      <c r="O297" t="str">
        <f>""</f>
        <v/>
      </c>
      <c r="P297" t="str">
        <f>""</f>
        <v/>
      </c>
      <c r="Q297" t="str">
        <f>""</f>
        <v/>
      </c>
      <c r="R297" t="str">
        <f>""</f>
        <v/>
      </c>
      <c r="S297" t="str">
        <f>""</f>
        <v/>
      </c>
      <c r="T297" t="str">
        <f>""</f>
        <v/>
      </c>
      <c r="U297" t="str">
        <f>""</f>
        <v/>
      </c>
      <c r="V297" t="str">
        <f>""</f>
        <v/>
      </c>
      <c r="W297" t="str">
        <f>""</f>
        <v/>
      </c>
      <c r="X297" t="str">
        <f>""</f>
        <v/>
      </c>
      <c r="Y297" t="str">
        <f>""</f>
        <v/>
      </c>
      <c r="Z297" t="str">
        <f>""</f>
        <v/>
      </c>
      <c r="AA297" t="str">
        <f>""</f>
        <v/>
      </c>
      <c r="AB297" t="str">
        <f>""</f>
        <v/>
      </c>
      <c r="AC297" t="str">
        <f>""</f>
        <v/>
      </c>
      <c r="AD297" t="str">
        <f>""</f>
        <v/>
      </c>
      <c r="AE297" t="str">
        <f>""</f>
        <v/>
      </c>
      <c r="AF297" t="str">
        <f>""</f>
        <v/>
      </c>
      <c r="AG297" t="str">
        <f>""</f>
        <v/>
      </c>
      <c r="AH297" t="str">
        <f>""</f>
        <v/>
      </c>
      <c r="AI297" t="str">
        <f>""</f>
        <v/>
      </c>
      <c r="AJ297" t="str">
        <f>""</f>
        <v/>
      </c>
      <c r="AK297" t="str">
        <f>""</f>
        <v/>
      </c>
      <c r="AL297" t="str">
        <f>""</f>
        <v/>
      </c>
      <c r="AM297" t="str">
        <f>""</f>
        <v/>
      </c>
      <c r="AN297" t="str">
        <f>""</f>
        <v/>
      </c>
      <c r="AO297" t="str">
        <f>""</f>
        <v/>
      </c>
      <c r="AP297" t="str">
        <f>""</f>
        <v/>
      </c>
      <c r="AQ297" t="str">
        <f>""</f>
        <v/>
      </c>
      <c r="AR297" t="str">
        <f>""</f>
        <v/>
      </c>
      <c r="AS297" t="str">
        <f>""</f>
        <v/>
      </c>
      <c r="AT297" t="str">
        <f>""</f>
        <v/>
      </c>
      <c r="AU297" t="str">
        <f>""</f>
        <v/>
      </c>
      <c r="AV297" t="str">
        <f>""</f>
        <v/>
      </c>
      <c r="AW297" t="str">
        <f>""</f>
        <v/>
      </c>
      <c r="AX297" t="str">
        <f>""</f>
        <v/>
      </c>
      <c r="AY297" t="str">
        <f>""</f>
        <v/>
      </c>
      <c r="AZ297" t="str">
        <f>""</f>
        <v/>
      </c>
      <c r="BA297" t="str">
        <f>""</f>
        <v/>
      </c>
      <c r="BB297" t="str">
        <f>""</f>
        <v/>
      </c>
      <c r="BC297" t="str">
        <f>""</f>
        <v/>
      </c>
      <c r="BD297" t="str">
        <f>""</f>
        <v/>
      </c>
      <c r="BE297" t="str">
        <f>""</f>
        <v/>
      </c>
      <c r="BF297" t="str">
        <f>""</f>
        <v/>
      </c>
      <c r="BG297" t="str">
        <f>""</f>
        <v/>
      </c>
      <c r="BH297" t="str">
        <f>""</f>
        <v/>
      </c>
      <c r="BI297" t="str">
        <f>""</f>
        <v/>
      </c>
      <c r="BJ297" t="str">
        <f>""</f>
        <v/>
      </c>
      <c r="BK297" t="str">
        <f>""</f>
        <v/>
      </c>
      <c r="BL297" t="str">
        <f>""</f>
        <v/>
      </c>
      <c r="BM297" t="str">
        <f>""</f>
        <v/>
      </c>
      <c r="BN297" t="str">
        <f>""</f>
        <v/>
      </c>
      <c r="BO297" t="str">
        <f>""</f>
        <v/>
      </c>
      <c r="BP297" t="str">
        <f>""</f>
        <v/>
      </c>
      <c r="BQ297" t="str">
        <f>""</f>
        <v/>
      </c>
      <c r="BR297" t="str">
        <f>""</f>
        <v/>
      </c>
      <c r="BS297" t="str">
        <f>""</f>
        <v/>
      </c>
      <c r="BT297" t="str">
        <f>""</f>
        <v/>
      </c>
      <c r="BU297" t="str">
        <f>""</f>
        <v/>
      </c>
      <c r="BV297" t="str">
        <f>""</f>
        <v/>
      </c>
      <c r="BW297" t="str">
        <f>""</f>
        <v/>
      </c>
      <c r="BX297" t="str">
        <f>""</f>
        <v/>
      </c>
      <c r="BY297" t="str">
        <f>""</f>
        <v/>
      </c>
      <c r="BZ297" t="str">
        <f>""</f>
        <v/>
      </c>
      <c r="CA297" t="str">
        <f>""</f>
        <v/>
      </c>
      <c r="CB297" t="str">
        <f>""</f>
        <v/>
      </c>
      <c r="CC297" t="str">
        <f>""</f>
        <v/>
      </c>
      <c r="CD297" t="str">
        <f>""</f>
        <v/>
      </c>
      <c r="CE297" t="str">
        <f>""</f>
        <v/>
      </c>
      <c r="CF297" t="str">
        <f>""</f>
        <v/>
      </c>
      <c r="CG297" t="str">
        <f>""</f>
        <v/>
      </c>
      <c r="CH297" t="str">
        <f>""</f>
        <v/>
      </c>
      <c r="CI297" t="str">
        <f>""</f>
        <v/>
      </c>
      <c r="CJ297" t="str">
        <f>""</f>
        <v/>
      </c>
      <c r="CK297" t="str">
        <f>""</f>
        <v/>
      </c>
      <c r="CL297" t="str">
        <f>""</f>
        <v/>
      </c>
      <c r="CM297" t="str">
        <f>""</f>
        <v/>
      </c>
      <c r="CN297" t="str">
        <f>""</f>
        <v/>
      </c>
      <c r="CO297" t="str">
        <f>""</f>
        <v/>
      </c>
      <c r="CP297" t="str">
        <f>""</f>
        <v/>
      </c>
      <c r="CQ297" t="str">
        <f>""</f>
        <v/>
      </c>
      <c r="CR297" t="str">
        <f>""</f>
        <v/>
      </c>
      <c r="CS297" t="str">
        <f>""</f>
        <v/>
      </c>
      <c r="CT297" t="str">
        <f>""</f>
        <v/>
      </c>
      <c r="CU297" t="str">
        <f>""</f>
        <v/>
      </c>
      <c r="CV297" t="str">
        <f>""</f>
        <v/>
      </c>
      <c r="CW297" t="str">
        <f>""</f>
        <v/>
      </c>
      <c r="CX297" t="str">
        <f>""</f>
        <v/>
      </c>
      <c r="CY297" t="str">
        <f>""</f>
        <v/>
      </c>
      <c r="CZ297" t="str">
        <f>""</f>
        <v/>
      </c>
      <c r="DA297" t="str">
        <f>""</f>
        <v/>
      </c>
      <c r="DB297" t="str">
        <f>""</f>
        <v/>
      </c>
      <c r="DC297" t="str">
        <f>""</f>
        <v/>
      </c>
      <c r="DD297" t="str">
        <f>""</f>
        <v/>
      </c>
      <c r="DE297" t="str">
        <f>""</f>
        <v/>
      </c>
      <c r="DF297" t="str">
        <f>""</f>
        <v/>
      </c>
      <c r="DG297" t="str">
        <f>""</f>
        <v/>
      </c>
      <c r="DH297" t="str">
        <f>""</f>
        <v/>
      </c>
      <c r="DI297" t="str">
        <f>""</f>
        <v/>
      </c>
      <c r="DJ297" t="str">
        <f>""</f>
        <v/>
      </c>
      <c r="DK297" t="str">
        <f>""</f>
        <v/>
      </c>
      <c r="DL297" t="str">
        <f>""</f>
        <v/>
      </c>
      <c r="DM297" t="str">
        <f>""</f>
        <v/>
      </c>
      <c r="DN297" t="str">
        <f>""</f>
        <v/>
      </c>
      <c r="DO297" t="str">
        <f>""</f>
        <v/>
      </c>
      <c r="DP297" t="str">
        <f>""</f>
        <v/>
      </c>
      <c r="DQ297" t="str">
        <f>""</f>
        <v/>
      </c>
      <c r="DR297" t="str">
        <f>""</f>
        <v/>
      </c>
      <c r="DS297" t="str">
        <f>""</f>
        <v/>
      </c>
      <c r="DT297" t="str">
        <f>""</f>
        <v/>
      </c>
      <c r="DU297" t="str">
        <f>""</f>
        <v/>
      </c>
      <c r="DV297" t="str">
        <f>""</f>
        <v/>
      </c>
      <c r="DW297" t="str">
        <f>""</f>
        <v/>
      </c>
      <c r="DX297" t="str">
        <f>""</f>
        <v/>
      </c>
      <c r="DY297" t="str">
        <f>""</f>
        <v/>
      </c>
      <c r="DZ297" t="str">
        <f>""</f>
        <v/>
      </c>
      <c r="EA297" t="str">
        <f>""</f>
        <v/>
      </c>
      <c r="EB297" t="str">
        <f>""</f>
        <v/>
      </c>
      <c r="EC297" t="str">
        <f>""</f>
        <v/>
      </c>
      <c r="ED297" t="str">
        <f>""</f>
        <v/>
      </c>
      <c r="EE297" t="str">
        <f>""</f>
        <v/>
      </c>
      <c r="EF297" t="str">
        <f>""</f>
        <v/>
      </c>
      <c r="EG297" t="str">
        <f>""</f>
        <v/>
      </c>
      <c r="EH297" t="str">
        <f>""</f>
        <v/>
      </c>
      <c r="EI297" t="str">
        <f>""</f>
        <v/>
      </c>
      <c r="EJ297" t="str">
        <f>""</f>
        <v/>
      </c>
      <c r="EK297" t="str">
        <f>""</f>
        <v/>
      </c>
      <c r="EL297" t="str">
        <f>""</f>
        <v/>
      </c>
      <c r="EM297" t="str">
        <f>""</f>
        <v/>
      </c>
      <c r="EN297" t="str">
        <f>""</f>
        <v/>
      </c>
      <c r="EO297" t="str">
        <f>""</f>
        <v/>
      </c>
      <c r="EP297" t="str">
        <f>""</f>
        <v/>
      </c>
      <c r="EQ297" t="str">
        <f>""</f>
        <v/>
      </c>
      <c r="ER297" t="str">
        <f>""</f>
        <v/>
      </c>
      <c r="ES297" t="str">
        <f>""</f>
        <v/>
      </c>
      <c r="ET297" t="str">
        <f>""</f>
        <v/>
      </c>
      <c r="EU297" t="str">
        <f>""</f>
        <v/>
      </c>
      <c r="EV297" t="str">
        <f>""</f>
        <v/>
      </c>
      <c r="EW297" t="str">
        <f>""</f>
        <v/>
      </c>
      <c r="EX297" t="str">
        <f>""</f>
        <v/>
      </c>
      <c r="EY297" t="str">
        <f>""</f>
        <v/>
      </c>
      <c r="EZ297" t="str">
        <f>""</f>
        <v/>
      </c>
      <c r="FA297" t="str">
        <f>""</f>
        <v/>
      </c>
      <c r="FB297" t="str">
        <f>""</f>
        <v/>
      </c>
      <c r="FC297" t="str">
        <f>""</f>
        <v/>
      </c>
      <c r="FD297" t="str">
        <f>""</f>
        <v/>
      </c>
      <c r="FE297" t="str">
        <f>""</f>
        <v/>
      </c>
      <c r="FF297" t="str">
        <f>""</f>
        <v/>
      </c>
      <c r="FG297" t="str">
        <f>""</f>
        <v/>
      </c>
      <c r="FH297" t="str">
        <f>""</f>
        <v/>
      </c>
      <c r="FI297" t="str">
        <f>""</f>
        <v/>
      </c>
      <c r="FJ297" t="str">
        <f>""</f>
        <v/>
      </c>
      <c r="FK297" t="str">
        <f>""</f>
        <v/>
      </c>
      <c r="FL297" t="str">
        <f>""</f>
        <v/>
      </c>
      <c r="FM297" t="str">
        <f>""</f>
        <v/>
      </c>
      <c r="FN297" t="str">
        <f>""</f>
        <v/>
      </c>
      <c r="FO297" t="str">
        <f>""</f>
        <v/>
      </c>
      <c r="FP297" t="str">
        <f>""</f>
        <v/>
      </c>
      <c r="FQ297" t="str">
        <f>""</f>
        <v/>
      </c>
      <c r="FR297" t="str">
        <f>""</f>
        <v/>
      </c>
      <c r="FS297" t="str">
        <f>""</f>
        <v/>
      </c>
      <c r="FT297" t="str">
        <f>""</f>
        <v/>
      </c>
      <c r="FU297" t="str">
        <f>""</f>
        <v/>
      </c>
      <c r="FV297" t="str">
        <f>""</f>
        <v/>
      </c>
      <c r="FW297" t="str">
        <f>""</f>
        <v/>
      </c>
      <c r="FX297" t="str">
        <f>""</f>
        <v/>
      </c>
      <c r="FY297" t="str">
        <f>""</f>
        <v/>
      </c>
      <c r="FZ297" t="str">
        <f>""</f>
        <v/>
      </c>
      <c r="GA297" t="str">
        <f>""</f>
        <v/>
      </c>
      <c r="GB297" t="str">
        <f>""</f>
        <v/>
      </c>
      <c r="GC297" t="str">
        <f>""</f>
        <v/>
      </c>
      <c r="GD297" t="str">
        <f>""</f>
        <v/>
      </c>
      <c r="GE297" t="str">
        <f>""</f>
        <v/>
      </c>
      <c r="GF297" t="str">
        <f>""</f>
        <v/>
      </c>
      <c r="GG297" t="str">
        <f>""</f>
        <v/>
      </c>
      <c r="GH297" t="str">
        <f>""</f>
        <v/>
      </c>
      <c r="GI297" t="str">
        <f>""</f>
        <v/>
      </c>
      <c r="GJ297" t="str">
        <f>""</f>
        <v/>
      </c>
      <c r="GK297" t="str">
        <f>""</f>
        <v/>
      </c>
      <c r="GL297" t="str">
        <f>""</f>
        <v/>
      </c>
      <c r="GM297" t="str">
        <f>""</f>
        <v/>
      </c>
      <c r="GN297" t="str">
        <f>""</f>
        <v/>
      </c>
      <c r="GO297" t="str">
        <f>""</f>
        <v/>
      </c>
      <c r="GP297" t="str">
        <f>""</f>
        <v/>
      </c>
      <c r="GQ297" t="str">
        <f>""</f>
        <v/>
      </c>
      <c r="GR297" t="str">
        <f>""</f>
        <v/>
      </c>
      <c r="GS297" t="str">
        <f>""</f>
        <v/>
      </c>
      <c r="GT297" t="str">
        <f>""</f>
        <v/>
      </c>
      <c r="GU297" t="str">
        <f>""</f>
        <v/>
      </c>
      <c r="GV297" t="str">
        <f>""</f>
        <v/>
      </c>
      <c r="GW297" t="str">
        <f>""</f>
        <v/>
      </c>
      <c r="GX297" t="str">
        <f>"0.0189"</f>
        <v>0.0189</v>
      </c>
      <c r="GY297" t="str">
        <f>"0.0532"</f>
        <v>0.0532</v>
      </c>
      <c r="GZ297" t="str">
        <f>"-0.0100"</f>
        <v>-0.0100</v>
      </c>
      <c r="HA297" t="str">
        <f>""</f>
        <v/>
      </c>
      <c r="HB297" t="str">
        <f>""</f>
        <v/>
      </c>
      <c r="HC297" t="str">
        <f>""</f>
        <v/>
      </c>
      <c r="HD297" t="str">
        <f>""</f>
        <v/>
      </c>
      <c r="HE297" t="str">
        <f>""</f>
        <v/>
      </c>
      <c r="HF297" t="str">
        <f>""</f>
        <v/>
      </c>
      <c r="HG297" t="str">
        <f>""</f>
        <v/>
      </c>
      <c r="HH297" t="str">
        <f>""</f>
        <v/>
      </c>
      <c r="HI297" t="str">
        <f>""</f>
        <v/>
      </c>
      <c r="HJ297" t="str">
        <f>""</f>
        <v/>
      </c>
      <c r="HK297" t="str">
        <f>""</f>
        <v/>
      </c>
      <c r="HL297" t="str">
        <f>""</f>
        <v/>
      </c>
      <c r="HM297" t="str">
        <f>""</f>
        <v/>
      </c>
      <c r="HN297" t="str">
        <f>""</f>
        <v/>
      </c>
      <c r="HO297" t="str">
        <f>""</f>
        <v/>
      </c>
      <c r="HP297" t="str">
        <f>""</f>
        <v/>
      </c>
      <c r="HQ297" t="str">
        <f>""</f>
        <v/>
      </c>
      <c r="HR297" t="str">
        <f>""</f>
        <v/>
      </c>
      <c r="HS297" t="str">
        <f>""</f>
        <v/>
      </c>
      <c r="HT297" t="str">
        <f>""</f>
        <v/>
      </c>
      <c r="HU297" t="str">
        <f>""</f>
        <v/>
      </c>
      <c r="HV297" t="str">
        <f>""</f>
        <v/>
      </c>
      <c r="HW297" t="str">
        <f>""</f>
        <v/>
      </c>
      <c r="HX297" t="str">
        <f>""</f>
        <v/>
      </c>
      <c r="HY297" t="str">
        <f>""</f>
        <v/>
      </c>
      <c r="HZ297" t="str">
        <f>""</f>
        <v/>
      </c>
      <c r="IA297" t="str">
        <f>""</f>
        <v/>
      </c>
      <c r="IB297" t="str">
        <f>""</f>
        <v/>
      </c>
      <c r="IC297" t="str">
        <f>""</f>
        <v/>
      </c>
      <c r="ID297" t="str">
        <f>""</f>
        <v/>
      </c>
      <c r="IE297" t="str">
        <f>""</f>
        <v/>
      </c>
      <c r="IF297" t="str">
        <f>""</f>
        <v/>
      </c>
      <c r="IG297" t="str">
        <f>""</f>
        <v/>
      </c>
      <c r="IH297" t="str">
        <f>""</f>
        <v/>
      </c>
      <c r="II297" t="str">
        <f>""</f>
        <v/>
      </c>
      <c r="IJ297" t="str">
        <f>""</f>
        <v/>
      </c>
      <c r="IK297" t="str">
        <f>""</f>
        <v/>
      </c>
      <c r="IL297" t="str">
        <f>""</f>
        <v/>
      </c>
      <c r="IM297" t="str">
        <f>""</f>
        <v/>
      </c>
      <c r="IN297" t="str">
        <f>""</f>
        <v/>
      </c>
      <c r="IO297" t="str">
        <f>""</f>
        <v/>
      </c>
      <c r="IP297" t="str">
        <f>""</f>
        <v/>
      </c>
      <c r="IQ297" t="str">
        <f>""</f>
        <v/>
      </c>
      <c r="IR297" t="str">
        <f>""</f>
        <v/>
      </c>
      <c r="IS297" t="str">
        <f>""</f>
        <v/>
      </c>
      <c r="IT297" t="str">
        <f>""</f>
        <v/>
      </c>
      <c r="IU297" t="str">
        <f>""</f>
        <v/>
      </c>
      <c r="IV297" t="str">
        <f>""</f>
        <v/>
      </c>
      <c r="IW297" t="str">
        <f>""</f>
        <v/>
      </c>
      <c r="IX297" t="str">
        <f>""</f>
        <v/>
      </c>
      <c r="IY297" t="str">
        <f>""</f>
        <v/>
      </c>
      <c r="IZ297" t="str">
        <f>""</f>
        <v/>
      </c>
      <c r="JA297" t="str">
        <f>""</f>
        <v/>
      </c>
      <c r="JB297" t="str">
        <f>""</f>
        <v/>
      </c>
      <c r="JC297" t="str">
        <f>""</f>
        <v/>
      </c>
      <c r="JD297" t="str">
        <f>""</f>
        <v/>
      </c>
      <c r="JE297" t="str">
        <f>""</f>
        <v/>
      </c>
      <c r="JF297" t="str">
        <f>""</f>
        <v/>
      </c>
      <c r="JG297" t="str">
        <f>""</f>
        <v/>
      </c>
      <c r="JH297" t="str">
        <f>""</f>
        <v/>
      </c>
      <c r="JI297" t="str">
        <f>""</f>
        <v/>
      </c>
      <c r="JJ297" t="str">
        <f>""</f>
        <v/>
      </c>
      <c r="JK297" t="str">
        <f>""</f>
        <v/>
      </c>
    </row>
    <row r="298" spans="1:271" x14ac:dyDescent="0.3">
      <c r="A298" t="str">
        <f>""</f>
        <v/>
      </c>
      <c r="B298" t="str">
        <f>""</f>
        <v/>
      </c>
      <c r="C298" t="str">
        <f>""</f>
        <v/>
      </c>
      <c r="D298" t="str">
        <f>""</f>
        <v/>
      </c>
      <c r="E298" t="str">
        <f>""</f>
        <v/>
      </c>
      <c r="F298" t="str">
        <f>""</f>
        <v/>
      </c>
      <c r="G298" t="str">
        <f>""</f>
        <v/>
      </c>
      <c r="H298" t="str">
        <f>""</f>
        <v/>
      </c>
      <c r="I298" t="str">
        <f>""</f>
        <v/>
      </c>
      <c r="J298" t="str">
        <f>""</f>
        <v/>
      </c>
      <c r="K298" t="str">
        <f>""</f>
        <v/>
      </c>
      <c r="L298" t="str">
        <f>""</f>
        <v/>
      </c>
      <c r="M298" t="str">
        <f>""</f>
        <v/>
      </c>
      <c r="N298" t="str">
        <f>""</f>
        <v/>
      </c>
      <c r="O298" t="str">
        <f>""</f>
        <v/>
      </c>
      <c r="P298" t="str">
        <f>""</f>
        <v/>
      </c>
      <c r="Q298" t="str">
        <f>""</f>
        <v/>
      </c>
      <c r="R298" t="str">
        <f>""</f>
        <v/>
      </c>
      <c r="S298" t="str">
        <f>""</f>
        <v/>
      </c>
      <c r="T298" t="str">
        <f>""</f>
        <v/>
      </c>
      <c r="U298" t="str">
        <f>""</f>
        <v/>
      </c>
      <c r="V298" t="str">
        <f>""</f>
        <v/>
      </c>
      <c r="W298" t="str">
        <f>""</f>
        <v/>
      </c>
      <c r="X298" t="str">
        <f>""</f>
        <v/>
      </c>
      <c r="Y298" t="str">
        <f>""</f>
        <v/>
      </c>
      <c r="Z298" t="str">
        <f>""</f>
        <v/>
      </c>
      <c r="AA298" t="str">
        <f>""</f>
        <v/>
      </c>
      <c r="AB298" t="str">
        <f>""</f>
        <v/>
      </c>
      <c r="AC298" t="str">
        <f>""</f>
        <v/>
      </c>
      <c r="AD298" t="str">
        <f>""</f>
        <v/>
      </c>
      <c r="AE298" t="str">
        <f>""</f>
        <v/>
      </c>
      <c r="AF298" t="str">
        <f>""</f>
        <v/>
      </c>
      <c r="AG298" t="str">
        <f>""</f>
        <v/>
      </c>
      <c r="AH298" t="str">
        <f>""</f>
        <v/>
      </c>
      <c r="AI298" t="str">
        <f>""</f>
        <v/>
      </c>
      <c r="AJ298" t="str">
        <f>""</f>
        <v/>
      </c>
      <c r="AK298" t="str">
        <f>""</f>
        <v/>
      </c>
      <c r="AL298" t="str">
        <f>""</f>
        <v/>
      </c>
      <c r="AM298" t="str">
        <f>""</f>
        <v/>
      </c>
      <c r="AN298" t="str">
        <f>""</f>
        <v/>
      </c>
      <c r="AO298" t="str">
        <f>""</f>
        <v/>
      </c>
      <c r="AP298" t="str">
        <f>""</f>
        <v/>
      </c>
      <c r="AQ298" t="str">
        <f>""</f>
        <v/>
      </c>
      <c r="AR298" t="str">
        <f>""</f>
        <v/>
      </c>
      <c r="AS298" t="str">
        <f>""</f>
        <v/>
      </c>
      <c r="AT298" t="str">
        <f>""</f>
        <v/>
      </c>
      <c r="AU298" t="str">
        <f>""</f>
        <v/>
      </c>
      <c r="AV298" t="str">
        <f>""</f>
        <v/>
      </c>
      <c r="AW298" t="str">
        <f>""</f>
        <v/>
      </c>
      <c r="AX298" t="str">
        <f>""</f>
        <v/>
      </c>
      <c r="AY298" t="str">
        <f>""</f>
        <v/>
      </c>
      <c r="AZ298" t="str">
        <f>""</f>
        <v/>
      </c>
      <c r="BA298" t="str">
        <f>""</f>
        <v/>
      </c>
      <c r="BB298" t="str">
        <f>""</f>
        <v/>
      </c>
      <c r="BC298" t="str">
        <f>""</f>
        <v/>
      </c>
      <c r="BD298" t="str">
        <f>""</f>
        <v/>
      </c>
      <c r="BE298" t="str">
        <f>""</f>
        <v/>
      </c>
      <c r="BF298" t="str">
        <f>""</f>
        <v/>
      </c>
      <c r="BG298" t="str">
        <f>""</f>
        <v/>
      </c>
      <c r="BH298" t="str">
        <f>""</f>
        <v/>
      </c>
      <c r="BI298" t="str">
        <f>""</f>
        <v/>
      </c>
      <c r="BJ298" t="str">
        <f>""</f>
        <v/>
      </c>
      <c r="BK298" t="str">
        <f>""</f>
        <v/>
      </c>
      <c r="BL298" t="str">
        <f>""</f>
        <v/>
      </c>
      <c r="BM298" t="str">
        <f>""</f>
        <v/>
      </c>
      <c r="BN298" t="str">
        <f>""</f>
        <v/>
      </c>
      <c r="BO298" t="str">
        <f>""</f>
        <v/>
      </c>
      <c r="BP298" t="str">
        <f>""</f>
        <v/>
      </c>
      <c r="BQ298" t="str">
        <f>""</f>
        <v/>
      </c>
      <c r="BR298" t="str">
        <f>""</f>
        <v/>
      </c>
      <c r="BS298" t="str">
        <f>""</f>
        <v/>
      </c>
      <c r="BT298" t="str">
        <f>""</f>
        <v/>
      </c>
      <c r="BU298" t="str">
        <f>""</f>
        <v/>
      </c>
      <c r="BV298" t="str">
        <f>""</f>
        <v/>
      </c>
      <c r="BW298" t="str">
        <f>""</f>
        <v/>
      </c>
      <c r="BX298" t="str">
        <f>""</f>
        <v/>
      </c>
      <c r="BY298" t="str">
        <f>""</f>
        <v/>
      </c>
      <c r="BZ298" t="str">
        <f>""</f>
        <v/>
      </c>
      <c r="CA298" t="str">
        <f>""</f>
        <v/>
      </c>
      <c r="CB298" t="str">
        <f>""</f>
        <v/>
      </c>
      <c r="CC298" t="str">
        <f>""</f>
        <v/>
      </c>
      <c r="CD298" t="str">
        <f>""</f>
        <v/>
      </c>
      <c r="CE298" t="str">
        <f>""</f>
        <v/>
      </c>
      <c r="CF298" t="str">
        <f>""</f>
        <v/>
      </c>
      <c r="CG298" t="str">
        <f>""</f>
        <v/>
      </c>
      <c r="CH298" t="str">
        <f>""</f>
        <v/>
      </c>
      <c r="CI298" t="str">
        <f>""</f>
        <v/>
      </c>
      <c r="CJ298" t="str">
        <f>""</f>
        <v/>
      </c>
      <c r="CK298" t="str">
        <f>""</f>
        <v/>
      </c>
      <c r="CL298" t="str">
        <f>""</f>
        <v/>
      </c>
      <c r="CM298" t="str">
        <f>""</f>
        <v/>
      </c>
      <c r="CN298" t="str">
        <f>""</f>
        <v/>
      </c>
      <c r="CO298" t="str">
        <f>""</f>
        <v/>
      </c>
      <c r="CP298" t="str">
        <f>""</f>
        <v/>
      </c>
      <c r="CQ298" t="str">
        <f>""</f>
        <v/>
      </c>
      <c r="CR298" t="str">
        <f>""</f>
        <v/>
      </c>
      <c r="CS298" t="str">
        <f>""</f>
        <v/>
      </c>
      <c r="CT298" t="str">
        <f>""</f>
        <v/>
      </c>
      <c r="CU298" t="str">
        <f>""</f>
        <v/>
      </c>
      <c r="CV298" t="str">
        <f>""</f>
        <v/>
      </c>
      <c r="CW298" t="str">
        <f>""</f>
        <v/>
      </c>
      <c r="CX298" t="str">
        <f>""</f>
        <v/>
      </c>
      <c r="CY298" t="str">
        <f>""</f>
        <v/>
      </c>
      <c r="CZ298" t="str">
        <f>""</f>
        <v/>
      </c>
      <c r="DA298" t="str">
        <f>""</f>
        <v/>
      </c>
      <c r="DB298" t="str">
        <f>""</f>
        <v/>
      </c>
      <c r="DC298" t="str">
        <f>""</f>
        <v/>
      </c>
      <c r="DD298" t="str">
        <f>""</f>
        <v/>
      </c>
      <c r="DE298" t="str">
        <f>""</f>
        <v/>
      </c>
      <c r="DF298" t="str">
        <f>""</f>
        <v/>
      </c>
      <c r="DG298" t="str">
        <f>""</f>
        <v/>
      </c>
      <c r="DH298" t="str">
        <f>""</f>
        <v/>
      </c>
      <c r="DI298" t="str">
        <f>""</f>
        <v/>
      </c>
      <c r="DJ298" t="str">
        <f>""</f>
        <v/>
      </c>
      <c r="DK298" t="str">
        <f>""</f>
        <v/>
      </c>
      <c r="DL298" t="str">
        <f>""</f>
        <v/>
      </c>
      <c r="DM298" t="str">
        <f>""</f>
        <v/>
      </c>
      <c r="DN298" t="str">
        <f>""</f>
        <v/>
      </c>
      <c r="DO298" t="str">
        <f>""</f>
        <v/>
      </c>
      <c r="DP298" t="str">
        <f>""</f>
        <v/>
      </c>
      <c r="DQ298" t="str">
        <f>""</f>
        <v/>
      </c>
      <c r="DR298" t="str">
        <f>""</f>
        <v/>
      </c>
      <c r="DS298" t="str">
        <f>""</f>
        <v/>
      </c>
      <c r="DT298" t="str">
        <f>""</f>
        <v/>
      </c>
      <c r="DU298" t="str">
        <f>""</f>
        <v/>
      </c>
      <c r="DV298" t="str">
        <f>""</f>
        <v/>
      </c>
      <c r="DW298" t="str">
        <f>""</f>
        <v/>
      </c>
      <c r="DX298" t="str">
        <f>""</f>
        <v/>
      </c>
      <c r="DY298" t="str">
        <f>""</f>
        <v/>
      </c>
      <c r="DZ298" t="str">
        <f>""</f>
        <v/>
      </c>
      <c r="EA298" t="str">
        <f>""</f>
        <v/>
      </c>
      <c r="EB298" t="str">
        <f>""</f>
        <v/>
      </c>
      <c r="EC298" t="str">
        <f>""</f>
        <v/>
      </c>
      <c r="ED298" t="str">
        <f>""</f>
        <v/>
      </c>
      <c r="EE298" t="str">
        <f>""</f>
        <v/>
      </c>
      <c r="EF298" t="str">
        <f>""</f>
        <v/>
      </c>
      <c r="EG298" t="str">
        <f>""</f>
        <v/>
      </c>
      <c r="EH298" t="str">
        <f>""</f>
        <v/>
      </c>
      <c r="EI298" t="str">
        <f>""</f>
        <v/>
      </c>
      <c r="EJ298" t="str">
        <f>""</f>
        <v/>
      </c>
      <c r="EK298" t="str">
        <f>""</f>
        <v/>
      </c>
      <c r="EL298" t="str">
        <f>""</f>
        <v/>
      </c>
      <c r="EM298" t="str">
        <f>""</f>
        <v/>
      </c>
      <c r="EN298" t="str">
        <f>""</f>
        <v/>
      </c>
      <c r="EO298" t="str">
        <f>""</f>
        <v/>
      </c>
      <c r="EP298" t="str">
        <f>""</f>
        <v/>
      </c>
      <c r="EQ298" t="str">
        <f>""</f>
        <v/>
      </c>
      <c r="ER298" t="str">
        <f>""</f>
        <v/>
      </c>
      <c r="ES298" t="str">
        <f>""</f>
        <v/>
      </c>
      <c r="ET298" t="str">
        <f>""</f>
        <v/>
      </c>
      <c r="EU298" t="str">
        <f>""</f>
        <v/>
      </c>
      <c r="EV298" t="str">
        <f>""</f>
        <v/>
      </c>
      <c r="EW298" t="str">
        <f>""</f>
        <v/>
      </c>
      <c r="EX298" t="str">
        <f>""</f>
        <v/>
      </c>
      <c r="EY298" t="str">
        <f>""</f>
        <v/>
      </c>
      <c r="EZ298" t="str">
        <f>""</f>
        <v/>
      </c>
      <c r="FA298" t="str">
        <f>""</f>
        <v/>
      </c>
      <c r="FB298" t="str">
        <f>""</f>
        <v/>
      </c>
      <c r="FC298" t="str">
        <f>""</f>
        <v/>
      </c>
      <c r="FD298" t="str">
        <f>""</f>
        <v/>
      </c>
      <c r="FE298" t="str">
        <f>""</f>
        <v/>
      </c>
      <c r="FF298" t="str">
        <f>""</f>
        <v/>
      </c>
      <c r="FG298" t="str">
        <f>""</f>
        <v/>
      </c>
      <c r="FH298" t="str">
        <f>""</f>
        <v/>
      </c>
      <c r="FI298" t="str">
        <f>""</f>
        <v/>
      </c>
      <c r="FJ298" t="str">
        <f>""</f>
        <v/>
      </c>
      <c r="FK298" t="str">
        <f>""</f>
        <v/>
      </c>
      <c r="FL298" t="str">
        <f>""</f>
        <v/>
      </c>
      <c r="FM298" t="str">
        <f>""</f>
        <v/>
      </c>
      <c r="FN298" t="str">
        <f>""</f>
        <v/>
      </c>
      <c r="FO298" t="str">
        <f>""</f>
        <v/>
      </c>
      <c r="FP298" t="str">
        <f>""</f>
        <v/>
      </c>
      <c r="FQ298" t="str">
        <f>""</f>
        <v/>
      </c>
      <c r="FR298" t="str">
        <f>""</f>
        <v/>
      </c>
      <c r="FS298" t="str">
        <f>""</f>
        <v/>
      </c>
      <c r="FT298" t="str">
        <f>""</f>
        <v/>
      </c>
      <c r="FU298" t="str">
        <f>""</f>
        <v/>
      </c>
      <c r="FV298" t="str">
        <f>""</f>
        <v/>
      </c>
      <c r="FW298" t="str">
        <f>""</f>
        <v/>
      </c>
      <c r="FX298" t="str">
        <f>""</f>
        <v/>
      </c>
      <c r="FY298" t="str">
        <f>""</f>
        <v/>
      </c>
      <c r="FZ298" t="str">
        <f>""</f>
        <v/>
      </c>
      <c r="GA298" t="str">
        <f>""</f>
        <v/>
      </c>
      <c r="GB298" t="str">
        <f>""</f>
        <v/>
      </c>
      <c r="GC298" t="str">
        <f>""</f>
        <v/>
      </c>
      <c r="GD298" t="str">
        <f>""</f>
        <v/>
      </c>
      <c r="GE298" t="str">
        <f>""</f>
        <v/>
      </c>
      <c r="GF298" t="str">
        <f>""</f>
        <v/>
      </c>
      <c r="GG298" t="str">
        <f>""</f>
        <v/>
      </c>
      <c r="GH298" t="str">
        <f>""</f>
        <v/>
      </c>
      <c r="GI298" t="str">
        <f>""</f>
        <v/>
      </c>
      <c r="GJ298" t="str">
        <f>""</f>
        <v/>
      </c>
      <c r="GK298" t="str">
        <f>""</f>
        <v/>
      </c>
      <c r="GL298" t="str">
        <f>""</f>
        <v/>
      </c>
      <c r="GM298" t="str">
        <f>""</f>
        <v/>
      </c>
      <c r="GN298" t="str">
        <f>""</f>
        <v/>
      </c>
      <c r="GO298" t="str">
        <f>""</f>
        <v/>
      </c>
      <c r="GP298" t="str">
        <f>""</f>
        <v/>
      </c>
      <c r="GQ298" t="str">
        <f>""</f>
        <v/>
      </c>
      <c r="GR298" t="str">
        <f>""</f>
        <v/>
      </c>
      <c r="GS298" t="str">
        <f>""</f>
        <v/>
      </c>
      <c r="GT298" t="str">
        <f>""</f>
        <v/>
      </c>
      <c r="GU298" t="str">
        <f>""</f>
        <v/>
      </c>
      <c r="GV298" t="str">
        <f>""</f>
        <v/>
      </c>
      <c r="GW298" t="str">
        <f>""</f>
        <v/>
      </c>
      <c r="GX298" t="str">
        <f>"(0.106)"</f>
        <v>(0.106)</v>
      </c>
      <c r="GY298" t="str">
        <f>"(0.0827)"</f>
        <v>(0.0827)</v>
      </c>
      <c r="GZ298" t="str">
        <f>"(0.0456)"</f>
        <v>(0.0456)</v>
      </c>
      <c r="HA298" t="str">
        <f>""</f>
        <v/>
      </c>
      <c r="HB298" t="str">
        <f>""</f>
        <v/>
      </c>
      <c r="HC298" t="str">
        <f>""</f>
        <v/>
      </c>
      <c r="HD298" t="str">
        <f>""</f>
        <v/>
      </c>
      <c r="HE298" t="str">
        <f>""</f>
        <v/>
      </c>
      <c r="HF298" t="str">
        <f>""</f>
        <v/>
      </c>
      <c r="HG298" t="str">
        <f>""</f>
        <v/>
      </c>
      <c r="HH298" t="str">
        <f>""</f>
        <v/>
      </c>
      <c r="HI298" t="str">
        <f>""</f>
        <v/>
      </c>
      <c r="HJ298" t="str">
        <f>""</f>
        <v/>
      </c>
      <c r="HK298" t="str">
        <f>""</f>
        <v/>
      </c>
      <c r="HL298" t="str">
        <f>""</f>
        <v/>
      </c>
      <c r="HM298" t="str">
        <f>""</f>
        <v/>
      </c>
      <c r="HN298" t="str">
        <f>""</f>
        <v/>
      </c>
      <c r="HO298" t="str">
        <f>""</f>
        <v/>
      </c>
      <c r="HP298" t="str">
        <f>""</f>
        <v/>
      </c>
      <c r="HQ298" t="str">
        <f>""</f>
        <v/>
      </c>
      <c r="HR298" t="str">
        <f>""</f>
        <v/>
      </c>
      <c r="HS298" t="str">
        <f>""</f>
        <v/>
      </c>
      <c r="HT298" t="str">
        <f>""</f>
        <v/>
      </c>
      <c r="HU298" t="str">
        <f>""</f>
        <v/>
      </c>
      <c r="HV298" t="str">
        <f>""</f>
        <v/>
      </c>
      <c r="HW298" t="str">
        <f>""</f>
        <v/>
      </c>
      <c r="HX298" t="str">
        <f>""</f>
        <v/>
      </c>
      <c r="HY298" t="str">
        <f>""</f>
        <v/>
      </c>
      <c r="HZ298" t="str">
        <f>""</f>
        <v/>
      </c>
      <c r="IA298" t="str">
        <f>""</f>
        <v/>
      </c>
      <c r="IB298" t="str">
        <f>""</f>
        <v/>
      </c>
      <c r="IC298" t="str">
        <f>""</f>
        <v/>
      </c>
      <c r="ID298" t="str">
        <f>""</f>
        <v/>
      </c>
      <c r="IE298" t="str">
        <f>""</f>
        <v/>
      </c>
      <c r="IF298" t="str">
        <f>""</f>
        <v/>
      </c>
      <c r="IG298" t="str">
        <f>""</f>
        <v/>
      </c>
      <c r="IH298" t="str">
        <f>""</f>
        <v/>
      </c>
      <c r="II298" t="str">
        <f>""</f>
        <v/>
      </c>
      <c r="IJ298" t="str">
        <f>""</f>
        <v/>
      </c>
      <c r="IK298" t="str">
        <f>""</f>
        <v/>
      </c>
      <c r="IL298" t="str">
        <f>""</f>
        <v/>
      </c>
      <c r="IM298" t="str">
        <f>""</f>
        <v/>
      </c>
      <c r="IN298" t="str">
        <f>""</f>
        <v/>
      </c>
      <c r="IO298" t="str">
        <f>""</f>
        <v/>
      </c>
      <c r="IP298" t="str">
        <f>""</f>
        <v/>
      </c>
      <c r="IQ298" t="str">
        <f>""</f>
        <v/>
      </c>
      <c r="IR298" t="str">
        <f>""</f>
        <v/>
      </c>
      <c r="IS298" t="str">
        <f>""</f>
        <v/>
      </c>
      <c r="IT298" t="str">
        <f>""</f>
        <v/>
      </c>
      <c r="IU298" t="str">
        <f>""</f>
        <v/>
      </c>
      <c r="IV298" t="str">
        <f>""</f>
        <v/>
      </c>
      <c r="IW298" t="str">
        <f>""</f>
        <v/>
      </c>
      <c r="IX298" t="str">
        <f>""</f>
        <v/>
      </c>
      <c r="IY298" t="str">
        <f>""</f>
        <v/>
      </c>
      <c r="IZ298" t="str">
        <f>""</f>
        <v/>
      </c>
      <c r="JA298" t="str">
        <f>""</f>
        <v/>
      </c>
      <c r="JB298" t="str">
        <f>""</f>
        <v/>
      </c>
      <c r="JC298" t="str">
        <f>""</f>
        <v/>
      </c>
      <c r="JD298" t="str">
        <f>""</f>
        <v/>
      </c>
      <c r="JE298" t="str">
        <f>""</f>
        <v/>
      </c>
      <c r="JF298" t="str">
        <f>""</f>
        <v/>
      </c>
      <c r="JG298" t="str">
        <f>""</f>
        <v/>
      </c>
      <c r="JH298" t="str">
        <f>""</f>
        <v/>
      </c>
      <c r="JI298" t="str">
        <f>""</f>
        <v/>
      </c>
      <c r="JJ298" t="str">
        <f>""</f>
        <v/>
      </c>
      <c r="JK298" t="str">
        <f>""</f>
        <v/>
      </c>
    </row>
    <row r="300" spans="1:271" x14ac:dyDescent="0.3">
      <c r="A300" t="str">
        <f>"c.zMETAB10#c.PM5"</f>
        <v>c.zMETAB10#c.PM5</v>
      </c>
      <c r="B300" t="str">
        <f>""</f>
        <v/>
      </c>
      <c r="C300" t="str">
        <f>""</f>
        <v/>
      </c>
      <c r="D300" t="str">
        <f>""</f>
        <v/>
      </c>
      <c r="E300" t="str">
        <f>""</f>
        <v/>
      </c>
      <c r="F300" t="str">
        <f>""</f>
        <v/>
      </c>
      <c r="G300" t="str">
        <f>""</f>
        <v/>
      </c>
      <c r="H300" t="str">
        <f>""</f>
        <v/>
      </c>
      <c r="I300" t="str">
        <f>""</f>
        <v/>
      </c>
      <c r="J300" t="str">
        <f>""</f>
        <v/>
      </c>
      <c r="K300" t="str">
        <f>""</f>
        <v/>
      </c>
      <c r="L300" t="str">
        <f>""</f>
        <v/>
      </c>
      <c r="M300" t="str">
        <f>""</f>
        <v/>
      </c>
      <c r="N300" t="str">
        <f>""</f>
        <v/>
      </c>
      <c r="O300" t="str">
        <f>""</f>
        <v/>
      </c>
      <c r="P300" t="str">
        <f>""</f>
        <v/>
      </c>
      <c r="Q300" t="str">
        <f>""</f>
        <v/>
      </c>
      <c r="R300" t="str">
        <f>""</f>
        <v/>
      </c>
      <c r="S300" t="str">
        <f>""</f>
        <v/>
      </c>
      <c r="T300" t="str">
        <f>""</f>
        <v/>
      </c>
      <c r="U300" t="str">
        <f>""</f>
        <v/>
      </c>
      <c r="V300" t="str">
        <f>""</f>
        <v/>
      </c>
      <c r="W300" t="str">
        <f>""</f>
        <v/>
      </c>
      <c r="X300" t="str">
        <f>""</f>
        <v/>
      </c>
      <c r="Y300" t="str">
        <f>""</f>
        <v/>
      </c>
      <c r="Z300" t="str">
        <f>""</f>
        <v/>
      </c>
      <c r="AA300" t="str">
        <f>""</f>
        <v/>
      </c>
      <c r="AB300" t="str">
        <f>""</f>
        <v/>
      </c>
      <c r="AC300" t="str">
        <f>""</f>
        <v/>
      </c>
      <c r="AD300" t="str">
        <f>""</f>
        <v/>
      </c>
      <c r="AE300" t="str">
        <f>""</f>
        <v/>
      </c>
      <c r="AF300" t="str">
        <f>""</f>
        <v/>
      </c>
      <c r="AG300" t="str">
        <f>""</f>
        <v/>
      </c>
      <c r="AH300" t="str">
        <f>""</f>
        <v/>
      </c>
      <c r="AI300" t="str">
        <f>""</f>
        <v/>
      </c>
      <c r="AJ300" t="str">
        <f>""</f>
        <v/>
      </c>
      <c r="AK300" t="str">
        <f>""</f>
        <v/>
      </c>
      <c r="AL300" t="str">
        <f>""</f>
        <v/>
      </c>
      <c r="AM300" t="str">
        <f>""</f>
        <v/>
      </c>
      <c r="AN300" t="str">
        <f>""</f>
        <v/>
      </c>
      <c r="AO300" t="str">
        <f>""</f>
        <v/>
      </c>
      <c r="AP300" t="str">
        <f>""</f>
        <v/>
      </c>
      <c r="AQ300" t="str">
        <f>""</f>
        <v/>
      </c>
      <c r="AR300" t="str">
        <f>""</f>
        <v/>
      </c>
      <c r="AS300" t="str">
        <f>""</f>
        <v/>
      </c>
      <c r="AT300" t="str">
        <f>""</f>
        <v/>
      </c>
      <c r="AU300" t="str">
        <f>""</f>
        <v/>
      </c>
      <c r="AV300" t="str">
        <f>""</f>
        <v/>
      </c>
      <c r="AW300" t="str">
        <f>""</f>
        <v/>
      </c>
      <c r="AX300" t="str">
        <f>""</f>
        <v/>
      </c>
      <c r="AY300" t="str">
        <f>""</f>
        <v/>
      </c>
      <c r="AZ300" t="str">
        <f>""</f>
        <v/>
      </c>
      <c r="BA300" t="str">
        <f>""</f>
        <v/>
      </c>
      <c r="BB300" t="str">
        <f>""</f>
        <v/>
      </c>
      <c r="BC300" t="str">
        <f>""</f>
        <v/>
      </c>
      <c r="BD300" t="str">
        <f>""</f>
        <v/>
      </c>
      <c r="BE300" t="str">
        <f>""</f>
        <v/>
      </c>
      <c r="BF300" t="str">
        <f>""</f>
        <v/>
      </c>
      <c r="BG300" t="str">
        <f>""</f>
        <v/>
      </c>
      <c r="BH300" t="str">
        <f>""</f>
        <v/>
      </c>
      <c r="BI300" t="str">
        <f>""</f>
        <v/>
      </c>
      <c r="BJ300" t="str">
        <f>""</f>
        <v/>
      </c>
      <c r="BK300" t="str">
        <f>""</f>
        <v/>
      </c>
      <c r="BL300" t="str">
        <f>""</f>
        <v/>
      </c>
      <c r="BM300" t="str">
        <f>""</f>
        <v/>
      </c>
      <c r="BN300" t="str">
        <f>""</f>
        <v/>
      </c>
      <c r="BO300" t="str">
        <f>""</f>
        <v/>
      </c>
      <c r="BP300" t="str">
        <f>""</f>
        <v/>
      </c>
      <c r="BQ300" t="str">
        <f>""</f>
        <v/>
      </c>
      <c r="BR300" t="str">
        <f>""</f>
        <v/>
      </c>
      <c r="BS300" t="str">
        <f>""</f>
        <v/>
      </c>
      <c r="BT300" t="str">
        <f>""</f>
        <v/>
      </c>
      <c r="BU300" t="str">
        <f>""</f>
        <v/>
      </c>
      <c r="BV300" t="str">
        <f>""</f>
        <v/>
      </c>
      <c r="BW300" t="str">
        <f>""</f>
        <v/>
      </c>
      <c r="BX300" t="str">
        <f>""</f>
        <v/>
      </c>
      <c r="BY300" t="str">
        <f>""</f>
        <v/>
      </c>
      <c r="BZ300" t="str">
        <f>""</f>
        <v/>
      </c>
      <c r="CA300" t="str">
        <f>""</f>
        <v/>
      </c>
      <c r="CB300" t="str">
        <f>""</f>
        <v/>
      </c>
      <c r="CC300" t="str">
        <f>""</f>
        <v/>
      </c>
      <c r="CD300" t="str">
        <f>""</f>
        <v/>
      </c>
      <c r="CE300" t="str">
        <f>""</f>
        <v/>
      </c>
      <c r="CF300" t="str">
        <f>""</f>
        <v/>
      </c>
      <c r="CG300" t="str">
        <f>""</f>
        <v/>
      </c>
      <c r="CH300" t="str">
        <f>""</f>
        <v/>
      </c>
      <c r="CI300" t="str">
        <f>""</f>
        <v/>
      </c>
      <c r="CJ300" t="str">
        <f>""</f>
        <v/>
      </c>
      <c r="CK300" t="str">
        <f>""</f>
        <v/>
      </c>
      <c r="CL300" t="str">
        <f>""</f>
        <v/>
      </c>
      <c r="CM300" t="str">
        <f>""</f>
        <v/>
      </c>
      <c r="CN300" t="str">
        <f>""</f>
        <v/>
      </c>
      <c r="CO300" t="str">
        <f>""</f>
        <v/>
      </c>
      <c r="CP300" t="str">
        <f>""</f>
        <v/>
      </c>
      <c r="CQ300" t="str">
        <f>""</f>
        <v/>
      </c>
      <c r="CR300" t="str">
        <f>""</f>
        <v/>
      </c>
      <c r="CS300" t="str">
        <f>""</f>
        <v/>
      </c>
      <c r="CT300" t="str">
        <f>""</f>
        <v/>
      </c>
      <c r="CU300" t="str">
        <f>""</f>
        <v/>
      </c>
      <c r="CV300" t="str">
        <f>""</f>
        <v/>
      </c>
      <c r="CW300" t="str">
        <f>""</f>
        <v/>
      </c>
      <c r="CX300" t="str">
        <f>""</f>
        <v/>
      </c>
      <c r="CY300" t="str">
        <f>""</f>
        <v/>
      </c>
      <c r="CZ300" t="str">
        <f>""</f>
        <v/>
      </c>
      <c r="DA300" t="str">
        <f>""</f>
        <v/>
      </c>
      <c r="DB300" t="str">
        <f>""</f>
        <v/>
      </c>
      <c r="DC300" t="str">
        <f>""</f>
        <v/>
      </c>
      <c r="DD300" t="str">
        <f>""</f>
        <v/>
      </c>
      <c r="DE300" t="str">
        <f>""</f>
        <v/>
      </c>
      <c r="DF300" t="str">
        <f>""</f>
        <v/>
      </c>
      <c r="DG300" t="str">
        <f>""</f>
        <v/>
      </c>
      <c r="DH300" t="str">
        <f>""</f>
        <v/>
      </c>
      <c r="DI300" t="str">
        <f>""</f>
        <v/>
      </c>
      <c r="DJ300" t="str">
        <f>""</f>
        <v/>
      </c>
      <c r="DK300" t="str">
        <f>""</f>
        <v/>
      </c>
      <c r="DL300" t="str">
        <f>""</f>
        <v/>
      </c>
      <c r="DM300" t="str">
        <f>""</f>
        <v/>
      </c>
      <c r="DN300" t="str">
        <f>""</f>
        <v/>
      </c>
      <c r="DO300" t="str">
        <f>""</f>
        <v/>
      </c>
      <c r="DP300" t="str">
        <f>""</f>
        <v/>
      </c>
      <c r="DQ300" t="str">
        <f>""</f>
        <v/>
      </c>
      <c r="DR300" t="str">
        <f>""</f>
        <v/>
      </c>
      <c r="DS300" t="str">
        <f>""</f>
        <v/>
      </c>
      <c r="DT300" t="str">
        <f>""</f>
        <v/>
      </c>
      <c r="DU300" t="str">
        <f>""</f>
        <v/>
      </c>
      <c r="DV300" t="str">
        <f>""</f>
        <v/>
      </c>
      <c r="DW300" t="str">
        <f>""</f>
        <v/>
      </c>
      <c r="DX300" t="str">
        <f>""</f>
        <v/>
      </c>
      <c r="DY300" t="str">
        <f>""</f>
        <v/>
      </c>
      <c r="DZ300" t="str">
        <f>""</f>
        <v/>
      </c>
      <c r="EA300" t="str">
        <f>""</f>
        <v/>
      </c>
      <c r="EB300" t="str">
        <f>""</f>
        <v/>
      </c>
      <c r="EC300" t="str">
        <f>""</f>
        <v/>
      </c>
      <c r="ED300" t="str">
        <f>""</f>
        <v/>
      </c>
      <c r="EE300" t="str">
        <f>""</f>
        <v/>
      </c>
      <c r="EF300" t="str">
        <f>""</f>
        <v/>
      </c>
      <c r="EG300" t="str">
        <f>""</f>
        <v/>
      </c>
      <c r="EH300" t="str">
        <f>""</f>
        <v/>
      </c>
      <c r="EI300" t="str">
        <f>""</f>
        <v/>
      </c>
      <c r="EJ300" t="str">
        <f>""</f>
        <v/>
      </c>
      <c r="EK300" t="str">
        <f>""</f>
        <v/>
      </c>
      <c r="EL300" t="str">
        <f>""</f>
        <v/>
      </c>
      <c r="EM300" t="str">
        <f>""</f>
        <v/>
      </c>
      <c r="EN300" t="str">
        <f>""</f>
        <v/>
      </c>
      <c r="EO300" t="str">
        <f>""</f>
        <v/>
      </c>
      <c r="EP300" t="str">
        <f>""</f>
        <v/>
      </c>
      <c r="EQ300" t="str">
        <f>""</f>
        <v/>
      </c>
      <c r="ER300" t="str">
        <f>""</f>
        <v/>
      </c>
      <c r="ES300" t="str">
        <f>""</f>
        <v/>
      </c>
      <c r="ET300" t="str">
        <f>""</f>
        <v/>
      </c>
      <c r="EU300" t="str">
        <f>""</f>
        <v/>
      </c>
      <c r="EV300" t="str">
        <f>""</f>
        <v/>
      </c>
      <c r="EW300" t="str">
        <f>""</f>
        <v/>
      </c>
      <c r="EX300" t="str">
        <f>""</f>
        <v/>
      </c>
      <c r="EY300" t="str">
        <f>""</f>
        <v/>
      </c>
      <c r="EZ300" t="str">
        <f>""</f>
        <v/>
      </c>
      <c r="FA300" t="str">
        <f>""</f>
        <v/>
      </c>
      <c r="FB300" t="str">
        <f>""</f>
        <v/>
      </c>
      <c r="FC300" t="str">
        <f>""</f>
        <v/>
      </c>
      <c r="FD300" t="str">
        <f>""</f>
        <v/>
      </c>
      <c r="FE300" t="str">
        <f>""</f>
        <v/>
      </c>
      <c r="FF300" t="str">
        <f>""</f>
        <v/>
      </c>
      <c r="FG300" t="str">
        <f>""</f>
        <v/>
      </c>
      <c r="FH300" t="str">
        <f>""</f>
        <v/>
      </c>
      <c r="FI300" t="str">
        <f>""</f>
        <v/>
      </c>
      <c r="FJ300" t="str">
        <f>""</f>
        <v/>
      </c>
      <c r="FK300" t="str">
        <f>""</f>
        <v/>
      </c>
      <c r="FL300" t="str">
        <f>""</f>
        <v/>
      </c>
      <c r="FM300" t="str">
        <f>""</f>
        <v/>
      </c>
      <c r="FN300" t="str">
        <f>""</f>
        <v/>
      </c>
      <c r="FO300" t="str">
        <f>""</f>
        <v/>
      </c>
      <c r="FP300" t="str">
        <f>""</f>
        <v/>
      </c>
      <c r="FQ300" t="str">
        <f>""</f>
        <v/>
      </c>
      <c r="FR300" t="str">
        <f>""</f>
        <v/>
      </c>
      <c r="FS300" t="str">
        <f>""</f>
        <v/>
      </c>
      <c r="FT300" t="str">
        <f>""</f>
        <v/>
      </c>
      <c r="FU300" t="str">
        <f>""</f>
        <v/>
      </c>
      <c r="FV300" t="str">
        <f>""</f>
        <v/>
      </c>
      <c r="FW300" t="str">
        <f>""</f>
        <v/>
      </c>
      <c r="FX300" t="str">
        <f>""</f>
        <v/>
      </c>
      <c r="FY300" t="str">
        <f>""</f>
        <v/>
      </c>
      <c r="FZ300" t="str">
        <f>""</f>
        <v/>
      </c>
      <c r="GA300" t="str">
        <f>""</f>
        <v/>
      </c>
      <c r="GB300" t="str">
        <f>""</f>
        <v/>
      </c>
      <c r="GC300" t="str">
        <f>""</f>
        <v/>
      </c>
      <c r="GD300" t="str">
        <f>""</f>
        <v/>
      </c>
      <c r="GE300" t="str">
        <f>""</f>
        <v/>
      </c>
      <c r="GF300" t="str">
        <f>""</f>
        <v/>
      </c>
      <c r="GG300" t="str">
        <f>""</f>
        <v/>
      </c>
      <c r="GH300" t="str">
        <f>""</f>
        <v/>
      </c>
      <c r="GI300" t="str">
        <f>""</f>
        <v/>
      </c>
      <c r="GJ300" t="str">
        <f>""</f>
        <v/>
      </c>
      <c r="GK300" t="str">
        <f>""</f>
        <v/>
      </c>
      <c r="GL300" t="str">
        <f>""</f>
        <v/>
      </c>
      <c r="GM300" t="str">
        <f>""</f>
        <v/>
      </c>
      <c r="GN300" t="str">
        <f>""</f>
        <v/>
      </c>
      <c r="GO300" t="str">
        <f>""</f>
        <v/>
      </c>
      <c r="GP300" t="str">
        <f>""</f>
        <v/>
      </c>
      <c r="GQ300" t="str">
        <f>""</f>
        <v/>
      </c>
      <c r="GR300" t="str">
        <f>""</f>
        <v/>
      </c>
      <c r="GS300" t="str">
        <f>""</f>
        <v/>
      </c>
      <c r="GT300" t="str">
        <f>""</f>
        <v/>
      </c>
      <c r="GU300" t="str">
        <f>""</f>
        <v/>
      </c>
      <c r="GV300" t="str">
        <f>""</f>
        <v/>
      </c>
      <c r="GW300" t="str">
        <f>""</f>
        <v/>
      </c>
      <c r="GX300" t="str">
        <f>""</f>
        <v/>
      </c>
      <c r="GY300" t="str">
        <f>""</f>
        <v/>
      </c>
      <c r="GZ300" t="str">
        <f>""</f>
        <v/>
      </c>
      <c r="HA300" t="str">
        <f>"0.255*"</f>
        <v>0.255*</v>
      </c>
      <c r="HB300" t="str">
        <f>"0.0896"</f>
        <v>0.0896</v>
      </c>
      <c r="HC300" t="str">
        <f>"0.00901"</f>
        <v>0.00901</v>
      </c>
      <c r="HD300" t="str">
        <f>""</f>
        <v/>
      </c>
      <c r="HE300" t="str">
        <f>""</f>
        <v/>
      </c>
      <c r="HF300" t="str">
        <f>""</f>
        <v/>
      </c>
      <c r="HG300" t="str">
        <f>""</f>
        <v/>
      </c>
      <c r="HH300" t="str">
        <f>""</f>
        <v/>
      </c>
      <c r="HI300" t="str">
        <f>""</f>
        <v/>
      </c>
      <c r="HJ300" t="str">
        <f>""</f>
        <v/>
      </c>
      <c r="HK300" t="str">
        <f>""</f>
        <v/>
      </c>
      <c r="HL300" t="str">
        <f>""</f>
        <v/>
      </c>
      <c r="HM300" t="str">
        <f>""</f>
        <v/>
      </c>
      <c r="HN300" t="str">
        <f>""</f>
        <v/>
      </c>
      <c r="HO300" t="str">
        <f>""</f>
        <v/>
      </c>
      <c r="HP300" t="str">
        <f>""</f>
        <v/>
      </c>
      <c r="HQ300" t="str">
        <f>""</f>
        <v/>
      </c>
      <c r="HR300" t="str">
        <f>""</f>
        <v/>
      </c>
      <c r="HS300" t="str">
        <f>""</f>
        <v/>
      </c>
      <c r="HT300" t="str">
        <f>""</f>
        <v/>
      </c>
      <c r="HU300" t="str">
        <f>""</f>
        <v/>
      </c>
      <c r="HV300" t="str">
        <f>""</f>
        <v/>
      </c>
      <c r="HW300" t="str">
        <f>""</f>
        <v/>
      </c>
      <c r="HX300" t="str">
        <f>""</f>
        <v/>
      </c>
      <c r="HY300" t="str">
        <f>""</f>
        <v/>
      </c>
      <c r="HZ300" t="str">
        <f>""</f>
        <v/>
      </c>
      <c r="IA300" t="str">
        <f>""</f>
        <v/>
      </c>
      <c r="IB300" t="str">
        <f>""</f>
        <v/>
      </c>
      <c r="IC300" t="str">
        <f>""</f>
        <v/>
      </c>
      <c r="ID300" t="str">
        <f>""</f>
        <v/>
      </c>
      <c r="IE300" t="str">
        <f>""</f>
        <v/>
      </c>
      <c r="IF300" t="str">
        <f>""</f>
        <v/>
      </c>
      <c r="IG300" t="str">
        <f>""</f>
        <v/>
      </c>
      <c r="IH300" t="str">
        <f>""</f>
        <v/>
      </c>
      <c r="II300" t="str">
        <f>""</f>
        <v/>
      </c>
      <c r="IJ300" t="str">
        <f>""</f>
        <v/>
      </c>
      <c r="IK300" t="str">
        <f>""</f>
        <v/>
      </c>
      <c r="IL300" t="str">
        <f>""</f>
        <v/>
      </c>
      <c r="IM300" t="str">
        <f>""</f>
        <v/>
      </c>
      <c r="IN300" t="str">
        <f>""</f>
        <v/>
      </c>
      <c r="IO300" t="str">
        <f>""</f>
        <v/>
      </c>
      <c r="IP300" t="str">
        <f>""</f>
        <v/>
      </c>
      <c r="IQ300" t="str">
        <f>""</f>
        <v/>
      </c>
      <c r="IR300" t="str">
        <f>""</f>
        <v/>
      </c>
      <c r="IS300" t="str">
        <f>""</f>
        <v/>
      </c>
      <c r="IT300" t="str">
        <f>""</f>
        <v/>
      </c>
      <c r="IU300" t="str">
        <f>""</f>
        <v/>
      </c>
      <c r="IV300" t="str">
        <f>""</f>
        <v/>
      </c>
      <c r="IW300" t="str">
        <f>""</f>
        <v/>
      </c>
      <c r="IX300" t="str">
        <f>""</f>
        <v/>
      </c>
      <c r="IY300" t="str">
        <f>""</f>
        <v/>
      </c>
      <c r="IZ300" t="str">
        <f>""</f>
        <v/>
      </c>
      <c r="JA300" t="str">
        <f>""</f>
        <v/>
      </c>
      <c r="JB300" t="str">
        <f>""</f>
        <v/>
      </c>
      <c r="JC300" t="str">
        <f>""</f>
        <v/>
      </c>
      <c r="JD300" t="str">
        <f>""</f>
        <v/>
      </c>
      <c r="JE300" t="str">
        <f>""</f>
        <v/>
      </c>
      <c r="JF300" t="str">
        <f>""</f>
        <v/>
      </c>
      <c r="JG300" t="str">
        <f>""</f>
        <v/>
      </c>
      <c r="JH300" t="str">
        <f>""</f>
        <v/>
      </c>
      <c r="JI300" t="str">
        <f>""</f>
        <v/>
      </c>
      <c r="JJ300" t="str">
        <f>""</f>
        <v/>
      </c>
      <c r="JK300" t="str">
        <f>""</f>
        <v/>
      </c>
    </row>
    <row r="301" spans="1:271" x14ac:dyDescent="0.3">
      <c r="A301" t="str">
        <f>""</f>
        <v/>
      </c>
      <c r="B301" t="str">
        <f>""</f>
        <v/>
      </c>
      <c r="C301" t="str">
        <f>""</f>
        <v/>
      </c>
      <c r="D301" t="str">
        <f>""</f>
        <v/>
      </c>
      <c r="E301" t="str">
        <f>""</f>
        <v/>
      </c>
      <c r="F301" t="str">
        <f>""</f>
        <v/>
      </c>
      <c r="G301" t="str">
        <f>""</f>
        <v/>
      </c>
      <c r="H301" t="str">
        <f>""</f>
        <v/>
      </c>
      <c r="I301" t="str">
        <f>""</f>
        <v/>
      </c>
      <c r="J301" t="str">
        <f>""</f>
        <v/>
      </c>
      <c r="K301" t="str">
        <f>""</f>
        <v/>
      </c>
      <c r="L301" t="str">
        <f>""</f>
        <v/>
      </c>
      <c r="M301" t="str">
        <f>""</f>
        <v/>
      </c>
      <c r="N301" t="str">
        <f>""</f>
        <v/>
      </c>
      <c r="O301" t="str">
        <f>""</f>
        <v/>
      </c>
      <c r="P301" t="str">
        <f>""</f>
        <v/>
      </c>
      <c r="Q301" t="str">
        <f>""</f>
        <v/>
      </c>
      <c r="R301" t="str">
        <f>""</f>
        <v/>
      </c>
      <c r="S301" t="str">
        <f>""</f>
        <v/>
      </c>
      <c r="T301" t="str">
        <f>""</f>
        <v/>
      </c>
      <c r="U301" t="str">
        <f>""</f>
        <v/>
      </c>
      <c r="V301" t="str">
        <f>""</f>
        <v/>
      </c>
      <c r="W301" t="str">
        <f>""</f>
        <v/>
      </c>
      <c r="X301" t="str">
        <f>""</f>
        <v/>
      </c>
      <c r="Y301" t="str">
        <f>""</f>
        <v/>
      </c>
      <c r="Z301" t="str">
        <f>""</f>
        <v/>
      </c>
      <c r="AA301" t="str">
        <f>""</f>
        <v/>
      </c>
      <c r="AB301" t="str">
        <f>""</f>
        <v/>
      </c>
      <c r="AC301" t="str">
        <f>""</f>
        <v/>
      </c>
      <c r="AD301" t="str">
        <f>""</f>
        <v/>
      </c>
      <c r="AE301" t="str">
        <f>""</f>
        <v/>
      </c>
      <c r="AF301" t="str">
        <f>""</f>
        <v/>
      </c>
      <c r="AG301" t="str">
        <f>""</f>
        <v/>
      </c>
      <c r="AH301" t="str">
        <f>""</f>
        <v/>
      </c>
      <c r="AI301" t="str">
        <f>""</f>
        <v/>
      </c>
      <c r="AJ301" t="str">
        <f>""</f>
        <v/>
      </c>
      <c r="AK301" t="str">
        <f>""</f>
        <v/>
      </c>
      <c r="AL301" t="str">
        <f>""</f>
        <v/>
      </c>
      <c r="AM301" t="str">
        <f>""</f>
        <v/>
      </c>
      <c r="AN301" t="str">
        <f>""</f>
        <v/>
      </c>
      <c r="AO301" t="str">
        <f>""</f>
        <v/>
      </c>
      <c r="AP301" t="str">
        <f>""</f>
        <v/>
      </c>
      <c r="AQ301" t="str">
        <f>""</f>
        <v/>
      </c>
      <c r="AR301" t="str">
        <f>""</f>
        <v/>
      </c>
      <c r="AS301" t="str">
        <f>""</f>
        <v/>
      </c>
      <c r="AT301" t="str">
        <f>""</f>
        <v/>
      </c>
      <c r="AU301" t="str">
        <f>""</f>
        <v/>
      </c>
      <c r="AV301" t="str">
        <f>""</f>
        <v/>
      </c>
      <c r="AW301" t="str">
        <f>""</f>
        <v/>
      </c>
      <c r="AX301" t="str">
        <f>""</f>
        <v/>
      </c>
      <c r="AY301" t="str">
        <f>""</f>
        <v/>
      </c>
      <c r="AZ301" t="str">
        <f>""</f>
        <v/>
      </c>
      <c r="BA301" t="str">
        <f>""</f>
        <v/>
      </c>
      <c r="BB301" t="str">
        <f>""</f>
        <v/>
      </c>
      <c r="BC301" t="str">
        <f>""</f>
        <v/>
      </c>
      <c r="BD301" t="str">
        <f>""</f>
        <v/>
      </c>
      <c r="BE301" t="str">
        <f>""</f>
        <v/>
      </c>
      <c r="BF301" t="str">
        <f>""</f>
        <v/>
      </c>
      <c r="BG301" t="str">
        <f>""</f>
        <v/>
      </c>
      <c r="BH301" t="str">
        <f>""</f>
        <v/>
      </c>
      <c r="BI301" t="str">
        <f>""</f>
        <v/>
      </c>
      <c r="BJ301" t="str">
        <f>""</f>
        <v/>
      </c>
      <c r="BK301" t="str">
        <f>""</f>
        <v/>
      </c>
      <c r="BL301" t="str">
        <f>""</f>
        <v/>
      </c>
      <c r="BM301" t="str">
        <f>""</f>
        <v/>
      </c>
      <c r="BN301" t="str">
        <f>""</f>
        <v/>
      </c>
      <c r="BO301" t="str">
        <f>""</f>
        <v/>
      </c>
      <c r="BP301" t="str">
        <f>""</f>
        <v/>
      </c>
      <c r="BQ301" t="str">
        <f>""</f>
        <v/>
      </c>
      <c r="BR301" t="str">
        <f>""</f>
        <v/>
      </c>
      <c r="BS301" t="str">
        <f>""</f>
        <v/>
      </c>
      <c r="BT301" t="str">
        <f>""</f>
        <v/>
      </c>
      <c r="BU301" t="str">
        <f>""</f>
        <v/>
      </c>
      <c r="BV301" t="str">
        <f>""</f>
        <v/>
      </c>
      <c r="BW301" t="str">
        <f>""</f>
        <v/>
      </c>
      <c r="BX301" t="str">
        <f>""</f>
        <v/>
      </c>
      <c r="BY301" t="str">
        <f>""</f>
        <v/>
      </c>
      <c r="BZ301" t="str">
        <f>""</f>
        <v/>
      </c>
      <c r="CA301" t="str">
        <f>""</f>
        <v/>
      </c>
      <c r="CB301" t="str">
        <f>""</f>
        <v/>
      </c>
      <c r="CC301" t="str">
        <f>""</f>
        <v/>
      </c>
      <c r="CD301" t="str">
        <f>""</f>
        <v/>
      </c>
      <c r="CE301" t="str">
        <f>""</f>
        <v/>
      </c>
      <c r="CF301" t="str">
        <f>""</f>
        <v/>
      </c>
      <c r="CG301" t="str">
        <f>""</f>
        <v/>
      </c>
      <c r="CH301" t="str">
        <f>""</f>
        <v/>
      </c>
      <c r="CI301" t="str">
        <f>""</f>
        <v/>
      </c>
      <c r="CJ301" t="str">
        <f>""</f>
        <v/>
      </c>
      <c r="CK301" t="str">
        <f>""</f>
        <v/>
      </c>
      <c r="CL301" t="str">
        <f>""</f>
        <v/>
      </c>
      <c r="CM301" t="str">
        <f>""</f>
        <v/>
      </c>
      <c r="CN301" t="str">
        <f>""</f>
        <v/>
      </c>
      <c r="CO301" t="str">
        <f>""</f>
        <v/>
      </c>
      <c r="CP301" t="str">
        <f>""</f>
        <v/>
      </c>
      <c r="CQ301" t="str">
        <f>""</f>
        <v/>
      </c>
      <c r="CR301" t="str">
        <f>""</f>
        <v/>
      </c>
      <c r="CS301" t="str">
        <f>""</f>
        <v/>
      </c>
      <c r="CT301" t="str">
        <f>""</f>
        <v/>
      </c>
      <c r="CU301" t="str">
        <f>""</f>
        <v/>
      </c>
      <c r="CV301" t="str">
        <f>""</f>
        <v/>
      </c>
      <c r="CW301" t="str">
        <f>""</f>
        <v/>
      </c>
      <c r="CX301" t="str">
        <f>""</f>
        <v/>
      </c>
      <c r="CY301" t="str">
        <f>""</f>
        <v/>
      </c>
      <c r="CZ301" t="str">
        <f>""</f>
        <v/>
      </c>
      <c r="DA301" t="str">
        <f>""</f>
        <v/>
      </c>
      <c r="DB301" t="str">
        <f>""</f>
        <v/>
      </c>
      <c r="DC301" t="str">
        <f>""</f>
        <v/>
      </c>
      <c r="DD301" t="str">
        <f>""</f>
        <v/>
      </c>
      <c r="DE301" t="str">
        <f>""</f>
        <v/>
      </c>
      <c r="DF301" t="str">
        <f>""</f>
        <v/>
      </c>
      <c r="DG301" t="str">
        <f>""</f>
        <v/>
      </c>
      <c r="DH301" t="str">
        <f>""</f>
        <v/>
      </c>
      <c r="DI301" t="str">
        <f>""</f>
        <v/>
      </c>
      <c r="DJ301" t="str">
        <f>""</f>
        <v/>
      </c>
      <c r="DK301" t="str">
        <f>""</f>
        <v/>
      </c>
      <c r="DL301" t="str">
        <f>""</f>
        <v/>
      </c>
      <c r="DM301" t="str">
        <f>""</f>
        <v/>
      </c>
      <c r="DN301" t="str">
        <f>""</f>
        <v/>
      </c>
      <c r="DO301" t="str">
        <f>""</f>
        <v/>
      </c>
      <c r="DP301" t="str">
        <f>""</f>
        <v/>
      </c>
      <c r="DQ301" t="str">
        <f>""</f>
        <v/>
      </c>
      <c r="DR301" t="str">
        <f>""</f>
        <v/>
      </c>
      <c r="DS301" t="str">
        <f>""</f>
        <v/>
      </c>
      <c r="DT301" t="str">
        <f>""</f>
        <v/>
      </c>
      <c r="DU301" t="str">
        <f>""</f>
        <v/>
      </c>
      <c r="DV301" t="str">
        <f>""</f>
        <v/>
      </c>
      <c r="DW301" t="str">
        <f>""</f>
        <v/>
      </c>
      <c r="DX301" t="str">
        <f>""</f>
        <v/>
      </c>
      <c r="DY301" t="str">
        <f>""</f>
        <v/>
      </c>
      <c r="DZ301" t="str">
        <f>""</f>
        <v/>
      </c>
      <c r="EA301" t="str">
        <f>""</f>
        <v/>
      </c>
      <c r="EB301" t="str">
        <f>""</f>
        <v/>
      </c>
      <c r="EC301" t="str">
        <f>""</f>
        <v/>
      </c>
      <c r="ED301" t="str">
        <f>""</f>
        <v/>
      </c>
      <c r="EE301" t="str">
        <f>""</f>
        <v/>
      </c>
      <c r="EF301" t="str">
        <f>""</f>
        <v/>
      </c>
      <c r="EG301" t="str">
        <f>""</f>
        <v/>
      </c>
      <c r="EH301" t="str">
        <f>""</f>
        <v/>
      </c>
      <c r="EI301" t="str">
        <f>""</f>
        <v/>
      </c>
      <c r="EJ301" t="str">
        <f>""</f>
        <v/>
      </c>
      <c r="EK301" t="str">
        <f>""</f>
        <v/>
      </c>
      <c r="EL301" t="str">
        <f>""</f>
        <v/>
      </c>
      <c r="EM301" t="str">
        <f>""</f>
        <v/>
      </c>
      <c r="EN301" t="str">
        <f>""</f>
        <v/>
      </c>
      <c r="EO301" t="str">
        <f>""</f>
        <v/>
      </c>
      <c r="EP301" t="str">
        <f>""</f>
        <v/>
      </c>
      <c r="EQ301" t="str">
        <f>""</f>
        <v/>
      </c>
      <c r="ER301" t="str">
        <f>""</f>
        <v/>
      </c>
      <c r="ES301" t="str">
        <f>""</f>
        <v/>
      </c>
      <c r="ET301" t="str">
        <f>""</f>
        <v/>
      </c>
      <c r="EU301" t="str">
        <f>""</f>
        <v/>
      </c>
      <c r="EV301" t="str">
        <f>""</f>
        <v/>
      </c>
      <c r="EW301" t="str">
        <f>""</f>
        <v/>
      </c>
      <c r="EX301" t="str">
        <f>""</f>
        <v/>
      </c>
      <c r="EY301" t="str">
        <f>""</f>
        <v/>
      </c>
      <c r="EZ301" t="str">
        <f>""</f>
        <v/>
      </c>
      <c r="FA301" t="str">
        <f>""</f>
        <v/>
      </c>
      <c r="FB301" t="str">
        <f>""</f>
        <v/>
      </c>
      <c r="FC301" t="str">
        <f>""</f>
        <v/>
      </c>
      <c r="FD301" t="str">
        <f>""</f>
        <v/>
      </c>
      <c r="FE301" t="str">
        <f>""</f>
        <v/>
      </c>
      <c r="FF301" t="str">
        <f>""</f>
        <v/>
      </c>
      <c r="FG301" t="str">
        <f>""</f>
        <v/>
      </c>
      <c r="FH301" t="str">
        <f>""</f>
        <v/>
      </c>
      <c r="FI301" t="str">
        <f>""</f>
        <v/>
      </c>
      <c r="FJ301" t="str">
        <f>""</f>
        <v/>
      </c>
      <c r="FK301" t="str">
        <f>""</f>
        <v/>
      </c>
      <c r="FL301" t="str">
        <f>""</f>
        <v/>
      </c>
      <c r="FM301" t="str">
        <f>""</f>
        <v/>
      </c>
      <c r="FN301" t="str">
        <f>""</f>
        <v/>
      </c>
      <c r="FO301" t="str">
        <f>""</f>
        <v/>
      </c>
      <c r="FP301" t="str">
        <f>""</f>
        <v/>
      </c>
      <c r="FQ301" t="str">
        <f>""</f>
        <v/>
      </c>
      <c r="FR301" t="str">
        <f>""</f>
        <v/>
      </c>
      <c r="FS301" t="str">
        <f>""</f>
        <v/>
      </c>
      <c r="FT301" t="str">
        <f>""</f>
        <v/>
      </c>
      <c r="FU301" t="str">
        <f>""</f>
        <v/>
      </c>
      <c r="FV301" t="str">
        <f>""</f>
        <v/>
      </c>
      <c r="FW301" t="str">
        <f>""</f>
        <v/>
      </c>
      <c r="FX301" t="str">
        <f>""</f>
        <v/>
      </c>
      <c r="FY301" t="str">
        <f>""</f>
        <v/>
      </c>
      <c r="FZ301" t="str">
        <f>""</f>
        <v/>
      </c>
      <c r="GA301" t="str">
        <f>""</f>
        <v/>
      </c>
      <c r="GB301" t="str">
        <f>""</f>
        <v/>
      </c>
      <c r="GC301" t="str">
        <f>""</f>
        <v/>
      </c>
      <c r="GD301" t="str">
        <f>""</f>
        <v/>
      </c>
      <c r="GE301" t="str">
        <f>""</f>
        <v/>
      </c>
      <c r="GF301" t="str">
        <f>""</f>
        <v/>
      </c>
      <c r="GG301" t="str">
        <f>""</f>
        <v/>
      </c>
      <c r="GH301" t="str">
        <f>""</f>
        <v/>
      </c>
      <c r="GI301" t="str">
        <f>""</f>
        <v/>
      </c>
      <c r="GJ301" t="str">
        <f>""</f>
        <v/>
      </c>
      <c r="GK301" t="str">
        <f>""</f>
        <v/>
      </c>
      <c r="GL301" t="str">
        <f>""</f>
        <v/>
      </c>
      <c r="GM301" t="str">
        <f>""</f>
        <v/>
      </c>
      <c r="GN301" t="str">
        <f>""</f>
        <v/>
      </c>
      <c r="GO301" t="str">
        <f>""</f>
        <v/>
      </c>
      <c r="GP301" t="str">
        <f>""</f>
        <v/>
      </c>
      <c r="GQ301" t="str">
        <f>""</f>
        <v/>
      </c>
      <c r="GR301" t="str">
        <f>""</f>
        <v/>
      </c>
      <c r="GS301" t="str">
        <f>""</f>
        <v/>
      </c>
      <c r="GT301" t="str">
        <f>""</f>
        <v/>
      </c>
      <c r="GU301" t="str">
        <f>""</f>
        <v/>
      </c>
      <c r="GV301" t="str">
        <f>""</f>
        <v/>
      </c>
      <c r="GW301" t="str">
        <f>""</f>
        <v/>
      </c>
      <c r="GX301" t="str">
        <f>""</f>
        <v/>
      </c>
      <c r="GY301" t="str">
        <f>""</f>
        <v/>
      </c>
      <c r="GZ301" t="str">
        <f>""</f>
        <v/>
      </c>
      <c r="HA301" t="str">
        <f>"(0.102)"</f>
        <v>(0.102)</v>
      </c>
      <c r="HB301" t="str">
        <f>"(0.0826)"</f>
        <v>(0.0826)</v>
      </c>
      <c r="HC301" t="str">
        <f>"(0.0436)"</f>
        <v>(0.0436)</v>
      </c>
      <c r="HD301" t="str">
        <f>""</f>
        <v/>
      </c>
      <c r="HE301" t="str">
        <f>""</f>
        <v/>
      </c>
      <c r="HF301" t="str">
        <f>""</f>
        <v/>
      </c>
      <c r="HG301" t="str">
        <f>""</f>
        <v/>
      </c>
      <c r="HH301" t="str">
        <f>""</f>
        <v/>
      </c>
      <c r="HI301" t="str">
        <f>""</f>
        <v/>
      </c>
      <c r="HJ301" t="str">
        <f>""</f>
        <v/>
      </c>
      <c r="HK301" t="str">
        <f>""</f>
        <v/>
      </c>
      <c r="HL301" t="str">
        <f>""</f>
        <v/>
      </c>
      <c r="HM301" t="str">
        <f>""</f>
        <v/>
      </c>
      <c r="HN301" t="str">
        <f>""</f>
        <v/>
      </c>
      <c r="HO301" t="str">
        <f>""</f>
        <v/>
      </c>
      <c r="HP301" t="str">
        <f>""</f>
        <v/>
      </c>
      <c r="HQ301" t="str">
        <f>""</f>
        <v/>
      </c>
      <c r="HR301" t="str">
        <f>""</f>
        <v/>
      </c>
      <c r="HS301" t="str">
        <f>""</f>
        <v/>
      </c>
      <c r="HT301" t="str">
        <f>""</f>
        <v/>
      </c>
      <c r="HU301" t="str">
        <f>""</f>
        <v/>
      </c>
      <c r="HV301" t="str">
        <f>""</f>
        <v/>
      </c>
      <c r="HW301" t="str">
        <f>""</f>
        <v/>
      </c>
      <c r="HX301" t="str">
        <f>""</f>
        <v/>
      </c>
      <c r="HY301" t="str">
        <f>""</f>
        <v/>
      </c>
      <c r="HZ301" t="str">
        <f>""</f>
        <v/>
      </c>
      <c r="IA301" t="str">
        <f>""</f>
        <v/>
      </c>
      <c r="IB301" t="str">
        <f>""</f>
        <v/>
      </c>
      <c r="IC301" t="str">
        <f>""</f>
        <v/>
      </c>
      <c r="ID301" t="str">
        <f>""</f>
        <v/>
      </c>
      <c r="IE301" t="str">
        <f>""</f>
        <v/>
      </c>
      <c r="IF301" t="str">
        <f>""</f>
        <v/>
      </c>
      <c r="IG301" t="str">
        <f>""</f>
        <v/>
      </c>
      <c r="IH301" t="str">
        <f>""</f>
        <v/>
      </c>
      <c r="II301" t="str">
        <f>""</f>
        <v/>
      </c>
      <c r="IJ301" t="str">
        <f>""</f>
        <v/>
      </c>
      <c r="IK301" t="str">
        <f>""</f>
        <v/>
      </c>
      <c r="IL301" t="str">
        <f>""</f>
        <v/>
      </c>
      <c r="IM301" t="str">
        <f>""</f>
        <v/>
      </c>
      <c r="IN301" t="str">
        <f>""</f>
        <v/>
      </c>
      <c r="IO301" t="str">
        <f>""</f>
        <v/>
      </c>
      <c r="IP301" t="str">
        <f>""</f>
        <v/>
      </c>
      <c r="IQ301" t="str">
        <f>""</f>
        <v/>
      </c>
      <c r="IR301" t="str">
        <f>""</f>
        <v/>
      </c>
      <c r="IS301" t="str">
        <f>""</f>
        <v/>
      </c>
      <c r="IT301" t="str">
        <f>""</f>
        <v/>
      </c>
      <c r="IU301" t="str">
        <f>""</f>
        <v/>
      </c>
      <c r="IV301" t="str">
        <f>""</f>
        <v/>
      </c>
      <c r="IW301" t="str">
        <f>""</f>
        <v/>
      </c>
      <c r="IX301" t="str">
        <f>""</f>
        <v/>
      </c>
      <c r="IY301" t="str">
        <f>""</f>
        <v/>
      </c>
      <c r="IZ301" t="str">
        <f>""</f>
        <v/>
      </c>
      <c r="JA301" t="str">
        <f>""</f>
        <v/>
      </c>
      <c r="JB301" t="str">
        <f>""</f>
        <v/>
      </c>
      <c r="JC301" t="str">
        <f>""</f>
        <v/>
      </c>
      <c r="JD301" t="str">
        <f>""</f>
        <v/>
      </c>
      <c r="JE301" t="str">
        <f>""</f>
        <v/>
      </c>
      <c r="JF301" t="str">
        <f>""</f>
        <v/>
      </c>
      <c r="JG301" t="str">
        <f>""</f>
        <v/>
      </c>
      <c r="JH301" t="str">
        <f>""</f>
        <v/>
      </c>
      <c r="JI301" t="str">
        <f>""</f>
        <v/>
      </c>
      <c r="JJ301" t="str">
        <f>""</f>
        <v/>
      </c>
      <c r="JK301" t="str">
        <f>""</f>
        <v/>
      </c>
    </row>
    <row r="303" spans="1:271" x14ac:dyDescent="0.3">
      <c r="A303" t="str">
        <f>"c.zMETAB11#c.PM5"</f>
        <v>c.zMETAB11#c.PM5</v>
      </c>
      <c r="B303" t="str">
        <f>""</f>
        <v/>
      </c>
      <c r="C303" t="str">
        <f>""</f>
        <v/>
      </c>
      <c r="D303" t="str">
        <f>""</f>
        <v/>
      </c>
      <c r="E303" t="str">
        <f>""</f>
        <v/>
      </c>
      <c r="F303" t="str">
        <f>""</f>
        <v/>
      </c>
      <c r="G303" t="str">
        <f>""</f>
        <v/>
      </c>
      <c r="H303" t="str">
        <f>""</f>
        <v/>
      </c>
      <c r="I303" t="str">
        <f>""</f>
        <v/>
      </c>
      <c r="J303" t="str">
        <f>""</f>
        <v/>
      </c>
      <c r="K303" t="str">
        <f>""</f>
        <v/>
      </c>
      <c r="L303" t="str">
        <f>""</f>
        <v/>
      </c>
      <c r="M303" t="str">
        <f>""</f>
        <v/>
      </c>
      <c r="N303" t="str">
        <f>""</f>
        <v/>
      </c>
      <c r="O303" t="str">
        <f>""</f>
        <v/>
      </c>
      <c r="P303" t="str">
        <f>""</f>
        <v/>
      </c>
      <c r="Q303" t="str">
        <f>""</f>
        <v/>
      </c>
      <c r="R303" t="str">
        <f>""</f>
        <v/>
      </c>
      <c r="S303" t="str">
        <f>""</f>
        <v/>
      </c>
      <c r="T303" t="str">
        <f>""</f>
        <v/>
      </c>
      <c r="U303" t="str">
        <f>""</f>
        <v/>
      </c>
      <c r="V303" t="str">
        <f>""</f>
        <v/>
      </c>
      <c r="W303" t="str">
        <f>""</f>
        <v/>
      </c>
      <c r="X303" t="str">
        <f>""</f>
        <v/>
      </c>
      <c r="Y303" t="str">
        <f>""</f>
        <v/>
      </c>
      <c r="Z303" t="str">
        <f>""</f>
        <v/>
      </c>
      <c r="AA303" t="str">
        <f>""</f>
        <v/>
      </c>
      <c r="AB303" t="str">
        <f>""</f>
        <v/>
      </c>
      <c r="AC303" t="str">
        <f>""</f>
        <v/>
      </c>
      <c r="AD303" t="str">
        <f>""</f>
        <v/>
      </c>
      <c r="AE303" t="str">
        <f>""</f>
        <v/>
      </c>
      <c r="AF303" t="str">
        <f>""</f>
        <v/>
      </c>
      <c r="AG303" t="str">
        <f>""</f>
        <v/>
      </c>
      <c r="AH303" t="str">
        <f>""</f>
        <v/>
      </c>
      <c r="AI303" t="str">
        <f>""</f>
        <v/>
      </c>
      <c r="AJ303" t="str">
        <f>""</f>
        <v/>
      </c>
      <c r="AK303" t="str">
        <f>""</f>
        <v/>
      </c>
      <c r="AL303" t="str">
        <f>""</f>
        <v/>
      </c>
      <c r="AM303" t="str">
        <f>""</f>
        <v/>
      </c>
      <c r="AN303" t="str">
        <f>""</f>
        <v/>
      </c>
      <c r="AO303" t="str">
        <f>""</f>
        <v/>
      </c>
      <c r="AP303" t="str">
        <f>""</f>
        <v/>
      </c>
      <c r="AQ303" t="str">
        <f>""</f>
        <v/>
      </c>
      <c r="AR303" t="str">
        <f>""</f>
        <v/>
      </c>
      <c r="AS303" t="str">
        <f>""</f>
        <v/>
      </c>
      <c r="AT303" t="str">
        <f>""</f>
        <v/>
      </c>
      <c r="AU303" t="str">
        <f>""</f>
        <v/>
      </c>
      <c r="AV303" t="str">
        <f>""</f>
        <v/>
      </c>
      <c r="AW303" t="str">
        <f>""</f>
        <v/>
      </c>
      <c r="AX303" t="str">
        <f>""</f>
        <v/>
      </c>
      <c r="AY303" t="str">
        <f>""</f>
        <v/>
      </c>
      <c r="AZ303" t="str">
        <f>""</f>
        <v/>
      </c>
      <c r="BA303" t="str">
        <f>""</f>
        <v/>
      </c>
      <c r="BB303" t="str">
        <f>""</f>
        <v/>
      </c>
      <c r="BC303" t="str">
        <f>""</f>
        <v/>
      </c>
      <c r="BD303" t="str">
        <f>""</f>
        <v/>
      </c>
      <c r="BE303" t="str">
        <f>""</f>
        <v/>
      </c>
      <c r="BF303" t="str">
        <f>""</f>
        <v/>
      </c>
      <c r="BG303" t="str">
        <f>""</f>
        <v/>
      </c>
      <c r="BH303" t="str">
        <f>""</f>
        <v/>
      </c>
      <c r="BI303" t="str">
        <f>""</f>
        <v/>
      </c>
      <c r="BJ303" t="str">
        <f>""</f>
        <v/>
      </c>
      <c r="BK303" t="str">
        <f>""</f>
        <v/>
      </c>
      <c r="BL303" t="str">
        <f>""</f>
        <v/>
      </c>
      <c r="BM303" t="str">
        <f>""</f>
        <v/>
      </c>
      <c r="BN303" t="str">
        <f>""</f>
        <v/>
      </c>
      <c r="BO303" t="str">
        <f>""</f>
        <v/>
      </c>
      <c r="BP303" t="str">
        <f>""</f>
        <v/>
      </c>
      <c r="BQ303" t="str">
        <f>""</f>
        <v/>
      </c>
      <c r="BR303" t="str">
        <f>""</f>
        <v/>
      </c>
      <c r="BS303" t="str">
        <f>""</f>
        <v/>
      </c>
      <c r="BT303" t="str">
        <f>""</f>
        <v/>
      </c>
      <c r="BU303" t="str">
        <f>""</f>
        <v/>
      </c>
      <c r="BV303" t="str">
        <f>""</f>
        <v/>
      </c>
      <c r="BW303" t="str">
        <f>""</f>
        <v/>
      </c>
      <c r="BX303" t="str">
        <f>""</f>
        <v/>
      </c>
      <c r="BY303" t="str">
        <f>""</f>
        <v/>
      </c>
      <c r="BZ303" t="str">
        <f>""</f>
        <v/>
      </c>
      <c r="CA303" t="str">
        <f>""</f>
        <v/>
      </c>
      <c r="CB303" t="str">
        <f>""</f>
        <v/>
      </c>
      <c r="CC303" t="str">
        <f>""</f>
        <v/>
      </c>
      <c r="CD303" t="str">
        <f>""</f>
        <v/>
      </c>
      <c r="CE303" t="str">
        <f>""</f>
        <v/>
      </c>
      <c r="CF303" t="str">
        <f>""</f>
        <v/>
      </c>
      <c r="CG303" t="str">
        <f>""</f>
        <v/>
      </c>
      <c r="CH303" t="str">
        <f>""</f>
        <v/>
      </c>
      <c r="CI303" t="str">
        <f>""</f>
        <v/>
      </c>
      <c r="CJ303" t="str">
        <f>""</f>
        <v/>
      </c>
      <c r="CK303" t="str">
        <f>""</f>
        <v/>
      </c>
      <c r="CL303" t="str">
        <f>""</f>
        <v/>
      </c>
      <c r="CM303" t="str">
        <f>""</f>
        <v/>
      </c>
      <c r="CN303" t="str">
        <f>""</f>
        <v/>
      </c>
      <c r="CO303" t="str">
        <f>""</f>
        <v/>
      </c>
      <c r="CP303" t="str">
        <f>""</f>
        <v/>
      </c>
      <c r="CQ303" t="str">
        <f>""</f>
        <v/>
      </c>
      <c r="CR303" t="str">
        <f>""</f>
        <v/>
      </c>
      <c r="CS303" t="str">
        <f>""</f>
        <v/>
      </c>
      <c r="CT303" t="str">
        <f>""</f>
        <v/>
      </c>
      <c r="CU303" t="str">
        <f>""</f>
        <v/>
      </c>
      <c r="CV303" t="str">
        <f>""</f>
        <v/>
      </c>
      <c r="CW303" t="str">
        <f>""</f>
        <v/>
      </c>
      <c r="CX303" t="str">
        <f>""</f>
        <v/>
      </c>
      <c r="CY303" t="str">
        <f>""</f>
        <v/>
      </c>
      <c r="CZ303" t="str">
        <f>""</f>
        <v/>
      </c>
      <c r="DA303" t="str">
        <f>""</f>
        <v/>
      </c>
      <c r="DB303" t="str">
        <f>""</f>
        <v/>
      </c>
      <c r="DC303" t="str">
        <f>""</f>
        <v/>
      </c>
      <c r="DD303" t="str">
        <f>""</f>
        <v/>
      </c>
      <c r="DE303" t="str">
        <f>""</f>
        <v/>
      </c>
      <c r="DF303" t="str">
        <f>""</f>
        <v/>
      </c>
      <c r="DG303" t="str">
        <f>""</f>
        <v/>
      </c>
      <c r="DH303" t="str">
        <f>""</f>
        <v/>
      </c>
      <c r="DI303" t="str">
        <f>""</f>
        <v/>
      </c>
      <c r="DJ303" t="str">
        <f>""</f>
        <v/>
      </c>
      <c r="DK303" t="str">
        <f>""</f>
        <v/>
      </c>
      <c r="DL303" t="str">
        <f>""</f>
        <v/>
      </c>
      <c r="DM303" t="str">
        <f>""</f>
        <v/>
      </c>
      <c r="DN303" t="str">
        <f>""</f>
        <v/>
      </c>
      <c r="DO303" t="str">
        <f>""</f>
        <v/>
      </c>
      <c r="DP303" t="str">
        <f>""</f>
        <v/>
      </c>
      <c r="DQ303" t="str">
        <f>""</f>
        <v/>
      </c>
      <c r="DR303" t="str">
        <f>""</f>
        <v/>
      </c>
      <c r="DS303" t="str">
        <f>""</f>
        <v/>
      </c>
      <c r="DT303" t="str">
        <f>""</f>
        <v/>
      </c>
      <c r="DU303" t="str">
        <f>""</f>
        <v/>
      </c>
      <c r="DV303" t="str">
        <f>""</f>
        <v/>
      </c>
      <c r="DW303" t="str">
        <f>""</f>
        <v/>
      </c>
      <c r="DX303" t="str">
        <f>""</f>
        <v/>
      </c>
      <c r="DY303" t="str">
        <f>""</f>
        <v/>
      </c>
      <c r="DZ303" t="str">
        <f>""</f>
        <v/>
      </c>
      <c r="EA303" t="str">
        <f>""</f>
        <v/>
      </c>
      <c r="EB303" t="str">
        <f>""</f>
        <v/>
      </c>
      <c r="EC303" t="str">
        <f>""</f>
        <v/>
      </c>
      <c r="ED303" t="str">
        <f>""</f>
        <v/>
      </c>
      <c r="EE303" t="str">
        <f>""</f>
        <v/>
      </c>
      <c r="EF303" t="str">
        <f>""</f>
        <v/>
      </c>
      <c r="EG303" t="str">
        <f>""</f>
        <v/>
      </c>
      <c r="EH303" t="str">
        <f>""</f>
        <v/>
      </c>
      <c r="EI303" t="str">
        <f>""</f>
        <v/>
      </c>
      <c r="EJ303" t="str">
        <f>""</f>
        <v/>
      </c>
      <c r="EK303" t="str">
        <f>""</f>
        <v/>
      </c>
      <c r="EL303" t="str">
        <f>""</f>
        <v/>
      </c>
      <c r="EM303" t="str">
        <f>""</f>
        <v/>
      </c>
      <c r="EN303" t="str">
        <f>""</f>
        <v/>
      </c>
      <c r="EO303" t="str">
        <f>""</f>
        <v/>
      </c>
      <c r="EP303" t="str">
        <f>""</f>
        <v/>
      </c>
      <c r="EQ303" t="str">
        <f>""</f>
        <v/>
      </c>
      <c r="ER303" t="str">
        <f>""</f>
        <v/>
      </c>
      <c r="ES303" t="str">
        <f>""</f>
        <v/>
      </c>
      <c r="ET303" t="str">
        <f>""</f>
        <v/>
      </c>
      <c r="EU303" t="str">
        <f>""</f>
        <v/>
      </c>
      <c r="EV303" t="str">
        <f>""</f>
        <v/>
      </c>
      <c r="EW303" t="str">
        <f>""</f>
        <v/>
      </c>
      <c r="EX303" t="str">
        <f>""</f>
        <v/>
      </c>
      <c r="EY303" t="str">
        <f>""</f>
        <v/>
      </c>
      <c r="EZ303" t="str">
        <f>""</f>
        <v/>
      </c>
      <c r="FA303" t="str">
        <f>""</f>
        <v/>
      </c>
      <c r="FB303" t="str">
        <f>""</f>
        <v/>
      </c>
      <c r="FC303" t="str">
        <f>""</f>
        <v/>
      </c>
      <c r="FD303" t="str">
        <f>""</f>
        <v/>
      </c>
      <c r="FE303" t="str">
        <f>""</f>
        <v/>
      </c>
      <c r="FF303" t="str">
        <f>""</f>
        <v/>
      </c>
      <c r="FG303" t="str">
        <f>""</f>
        <v/>
      </c>
      <c r="FH303" t="str">
        <f>""</f>
        <v/>
      </c>
      <c r="FI303" t="str">
        <f>""</f>
        <v/>
      </c>
      <c r="FJ303" t="str">
        <f>""</f>
        <v/>
      </c>
      <c r="FK303" t="str">
        <f>""</f>
        <v/>
      </c>
      <c r="FL303" t="str">
        <f>""</f>
        <v/>
      </c>
      <c r="FM303" t="str">
        <f>""</f>
        <v/>
      </c>
      <c r="FN303" t="str">
        <f>""</f>
        <v/>
      </c>
      <c r="FO303" t="str">
        <f>""</f>
        <v/>
      </c>
      <c r="FP303" t="str">
        <f>""</f>
        <v/>
      </c>
      <c r="FQ303" t="str">
        <f>""</f>
        <v/>
      </c>
      <c r="FR303" t="str">
        <f>""</f>
        <v/>
      </c>
      <c r="FS303" t="str">
        <f>""</f>
        <v/>
      </c>
      <c r="FT303" t="str">
        <f>""</f>
        <v/>
      </c>
      <c r="FU303" t="str">
        <f>""</f>
        <v/>
      </c>
      <c r="FV303" t="str">
        <f>""</f>
        <v/>
      </c>
      <c r="FW303" t="str">
        <f>""</f>
        <v/>
      </c>
      <c r="FX303" t="str">
        <f>""</f>
        <v/>
      </c>
      <c r="FY303" t="str">
        <f>""</f>
        <v/>
      </c>
      <c r="FZ303" t="str">
        <f>""</f>
        <v/>
      </c>
      <c r="GA303" t="str">
        <f>""</f>
        <v/>
      </c>
      <c r="GB303" t="str">
        <f>""</f>
        <v/>
      </c>
      <c r="GC303" t="str">
        <f>""</f>
        <v/>
      </c>
      <c r="GD303" t="str">
        <f>""</f>
        <v/>
      </c>
      <c r="GE303" t="str">
        <f>""</f>
        <v/>
      </c>
      <c r="GF303" t="str">
        <f>""</f>
        <v/>
      </c>
      <c r="GG303" t="str">
        <f>""</f>
        <v/>
      </c>
      <c r="GH303" t="str">
        <f>""</f>
        <v/>
      </c>
      <c r="GI303" t="str">
        <f>""</f>
        <v/>
      </c>
      <c r="GJ303" t="str">
        <f>""</f>
        <v/>
      </c>
      <c r="GK303" t="str">
        <f>""</f>
        <v/>
      </c>
      <c r="GL303" t="str">
        <f>""</f>
        <v/>
      </c>
      <c r="GM303" t="str">
        <f>""</f>
        <v/>
      </c>
      <c r="GN303" t="str">
        <f>""</f>
        <v/>
      </c>
      <c r="GO303" t="str">
        <f>""</f>
        <v/>
      </c>
      <c r="GP303" t="str">
        <f>""</f>
        <v/>
      </c>
      <c r="GQ303" t="str">
        <f>""</f>
        <v/>
      </c>
      <c r="GR303" t="str">
        <f>""</f>
        <v/>
      </c>
      <c r="GS303" t="str">
        <f>""</f>
        <v/>
      </c>
      <c r="GT303" t="str">
        <f>""</f>
        <v/>
      </c>
      <c r="GU303" t="str">
        <f>""</f>
        <v/>
      </c>
      <c r="GV303" t="str">
        <f>""</f>
        <v/>
      </c>
      <c r="GW303" t="str">
        <f>""</f>
        <v/>
      </c>
      <c r="GX303" t="str">
        <f>""</f>
        <v/>
      </c>
      <c r="GY303" t="str">
        <f>""</f>
        <v/>
      </c>
      <c r="GZ303" t="str">
        <f>""</f>
        <v/>
      </c>
      <c r="HA303" t="str">
        <f>""</f>
        <v/>
      </c>
      <c r="HB303" t="str">
        <f>""</f>
        <v/>
      </c>
      <c r="HC303" t="str">
        <f>""</f>
        <v/>
      </c>
      <c r="HD303" t="str">
        <f>"-0.0229"</f>
        <v>-0.0229</v>
      </c>
      <c r="HE303" t="str">
        <f>"0.0405"</f>
        <v>0.0405</v>
      </c>
      <c r="HF303" t="str">
        <f>"0.0186"</f>
        <v>0.0186</v>
      </c>
      <c r="HG303" t="str">
        <f>""</f>
        <v/>
      </c>
      <c r="HH303" t="str">
        <f>""</f>
        <v/>
      </c>
      <c r="HI303" t="str">
        <f>""</f>
        <v/>
      </c>
      <c r="HJ303" t="str">
        <f>""</f>
        <v/>
      </c>
      <c r="HK303" t="str">
        <f>""</f>
        <v/>
      </c>
      <c r="HL303" t="str">
        <f>""</f>
        <v/>
      </c>
      <c r="HM303" t="str">
        <f>""</f>
        <v/>
      </c>
      <c r="HN303" t="str">
        <f>""</f>
        <v/>
      </c>
      <c r="HO303" t="str">
        <f>""</f>
        <v/>
      </c>
      <c r="HP303" t="str">
        <f>""</f>
        <v/>
      </c>
      <c r="HQ303" t="str">
        <f>""</f>
        <v/>
      </c>
      <c r="HR303" t="str">
        <f>""</f>
        <v/>
      </c>
      <c r="HS303" t="str">
        <f>""</f>
        <v/>
      </c>
      <c r="HT303" t="str">
        <f>""</f>
        <v/>
      </c>
      <c r="HU303" t="str">
        <f>""</f>
        <v/>
      </c>
      <c r="HV303" t="str">
        <f>""</f>
        <v/>
      </c>
      <c r="HW303" t="str">
        <f>""</f>
        <v/>
      </c>
      <c r="HX303" t="str">
        <f>""</f>
        <v/>
      </c>
      <c r="HY303" t="str">
        <f>""</f>
        <v/>
      </c>
      <c r="HZ303" t="str">
        <f>""</f>
        <v/>
      </c>
      <c r="IA303" t="str">
        <f>""</f>
        <v/>
      </c>
      <c r="IB303" t="str">
        <f>""</f>
        <v/>
      </c>
      <c r="IC303" t="str">
        <f>""</f>
        <v/>
      </c>
      <c r="ID303" t="str">
        <f>""</f>
        <v/>
      </c>
      <c r="IE303" t="str">
        <f>""</f>
        <v/>
      </c>
      <c r="IF303" t="str">
        <f>""</f>
        <v/>
      </c>
      <c r="IG303" t="str">
        <f>""</f>
        <v/>
      </c>
      <c r="IH303" t="str">
        <f>""</f>
        <v/>
      </c>
      <c r="II303" t="str">
        <f>""</f>
        <v/>
      </c>
      <c r="IJ303" t="str">
        <f>""</f>
        <v/>
      </c>
      <c r="IK303" t="str">
        <f>""</f>
        <v/>
      </c>
      <c r="IL303" t="str">
        <f>""</f>
        <v/>
      </c>
      <c r="IM303" t="str">
        <f>""</f>
        <v/>
      </c>
      <c r="IN303" t="str">
        <f>""</f>
        <v/>
      </c>
      <c r="IO303" t="str">
        <f>""</f>
        <v/>
      </c>
      <c r="IP303" t="str">
        <f>""</f>
        <v/>
      </c>
      <c r="IQ303" t="str">
        <f>""</f>
        <v/>
      </c>
      <c r="IR303" t="str">
        <f>""</f>
        <v/>
      </c>
      <c r="IS303" t="str">
        <f>""</f>
        <v/>
      </c>
      <c r="IT303" t="str">
        <f>""</f>
        <v/>
      </c>
      <c r="IU303" t="str">
        <f>""</f>
        <v/>
      </c>
      <c r="IV303" t="str">
        <f>""</f>
        <v/>
      </c>
      <c r="IW303" t="str">
        <f>""</f>
        <v/>
      </c>
      <c r="IX303" t="str">
        <f>""</f>
        <v/>
      </c>
      <c r="IY303" t="str">
        <f>""</f>
        <v/>
      </c>
      <c r="IZ303" t="str">
        <f>""</f>
        <v/>
      </c>
      <c r="JA303" t="str">
        <f>""</f>
        <v/>
      </c>
      <c r="JB303" t="str">
        <f>""</f>
        <v/>
      </c>
      <c r="JC303" t="str">
        <f>""</f>
        <v/>
      </c>
      <c r="JD303" t="str">
        <f>""</f>
        <v/>
      </c>
      <c r="JE303" t="str">
        <f>""</f>
        <v/>
      </c>
      <c r="JF303" t="str">
        <f>""</f>
        <v/>
      </c>
      <c r="JG303" t="str">
        <f>""</f>
        <v/>
      </c>
      <c r="JH303" t="str">
        <f>""</f>
        <v/>
      </c>
      <c r="JI303" t="str">
        <f>""</f>
        <v/>
      </c>
      <c r="JJ303" t="str">
        <f>""</f>
        <v/>
      </c>
      <c r="JK303" t="str">
        <f>""</f>
        <v/>
      </c>
    </row>
    <row r="304" spans="1:271" x14ac:dyDescent="0.3">
      <c r="A304" t="str">
        <f>""</f>
        <v/>
      </c>
      <c r="B304" t="str">
        <f>""</f>
        <v/>
      </c>
      <c r="C304" t="str">
        <f>""</f>
        <v/>
      </c>
      <c r="D304" t="str">
        <f>""</f>
        <v/>
      </c>
      <c r="E304" t="str">
        <f>""</f>
        <v/>
      </c>
      <c r="F304" t="str">
        <f>""</f>
        <v/>
      </c>
      <c r="G304" t="str">
        <f>""</f>
        <v/>
      </c>
      <c r="H304" t="str">
        <f>""</f>
        <v/>
      </c>
      <c r="I304" t="str">
        <f>""</f>
        <v/>
      </c>
      <c r="J304" t="str">
        <f>""</f>
        <v/>
      </c>
      <c r="K304" t="str">
        <f>""</f>
        <v/>
      </c>
      <c r="L304" t="str">
        <f>""</f>
        <v/>
      </c>
      <c r="M304" t="str">
        <f>""</f>
        <v/>
      </c>
      <c r="N304" t="str">
        <f>""</f>
        <v/>
      </c>
      <c r="O304" t="str">
        <f>""</f>
        <v/>
      </c>
      <c r="P304" t="str">
        <f>""</f>
        <v/>
      </c>
      <c r="Q304" t="str">
        <f>""</f>
        <v/>
      </c>
      <c r="R304" t="str">
        <f>""</f>
        <v/>
      </c>
      <c r="S304" t="str">
        <f>""</f>
        <v/>
      </c>
      <c r="T304" t="str">
        <f>""</f>
        <v/>
      </c>
      <c r="U304" t="str">
        <f>""</f>
        <v/>
      </c>
      <c r="V304" t="str">
        <f>""</f>
        <v/>
      </c>
      <c r="W304" t="str">
        <f>""</f>
        <v/>
      </c>
      <c r="X304" t="str">
        <f>""</f>
        <v/>
      </c>
      <c r="Y304" t="str">
        <f>""</f>
        <v/>
      </c>
      <c r="Z304" t="str">
        <f>""</f>
        <v/>
      </c>
      <c r="AA304" t="str">
        <f>""</f>
        <v/>
      </c>
      <c r="AB304" t="str">
        <f>""</f>
        <v/>
      </c>
      <c r="AC304" t="str">
        <f>""</f>
        <v/>
      </c>
      <c r="AD304" t="str">
        <f>""</f>
        <v/>
      </c>
      <c r="AE304" t="str">
        <f>""</f>
        <v/>
      </c>
      <c r="AF304" t="str">
        <f>""</f>
        <v/>
      </c>
      <c r="AG304" t="str">
        <f>""</f>
        <v/>
      </c>
      <c r="AH304" t="str">
        <f>""</f>
        <v/>
      </c>
      <c r="AI304" t="str">
        <f>""</f>
        <v/>
      </c>
      <c r="AJ304" t="str">
        <f>""</f>
        <v/>
      </c>
      <c r="AK304" t="str">
        <f>""</f>
        <v/>
      </c>
      <c r="AL304" t="str">
        <f>""</f>
        <v/>
      </c>
      <c r="AM304" t="str">
        <f>""</f>
        <v/>
      </c>
      <c r="AN304" t="str">
        <f>""</f>
        <v/>
      </c>
      <c r="AO304" t="str">
        <f>""</f>
        <v/>
      </c>
      <c r="AP304" t="str">
        <f>""</f>
        <v/>
      </c>
      <c r="AQ304" t="str">
        <f>""</f>
        <v/>
      </c>
      <c r="AR304" t="str">
        <f>""</f>
        <v/>
      </c>
      <c r="AS304" t="str">
        <f>""</f>
        <v/>
      </c>
      <c r="AT304" t="str">
        <f>""</f>
        <v/>
      </c>
      <c r="AU304" t="str">
        <f>""</f>
        <v/>
      </c>
      <c r="AV304" t="str">
        <f>""</f>
        <v/>
      </c>
      <c r="AW304" t="str">
        <f>""</f>
        <v/>
      </c>
      <c r="AX304" t="str">
        <f>""</f>
        <v/>
      </c>
      <c r="AY304" t="str">
        <f>""</f>
        <v/>
      </c>
      <c r="AZ304" t="str">
        <f>""</f>
        <v/>
      </c>
      <c r="BA304" t="str">
        <f>""</f>
        <v/>
      </c>
      <c r="BB304" t="str">
        <f>""</f>
        <v/>
      </c>
      <c r="BC304" t="str">
        <f>""</f>
        <v/>
      </c>
      <c r="BD304" t="str">
        <f>""</f>
        <v/>
      </c>
      <c r="BE304" t="str">
        <f>""</f>
        <v/>
      </c>
      <c r="BF304" t="str">
        <f>""</f>
        <v/>
      </c>
      <c r="BG304" t="str">
        <f>""</f>
        <v/>
      </c>
      <c r="BH304" t="str">
        <f>""</f>
        <v/>
      </c>
      <c r="BI304" t="str">
        <f>""</f>
        <v/>
      </c>
      <c r="BJ304" t="str">
        <f>""</f>
        <v/>
      </c>
      <c r="BK304" t="str">
        <f>""</f>
        <v/>
      </c>
      <c r="BL304" t="str">
        <f>""</f>
        <v/>
      </c>
      <c r="BM304" t="str">
        <f>""</f>
        <v/>
      </c>
      <c r="BN304" t="str">
        <f>""</f>
        <v/>
      </c>
      <c r="BO304" t="str">
        <f>""</f>
        <v/>
      </c>
      <c r="BP304" t="str">
        <f>""</f>
        <v/>
      </c>
      <c r="BQ304" t="str">
        <f>""</f>
        <v/>
      </c>
      <c r="BR304" t="str">
        <f>""</f>
        <v/>
      </c>
      <c r="BS304" t="str">
        <f>""</f>
        <v/>
      </c>
      <c r="BT304" t="str">
        <f>""</f>
        <v/>
      </c>
      <c r="BU304" t="str">
        <f>""</f>
        <v/>
      </c>
      <c r="BV304" t="str">
        <f>""</f>
        <v/>
      </c>
      <c r="BW304" t="str">
        <f>""</f>
        <v/>
      </c>
      <c r="BX304" t="str">
        <f>""</f>
        <v/>
      </c>
      <c r="BY304" t="str">
        <f>""</f>
        <v/>
      </c>
      <c r="BZ304" t="str">
        <f>""</f>
        <v/>
      </c>
      <c r="CA304" t="str">
        <f>""</f>
        <v/>
      </c>
      <c r="CB304" t="str">
        <f>""</f>
        <v/>
      </c>
      <c r="CC304" t="str">
        <f>""</f>
        <v/>
      </c>
      <c r="CD304" t="str">
        <f>""</f>
        <v/>
      </c>
      <c r="CE304" t="str">
        <f>""</f>
        <v/>
      </c>
      <c r="CF304" t="str">
        <f>""</f>
        <v/>
      </c>
      <c r="CG304" t="str">
        <f>""</f>
        <v/>
      </c>
      <c r="CH304" t="str">
        <f>""</f>
        <v/>
      </c>
      <c r="CI304" t="str">
        <f>""</f>
        <v/>
      </c>
      <c r="CJ304" t="str">
        <f>""</f>
        <v/>
      </c>
      <c r="CK304" t="str">
        <f>""</f>
        <v/>
      </c>
      <c r="CL304" t="str">
        <f>""</f>
        <v/>
      </c>
      <c r="CM304" t="str">
        <f>""</f>
        <v/>
      </c>
      <c r="CN304" t="str">
        <f>""</f>
        <v/>
      </c>
      <c r="CO304" t="str">
        <f>""</f>
        <v/>
      </c>
      <c r="CP304" t="str">
        <f>""</f>
        <v/>
      </c>
      <c r="CQ304" t="str">
        <f>""</f>
        <v/>
      </c>
      <c r="CR304" t="str">
        <f>""</f>
        <v/>
      </c>
      <c r="CS304" t="str">
        <f>""</f>
        <v/>
      </c>
      <c r="CT304" t="str">
        <f>""</f>
        <v/>
      </c>
      <c r="CU304" t="str">
        <f>""</f>
        <v/>
      </c>
      <c r="CV304" t="str">
        <f>""</f>
        <v/>
      </c>
      <c r="CW304" t="str">
        <f>""</f>
        <v/>
      </c>
      <c r="CX304" t="str">
        <f>""</f>
        <v/>
      </c>
      <c r="CY304" t="str">
        <f>""</f>
        <v/>
      </c>
      <c r="CZ304" t="str">
        <f>""</f>
        <v/>
      </c>
      <c r="DA304" t="str">
        <f>""</f>
        <v/>
      </c>
      <c r="DB304" t="str">
        <f>""</f>
        <v/>
      </c>
      <c r="DC304" t="str">
        <f>""</f>
        <v/>
      </c>
      <c r="DD304" t="str">
        <f>""</f>
        <v/>
      </c>
      <c r="DE304" t="str">
        <f>""</f>
        <v/>
      </c>
      <c r="DF304" t="str">
        <f>""</f>
        <v/>
      </c>
      <c r="DG304" t="str">
        <f>""</f>
        <v/>
      </c>
      <c r="DH304" t="str">
        <f>""</f>
        <v/>
      </c>
      <c r="DI304" t="str">
        <f>""</f>
        <v/>
      </c>
      <c r="DJ304" t="str">
        <f>""</f>
        <v/>
      </c>
      <c r="DK304" t="str">
        <f>""</f>
        <v/>
      </c>
      <c r="DL304" t="str">
        <f>""</f>
        <v/>
      </c>
      <c r="DM304" t="str">
        <f>""</f>
        <v/>
      </c>
      <c r="DN304" t="str">
        <f>""</f>
        <v/>
      </c>
      <c r="DO304" t="str">
        <f>""</f>
        <v/>
      </c>
      <c r="DP304" t="str">
        <f>""</f>
        <v/>
      </c>
      <c r="DQ304" t="str">
        <f>""</f>
        <v/>
      </c>
      <c r="DR304" t="str">
        <f>""</f>
        <v/>
      </c>
      <c r="DS304" t="str">
        <f>""</f>
        <v/>
      </c>
      <c r="DT304" t="str">
        <f>""</f>
        <v/>
      </c>
      <c r="DU304" t="str">
        <f>""</f>
        <v/>
      </c>
      <c r="DV304" t="str">
        <f>""</f>
        <v/>
      </c>
      <c r="DW304" t="str">
        <f>""</f>
        <v/>
      </c>
      <c r="DX304" t="str">
        <f>""</f>
        <v/>
      </c>
      <c r="DY304" t="str">
        <f>""</f>
        <v/>
      </c>
      <c r="DZ304" t="str">
        <f>""</f>
        <v/>
      </c>
      <c r="EA304" t="str">
        <f>""</f>
        <v/>
      </c>
      <c r="EB304" t="str">
        <f>""</f>
        <v/>
      </c>
      <c r="EC304" t="str">
        <f>""</f>
        <v/>
      </c>
      <c r="ED304" t="str">
        <f>""</f>
        <v/>
      </c>
      <c r="EE304" t="str">
        <f>""</f>
        <v/>
      </c>
      <c r="EF304" t="str">
        <f>""</f>
        <v/>
      </c>
      <c r="EG304" t="str">
        <f>""</f>
        <v/>
      </c>
      <c r="EH304" t="str">
        <f>""</f>
        <v/>
      </c>
      <c r="EI304" t="str">
        <f>""</f>
        <v/>
      </c>
      <c r="EJ304" t="str">
        <f>""</f>
        <v/>
      </c>
      <c r="EK304" t="str">
        <f>""</f>
        <v/>
      </c>
      <c r="EL304" t="str">
        <f>""</f>
        <v/>
      </c>
      <c r="EM304" t="str">
        <f>""</f>
        <v/>
      </c>
      <c r="EN304" t="str">
        <f>""</f>
        <v/>
      </c>
      <c r="EO304" t="str">
        <f>""</f>
        <v/>
      </c>
      <c r="EP304" t="str">
        <f>""</f>
        <v/>
      </c>
      <c r="EQ304" t="str">
        <f>""</f>
        <v/>
      </c>
      <c r="ER304" t="str">
        <f>""</f>
        <v/>
      </c>
      <c r="ES304" t="str">
        <f>""</f>
        <v/>
      </c>
      <c r="ET304" t="str">
        <f>""</f>
        <v/>
      </c>
      <c r="EU304" t="str">
        <f>""</f>
        <v/>
      </c>
      <c r="EV304" t="str">
        <f>""</f>
        <v/>
      </c>
      <c r="EW304" t="str">
        <f>""</f>
        <v/>
      </c>
      <c r="EX304" t="str">
        <f>""</f>
        <v/>
      </c>
      <c r="EY304" t="str">
        <f>""</f>
        <v/>
      </c>
      <c r="EZ304" t="str">
        <f>""</f>
        <v/>
      </c>
      <c r="FA304" t="str">
        <f>""</f>
        <v/>
      </c>
      <c r="FB304" t="str">
        <f>""</f>
        <v/>
      </c>
      <c r="FC304" t="str">
        <f>""</f>
        <v/>
      </c>
      <c r="FD304" t="str">
        <f>""</f>
        <v/>
      </c>
      <c r="FE304" t="str">
        <f>""</f>
        <v/>
      </c>
      <c r="FF304" t="str">
        <f>""</f>
        <v/>
      </c>
      <c r="FG304" t="str">
        <f>""</f>
        <v/>
      </c>
      <c r="FH304" t="str">
        <f>""</f>
        <v/>
      </c>
      <c r="FI304" t="str">
        <f>""</f>
        <v/>
      </c>
      <c r="FJ304" t="str">
        <f>""</f>
        <v/>
      </c>
      <c r="FK304" t="str">
        <f>""</f>
        <v/>
      </c>
      <c r="FL304" t="str">
        <f>""</f>
        <v/>
      </c>
      <c r="FM304" t="str">
        <f>""</f>
        <v/>
      </c>
      <c r="FN304" t="str">
        <f>""</f>
        <v/>
      </c>
      <c r="FO304" t="str">
        <f>""</f>
        <v/>
      </c>
      <c r="FP304" t="str">
        <f>""</f>
        <v/>
      </c>
      <c r="FQ304" t="str">
        <f>""</f>
        <v/>
      </c>
      <c r="FR304" t="str">
        <f>""</f>
        <v/>
      </c>
      <c r="FS304" t="str">
        <f>""</f>
        <v/>
      </c>
      <c r="FT304" t="str">
        <f>""</f>
        <v/>
      </c>
      <c r="FU304" t="str">
        <f>""</f>
        <v/>
      </c>
      <c r="FV304" t="str">
        <f>""</f>
        <v/>
      </c>
      <c r="FW304" t="str">
        <f>""</f>
        <v/>
      </c>
      <c r="FX304" t="str">
        <f>""</f>
        <v/>
      </c>
      <c r="FY304" t="str">
        <f>""</f>
        <v/>
      </c>
      <c r="FZ304" t="str">
        <f>""</f>
        <v/>
      </c>
      <c r="GA304" t="str">
        <f>""</f>
        <v/>
      </c>
      <c r="GB304" t="str">
        <f>""</f>
        <v/>
      </c>
      <c r="GC304" t="str">
        <f>""</f>
        <v/>
      </c>
      <c r="GD304" t="str">
        <f>""</f>
        <v/>
      </c>
      <c r="GE304" t="str">
        <f>""</f>
        <v/>
      </c>
      <c r="GF304" t="str">
        <f>""</f>
        <v/>
      </c>
      <c r="GG304" t="str">
        <f>""</f>
        <v/>
      </c>
      <c r="GH304" t="str">
        <f>""</f>
        <v/>
      </c>
      <c r="GI304" t="str">
        <f>""</f>
        <v/>
      </c>
      <c r="GJ304" t="str">
        <f>""</f>
        <v/>
      </c>
      <c r="GK304" t="str">
        <f>""</f>
        <v/>
      </c>
      <c r="GL304" t="str">
        <f>""</f>
        <v/>
      </c>
      <c r="GM304" t="str">
        <f>""</f>
        <v/>
      </c>
      <c r="GN304" t="str">
        <f>""</f>
        <v/>
      </c>
      <c r="GO304" t="str">
        <f>""</f>
        <v/>
      </c>
      <c r="GP304" t="str">
        <f>""</f>
        <v/>
      </c>
      <c r="GQ304" t="str">
        <f>""</f>
        <v/>
      </c>
      <c r="GR304" t="str">
        <f>""</f>
        <v/>
      </c>
      <c r="GS304" t="str">
        <f>""</f>
        <v/>
      </c>
      <c r="GT304" t="str">
        <f>""</f>
        <v/>
      </c>
      <c r="GU304" t="str">
        <f>""</f>
        <v/>
      </c>
      <c r="GV304" t="str">
        <f>""</f>
        <v/>
      </c>
      <c r="GW304" t="str">
        <f>""</f>
        <v/>
      </c>
      <c r="GX304" t="str">
        <f>""</f>
        <v/>
      </c>
      <c r="GY304" t="str">
        <f>""</f>
        <v/>
      </c>
      <c r="GZ304" t="str">
        <f>""</f>
        <v/>
      </c>
      <c r="HA304" t="str">
        <f>""</f>
        <v/>
      </c>
      <c r="HB304" t="str">
        <f>""</f>
        <v/>
      </c>
      <c r="HC304" t="str">
        <f>""</f>
        <v/>
      </c>
      <c r="HD304" t="str">
        <f>"(0.101)"</f>
        <v>(0.101)</v>
      </c>
      <c r="HE304" t="str">
        <f>"(0.0805)"</f>
        <v>(0.0805)</v>
      </c>
      <c r="HF304" t="str">
        <f>"(0.0411)"</f>
        <v>(0.0411)</v>
      </c>
      <c r="HG304" t="str">
        <f>""</f>
        <v/>
      </c>
      <c r="HH304" t="str">
        <f>""</f>
        <v/>
      </c>
      <c r="HI304" t="str">
        <f>""</f>
        <v/>
      </c>
      <c r="HJ304" t="str">
        <f>""</f>
        <v/>
      </c>
      <c r="HK304" t="str">
        <f>""</f>
        <v/>
      </c>
      <c r="HL304" t="str">
        <f>""</f>
        <v/>
      </c>
      <c r="HM304" t="str">
        <f>""</f>
        <v/>
      </c>
      <c r="HN304" t="str">
        <f>""</f>
        <v/>
      </c>
      <c r="HO304" t="str">
        <f>""</f>
        <v/>
      </c>
      <c r="HP304" t="str">
        <f>""</f>
        <v/>
      </c>
      <c r="HQ304" t="str">
        <f>""</f>
        <v/>
      </c>
      <c r="HR304" t="str">
        <f>""</f>
        <v/>
      </c>
      <c r="HS304" t="str">
        <f>""</f>
        <v/>
      </c>
      <c r="HT304" t="str">
        <f>""</f>
        <v/>
      </c>
      <c r="HU304" t="str">
        <f>""</f>
        <v/>
      </c>
      <c r="HV304" t="str">
        <f>""</f>
        <v/>
      </c>
      <c r="HW304" t="str">
        <f>""</f>
        <v/>
      </c>
      <c r="HX304" t="str">
        <f>""</f>
        <v/>
      </c>
      <c r="HY304" t="str">
        <f>""</f>
        <v/>
      </c>
      <c r="HZ304" t="str">
        <f>""</f>
        <v/>
      </c>
      <c r="IA304" t="str">
        <f>""</f>
        <v/>
      </c>
      <c r="IB304" t="str">
        <f>""</f>
        <v/>
      </c>
      <c r="IC304" t="str">
        <f>""</f>
        <v/>
      </c>
      <c r="ID304" t="str">
        <f>""</f>
        <v/>
      </c>
      <c r="IE304" t="str">
        <f>""</f>
        <v/>
      </c>
      <c r="IF304" t="str">
        <f>""</f>
        <v/>
      </c>
      <c r="IG304" t="str">
        <f>""</f>
        <v/>
      </c>
      <c r="IH304" t="str">
        <f>""</f>
        <v/>
      </c>
      <c r="II304" t="str">
        <f>""</f>
        <v/>
      </c>
      <c r="IJ304" t="str">
        <f>""</f>
        <v/>
      </c>
      <c r="IK304" t="str">
        <f>""</f>
        <v/>
      </c>
      <c r="IL304" t="str">
        <f>""</f>
        <v/>
      </c>
      <c r="IM304" t="str">
        <f>""</f>
        <v/>
      </c>
      <c r="IN304" t="str">
        <f>""</f>
        <v/>
      </c>
      <c r="IO304" t="str">
        <f>""</f>
        <v/>
      </c>
      <c r="IP304" t="str">
        <f>""</f>
        <v/>
      </c>
      <c r="IQ304" t="str">
        <f>""</f>
        <v/>
      </c>
      <c r="IR304" t="str">
        <f>""</f>
        <v/>
      </c>
      <c r="IS304" t="str">
        <f>""</f>
        <v/>
      </c>
      <c r="IT304" t="str">
        <f>""</f>
        <v/>
      </c>
      <c r="IU304" t="str">
        <f>""</f>
        <v/>
      </c>
      <c r="IV304" t="str">
        <f>""</f>
        <v/>
      </c>
      <c r="IW304" t="str">
        <f>""</f>
        <v/>
      </c>
      <c r="IX304" t="str">
        <f>""</f>
        <v/>
      </c>
      <c r="IY304" t="str">
        <f>""</f>
        <v/>
      </c>
      <c r="IZ304" t="str">
        <f>""</f>
        <v/>
      </c>
      <c r="JA304" t="str">
        <f>""</f>
        <v/>
      </c>
      <c r="JB304" t="str">
        <f>""</f>
        <v/>
      </c>
      <c r="JC304" t="str">
        <f>""</f>
        <v/>
      </c>
      <c r="JD304" t="str">
        <f>""</f>
        <v/>
      </c>
      <c r="JE304" t="str">
        <f>""</f>
        <v/>
      </c>
      <c r="JF304" t="str">
        <f>""</f>
        <v/>
      </c>
      <c r="JG304" t="str">
        <f>""</f>
        <v/>
      </c>
      <c r="JH304" t="str">
        <f>""</f>
        <v/>
      </c>
      <c r="JI304" t="str">
        <f>""</f>
        <v/>
      </c>
      <c r="JJ304" t="str">
        <f>""</f>
        <v/>
      </c>
      <c r="JK304" t="str">
        <f>""</f>
        <v/>
      </c>
    </row>
    <row r="306" spans="1:271" x14ac:dyDescent="0.3">
      <c r="A306" t="str">
        <f>"c.zMETAB12#c.PM5"</f>
        <v>c.zMETAB12#c.PM5</v>
      </c>
      <c r="B306" t="str">
        <f>""</f>
        <v/>
      </c>
      <c r="C306" t="str">
        <f>""</f>
        <v/>
      </c>
      <c r="D306" t="str">
        <f>""</f>
        <v/>
      </c>
      <c r="E306" t="str">
        <f>""</f>
        <v/>
      </c>
      <c r="F306" t="str">
        <f>""</f>
        <v/>
      </c>
      <c r="G306" t="str">
        <f>""</f>
        <v/>
      </c>
      <c r="H306" t="str">
        <f>""</f>
        <v/>
      </c>
      <c r="I306" t="str">
        <f>""</f>
        <v/>
      </c>
      <c r="J306" t="str">
        <f>""</f>
        <v/>
      </c>
      <c r="K306" t="str">
        <f>""</f>
        <v/>
      </c>
      <c r="L306" t="str">
        <f>""</f>
        <v/>
      </c>
      <c r="M306" t="str">
        <f>""</f>
        <v/>
      </c>
      <c r="N306" t="str">
        <f>""</f>
        <v/>
      </c>
      <c r="O306" t="str">
        <f>""</f>
        <v/>
      </c>
      <c r="P306" t="str">
        <f>""</f>
        <v/>
      </c>
      <c r="Q306" t="str">
        <f>""</f>
        <v/>
      </c>
      <c r="R306" t="str">
        <f>""</f>
        <v/>
      </c>
      <c r="S306" t="str">
        <f>""</f>
        <v/>
      </c>
      <c r="T306" t="str">
        <f>""</f>
        <v/>
      </c>
      <c r="U306" t="str">
        <f>""</f>
        <v/>
      </c>
      <c r="V306" t="str">
        <f>""</f>
        <v/>
      </c>
      <c r="W306" t="str">
        <f>""</f>
        <v/>
      </c>
      <c r="X306" t="str">
        <f>""</f>
        <v/>
      </c>
      <c r="Y306" t="str">
        <f>""</f>
        <v/>
      </c>
      <c r="Z306" t="str">
        <f>""</f>
        <v/>
      </c>
      <c r="AA306" t="str">
        <f>""</f>
        <v/>
      </c>
      <c r="AB306" t="str">
        <f>""</f>
        <v/>
      </c>
      <c r="AC306" t="str">
        <f>""</f>
        <v/>
      </c>
      <c r="AD306" t="str">
        <f>""</f>
        <v/>
      </c>
      <c r="AE306" t="str">
        <f>""</f>
        <v/>
      </c>
      <c r="AF306" t="str">
        <f>""</f>
        <v/>
      </c>
      <c r="AG306" t="str">
        <f>""</f>
        <v/>
      </c>
      <c r="AH306" t="str">
        <f>""</f>
        <v/>
      </c>
      <c r="AI306" t="str">
        <f>""</f>
        <v/>
      </c>
      <c r="AJ306" t="str">
        <f>""</f>
        <v/>
      </c>
      <c r="AK306" t="str">
        <f>""</f>
        <v/>
      </c>
      <c r="AL306" t="str">
        <f>""</f>
        <v/>
      </c>
      <c r="AM306" t="str">
        <f>""</f>
        <v/>
      </c>
      <c r="AN306" t="str">
        <f>""</f>
        <v/>
      </c>
      <c r="AO306" t="str">
        <f>""</f>
        <v/>
      </c>
      <c r="AP306" t="str">
        <f>""</f>
        <v/>
      </c>
      <c r="AQ306" t="str">
        <f>""</f>
        <v/>
      </c>
      <c r="AR306" t="str">
        <f>""</f>
        <v/>
      </c>
      <c r="AS306" t="str">
        <f>""</f>
        <v/>
      </c>
      <c r="AT306" t="str">
        <f>""</f>
        <v/>
      </c>
      <c r="AU306" t="str">
        <f>""</f>
        <v/>
      </c>
      <c r="AV306" t="str">
        <f>""</f>
        <v/>
      </c>
      <c r="AW306" t="str">
        <f>""</f>
        <v/>
      </c>
      <c r="AX306" t="str">
        <f>""</f>
        <v/>
      </c>
      <c r="AY306" t="str">
        <f>""</f>
        <v/>
      </c>
      <c r="AZ306" t="str">
        <f>""</f>
        <v/>
      </c>
      <c r="BA306" t="str">
        <f>""</f>
        <v/>
      </c>
      <c r="BB306" t="str">
        <f>""</f>
        <v/>
      </c>
      <c r="BC306" t="str">
        <f>""</f>
        <v/>
      </c>
      <c r="BD306" t="str">
        <f>""</f>
        <v/>
      </c>
      <c r="BE306" t="str">
        <f>""</f>
        <v/>
      </c>
      <c r="BF306" t="str">
        <f>""</f>
        <v/>
      </c>
      <c r="BG306" t="str">
        <f>""</f>
        <v/>
      </c>
      <c r="BH306" t="str">
        <f>""</f>
        <v/>
      </c>
      <c r="BI306" t="str">
        <f>""</f>
        <v/>
      </c>
      <c r="BJ306" t="str">
        <f>""</f>
        <v/>
      </c>
      <c r="BK306" t="str">
        <f>""</f>
        <v/>
      </c>
      <c r="BL306" t="str">
        <f>""</f>
        <v/>
      </c>
      <c r="BM306" t="str">
        <f>""</f>
        <v/>
      </c>
      <c r="BN306" t="str">
        <f>""</f>
        <v/>
      </c>
      <c r="BO306" t="str">
        <f>""</f>
        <v/>
      </c>
      <c r="BP306" t="str">
        <f>""</f>
        <v/>
      </c>
      <c r="BQ306" t="str">
        <f>""</f>
        <v/>
      </c>
      <c r="BR306" t="str">
        <f>""</f>
        <v/>
      </c>
      <c r="BS306" t="str">
        <f>""</f>
        <v/>
      </c>
      <c r="BT306" t="str">
        <f>""</f>
        <v/>
      </c>
      <c r="BU306" t="str">
        <f>""</f>
        <v/>
      </c>
      <c r="BV306" t="str">
        <f>""</f>
        <v/>
      </c>
      <c r="BW306" t="str">
        <f>""</f>
        <v/>
      </c>
      <c r="BX306" t="str">
        <f>""</f>
        <v/>
      </c>
      <c r="BY306" t="str">
        <f>""</f>
        <v/>
      </c>
      <c r="BZ306" t="str">
        <f>""</f>
        <v/>
      </c>
      <c r="CA306" t="str">
        <f>""</f>
        <v/>
      </c>
      <c r="CB306" t="str">
        <f>""</f>
        <v/>
      </c>
      <c r="CC306" t="str">
        <f>""</f>
        <v/>
      </c>
      <c r="CD306" t="str">
        <f>""</f>
        <v/>
      </c>
      <c r="CE306" t="str">
        <f>""</f>
        <v/>
      </c>
      <c r="CF306" t="str">
        <f>""</f>
        <v/>
      </c>
      <c r="CG306" t="str">
        <f>""</f>
        <v/>
      </c>
      <c r="CH306" t="str">
        <f>""</f>
        <v/>
      </c>
      <c r="CI306" t="str">
        <f>""</f>
        <v/>
      </c>
      <c r="CJ306" t="str">
        <f>""</f>
        <v/>
      </c>
      <c r="CK306" t="str">
        <f>""</f>
        <v/>
      </c>
      <c r="CL306" t="str">
        <f>""</f>
        <v/>
      </c>
      <c r="CM306" t="str">
        <f>""</f>
        <v/>
      </c>
      <c r="CN306" t="str">
        <f>""</f>
        <v/>
      </c>
      <c r="CO306" t="str">
        <f>""</f>
        <v/>
      </c>
      <c r="CP306" t="str">
        <f>""</f>
        <v/>
      </c>
      <c r="CQ306" t="str">
        <f>""</f>
        <v/>
      </c>
      <c r="CR306" t="str">
        <f>""</f>
        <v/>
      </c>
      <c r="CS306" t="str">
        <f>""</f>
        <v/>
      </c>
      <c r="CT306" t="str">
        <f>""</f>
        <v/>
      </c>
      <c r="CU306" t="str">
        <f>""</f>
        <v/>
      </c>
      <c r="CV306" t="str">
        <f>""</f>
        <v/>
      </c>
      <c r="CW306" t="str">
        <f>""</f>
        <v/>
      </c>
      <c r="CX306" t="str">
        <f>""</f>
        <v/>
      </c>
      <c r="CY306" t="str">
        <f>""</f>
        <v/>
      </c>
      <c r="CZ306" t="str">
        <f>""</f>
        <v/>
      </c>
      <c r="DA306" t="str">
        <f>""</f>
        <v/>
      </c>
      <c r="DB306" t="str">
        <f>""</f>
        <v/>
      </c>
      <c r="DC306" t="str">
        <f>""</f>
        <v/>
      </c>
      <c r="DD306" t="str">
        <f>""</f>
        <v/>
      </c>
      <c r="DE306" t="str">
        <f>""</f>
        <v/>
      </c>
      <c r="DF306" t="str">
        <f>""</f>
        <v/>
      </c>
      <c r="DG306" t="str">
        <f>""</f>
        <v/>
      </c>
      <c r="DH306" t="str">
        <f>""</f>
        <v/>
      </c>
      <c r="DI306" t="str">
        <f>""</f>
        <v/>
      </c>
      <c r="DJ306" t="str">
        <f>""</f>
        <v/>
      </c>
      <c r="DK306" t="str">
        <f>""</f>
        <v/>
      </c>
      <c r="DL306" t="str">
        <f>""</f>
        <v/>
      </c>
      <c r="DM306" t="str">
        <f>""</f>
        <v/>
      </c>
      <c r="DN306" t="str">
        <f>""</f>
        <v/>
      </c>
      <c r="DO306" t="str">
        <f>""</f>
        <v/>
      </c>
      <c r="DP306" t="str">
        <f>""</f>
        <v/>
      </c>
      <c r="DQ306" t="str">
        <f>""</f>
        <v/>
      </c>
      <c r="DR306" t="str">
        <f>""</f>
        <v/>
      </c>
      <c r="DS306" t="str">
        <f>""</f>
        <v/>
      </c>
      <c r="DT306" t="str">
        <f>""</f>
        <v/>
      </c>
      <c r="DU306" t="str">
        <f>""</f>
        <v/>
      </c>
      <c r="DV306" t="str">
        <f>""</f>
        <v/>
      </c>
      <c r="DW306" t="str">
        <f>""</f>
        <v/>
      </c>
      <c r="DX306" t="str">
        <f>""</f>
        <v/>
      </c>
      <c r="DY306" t="str">
        <f>""</f>
        <v/>
      </c>
      <c r="DZ306" t="str">
        <f>""</f>
        <v/>
      </c>
      <c r="EA306" t="str">
        <f>""</f>
        <v/>
      </c>
      <c r="EB306" t="str">
        <f>""</f>
        <v/>
      </c>
      <c r="EC306" t="str">
        <f>""</f>
        <v/>
      </c>
      <c r="ED306" t="str">
        <f>""</f>
        <v/>
      </c>
      <c r="EE306" t="str">
        <f>""</f>
        <v/>
      </c>
      <c r="EF306" t="str">
        <f>""</f>
        <v/>
      </c>
      <c r="EG306" t="str">
        <f>""</f>
        <v/>
      </c>
      <c r="EH306" t="str">
        <f>""</f>
        <v/>
      </c>
      <c r="EI306" t="str">
        <f>""</f>
        <v/>
      </c>
      <c r="EJ306" t="str">
        <f>""</f>
        <v/>
      </c>
      <c r="EK306" t="str">
        <f>""</f>
        <v/>
      </c>
      <c r="EL306" t="str">
        <f>""</f>
        <v/>
      </c>
      <c r="EM306" t="str">
        <f>""</f>
        <v/>
      </c>
      <c r="EN306" t="str">
        <f>""</f>
        <v/>
      </c>
      <c r="EO306" t="str">
        <f>""</f>
        <v/>
      </c>
      <c r="EP306" t="str">
        <f>""</f>
        <v/>
      </c>
      <c r="EQ306" t="str">
        <f>""</f>
        <v/>
      </c>
      <c r="ER306" t="str">
        <f>""</f>
        <v/>
      </c>
      <c r="ES306" t="str">
        <f>""</f>
        <v/>
      </c>
      <c r="ET306" t="str">
        <f>""</f>
        <v/>
      </c>
      <c r="EU306" t="str">
        <f>""</f>
        <v/>
      </c>
      <c r="EV306" t="str">
        <f>""</f>
        <v/>
      </c>
      <c r="EW306" t="str">
        <f>""</f>
        <v/>
      </c>
      <c r="EX306" t="str">
        <f>""</f>
        <v/>
      </c>
      <c r="EY306" t="str">
        <f>""</f>
        <v/>
      </c>
      <c r="EZ306" t="str">
        <f>""</f>
        <v/>
      </c>
      <c r="FA306" t="str">
        <f>""</f>
        <v/>
      </c>
      <c r="FB306" t="str">
        <f>""</f>
        <v/>
      </c>
      <c r="FC306" t="str">
        <f>""</f>
        <v/>
      </c>
      <c r="FD306" t="str">
        <f>""</f>
        <v/>
      </c>
      <c r="FE306" t="str">
        <f>""</f>
        <v/>
      </c>
      <c r="FF306" t="str">
        <f>""</f>
        <v/>
      </c>
      <c r="FG306" t="str">
        <f>""</f>
        <v/>
      </c>
      <c r="FH306" t="str">
        <f>""</f>
        <v/>
      </c>
      <c r="FI306" t="str">
        <f>""</f>
        <v/>
      </c>
      <c r="FJ306" t="str">
        <f>""</f>
        <v/>
      </c>
      <c r="FK306" t="str">
        <f>""</f>
        <v/>
      </c>
      <c r="FL306" t="str">
        <f>""</f>
        <v/>
      </c>
      <c r="FM306" t="str">
        <f>""</f>
        <v/>
      </c>
      <c r="FN306" t="str">
        <f>""</f>
        <v/>
      </c>
      <c r="FO306" t="str">
        <f>""</f>
        <v/>
      </c>
      <c r="FP306" t="str">
        <f>""</f>
        <v/>
      </c>
      <c r="FQ306" t="str">
        <f>""</f>
        <v/>
      </c>
      <c r="FR306" t="str">
        <f>""</f>
        <v/>
      </c>
      <c r="FS306" t="str">
        <f>""</f>
        <v/>
      </c>
      <c r="FT306" t="str">
        <f>""</f>
        <v/>
      </c>
      <c r="FU306" t="str">
        <f>""</f>
        <v/>
      </c>
      <c r="FV306" t="str">
        <f>""</f>
        <v/>
      </c>
      <c r="FW306" t="str">
        <f>""</f>
        <v/>
      </c>
      <c r="FX306" t="str">
        <f>""</f>
        <v/>
      </c>
      <c r="FY306" t="str">
        <f>""</f>
        <v/>
      </c>
      <c r="FZ306" t="str">
        <f>""</f>
        <v/>
      </c>
      <c r="GA306" t="str">
        <f>""</f>
        <v/>
      </c>
      <c r="GB306" t="str">
        <f>""</f>
        <v/>
      </c>
      <c r="GC306" t="str">
        <f>""</f>
        <v/>
      </c>
      <c r="GD306" t="str">
        <f>""</f>
        <v/>
      </c>
      <c r="GE306" t="str">
        <f>""</f>
        <v/>
      </c>
      <c r="GF306" t="str">
        <f>""</f>
        <v/>
      </c>
      <c r="GG306" t="str">
        <f>""</f>
        <v/>
      </c>
      <c r="GH306" t="str">
        <f>""</f>
        <v/>
      </c>
      <c r="GI306" t="str">
        <f>""</f>
        <v/>
      </c>
      <c r="GJ306" t="str">
        <f>""</f>
        <v/>
      </c>
      <c r="GK306" t="str">
        <f>""</f>
        <v/>
      </c>
      <c r="GL306" t="str">
        <f>""</f>
        <v/>
      </c>
      <c r="GM306" t="str">
        <f>""</f>
        <v/>
      </c>
      <c r="GN306" t="str">
        <f>""</f>
        <v/>
      </c>
      <c r="GO306" t="str">
        <f>""</f>
        <v/>
      </c>
      <c r="GP306" t="str">
        <f>""</f>
        <v/>
      </c>
      <c r="GQ306" t="str">
        <f>""</f>
        <v/>
      </c>
      <c r="GR306" t="str">
        <f>""</f>
        <v/>
      </c>
      <c r="GS306" t="str">
        <f>""</f>
        <v/>
      </c>
      <c r="GT306" t="str">
        <f>""</f>
        <v/>
      </c>
      <c r="GU306" t="str">
        <f>""</f>
        <v/>
      </c>
      <c r="GV306" t="str">
        <f>""</f>
        <v/>
      </c>
      <c r="GW306" t="str">
        <f>""</f>
        <v/>
      </c>
      <c r="GX306" t="str">
        <f>""</f>
        <v/>
      </c>
      <c r="GY306" t="str">
        <f>""</f>
        <v/>
      </c>
      <c r="GZ306" t="str">
        <f>""</f>
        <v/>
      </c>
      <c r="HA306" t="str">
        <f>""</f>
        <v/>
      </c>
      <c r="HB306" t="str">
        <f>""</f>
        <v/>
      </c>
      <c r="HC306" t="str">
        <f>""</f>
        <v/>
      </c>
      <c r="HD306" t="str">
        <f>""</f>
        <v/>
      </c>
      <c r="HE306" t="str">
        <f>""</f>
        <v/>
      </c>
      <c r="HF306" t="str">
        <f>""</f>
        <v/>
      </c>
      <c r="HG306" t="str">
        <f>"-0.0839"</f>
        <v>-0.0839</v>
      </c>
      <c r="HH306" t="str">
        <f>"0.139"</f>
        <v>0.139</v>
      </c>
      <c r="HI306" t="str">
        <f>"-0.0794"</f>
        <v>-0.0794</v>
      </c>
      <c r="HJ306" t="str">
        <f>""</f>
        <v/>
      </c>
      <c r="HK306" t="str">
        <f>""</f>
        <v/>
      </c>
      <c r="HL306" t="str">
        <f>""</f>
        <v/>
      </c>
      <c r="HM306" t="str">
        <f>""</f>
        <v/>
      </c>
      <c r="HN306" t="str">
        <f>""</f>
        <v/>
      </c>
      <c r="HO306" t="str">
        <f>""</f>
        <v/>
      </c>
      <c r="HP306" t="str">
        <f>""</f>
        <v/>
      </c>
      <c r="HQ306" t="str">
        <f>""</f>
        <v/>
      </c>
      <c r="HR306" t="str">
        <f>""</f>
        <v/>
      </c>
      <c r="HS306" t="str">
        <f>""</f>
        <v/>
      </c>
      <c r="HT306" t="str">
        <f>""</f>
        <v/>
      </c>
      <c r="HU306" t="str">
        <f>""</f>
        <v/>
      </c>
      <c r="HV306" t="str">
        <f>""</f>
        <v/>
      </c>
      <c r="HW306" t="str">
        <f>""</f>
        <v/>
      </c>
      <c r="HX306" t="str">
        <f>""</f>
        <v/>
      </c>
      <c r="HY306" t="str">
        <f>""</f>
        <v/>
      </c>
      <c r="HZ306" t="str">
        <f>""</f>
        <v/>
      </c>
      <c r="IA306" t="str">
        <f>""</f>
        <v/>
      </c>
      <c r="IB306" t="str">
        <f>""</f>
        <v/>
      </c>
      <c r="IC306" t="str">
        <f>""</f>
        <v/>
      </c>
      <c r="ID306" t="str">
        <f>""</f>
        <v/>
      </c>
      <c r="IE306" t="str">
        <f>""</f>
        <v/>
      </c>
      <c r="IF306" t="str">
        <f>""</f>
        <v/>
      </c>
      <c r="IG306" t="str">
        <f>""</f>
        <v/>
      </c>
      <c r="IH306" t="str">
        <f>""</f>
        <v/>
      </c>
      <c r="II306" t="str">
        <f>""</f>
        <v/>
      </c>
      <c r="IJ306" t="str">
        <f>""</f>
        <v/>
      </c>
      <c r="IK306" t="str">
        <f>""</f>
        <v/>
      </c>
      <c r="IL306" t="str">
        <f>""</f>
        <v/>
      </c>
      <c r="IM306" t="str">
        <f>""</f>
        <v/>
      </c>
      <c r="IN306" t="str">
        <f>""</f>
        <v/>
      </c>
      <c r="IO306" t="str">
        <f>""</f>
        <v/>
      </c>
      <c r="IP306" t="str">
        <f>""</f>
        <v/>
      </c>
      <c r="IQ306" t="str">
        <f>""</f>
        <v/>
      </c>
      <c r="IR306" t="str">
        <f>""</f>
        <v/>
      </c>
      <c r="IS306" t="str">
        <f>""</f>
        <v/>
      </c>
      <c r="IT306" t="str">
        <f>""</f>
        <v/>
      </c>
      <c r="IU306" t="str">
        <f>""</f>
        <v/>
      </c>
      <c r="IV306" t="str">
        <f>""</f>
        <v/>
      </c>
      <c r="IW306" t="str">
        <f>""</f>
        <v/>
      </c>
      <c r="IX306" t="str">
        <f>""</f>
        <v/>
      </c>
      <c r="IY306" t="str">
        <f>""</f>
        <v/>
      </c>
      <c r="IZ306" t="str">
        <f>""</f>
        <v/>
      </c>
      <c r="JA306" t="str">
        <f>""</f>
        <v/>
      </c>
      <c r="JB306" t="str">
        <f>""</f>
        <v/>
      </c>
      <c r="JC306" t="str">
        <f>""</f>
        <v/>
      </c>
      <c r="JD306" t="str">
        <f>""</f>
        <v/>
      </c>
      <c r="JE306" t="str">
        <f>""</f>
        <v/>
      </c>
      <c r="JF306" t="str">
        <f>""</f>
        <v/>
      </c>
      <c r="JG306" t="str">
        <f>""</f>
        <v/>
      </c>
      <c r="JH306" t="str">
        <f>""</f>
        <v/>
      </c>
      <c r="JI306" t="str">
        <f>""</f>
        <v/>
      </c>
      <c r="JJ306" t="str">
        <f>""</f>
        <v/>
      </c>
      <c r="JK306" t="str">
        <f>""</f>
        <v/>
      </c>
    </row>
    <row r="307" spans="1:271" x14ac:dyDescent="0.3">
      <c r="A307" t="str">
        <f>""</f>
        <v/>
      </c>
      <c r="B307" t="str">
        <f>""</f>
        <v/>
      </c>
      <c r="C307" t="str">
        <f>""</f>
        <v/>
      </c>
      <c r="D307" t="str">
        <f>""</f>
        <v/>
      </c>
      <c r="E307" t="str">
        <f>""</f>
        <v/>
      </c>
      <c r="F307" t="str">
        <f>""</f>
        <v/>
      </c>
      <c r="G307" t="str">
        <f>""</f>
        <v/>
      </c>
      <c r="H307" t="str">
        <f>""</f>
        <v/>
      </c>
      <c r="I307" t="str">
        <f>""</f>
        <v/>
      </c>
      <c r="J307" t="str">
        <f>""</f>
        <v/>
      </c>
      <c r="K307" t="str">
        <f>""</f>
        <v/>
      </c>
      <c r="L307" t="str">
        <f>""</f>
        <v/>
      </c>
      <c r="M307" t="str">
        <f>""</f>
        <v/>
      </c>
      <c r="N307" t="str">
        <f>""</f>
        <v/>
      </c>
      <c r="O307" t="str">
        <f>""</f>
        <v/>
      </c>
      <c r="P307" t="str">
        <f>""</f>
        <v/>
      </c>
      <c r="Q307" t="str">
        <f>""</f>
        <v/>
      </c>
      <c r="R307" t="str">
        <f>""</f>
        <v/>
      </c>
      <c r="S307" t="str">
        <f>""</f>
        <v/>
      </c>
      <c r="T307" t="str">
        <f>""</f>
        <v/>
      </c>
      <c r="U307" t="str">
        <f>""</f>
        <v/>
      </c>
      <c r="V307" t="str">
        <f>""</f>
        <v/>
      </c>
      <c r="W307" t="str">
        <f>""</f>
        <v/>
      </c>
      <c r="X307" t="str">
        <f>""</f>
        <v/>
      </c>
      <c r="Y307" t="str">
        <f>""</f>
        <v/>
      </c>
      <c r="Z307" t="str">
        <f>""</f>
        <v/>
      </c>
      <c r="AA307" t="str">
        <f>""</f>
        <v/>
      </c>
      <c r="AB307" t="str">
        <f>""</f>
        <v/>
      </c>
      <c r="AC307" t="str">
        <f>""</f>
        <v/>
      </c>
      <c r="AD307" t="str">
        <f>""</f>
        <v/>
      </c>
      <c r="AE307" t="str">
        <f>""</f>
        <v/>
      </c>
      <c r="AF307" t="str">
        <f>""</f>
        <v/>
      </c>
      <c r="AG307" t="str">
        <f>""</f>
        <v/>
      </c>
      <c r="AH307" t="str">
        <f>""</f>
        <v/>
      </c>
      <c r="AI307" t="str">
        <f>""</f>
        <v/>
      </c>
      <c r="AJ307" t="str">
        <f>""</f>
        <v/>
      </c>
      <c r="AK307" t="str">
        <f>""</f>
        <v/>
      </c>
      <c r="AL307" t="str">
        <f>""</f>
        <v/>
      </c>
      <c r="AM307" t="str">
        <f>""</f>
        <v/>
      </c>
      <c r="AN307" t="str">
        <f>""</f>
        <v/>
      </c>
      <c r="AO307" t="str">
        <f>""</f>
        <v/>
      </c>
      <c r="AP307" t="str">
        <f>""</f>
        <v/>
      </c>
      <c r="AQ307" t="str">
        <f>""</f>
        <v/>
      </c>
      <c r="AR307" t="str">
        <f>""</f>
        <v/>
      </c>
      <c r="AS307" t="str">
        <f>""</f>
        <v/>
      </c>
      <c r="AT307" t="str">
        <f>""</f>
        <v/>
      </c>
      <c r="AU307" t="str">
        <f>""</f>
        <v/>
      </c>
      <c r="AV307" t="str">
        <f>""</f>
        <v/>
      </c>
      <c r="AW307" t="str">
        <f>""</f>
        <v/>
      </c>
      <c r="AX307" t="str">
        <f>""</f>
        <v/>
      </c>
      <c r="AY307" t="str">
        <f>""</f>
        <v/>
      </c>
      <c r="AZ307" t="str">
        <f>""</f>
        <v/>
      </c>
      <c r="BA307" t="str">
        <f>""</f>
        <v/>
      </c>
      <c r="BB307" t="str">
        <f>""</f>
        <v/>
      </c>
      <c r="BC307" t="str">
        <f>""</f>
        <v/>
      </c>
      <c r="BD307" t="str">
        <f>""</f>
        <v/>
      </c>
      <c r="BE307" t="str">
        <f>""</f>
        <v/>
      </c>
      <c r="BF307" t="str">
        <f>""</f>
        <v/>
      </c>
      <c r="BG307" t="str">
        <f>""</f>
        <v/>
      </c>
      <c r="BH307" t="str">
        <f>""</f>
        <v/>
      </c>
      <c r="BI307" t="str">
        <f>""</f>
        <v/>
      </c>
      <c r="BJ307" t="str">
        <f>""</f>
        <v/>
      </c>
      <c r="BK307" t="str">
        <f>""</f>
        <v/>
      </c>
      <c r="BL307" t="str">
        <f>""</f>
        <v/>
      </c>
      <c r="BM307" t="str">
        <f>""</f>
        <v/>
      </c>
      <c r="BN307" t="str">
        <f>""</f>
        <v/>
      </c>
      <c r="BO307" t="str">
        <f>""</f>
        <v/>
      </c>
      <c r="BP307" t="str">
        <f>""</f>
        <v/>
      </c>
      <c r="BQ307" t="str">
        <f>""</f>
        <v/>
      </c>
      <c r="BR307" t="str">
        <f>""</f>
        <v/>
      </c>
      <c r="BS307" t="str">
        <f>""</f>
        <v/>
      </c>
      <c r="BT307" t="str">
        <f>""</f>
        <v/>
      </c>
      <c r="BU307" t="str">
        <f>""</f>
        <v/>
      </c>
      <c r="BV307" t="str">
        <f>""</f>
        <v/>
      </c>
      <c r="BW307" t="str">
        <f>""</f>
        <v/>
      </c>
      <c r="BX307" t="str">
        <f>""</f>
        <v/>
      </c>
      <c r="BY307" t="str">
        <f>""</f>
        <v/>
      </c>
      <c r="BZ307" t="str">
        <f>""</f>
        <v/>
      </c>
      <c r="CA307" t="str">
        <f>""</f>
        <v/>
      </c>
      <c r="CB307" t="str">
        <f>""</f>
        <v/>
      </c>
      <c r="CC307" t="str">
        <f>""</f>
        <v/>
      </c>
      <c r="CD307" t="str">
        <f>""</f>
        <v/>
      </c>
      <c r="CE307" t="str">
        <f>""</f>
        <v/>
      </c>
      <c r="CF307" t="str">
        <f>""</f>
        <v/>
      </c>
      <c r="CG307" t="str">
        <f>""</f>
        <v/>
      </c>
      <c r="CH307" t="str">
        <f>""</f>
        <v/>
      </c>
      <c r="CI307" t="str">
        <f>""</f>
        <v/>
      </c>
      <c r="CJ307" t="str">
        <f>""</f>
        <v/>
      </c>
      <c r="CK307" t="str">
        <f>""</f>
        <v/>
      </c>
      <c r="CL307" t="str">
        <f>""</f>
        <v/>
      </c>
      <c r="CM307" t="str">
        <f>""</f>
        <v/>
      </c>
      <c r="CN307" t="str">
        <f>""</f>
        <v/>
      </c>
      <c r="CO307" t="str">
        <f>""</f>
        <v/>
      </c>
      <c r="CP307" t="str">
        <f>""</f>
        <v/>
      </c>
      <c r="CQ307" t="str">
        <f>""</f>
        <v/>
      </c>
      <c r="CR307" t="str">
        <f>""</f>
        <v/>
      </c>
      <c r="CS307" t="str">
        <f>""</f>
        <v/>
      </c>
      <c r="CT307" t="str">
        <f>""</f>
        <v/>
      </c>
      <c r="CU307" t="str">
        <f>""</f>
        <v/>
      </c>
      <c r="CV307" t="str">
        <f>""</f>
        <v/>
      </c>
      <c r="CW307" t="str">
        <f>""</f>
        <v/>
      </c>
      <c r="CX307" t="str">
        <f>""</f>
        <v/>
      </c>
      <c r="CY307" t="str">
        <f>""</f>
        <v/>
      </c>
      <c r="CZ307" t="str">
        <f>""</f>
        <v/>
      </c>
      <c r="DA307" t="str">
        <f>""</f>
        <v/>
      </c>
      <c r="DB307" t="str">
        <f>""</f>
        <v/>
      </c>
      <c r="DC307" t="str">
        <f>""</f>
        <v/>
      </c>
      <c r="DD307" t="str">
        <f>""</f>
        <v/>
      </c>
      <c r="DE307" t="str">
        <f>""</f>
        <v/>
      </c>
      <c r="DF307" t="str">
        <f>""</f>
        <v/>
      </c>
      <c r="DG307" t="str">
        <f>""</f>
        <v/>
      </c>
      <c r="DH307" t="str">
        <f>""</f>
        <v/>
      </c>
      <c r="DI307" t="str">
        <f>""</f>
        <v/>
      </c>
      <c r="DJ307" t="str">
        <f>""</f>
        <v/>
      </c>
      <c r="DK307" t="str">
        <f>""</f>
        <v/>
      </c>
      <c r="DL307" t="str">
        <f>""</f>
        <v/>
      </c>
      <c r="DM307" t="str">
        <f>""</f>
        <v/>
      </c>
      <c r="DN307" t="str">
        <f>""</f>
        <v/>
      </c>
      <c r="DO307" t="str">
        <f>""</f>
        <v/>
      </c>
      <c r="DP307" t="str">
        <f>""</f>
        <v/>
      </c>
      <c r="DQ307" t="str">
        <f>""</f>
        <v/>
      </c>
      <c r="DR307" t="str">
        <f>""</f>
        <v/>
      </c>
      <c r="DS307" t="str">
        <f>""</f>
        <v/>
      </c>
      <c r="DT307" t="str">
        <f>""</f>
        <v/>
      </c>
      <c r="DU307" t="str">
        <f>""</f>
        <v/>
      </c>
      <c r="DV307" t="str">
        <f>""</f>
        <v/>
      </c>
      <c r="DW307" t="str">
        <f>""</f>
        <v/>
      </c>
      <c r="DX307" t="str">
        <f>""</f>
        <v/>
      </c>
      <c r="DY307" t="str">
        <f>""</f>
        <v/>
      </c>
      <c r="DZ307" t="str">
        <f>""</f>
        <v/>
      </c>
      <c r="EA307" t="str">
        <f>""</f>
        <v/>
      </c>
      <c r="EB307" t="str">
        <f>""</f>
        <v/>
      </c>
      <c r="EC307" t="str">
        <f>""</f>
        <v/>
      </c>
      <c r="ED307" t="str">
        <f>""</f>
        <v/>
      </c>
      <c r="EE307" t="str">
        <f>""</f>
        <v/>
      </c>
      <c r="EF307" t="str">
        <f>""</f>
        <v/>
      </c>
      <c r="EG307" t="str">
        <f>""</f>
        <v/>
      </c>
      <c r="EH307" t="str">
        <f>""</f>
        <v/>
      </c>
      <c r="EI307" t="str">
        <f>""</f>
        <v/>
      </c>
      <c r="EJ307" t="str">
        <f>""</f>
        <v/>
      </c>
      <c r="EK307" t="str">
        <f>""</f>
        <v/>
      </c>
      <c r="EL307" t="str">
        <f>""</f>
        <v/>
      </c>
      <c r="EM307" t="str">
        <f>""</f>
        <v/>
      </c>
      <c r="EN307" t="str">
        <f>""</f>
        <v/>
      </c>
      <c r="EO307" t="str">
        <f>""</f>
        <v/>
      </c>
      <c r="EP307" t="str">
        <f>""</f>
        <v/>
      </c>
      <c r="EQ307" t="str">
        <f>""</f>
        <v/>
      </c>
      <c r="ER307" t="str">
        <f>""</f>
        <v/>
      </c>
      <c r="ES307" t="str">
        <f>""</f>
        <v/>
      </c>
      <c r="ET307" t="str">
        <f>""</f>
        <v/>
      </c>
      <c r="EU307" t="str">
        <f>""</f>
        <v/>
      </c>
      <c r="EV307" t="str">
        <f>""</f>
        <v/>
      </c>
      <c r="EW307" t="str">
        <f>""</f>
        <v/>
      </c>
      <c r="EX307" t="str">
        <f>""</f>
        <v/>
      </c>
      <c r="EY307" t="str">
        <f>""</f>
        <v/>
      </c>
      <c r="EZ307" t="str">
        <f>""</f>
        <v/>
      </c>
      <c r="FA307" t="str">
        <f>""</f>
        <v/>
      </c>
      <c r="FB307" t="str">
        <f>""</f>
        <v/>
      </c>
      <c r="FC307" t="str">
        <f>""</f>
        <v/>
      </c>
      <c r="FD307" t="str">
        <f>""</f>
        <v/>
      </c>
      <c r="FE307" t="str">
        <f>""</f>
        <v/>
      </c>
      <c r="FF307" t="str">
        <f>""</f>
        <v/>
      </c>
      <c r="FG307" t="str">
        <f>""</f>
        <v/>
      </c>
      <c r="FH307" t="str">
        <f>""</f>
        <v/>
      </c>
      <c r="FI307" t="str">
        <f>""</f>
        <v/>
      </c>
      <c r="FJ307" t="str">
        <f>""</f>
        <v/>
      </c>
      <c r="FK307" t="str">
        <f>""</f>
        <v/>
      </c>
      <c r="FL307" t="str">
        <f>""</f>
        <v/>
      </c>
      <c r="FM307" t="str">
        <f>""</f>
        <v/>
      </c>
      <c r="FN307" t="str">
        <f>""</f>
        <v/>
      </c>
      <c r="FO307" t="str">
        <f>""</f>
        <v/>
      </c>
      <c r="FP307" t="str">
        <f>""</f>
        <v/>
      </c>
      <c r="FQ307" t="str">
        <f>""</f>
        <v/>
      </c>
      <c r="FR307" t="str">
        <f>""</f>
        <v/>
      </c>
      <c r="FS307" t="str">
        <f>""</f>
        <v/>
      </c>
      <c r="FT307" t="str">
        <f>""</f>
        <v/>
      </c>
      <c r="FU307" t="str">
        <f>""</f>
        <v/>
      </c>
      <c r="FV307" t="str">
        <f>""</f>
        <v/>
      </c>
      <c r="FW307" t="str">
        <f>""</f>
        <v/>
      </c>
      <c r="FX307" t="str">
        <f>""</f>
        <v/>
      </c>
      <c r="FY307" t="str">
        <f>""</f>
        <v/>
      </c>
      <c r="FZ307" t="str">
        <f>""</f>
        <v/>
      </c>
      <c r="GA307" t="str">
        <f>""</f>
        <v/>
      </c>
      <c r="GB307" t="str">
        <f>""</f>
        <v/>
      </c>
      <c r="GC307" t="str">
        <f>""</f>
        <v/>
      </c>
      <c r="GD307" t="str">
        <f>""</f>
        <v/>
      </c>
      <c r="GE307" t="str">
        <f>""</f>
        <v/>
      </c>
      <c r="GF307" t="str">
        <f>""</f>
        <v/>
      </c>
      <c r="GG307" t="str">
        <f>""</f>
        <v/>
      </c>
      <c r="GH307" t="str">
        <f>""</f>
        <v/>
      </c>
      <c r="GI307" t="str">
        <f>""</f>
        <v/>
      </c>
      <c r="GJ307" t="str">
        <f>""</f>
        <v/>
      </c>
      <c r="GK307" t="str">
        <f>""</f>
        <v/>
      </c>
      <c r="GL307" t="str">
        <f>""</f>
        <v/>
      </c>
      <c r="GM307" t="str">
        <f>""</f>
        <v/>
      </c>
      <c r="GN307" t="str">
        <f>""</f>
        <v/>
      </c>
      <c r="GO307" t="str">
        <f>""</f>
        <v/>
      </c>
      <c r="GP307" t="str">
        <f>""</f>
        <v/>
      </c>
      <c r="GQ307" t="str">
        <f>""</f>
        <v/>
      </c>
      <c r="GR307" t="str">
        <f>""</f>
        <v/>
      </c>
      <c r="GS307" t="str">
        <f>""</f>
        <v/>
      </c>
      <c r="GT307" t="str">
        <f>""</f>
        <v/>
      </c>
      <c r="GU307" t="str">
        <f>""</f>
        <v/>
      </c>
      <c r="GV307" t="str">
        <f>""</f>
        <v/>
      </c>
      <c r="GW307" t="str">
        <f>""</f>
        <v/>
      </c>
      <c r="GX307" t="str">
        <f>""</f>
        <v/>
      </c>
      <c r="GY307" t="str">
        <f>""</f>
        <v/>
      </c>
      <c r="GZ307" t="str">
        <f>""</f>
        <v/>
      </c>
      <c r="HA307" t="str">
        <f>""</f>
        <v/>
      </c>
      <c r="HB307" t="str">
        <f>""</f>
        <v/>
      </c>
      <c r="HC307" t="str">
        <f>""</f>
        <v/>
      </c>
      <c r="HD307" t="str">
        <f>""</f>
        <v/>
      </c>
      <c r="HE307" t="str">
        <f>""</f>
        <v/>
      </c>
      <c r="HF307" t="str">
        <f>""</f>
        <v/>
      </c>
      <c r="HG307" t="str">
        <f>"(0.102)"</f>
        <v>(0.102)</v>
      </c>
      <c r="HH307" t="str">
        <f>"(0.0800)"</f>
        <v>(0.0800)</v>
      </c>
      <c r="HI307" t="str">
        <f>"(0.0426)"</f>
        <v>(0.0426)</v>
      </c>
      <c r="HJ307" t="str">
        <f>""</f>
        <v/>
      </c>
      <c r="HK307" t="str">
        <f>""</f>
        <v/>
      </c>
      <c r="HL307" t="str">
        <f>""</f>
        <v/>
      </c>
      <c r="HM307" t="str">
        <f>""</f>
        <v/>
      </c>
      <c r="HN307" t="str">
        <f>""</f>
        <v/>
      </c>
      <c r="HO307" t="str">
        <f>""</f>
        <v/>
      </c>
      <c r="HP307" t="str">
        <f>""</f>
        <v/>
      </c>
      <c r="HQ307" t="str">
        <f>""</f>
        <v/>
      </c>
      <c r="HR307" t="str">
        <f>""</f>
        <v/>
      </c>
      <c r="HS307" t="str">
        <f>""</f>
        <v/>
      </c>
      <c r="HT307" t="str">
        <f>""</f>
        <v/>
      </c>
      <c r="HU307" t="str">
        <f>""</f>
        <v/>
      </c>
      <c r="HV307" t="str">
        <f>""</f>
        <v/>
      </c>
      <c r="HW307" t="str">
        <f>""</f>
        <v/>
      </c>
      <c r="HX307" t="str">
        <f>""</f>
        <v/>
      </c>
      <c r="HY307" t="str">
        <f>""</f>
        <v/>
      </c>
      <c r="HZ307" t="str">
        <f>""</f>
        <v/>
      </c>
      <c r="IA307" t="str">
        <f>""</f>
        <v/>
      </c>
      <c r="IB307" t="str">
        <f>""</f>
        <v/>
      </c>
      <c r="IC307" t="str">
        <f>""</f>
        <v/>
      </c>
      <c r="ID307" t="str">
        <f>""</f>
        <v/>
      </c>
      <c r="IE307" t="str">
        <f>""</f>
        <v/>
      </c>
      <c r="IF307" t="str">
        <f>""</f>
        <v/>
      </c>
      <c r="IG307" t="str">
        <f>""</f>
        <v/>
      </c>
      <c r="IH307" t="str">
        <f>""</f>
        <v/>
      </c>
      <c r="II307" t="str">
        <f>""</f>
        <v/>
      </c>
      <c r="IJ307" t="str">
        <f>""</f>
        <v/>
      </c>
      <c r="IK307" t="str">
        <f>""</f>
        <v/>
      </c>
      <c r="IL307" t="str">
        <f>""</f>
        <v/>
      </c>
      <c r="IM307" t="str">
        <f>""</f>
        <v/>
      </c>
      <c r="IN307" t="str">
        <f>""</f>
        <v/>
      </c>
      <c r="IO307" t="str">
        <f>""</f>
        <v/>
      </c>
      <c r="IP307" t="str">
        <f>""</f>
        <v/>
      </c>
      <c r="IQ307" t="str">
        <f>""</f>
        <v/>
      </c>
      <c r="IR307" t="str">
        <f>""</f>
        <v/>
      </c>
      <c r="IS307" t="str">
        <f>""</f>
        <v/>
      </c>
      <c r="IT307" t="str">
        <f>""</f>
        <v/>
      </c>
      <c r="IU307" t="str">
        <f>""</f>
        <v/>
      </c>
      <c r="IV307" t="str">
        <f>""</f>
        <v/>
      </c>
      <c r="IW307" t="str">
        <f>""</f>
        <v/>
      </c>
      <c r="IX307" t="str">
        <f>""</f>
        <v/>
      </c>
      <c r="IY307" t="str">
        <f>""</f>
        <v/>
      </c>
      <c r="IZ307" t="str">
        <f>""</f>
        <v/>
      </c>
      <c r="JA307" t="str">
        <f>""</f>
        <v/>
      </c>
      <c r="JB307" t="str">
        <f>""</f>
        <v/>
      </c>
      <c r="JC307" t="str">
        <f>""</f>
        <v/>
      </c>
      <c r="JD307" t="str">
        <f>""</f>
        <v/>
      </c>
      <c r="JE307" t="str">
        <f>""</f>
        <v/>
      </c>
      <c r="JF307" t="str">
        <f>""</f>
        <v/>
      </c>
      <c r="JG307" t="str">
        <f>""</f>
        <v/>
      </c>
      <c r="JH307" t="str">
        <f>""</f>
        <v/>
      </c>
      <c r="JI307" t="str">
        <f>""</f>
        <v/>
      </c>
      <c r="JJ307" t="str">
        <f>""</f>
        <v/>
      </c>
      <c r="JK307" t="str">
        <f>""</f>
        <v/>
      </c>
    </row>
    <row r="309" spans="1:271" x14ac:dyDescent="0.3">
      <c r="A309" t="str">
        <f>"c.zMETAB13#c.PM5"</f>
        <v>c.zMETAB13#c.PM5</v>
      </c>
      <c r="B309" t="str">
        <f>""</f>
        <v/>
      </c>
      <c r="C309" t="str">
        <f>""</f>
        <v/>
      </c>
      <c r="D309" t="str">
        <f>""</f>
        <v/>
      </c>
      <c r="E309" t="str">
        <f>""</f>
        <v/>
      </c>
      <c r="F309" t="str">
        <f>""</f>
        <v/>
      </c>
      <c r="G309" t="str">
        <f>""</f>
        <v/>
      </c>
      <c r="H309" t="str">
        <f>""</f>
        <v/>
      </c>
      <c r="I309" t="str">
        <f>""</f>
        <v/>
      </c>
      <c r="J309" t="str">
        <f>""</f>
        <v/>
      </c>
      <c r="K309" t="str">
        <f>""</f>
        <v/>
      </c>
      <c r="L309" t="str">
        <f>""</f>
        <v/>
      </c>
      <c r="M309" t="str">
        <f>""</f>
        <v/>
      </c>
      <c r="N309" t="str">
        <f>""</f>
        <v/>
      </c>
      <c r="O309" t="str">
        <f>""</f>
        <v/>
      </c>
      <c r="P309" t="str">
        <f>""</f>
        <v/>
      </c>
      <c r="Q309" t="str">
        <f>""</f>
        <v/>
      </c>
      <c r="R309" t="str">
        <f>""</f>
        <v/>
      </c>
      <c r="S309" t="str">
        <f>""</f>
        <v/>
      </c>
      <c r="T309" t="str">
        <f>""</f>
        <v/>
      </c>
      <c r="U309" t="str">
        <f>""</f>
        <v/>
      </c>
      <c r="V309" t="str">
        <f>""</f>
        <v/>
      </c>
      <c r="W309" t="str">
        <f>""</f>
        <v/>
      </c>
      <c r="X309" t="str">
        <f>""</f>
        <v/>
      </c>
      <c r="Y309" t="str">
        <f>""</f>
        <v/>
      </c>
      <c r="Z309" t="str">
        <f>""</f>
        <v/>
      </c>
      <c r="AA309" t="str">
        <f>""</f>
        <v/>
      </c>
      <c r="AB309" t="str">
        <f>""</f>
        <v/>
      </c>
      <c r="AC309" t="str">
        <f>""</f>
        <v/>
      </c>
      <c r="AD309" t="str">
        <f>""</f>
        <v/>
      </c>
      <c r="AE309" t="str">
        <f>""</f>
        <v/>
      </c>
      <c r="AF309" t="str">
        <f>""</f>
        <v/>
      </c>
      <c r="AG309" t="str">
        <f>""</f>
        <v/>
      </c>
      <c r="AH309" t="str">
        <f>""</f>
        <v/>
      </c>
      <c r="AI309" t="str">
        <f>""</f>
        <v/>
      </c>
      <c r="AJ309" t="str">
        <f>""</f>
        <v/>
      </c>
      <c r="AK309" t="str">
        <f>""</f>
        <v/>
      </c>
      <c r="AL309" t="str">
        <f>""</f>
        <v/>
      </c>
      <c r="AM309" t="str">
        <f>""</f>
        <v/>
      </c>
      <c r="AN309" t="str">
        <f>""</f>
        <v/>
      </c>
      <c r="AO309" t="str">
        <f>""</f>
        <v/>
      </c>
      <c r="AP309" t="str">
        <f>""</f>
        <v/>
      </c>
      <c r="AQ309" t="str">
        <f>""</f>
        <v/>
      </c>
      <c r="AR309" t="str">
        <f>""</f>
        <v/>
      </c>
      <c r="AS309" t="str">
        <f>""</f>
        <v/>
      </c>
      <c r="AT309" t="str">
        <f>""</f>
        <v/>
      </c>
      <c r="AU309" t="str">
        <f>""</f>
        <v/>
      </c>
      <c r="AV309" t="str">
        <f>""</f>
        <v/>
      </c>
      <c r="AW309" t="str">
        <f>""</f>
        <v/>
      </c>
      <c r="AX309" t="str">
        <f>""</f>
        <v/>
      </c>
      <c r="AY309" t="str">
        <f>""</f>
        <v/>
      </c>
      <c r="AZ309" t="str">
        <f>""</f>
        <v/>
      </c>
      <c r="BA309" t="str">
        <f>""</f>
        <v/>
      </c>
      <c r="BB309" t="str">
        <f>""</f>
        <v/>
      </c>
      <c r="BC309" t="str">
        <f>""</f>
        <v/>
      </c>
      <c r="BD309" t="str">
        <f>""</f>
        <v/>
      </c>
      <c r="BE309" t="str">
        <f>""</f>
        <v/>
      </c>
      <c r="BF309" t="str">
        <f>""</f>
        <v/>
      </c>
      <c r="BG309" t="str">
        <f>""</f>
        <v/>
      </c>
      <c r="BH309" t="str">
        <f>""</f>
        <v/>
      </c>
      <c r="BI309" t="str">
        <f>""</f>
        <v/>
      </c>
      <c r="BJ309" t="str">
        <f>""</f>
        <v/>
      </c>
      <c r="BK309" t="str">
        <f>""</f>
        <v/>
      </c>
      <c r="BL309" t="str">
        <f>""</f>
        <v/>
      </c>
      <c r="BM309" t="str">
        <f>""</f>
        <v/>
      </c>
      <c r="BN309" t="str">
        <f>""</f>
        <v/>
      </c>
      <c r="BO309" t="str">
        <f>""</f>
        <v/>
      </c>
      <c r="BP309" t="str">
        <f>""</f>
        <v/>
      </c>
      <c r="BQ309" t="str">
        <f>""</f>
        <v/>
      </c>
      <c r="BR309" t="str">
        <f>""</f>
        <v/>
      </c>
      <c r="BS309" t="str">
        <f>""</f>
        <v/>
      </c>
      <c r="BT309" t="str">
        <f>""</f>
        <v/>
      </c>
      <c r="BU309" t="str">
        <f>""</f>
        <v/>
      </c>
      <c r="BV309" t="str">
        <f>""</f>
        <v/>
      </c>
      <c r="BW309" t="str">
        <f>""</f>
        <v/>
      </c>
      <c r="BX309" t="str">
        <f>""</f>
        <v/>
      </c>
      <c r="BY309" t="str">
        <f>""</f>
        <v/>
      </c>
      <c r="BZ309" t="str">
        <f>""</f>
        <v/>
      </c>
      <c r="CA309" t="str">
        <f>""</f>
        <v/>
      </c>
      <c r="CB309" t="str">
        <f>""</f>
        <v/>
      </c>
      <c r="CC309" t="str">
        <f>""</f>
        <v/>
      </c>
      <c r="CD309" t="str">
        <f>""</f>
        <v/>
      </c>
      <c r="CE309" t="str">
        <f>""</f>
        <v/>
      </c>
      <c r="CF309" t="str">
        <f>""</f>
        <v/>
      </c>
      <c r="CG309" t="str">
        <f>""</f>
        <v/>
      </c>
      <c r="CH309" t="str">
        <f>""</f>
        <v/>
      </c>
      <c r="CI309" t="str">
        <f>""</f>
        <v/>
      </c>
      <c r="CJ309" t="str">
        <f>""</f>
        <v/>
      </c>
      <c r="CK309" t="str">
        <f>""</f>
        <v/>
      </c>
      <c r="CL309" t="str">
        <f>""</f>
        <v/>
      </c>
      <c r="CM309" t="str">
        <f>""</f>
        <v/>
      </c>
      <c r="CN309" t="str">
        <f>""</f>
        <v/>
      </c>
      <c r="CO309" t="str">
        <f>""</f>
        <v/>
      </c>
      <c r="CP309" t="str">
        <f>""</f>
        <v/>
      </c>
      <c r="CQ309" t="str">
        <f>""</f>
        <v/>
      </c>
      <c r="CR309" t="str">
        <f>""</f>
        <v/>
      </c>
      <c r="CS309" t="str">
        <f>""</f>
        <v/>
      </c>
      <c r="CT309" t="str">
        <f>""</f>
        <v/>
      </c>
      <c r="CU309" t="str">
        <f>""</f>
        <v/>
      </c>
      <c r="CV309" t="str">
        <f>""</f>
        <v/>
      </c>
      <c r="CW309" t="str">
        <f>""</f>
        <v/>
      </c>
      <c r="CX309" t="str">
        <f>""</f>
        <v/>
      </c>
      <c r="CY309" t="str">
        <f>""</f>
        <v/>
      </c>
      <c r="CZ309" t="str">
        <f>""</f>
        <v/>
      </c>
      <c r="DA309" t="str">
        <f>""</f>
        <v/>
      </c>
      <c r="DB309" t="str">
        <f>""</f>
        <v/>
      </c>
      <c r="DC309" t="str">
        <f>""</f>
        <v/>
      </c>
      <c r="DD309" t="str">
        <f>""</f>
        <v/>
      </c>
      <c r="DE309" t="str">
        <f>""</f>
        <v/>
      </c>
      <c r="DF309" t="str">
        <f>""</f>
        <v/>
      </c>
      <c r="DG309" t="str">
        <f>""</f>
        <v/>
      </c>
      <c r="DH309" t="str">
        <f>""</f>
        <v/>
      </c>
      <c r="DI309" t="str">
        <f>""</f>
        <v/>
      </c>
      <c r="DJ309" t="str">
        <f>""</f>
        <v/>
      </c>
      <c r="DK309" t="str">
        <f>""</f>
        <v/>
      </c>
      <c r="DL309" t="str">
        <f>""</f>
        <v/>
      </c>
      <c r="DM309" t="str">
        <f>""</f>
        <v/>
      </c>
      <c r="DN309" t="str">
        <f>""</f>
        <v/>
      </c>
      <c r="DO309" t="str">
        <f>""</f>
        <v/>
      </c>
      <c r="DP309" t="str">
        <f>""</f>
        <v/>
      </c>
      <c r="DQ309" t="str">
        <f>""</f>
        <v/>
      </c>
      <c r="DR309" t="str">
        <f>""</f>
        <v/>
      </c>
      <c r="DS309" t="str">
        <f>""</f>
        <v/>
      </c>
      <c r="DT309" t="str">
        <f>""</f>
        <v/>
      </c>
      <c r="DU309" t="str">
        <f>""</f>
        <v/>
      </c>
      <c r="DV309" t="str">
        <f>""</f>
        <v/>
      </c>
      <c r="DW309" t="str">
        <f>""</f>
        <v/>
      </c>
      <c r="DX309" t="str">
        <f>""</f>
        <v/>
      </c>
      <c r="DY309" t="str">
        <f>""</f>
        <v/>
      </c>
      <c r="DZ309" t="str">
        <f>""</f>
        <v/>
      </c>
      <c r="EA309" t="str">
        <f>""</f>
        <v/>
      </c>
      <c r="EB309" t="str">
        <f>""</f>
        <v/>
      </c>
      <c r="EC309" t="str">
        <f>""</f>
        <v/>
      </c>
      <c r="ED309" t="str">
        <f>""</f>
        <v/>
      </c>
      <c r="EE309" t="str">
        <f>""</f>
        <v/>
      </c>
      <c r="EF309" t="str">
        <f>""</f>
        <v/>
      </c>
      <c r="EG309" t="str">
        <f>""</f>
        <v/>
      </c>
      <c r="EH309" t="str">
        <f>""</f>
        <v/>
      </c>
      <c r="EI309" t="str">
        <f>""</f>
        <v/>
      </c>
      <c r="EJ309" t="str">
        <f>""</f>
        <v/>
      </c>
      <c r="EK309" t="str">
        <f>""</f>
        <v/>
      </c>
      <c r="EL309" t="str">
        <f>""</f>
        <v/>
      </c>
      <c r="EM309" t="str">
        <f>""</f>
        <v/>
      </c>
      <c r="EN309" t="str">
        <f>""</f>
        <v/>
      </c>
      <c r="EO309" t="str">
        <f>""</f>
        <v/>
      </c>
      <c r="EP309" t="str">
        <f>""</f>
        <v/>
      </c>
      <c r="EQ309" t="str">
        <f>""</f>
        <v/>
      </c>
      <c r="ER309" t="str">
        <f>""</f>
        <v/>
      </c>
      <c r="ES309" t="str">
        <f>""</f>
        <v/>
      </c>
      <c r="ET309" t="str">
        <f>""</f>
        <v/>
      </c>
      <c r="EU309" t="str">
        <f>""</f>
        <v/>
      </c>
      <c r="EV309" t="str">
        <f>""</f>
        <v/>
      </c>
      <c r="EW309" t="str">
        <f>""</f>
        <v/>
      </c>
      <c r="EX309" t="str">
        <f>""</f>
        <v/>
      </c>
      <c r="EY309" t="str">
        <f>""</f>
        <v/>
      </c>
      <c r="EZ309" t="str">
        <f>""</f>
        <v/>
      </c>
      <c r="FA309" t="str">
        <f>""</f>
        <v/>
      </c>
      <c r="FB309" t="str">
        <f>""</f>
        <v/>
      </c>
      <c r="FC309" t="str">
        <f>""</f>
        <v/>
      </c>
      <c r="FD309" t="str">
        <f>""</f>
        <v/>
      </c>
      <c r="FE309" t="str">
        <f>""</f>
        <v/>
      </c>
      <c r="FF309" t="str">
        <f>""</f>
        <v/>
      </c>
      <c r="FG309" t="str">
        <f>""</f>
        <v/>
      </c>
      <c r="FH309" t="str">
        <f>""</f>
        <v/>
      </c>
      <c r="FI309" t="str">
        <f>""</f>
        <v/>
      </c>
      <c r="FJ309" t="str">
        <f>""</f>
        <v/>
      </c>
      <c r="FK309" t="str">
        <f>""</f>
        <v/>
      </c>
      <c r="FL309" t="str">
        <f>""</f>
        <v/>
      </c>
      <c r="FM309" t="str">
        <f>""</f>
        <v/>
      </c>
      <c r="FN309" t="str">
        <f>""</f>
        <v/>
      </c>
      <c r="FO309" t="str">
        <f>""</f>
        <v/>
      </c>
      <c r="FP309" t="str">
        <f>""</f>
        <v/>
      </c>
      <c r="FQ309" t="str">
        <f>""</f>
        <v/>
      </c>
      <c r="FR309" t="str">
        <f>""</f>
        <v/>
      </c>
      <c r="FS309" t="str">
        <f>""</f>
        <v/>
      </c>
      <c r="FT309" t="str">
        <f>""</f>
        <v/>
      </c>
      <c r="FU309" t="str">
        <f>""</f>
        <v/>
      </c>
      <c r="FV309" t="str">
        <f>""</f>
        <v/>
      </c>
      <c r="FW309" t="str">
        <f>""</f>
        <v/>
      </c>
      <c r="FX309" t="str">
        <f>""</f>
        <v/>
      </c>
      <c r="FY309" t="str">
        <f>""</f>
        <v/>
      </c>
      <c r="FZ309" t="str">
        <f>""</f>
        <v/>
      </c>
      <c r="GA309" t="str">
        <f>""</f>
        <v/>
      </c>
      <c r="GB309" t="str">
        <f>""</f>
        <v/>
      </c>
      <c r="GC309" t="str">
        <f>""</f>
        <v/>
      </c>
      <c r="GD309" t="str">
        <f>""</f>
        <v/>
      </c>
      <c r="GE309" t="str">
        <f>""</f>
        <v/>
      </c>
      <c r="GF309" t="str">
        <f>""</f>
        <v/>
      </c>
      <c r="GG309" t="str">
        <f>""</f>
        <v/>
      </c>
      <c r="GH309" t="str">
        <f>""</f>
        <v/>
      </c>
      <c r="GI309" t="str">
        <f>""</f>
        <v/>
      </c>
      <c r="GJ309" t="str">
        <f>""</f>
        <v/>
      </c>
      <c r="GK309" t="str">
        <f>""</f>
        <v/>
      </c>
      <c r="GL309" t="str">
        <f>""</f>
        <v/>
      </c>
      <c r="GM309" t="str">
        <f>""</f>
        <v/>
      </c>
      <c r="GN309" t="str">
        <f>""</f>
        <v/>
      </c>
      <c r="GO309" t="str">
        <f>""</f>
        <v/>
      </c>
      <c r="GP309" t="str">
        <f>""</f>
        <v/>
      </c>
      <c r="GQ309" t="str">
        <f>""</f>
        <v/>
      </c>
      <c r="GR309" t="str">
        <f>""</f>
        <v/>
      </c>
      <c r="GS309" t="str">
        <f>""</f>
        <v/>
      </c>
      <c r="GT309" t="str">
        <f>""</f>
        <v/>
      </c>
      <c r="GU309" t="str">
        <f>""</f>
        <v/>
      </c>
      <c r="GV309" t="str">
        <f>""</f>
        <v/>
      </c>
      <c r="GW309" t="str">
        <f>""</f>
        <v/>
      </c>
      <c r="GX309" t="str">
        <f>""</f>
        <v/>
      </c>
      <c r="GY309" t="str">
        <f>""</f>
        <v/>
      </c>
      <c r="GZ309" t="str">
        <f>""</f>
        <v/>
      </c>
      <c r="HA309" t="str">
        <f>""</f>
        <v/>
      </c>
      <c r="HB309" t="str">
        <f>""</f>
        <v/>
      </c>
      <c r="HC309" t="str">
        <f>""</f>
        <v/>
      </c>
      <c r="HD309" t="str">
        <f>""</f>
        <v/>
      </c>
      <c r="HE309" t="str">
        <f>""</f>
        <v/>
      </c>
      <c r="HF309" t="str">
        <f>""</f>
        <v/>
      </c>
      <c r="HG309" t="str">
        <f>""</f>
        <v/>
      </c>
      <c r="HH309" t="str">
        <f>""</f>
        <v/>
      </c>
      <c r="HI309" t="str">
        <f>""</f>
        <v/>
      </c>
      <c r="HJ309" t="str">
        <f>"0.171"</f>
        <v>0.171</v>
      </c>
      <c r="HK309" t="str">
        <f>"0.0131"</f>
        <v>0.0131</v>
      </c>
      <c r="HL309" t="str">
        <f>"-0.0301"</f>
        <v>-0.0301</v>
      </c>
      <c r="HM309" t="str">
        <f>""</f>
        <v/>
      </c>
      <c r="HN309" t="str">
        <f>""</f>
        <v/>
      </c>
      <c r="HO309" t="str">
        <f>""</f>
        <v/>
      </c>
      <c r="HP309" t="str">
        <f>""</f>
        <v/>
      </c>
      <c r="HQ309" t="str">
        <f>""</f>
        <v/>
      </c>
      <c r="HR309" t="str">
        <f>""</f>
        <v/>
      </c>
      <c r="HS309" t="str">
        <f>""</f>
        <v/>
      </c>
      <c r="HT309" t="str">
        <f>""</f>
        <v/>
      </c>
      <c r="HU309" t="str">
        <f>""</f>
        <v/>
      </c>
      <c r="HV309" t="str">
        <f>""</f>
        <v/>
      </c>
      <c r="HW309" t="str">
        <f>""</f>
        <v/>
      </c>
      <c r="HX309" t="str">
        <f>""</f>
        <v/>
      </c>
      <c r="HY309" t="str">
        <f>""</f>
        <v/>
      </c>
      <c r="HZ309" t="str">
        <f>""</f>
        <v/>
      </c>
      <c r="IA309" t="str">
        <f>""</f>
        <v/>
      </c>
      <c r="IB309" t="str">
        <f>""</f>
        <v/>
      </c>
      <c r="IC309" t="str">
        <f>""</f>
        <v/>
      </c>
      <c r="ID309" t="str">
        <f>""</f>
        <v/>
      </c>
      <c r="IE309" t="str">
        <f>""</f>
        <v/>
      </c>
      <c r="IF309" t="str">
        <f>""</f>
        <v/>
      </c>
      <c r="IG309" t="str">
        <f>""</f>
        <v/>
      </c>
      <c r="IH309" t="str">
        <f>""</f>
        <v/>
      </c>
      <c r="II309" t="str">
        <f>""</f>
        <v/>
      </c>
      <c r="IJ309" t="str">
        <f>""</f>
        <v/>
      </c>
      <c r="IK309" t="str">
        <f>""</f>
        <v/>
      </c>
      <c r="IL309" t="str">
        <f>""</f>
        <v/>
      </c>
      <c r="IM309" t="str">
        <f>""</f>
        <v/>
      </c>
      <c r="IN309" t="str">
        <f>""</f>
        <v/>
      </c>
      <c r="IO309" t="str">
        <f>""</f>
        <v/>
      </c>
      <c r="IP309" t="str">
        <f>""</f>
        <v/>
      </c>
      <c r="IQ309" t="str">
        <f>""</f>
        <v/>
      </c>
      <c r="IR309" t="str">
        <f>""</f>
        <v/>
      </c>
      <c r="IS309" t="str">
        <f>""</f>
        <v/>
      </c>
      <c r="IT309" t="str">
        <f>""</f>
        <v/>
      </c>
      <c r="IU309" t="str">
        <f>""</f>
        <v/>
      </c>
      <c r="IV309" t="str">
        <f>""</f>
        <v/>
      </c>
      <c r="IW309" t="str">
        <f>""</f>
        <v/>
      </c>
      <c r="IX309" t="str">
        <f>""</f>
        <v/>
      </c>
      <c r="IY309" t="str">
        <f>""</f>
        <v/>
      </c>
      <c r="IZ309" t="str">
        <f>""</f>
        <v/>
      </c>
      <c r="JA309" t="str">
        <f>""</f>
        <v/>
      </c>
      <c r="JB309" t="str">
        <f>""</f>
        <v/>
      </c>
      <c r="JC309" t="str">
        <f>""</f>
        <v/>
      </c>
      <c r="JD309" t="str">
        <f>""</f>
        <v/>
      </c>
      <c r="JE309" t="str">
        <f>""</f>
        <v/>
      </c>
      <c r="JF309" t="str">
        <f>""</f>
        <v/>
      </c>
      <c r="JG309" t="str">
        <f>""</f>
        <v/>
      </c>
      <c r="JH309" t="str">
        <f>""</f>
        <v/>
      </c>
      <c r="JI309" t="str">
        <f>""</f>
        <v/>
      </c>
      <c r="JJ309" t="str">
        <f>""</f>
        <v/>
      </c>
      <c r="JK309" t="str">
        <f>""</f>
        <v/>
      </c>
    </row>
    <row r="310" spans="1:271" x14ac:dyDescent="0.3">
      <c r="A310" t="str">
        <f>""</f>
        <v/>
      </c>
      <c r="B310" t="str">
        <f>""</f>
        <v/>
      </c>
      <c r="C310" t="str">
        <f>""</f>
        <v/>
      </c>
      <c r="D310" t="str">
        <f>""</f>
        <v/>
      </c>
      <c r="E310" t="str">
        <f>""</f>
        <v/>
      </c>
      <c r="F310" t="str">
        <f>""</f>
        <v/>
      </c>
      <c r="G310" t="str">
        <f>""</f>
        <v/>
      </c>
      <c r="H310" t="str">
        <f>""</f>
        <v/>
      </c>
      <c r="I310" t="str">
        <f>""</f>
        <v/>
      </c>
      <c r="J310" t="str">
        <f>""</f>
        <v/>
      </c>
      <c r="K310" t="str">
        <f>""</f>
        <v/>
      </c>
      <c r="L310" t="str">
        <f>""</f>
        <v/>
      </c>
      <c r="M310" t="str">
        <f>""</f>
        <v/>
      </c>
      <c r="N310" t="str">
        <f>""</f>
        <v/>
      </c>
      <c r="O310" t="str">
        <f>""</f>
        <v/>
      </c>
      <c r="P310" t="str">
        <f>""</f>
        <v/>
      </c>
      <c r="Q310" t="str">
        <f>""</f>
        <v/>
      </c>
      <c r="R310" t="str">
        <f>""</f>
        <v/>
      </c>
      <c r="S310" t="str">
        <f>""</f>
        <v/>
      </c>
      <c r="T310" t="str">
        <f>""</f>
        <v/>
      </c>
      <c r="U310" t="str">
        <f>""</f>
        <v/>
      </c>
      <c r="V310" t="str">
        <f>""</f>
        <v/>
      </c>
      <c r="W310" t="str">
        <f>""</f>
        <v/>
      </c>
      <c r="X310" t="str">
        <f>""</f>
        <v/>
      </c>
      <c r="Y310" t="str">
        <f>""</f>
        <v/>
      </c>
      <c r="Z310" t="str">
        <f>""</f>
        <v/>
      </c>
      <c r="AA310" t="str">
        <f>""</f>
        <v/>
      </c>
      <c r="AB310" t="str">
        <f>""</f>
        <v/>
      </c>
      <c r="AC310" t="str">
        <f>""</f>
        <v/>
      </c>
      <c r="AD310" t="str">
        <f>""</f>
        <v/>
      </c>
      <c r="AE310" t="str">
        <f>""</f>
        <v/>
      </c>
      <c r="AF310" t="str">
        <f>""</f>
        <v/>
      </c>
      <c r="AG310" t="str">
        <f>""</f>
        <v/>
      </c>
      <c r="AH310" t="str">
        <f>""</f>
        <v/>
      </c>
      <c r="AI310" t="str">
        <f>""</f>
        <v/>
      </c>
      <c r="AJ310" t="str">
        <f>""</f>
        <v/>
      </c>
      <c r="AK310" t="str">
        <f>""</f>
        <v/>
      </c>
      <c r="AL310" t="str">
        <f>""</f>
        <v/>
      </c>
      <c r="AM310" t="str">
        <f>""</f>
        <v/>
      </c>
      <c r="AN310" t="str">
        <f>""</f>
        <v/>
      </c>
      <c r="AO310" t="str">
        <f>""</f>
        <v/>
      </c>
      <c r="AP310" t="str">
        <f>""</f>
        <v/>
      </c>
      <c r="AQ310" t="str">
        <f>""</f>
        <v/>
      </c>
      <c r="AR310" t="str">
        <f>""</f>
        <v/>
      </c>
      <c r="AS310" t="str">
        <f>""</f>
        <v/>
      </c>
      <c r="AT310" t="str">
        <f>""</f>
        <v/>
      </c>
      <c r="AU310" t="str">
        <f>""</f>
        <v/>
      </c>
      <c r="AV310" t="str">
        <f>""</f>
        <v/>
      </c>
      <c r="AW310" t="str">
        <f>""</f>
        <v/>
      </c>
      <c r="AX310" t="str">
        <f>""</f>
        <v/>
      </c>
      <c r="AY310" t="str">
        <f>""</f>
        <v/>
      </c>
      <c r="AZ310" t="str">
        <f>""</f>
        <v/>
      </c>
      <c r="BA310" t="str">
        <f>""</f>
        <v/>
      </c>
      <c r="BB310" t="str">
        <f>""</f>
        <v/>
      </c>
      <c r="BC310" t="str">
        <f>""</f>
        <v/>
      </c>
      <c r="BD310" t="str">
        <f>""</f>
        <v/>
      </c>
      <c r="BE310" t="str">
        <f>""</f>
        <v/>
      </c>
      <c r="BF310" t="str">
        <f>""</f>
        <v/>
      </c>
      <c r="BG310" t="str">
        <f>""</f>
        <v/>
      </c>
      <c r="BH310" t="str">
        <f>""</f>
        <v/>
      </c>
      <c r="BI310" t="str">
        <f>""</f>
        <v/>
      </c>
      <c r="BJ310" t="str">
        <f>""</f>
        <v/>
      </c>
      <c r="BK310" t="str">
        <f>""</f>
        <v/>
      </c>
      <c r="BL310" t="str">
        <f>""</f>
        <v/>
      </c>
      <c r="BM310" t="str">
        <f>""</f>
        <v/>
      </c>
      <c r="BN310" t="str">
        <f>""</f>
        <v/>
      </c>
      <c r="BO310" t="str">
        <f>""</f>
        <v/>
      </c>
      <c r="BP310" t="str">
        <f>""</f>
        <v/>
      </c>
      <c r="BQ310" t="str">
        <f>""</f>
        <v/>
      </c>
      <c r="BR310" t="str">
        <f>""</f>
        <v/>
      </c>
      <c r="BS310" t="str">
        <f>""</f>
        <v/>
      </c>
      <c r="BT310" t="str">
        <f>""</f>
        <v/>
      </c>
      <c r="BU310" t="str">
        <f>""</f>
        <v/>
      </c>
      <c r="BV310" t="str">
        <f>""</f>
        <v/>
      </c>
      <c r="BW310" t="str">
        <f>""</f>
        <v/>
      </c>
      <c r="BX310" t="str">
        <f>""</f>
        <v/>
      </c>
      <c r="BY310" t="str">
        <f>""</f>
        <v/>
      </c>
      <c r="BZ310" t="str">
        <f>""</f>
        <v/>
      </c>
      <c r="CA310" t="str">
        <f>""</f>
        <v/>
      </c>
      <c r="CB310" t="str">
        <f>""</f>
        <v/>
      </c>
      <c r="CC310" t="str">
        <f>""</f>
        <v/>
      </c>
      <c r="CD310" t="str">
        <f>""</f>
        <v/>
      </c>
      <c r="CE310" t="str">
        <f>""</f>
        <v/>
      </c>
      <c r="CF310" t="str">
        <f>""</f>
        <v/>
      </c>
      <c r="CG310" t="str">
        <f>""</f>
        <v/>
      </c>
      <c r="CH310" t="str">
        <f>""</f>
        <v/>
      </c>
      <c r="CI310" t="str">
        <f>""</f>
        <v/>
      </c>
      <c r="CJ310" t="str">
        <f>""</f>
        <v/>
      </c>
      <c r="CK310" t="str">
        <f>""</f>
        <v/>
      </c>
      <c r="CL310" t="str">
        <f>""</f>
        <v/>
      </c>
      <c r="CM310" t="str">
        <f>""</f>
        <v/>
      </c>
      <c r="CN310" t="str">
        <f>""</f>
        <v/>
      </c>
      <c r="CO310" t="str">
        <f>""</f>
        <v/>
      </c>
      <c r="CP310" t="str">
        <f>""</f>
        <v/>
      </c>
      <c r="CQ310" t="str">
        <f>""</f>
        <v/>
      </c>
      <c r="CR310" t="str">
        <f>""</f>
        <v/>
      </c>
      <c r="CS310" t="str">
        <f>""</f>
        <v/>
      </c>
      <c r="CT310" t="str">
        <f>""</f>
        <v/>
      </c>
      <c r="CU310" t="str">
        <f>""</f>
        <v/>
      </c>
      <c r="CV310" t="str">
        <f>""</f>
        <v/>
      </c>
      <c r="CW310" t="str">
        <f>""</f>
        <v/>
      </c>
      <c r="CX310" t="str">
        <f>""</f>
        <v/>
      </c>
      <c r="CY310" t="str">
        <f>""</f>
        <v/>
      </c>
      <c r="CZ310" t="str">
        <f>""</f>
        <v/>
      </c>
      <c r="DA310" t="str">
        <f>""</f>
        <v/>
      </c>
      <c r="DB310" t="str">
        <f>""</f>
        <v/>
      </c>
      <c r="DC310" t="str">
        <f>""</f>
        <v/>
      </c>
      <c r="DD310" t="str">
        <f>""</f>
        <v/>
      </c>
      <c r="DE310" t="str">
        <f>""</f>
        <v/>
      </c>
      <c r="DF310" t="str">
        <f>""</f>
        <v/>
      </c>
      <c r="DG310" t="str">
        <f>""</f>
        <v/>
      </c>
      <c r="DH310" t="str">
        <f>""</f>
        <v/>
      </c>
      <c r="DI310" t="str">
        <f>""</f>
        <v/>
      </c>
      <c r="DJ310" t="str">
        <f>""</f>
        <v/>
      </c>
      <c r="DK310" t="str">
        <f>""</f>
        <v/>
      </c>
      <c r="DL310" t="str">
        <f>""</f>
        <v/>
      </c>
      <c r="DM310" t="str">
        <f>""</f>
        <v/>
      </c>
      <c r="DN310" t="str">
        <f>""</f>
        <v/>
      </c>
      <c r="DO310" t="str">
        <f>""</f>
        <v/>
      </c>
      <c r="DP310" t="str">
        <f>""</f>
        <v/>
      </c>
      <c r="DQ310" t="str">
        <f>""</f>
        <v/>
      </c>
      <c r="DR310" t="str">
        <f>""</f>
        <v/>
      </c>
      <c r="DS310" t="str">
        <f>""</f>
        <v/>
      </c>
      <c r="DT310" t="str">
        <f>""</f>
        <v/>
      </c>
      <c r="DU310" t="str">
        <f>""</f>
        <v/>
      </c>
      <c r="DV310" t="str">
        <f>""</f>
        <v/>
      </c>
      <c r="DW310" t="str">
        <f>""</f>
        <v/>
      </c>
      <c r="DX310" t="str">
        <f>""</f>
        <v/>
      </c>
      <c r="DY310" t="str">
        <f>""</f>
        <v/>
      </c>
      <c r="DZ310" t="str">
        <f>""</f>
        <v/>
      </c>
      <c r="EA310" t="str">
        <f>""</f>
        <v/>
      </c>
      <c r="EB310" t="str">
        <f>""</f>
        <v/>
      </c>
      <c r="EC310" t="str">
        <f>""</f>
        <v/>
      </c>
      <c r="ED310" t="str">
        <f>""</f>
        <v/>
      </c>
      <c r="EE310" t="str">
        <f>""</f>
        <v/>
      </c>
      <c r="EF310" t="str">
        <f>""</f>
        <v/>
      </c>
      <c r="EG310" t="str">
        <f>""</f>
        <v/>
      </c>
      <c r="EH310" t="str">
        <f>""</f>
        <v/>
      </c>
      <c r="EI310" t="str">
        <f>""</f>
        <v/>
      </c>
      <c r="EJ310" t="str">
        <f>""</f>
        <v/>
      </c>
      <c r="EK310" t="str">
        <f>""</f>
        <v/>
      </c>
      <c r="EL310" t="str">
        <f>""</f>
        <v/>
      </c>
      <c r="EM310" t="str">
        <f>""</f>
        <v/>
      </c>
      <c r="EN310" t="str">
        <f>""</f>
        <v/>
      </c>
      <c r="EO310" t="str">
        <f>""</f>
        <v/>
      </c>
      <c r="EP310" t="str">
        <f>""</f>
        <v/>
      </c>
      <c r="EQ310" t="str">
        <f>""</f>
        <v/>
      </c>
      <c r="ER310" t="str">
        <f>""</f>
        <v/>
      </c>
      <c r="ES310" t="str">
        <f>""</f>
        <v/>
      </c>
      <c r="ET310" t="str">
        <f>""</f>
        <v/>
      </c>
      <c r="EU310" t="str">
        <f>""</f>
        <v/>
      </c>
      <c r="EV310" t="str">
        <f>""</f>
        <v/>
      </c>
      <c r="EW310" t="str">
        <f>""</f>
        <v/>
      </c>
      <c r="EX310" t="str">
        <f>""</f>
        <v/>
      </c>
      <c r="EY310" t="str">
        <f>""</f>
        <v/>
      </c>
      <c r="EZ310" t="str">
        <f>""</f>
        <v/>
      </c>
      <c r="FA310" t="str">
        <f>""</f>
        <v/>
      </c>
      <c r="FB310" t="str">
        <f>""</f>
        <v/>
      </c>
      <c r="FC310" t="str">
        <f>""</f>
        <v/>
      </c>
      <c r="FD310" t="str">
        <f>""</f>
        <v/>
      </c>
      <c r="FE310" t="str">
        <f>""</f>
        <v/>
      </c>
      <c r="FF310" t="str">
        <f>""</f>
        <v/>
      </c>
      <c r="FG310" t="str">
        <f>""</f>
        <v/>
      </c>
      <c r="FH310" t="str">
        <f>""</f>
        <v/>
      </c>
      <c r="FI310" t="str">
        <f>""</f>
        <v/>
      </c>
      <c r="FJ310" t="str">
        <f>""</f>
        <v/>
      </c>
      <c r="FK310" t="str">
        <f>""</f>
        <v/>
      </c>
      <c r="FL310" t="str">
        <f>""</f>
        <v/>
      </c>
      <c r="FM310" t="str">
        <f>""</f>
        <v/>
      </c>
      <c r="FN310" t="str">
        <f>""</f>
        <v/>
      </c>
      <c r="FO310" t="str">
        <f>""</f>
        <v/>
      </c>
      <c r="FP310" t="str">
        <f>""</f>
        <v/>
      </c>
      <c r="FQ310" t="str">
        <f>""</f>
        <v/>
      </c>
      <c r="FR310" t="str">
        <f>""</f>
        <v/>
      </c>
      <c r="FS310" t="str">
        <f>""</f>
        <v/>
      </c>
      <c r="FT310" t="str">
        <f>""</f>
        <v/>
      </c>
      <c r="FU310" t="str">
        <f>""</f>
        <v/>
      </c>
      <c r="FV310" t="str">
        <f>""</f>
        <v/>
      </c>
      <c r="FW310" t="str">
        <f>""</f>
        <v/>
      </c>
      <c r="FX310" t="str">
        <f>""</f>
        <v/>
      </c>
      <c r="FY310" t="str">
        <f>""</f>
        <v/>
      </c>
      <c r="FZ310" t="str">
        <f>""</f>
        <v/>
      </c>
      <c r="GA310" t="str">
        <f>""</f>
        <v/>
      </c>
      <c r="GB310" t="str">
        <f>""</f>
        <v/>
      </c>
      <c r="GC310" t="str">
        <f>""</f>
        <v/>
      </c>
      <c r="GD310" t="str">
        <f>""</f>
        <v/>
      </c>
      <c r="GE310" t="str">
        <f>""</f>
        <v/>
      </c>
      <c r="GF310" t="str">
        <f>""</f>
        <v/>
      </c>
      <c r="GG310" t="str">
        <f>""</f>
        <v/>
      </c>
      <c r="GH310" t="str">
        <f>""</f>
        <v/>
      </c>
      <c r="GI310" t="str">
        <f>""</f>
        <v/>
      </c>
      <c r="GJ310" t="str">
        <f>""</f>
        <v/>
      </c>
      <c r="GK310" t="str">
        <f>""</f>
        <v/>
      </c>
      <c r="GL310" t="str">
        <f>""</f>
        <v/>
      </c>
      <c r="GM310" t="str">
        <f>""</f>
        <v/>
      </c>
      <c r="GN310" t="str">
        <f>""</f>
        <v/>
      </c>
      <c r="GO310" t="str">
        <f>""</f>
        <v/>
      </c>
      <c r="GP310" t="str">
        <f>""</f>
        <v/>
      </c>
      <c r="GQ310" t="str">
        <f>""</f>
        <v/>
      </c>
      <c r="GR310" t="str">
        <f>""</f>
        <v/>
      </c>
      <c r="GS310" t="str">
        <f>""</f>
        <v/>
      </c>
      <c r="GT310" t="str">
        <f>""</f>
        <v/>
      </c>
      <c r="GU310" t="str">
        <f>""</f>
        <v/>
      </c>
      <c r="GV310" t="str">
        <f>""</f>
        <v/>
      </c>
      <c r="GW310" t="str">
        <f>""</f>
        <v/>
      </c>
      <c r="GX310" t="str">
        <f>""</f>
        <v/>
      </c>
      <c r="GY310" t="str">
        <f>""</f>
        <v/>
      </c>
      <c r="GZ310" t="str">
        <f>""</f>
        <v/>
      </c>
      <c r="HA310" t="str">
        <f>""</f>
        <v/>
      </c>
      <c r="HB310" t="str">
        <f>""</f>
        <v/>
      </c>
      <c r="HC310" t="str">
        <f>""</f>
        <v/>
      </c>
      <c r="HD310" t="str">
        <f>""</f>
        <v/>
      </c>
      <c r="HE310" t="str">
        <f>""</f>
        <v/>
      </c>
      <c r="HF310" t="str">
        <f>""</f>
        <v/>
      </c>
      <c r="HG310" t="str">
        <f>""</f>
        <v/>
      </c>
      <c r="HH310" t="str">
        <f>""</f>
        <v/>
      </c>
      <c r="HI310" t="str">
        <f>""</f>
        <v/>
      </c>
      <c r="HJ310" t="str">
        <f>"(0.103)"</f>
        <v>(0.103)</v>
      </c>
      <c r="HK310" t="str">
        <f>"(0.0818)"</f>
        <v>(0.0818)</v>
      </c>
      <c r="HL310" t="str">
        <f>"(0.0437)"</f>
        <v>(0.0437)</v>
      </c>
      <c r="HM310" t="str">
        <f>""</f>
        <v/>
      </c>
      <c r="HN310" t="str">
        <f>""</f>
        <v/>
      </c>
      <c r="HO310" t="str">
        <f>""</f>
        <v/>
      </c>
      <c r="HP310" t="str">
        <f>""</f>
        <v/>
      </c>
      <c r="HQ310" t="str">
        <f>""</f>
        <v/>
      </c>
      <c r="HR310" t="str">
        <f>""</f>
        <v/>
      </c>
      <c r="HS310" t="str">
        <f>""</f>
        <v/>
      </c>
      <c r="HT310" t="str">
        <f>""</f>
        <v/>
      </c>
      <c r="HU310" t="str">
        <f>""</f>
        <v/>
      </c>
      <c r="HV310" t="str">
        <f>""</f>
        <v/>
      </c>
      <c r="HW310" t="str">
        <f>""</f>
        <v/>
      </c>
      <c r="HX310" t="str">
        <f>""</f>
        <v/>
      </c>
      <c r="HY310" t="str">
        <f>""</f>
        <v/>
      </c>
      <c r="HZ310" t="str">
        <f>""</f>
        <v/>
      </c>
      <c r="IA310" t="str">
        <f>""</f>
        <v/>
      </c>
      <c r="IB310" t="str">
        <f>""</f>
        <v/>
      </c>
      <c r="IC310" t="str">
        <f>""</f>
        <v/>
      </c>
      <c r="ID310" t="str">
        <f>""</f>
        <v/>
      </c>
      <c r="IE310" t="str">
        <f>""</f>
        <v/>
      </c>
      <c r="IF310" t="str">
        <f>""</f>
        <v/>
      </c>
      <c r="IG310" t="str">
        <f>""</f>
        <v/>
      </c>
      <c r="IH310" t="str">
        <f>""</f>
        <v/>
      </c>
      <c r="II310" t="str">
        <f>""</f>
        <v/>
      </c>
      <c r="IJ310" t="str">
        <f>""</f>
        <v/>
      </c>
      <c r="IK310" t="str">
        <f>""</f>
        <v/>
      </c>
      <c r="IL310" t="str">
        <f>""</f>
        <v/>
      </c>
      <c r="IM310" t="str">
        <f>""</f>
        <v/>
      </c>
      <c r="IN310" t="str">
        <f>""</f>
        <v/>
      </c>
      <c r="IO310" t="str">
        <f>""</f>
        <v/>
      </c>
      <c r="IP310" t="str">
        <f>""</f>
        <v/>
      </c>
      <c r="IQ310" t="str">
        <f>""</f>
        <v/>
      </c>
      <c r="IR310" t="str">
        <f>""</f>
        <v/>
      </c>
      <c r="IS310" t="str">
        <f>""</f>
        <v/>
      </c>
      <c r="IT310" t="str">
        <f>""</f>
        <v/>
      </c>
      <c r="IU310" t="str">
        <f>""</f>
        <v/>
      </c>
      <c r="IV310" t="str">
        <f>""</f>
        <v/>
      </c>
      <c r="IW310" t="str">
        <f>""</f>
        <v/>
      </c>
      <c r="IX310" t="str">
        <f>""</f>
        <v/>
      </c>
      <c r="IY310" t="str">
        <f>""</f>
        <v/>
      </c>
      <c r="IZ310" t="str">
        <f>""</f>
        <v/>
      </c>
      <c r="JA310" t="str">
        <f>""</f>
        <v/>
      </c>
      <c r="JB310" t="str">
        <f>""</f>
        <v/>
      </c>
      <c r="JC310" t="str">
        <f>""</f>
        <v/>
      </c>
      <c r="JD310" t="str">
        <f>""</f>
        <v/>
      </c>
      <c r="JE310" t="str">
        <f>""</f>
        <v/>
      </c>
      <c r="JF310" t="str">
        <f>""</f>
        <v/>
      </c>
      <c r="JG310" t="str">
        <f>""</f>
        <v/>
      </c>
      <c r="JH310" t="str">
        <f>""</f>
        <v/>
      </c>
      <c r="JI310" t="str">
        <f>""</f>
        <v/>
      </c>
      <c r="JJ310" t="str">
        <f>""</f>
        <v/>
      </c>
      <c r="JK310" t="str">
        <f>""</f>
        <v/>
      </c>
    </row>
    <row r="312" spans="1:271" x14ac:dyDescent="0.3">
      <c r="A312" t="str">
        <f>"c.zMETAB14#c.PM5"</f>
        <v>c.zMETAB14#c.PM5</v>
      </c>
      <c r="B312" t="str">
        <f>""</f>
        <v/>
      </c>
      <c r="C312" t="str">
        <f>""</f>
        <v/>
      </c>
      <c r="D312" t="str">
        <f>""</f>
        <v/>
      </c>
      <c r="E312" t="str">
        <f>""</f>
        <v/>
      </c>
      <c r="F312" t="str">
        <f>""</f>
        <v/>
      </c>
      <c r="G312" t="str">
        <f>""</f>
        <v/>
      </c>
      <c r="H312" t="str">
        <f>""</f>
        <v/>
      </c>
      <c r="I312" t="str">
        <f>""</f>
        <v/>
      </c>
      <c r="J312" t="str">
        <f>""</f>
        <v/>
      </c>
      <c r="K312" t="str">
        <f>""</f>
        <v/>
      </c>
      <c r="L312" t="str">
        <f>""</f>
        <v/>
      </c>
      <c r="M312" t="str">
        <f>""</f>
        <v/>
      </c>
      <c r="N312" t="str">
        <f>""</f>
        <v/>
      </c>
      <c r="O312" t="str">
        <f>""</f>
        <v/>
      </c>
      <c r="P312" t="str">
        <f>""</f>
        <v/>
      </c>
      <c r="Q312" t="str">
        <f>""</f>
        <v/>
      </c>
      <c r="R312" t="str">
        <f>""</f>
        <v/>
      </c>
      <c r="S312" t="str">
        <f>""</f>
        <v/>
      </c>
      <c r="T312" t="str">
        <f>""</f>
        <v/>
      </c>
      <c r="U312" t="str">
        <f>""</f>
        <v/>
      </c>
      <c r="V312" t="str">
        <f>""</f>
        <v/>
      </c>
      <c r="W312" t="str">
        <f>""</f>
        <v/>
      </c>
      <c r="X312" t="str">
        <f>""</f>
        <v/>
      </c>
      <c r="Y312" t="str">
        <f>""</f>
        <v/>
      </c>
      <c r="Z312" t="str">
        <f>""</f>
        <v/>
      </c>
      <c r="AA312" t="str">
        <f>""</f>
        <v/>
      </c>
      <c r="AB312" t="str">
        <f>""</f>
        <v/>
      </c>
      <c r="AC312" t="str">
        <f>""</f>
        <v/>
      </c>
      <c r="AD312" t="str">
        <f>""</f>
        <v/>
      </c>
      <c r="AE312" t="str">
        <f>""</f>
        <v/>
      </c>
      <c r="AF312" t="str">
        <f>""</f>
        <v/>
      </c>
      <c r="AG312" t="str">
        <f>""</f>
        <v/>
      </c>
      <c r="AH312" t="str">
        <f>""</f>
        <v/>
      </c>
      <c r="AI312" t="str">
        <f>""</f>
        <v/>
      </c>
      <c r="AJ312" t="str">
        <f>""</f>
        <v/>
      </c>
      <c r="AK312" t="str">
        <f>""</f>
        <v/>
      </c>
      <c r="AL312" t="str">
        <f>""</f>
        <v/>
      </c>
      <c r="AM312" t="str">
        <f>""</f>
        <v/>
      </c>
      <c r="AN312" t="str">
        <f>""</f>
        <v/>
      </c>
      <c r="AO312" t="str">
        <f>""</f>
        <v/>
      </c>
      <c r="AP312" t="str">
        <f>""</f>
        <v/>
      </c>
      <c r="AQ312" t="str">
        <f>""</f>
        <v/>
      </c>
      <c r="AR312" t="str">
        <f>""</f>
        <v/>
      </c>
      <c r="AS312" t="str">
        <f>""</f>
        <v/>
      </c>
      <c r="AT312" t="str">
        <f>""</f>
        <v/>
      </c>
      <c r="AU312" t="str">
        <f>""</f>
        <v/>
      </c>
      <c r="AV312" t="str">
        <f>""</f>
        <v/>
      </c>
      <c r="AW312" t="str">
        <f>""</f>
        <v/>
      </c>
      <c r="AX312" t="str">
        <f>""</f>
        <v/>
      </c>
      <c r="AY312" t="str">
        <f>""</f>
        <v/>
      </c>
      <c r="AZ312" t="str">
        <f>""</f>
        <v/>
      </c>
      <c r="BA312" t="str">
        <f>""</f>
        <v/>
      </c>
      <c r="BB312" t="str">
        <f>""</f>
        <v/>
      </c>
      <c r="BC312" t="str">
        <f>""</f>
        <v/>
      </c>
      <c r="BD312" t="str">
        <f>""</f>
        <v/>
      </c>
      <c r="BE312" t="str">
        <f>""</f>
        <v/>
      </c>
      <c r="BF312" t="str">
        <f>""</f>
        <v/>
      </c>
      <c r="BG312" t="str">
        <f>""</f>
        <v/>
      </c>
      <c r="BH312" t="str">
        <f>""</f>
        <v/>
      </c>
      <c r="BI312" t="str">
        <f>""</f>
        <v/>
      </c>
      <c r="BJ312" t="str">
        <f>""</f>
        <v/>
      </c>
      <c r="BK312" t="str">
        <f>""</f>
        <v/>
      </c>
      <c r="BL312" t="str">
        <f>""</f>
        <v/>
      </c>
      <c r="BM312" t="str">
        <f>""</f>
        <v/>
      </c>
      <c r="BN312" t="str">
        <f>""</f>
        <v/>
      </c>
      <c r="BO312" t="str">
        <f>""</f>
        <v/>
      </c>
      <c r="BP312" t="str">
        <f>""</f>
        <v/>
      </c>
      <c r="BQ312" t="str">
        <f>""</f>
        <v/>
      </c>
      <c r="BR312" t="str">
        <f>""</f>
        <v/>
      </c>
      <c r="BS312" t="str">
        <f>""</f>
        <v/>
      </c>
      <c r="BT312" t="str">
        <f>""</f>
        <v/>
      </c>
      <c r="BU312" t="str">
        <f>""</f>
        <v/>
      </c>
      <c r="BV312" t="str">
        <f>""</f>
        <v/>
      </c>
      <c r="BW312" t="str">
        <f>""</f>
        <v/>
      </c>
      <c r="BX312" t="str">
        <f>""</f>
        <v/>
      </c>
      <c r="BY312" t="str">
        <f>""</f>
        <v/>
      </c>
      <c r="BZ312" t="str">
        <f>""</f>
        <v/>
      </c>
      <c r="CA312" t="str">
        <f>""</f>
        <v/>
      </c>
      <c r="CB312" t="str">
        <f>""</f>
        <v/>
      </c>
      <c r="CC312" t="str">
        <f>""</f>
        <v/>
      </c>
      <c r="CD312" t="str">
        <f>""</f>
        <v/>
      </c>
      <c r="CE312" t="str">
        <f>""</f>
        <v/>
      </c>
      <c r="CF312" t="str">
        <f>""</f>
        <v/>
      </c>
      <c r="CG312" t="str">
        <f>""</f>
        <v/>
      </c>
      <c r="CH312" t="str">
        <f>""</f>
        <v/>
      </c>
      <c r="CI312" t="str">
        <f>""</f>
        <v/>
      </c>
      <c r="CJ312" t="str">
        <f>""</f>
        <v/>
      </c>
      <c r="CK312" t="str">
        <f>""</f>
        <v/>
      </c>
      <c r="CL312" t="str">
        <f>""</f>
        <v/>
      </c>
      <c r="CM312" t="str">
        <f>""</f>
        <v/>
      </c>
      <c r="CN312" t="str">
        <f>""</f>
        <v/>
      </c>
      <c r="CO312" t="str">
        <f>""</f>
        <v/>
      </c>
      <c r="CP312" t="str">
        <f>""</f>
        <v/>
      </c>
      <c r="CQ312" t="str">
        <f>""</f>
        <v/>
      </c>
      <c r="CR312" t="str">
        <f>""</f>
        <v/>
      </c>
      <c r="CS312" t="str">
        <f>""</f>
        <v/>
      </c>
      <c r="CT312" t="str">
        <f>""</f>
        <v/>
      </c>
      <c r="CU312" t="str">
        <f>""</f>
        <v/>
      </c>
      <c r="CV312" t="str">
        <f>""</f>
        <v/>
      </c>
      <c r="CW312" t="str">
        <f>""</f>
        <v/>
      </c>
      <c r="CX312" t="str">
        <f>""</f>
        <v/>
      </c>
      <c r="CY312" t="str">
        <f>""</f>
        <v/>
      </c>
      <c r="CZ312" t="str">
        <f>""</f>
        <v/>
      </c>
      <c r="DA312" t="str">
        <f>""</f>
        <v/>
      </c>
      <c r="DB312" t="str">
        <f>""</f>
        <v/>
      </c>
      <c r="DC312" t="str">
        <f>""</f>
        <v/>
      </c>
      <c r="DD312" t="str">
        <f>""</f>
        <v/>
      </c>
      <c r="DE312" t="str">
        <f>""</f>
        <v/>
      </c>
      <c r="DF312" t="str">
        <f>""</f>
        <v/>
      </c>
      <c r="DG312" t="str">
        <f>""</f>
        <v/>
      </c>
      <c r="DH312" t="str">
        <f>""</f>
        <v/>
      </c>
      <c r="DI312" t="str">
        <f>""</f>
        <v/>
      </c>
      <c r="DJ312" t="str">
        <f>""</f>
        <v/>
      </c>
      <c r="DK312" t="str">
        <f>""</f>
        <v/>
      </c>
      <c r="DL312" t="str">
        <f>""</f>
        <v/>
      </c>
      <c r="DM312" t="str">
        <f>""</f>
        <v/>
      </c>
      <c r="DN312" t="str">
        <f>""</f>
        <v/>
      </c>
      <c r="DO312" t="str">
        <f>""</f>
        <v/>
      </c>
      <c r="DP312" t="str">
        <f>""</f>
        <v/>
      </c>
      <c r="DQ312" t="str">
        <f>""</f>
        <v/>
      </c>
      <c r="DR312" t="str">
        <f>""</f>
        <v/>
      </c>
      <c r="DS312" t="str">
        <f>""</f>
        <v/>
      </c>
      <c r="DT312" t="str">
        <f>""</f>
        <v/>
      </c>
      <c r="DU312" t="str">
        <f>""</f>
        <v/>
      </c>
      <c r="DV312" t="str">
        <f>""</f>
        <v/>
      </c>
      <c r="DW312" t="str">
        <f>""</f>
        <v/>
      </c>
      <c r="DX312" t="str">
        <f>""</f>
        <v/>
      </c>
      <c r="DY312" t="str">
        <f>""</f>
        <v/>
      </c>
      <c r="DZ312" t="str">
        <f>""</f>
        <v/>
      </c>
      <c r="EA312" t="str">
        <f>""</f>
        <v/>
      </c>
      <c r="EB312" t="str">
        <f>""</f>
        <v/>
      </c>
      <c r="EC312" t="str">
        <f>""</f>
        <v/>
      </c>
      <c r="ED312" t="str">
        <f>""</f>
        <v/>
      </c>
      <c r="EE312" t="str">
        <f>""</f>
        <v/>
      </c>
      <c r="EF312" t="str">
        <f>""</f>
        <v/>
      </c>
      <c r="EG312" t="str">
        <f>""</f>
        <v/>
      </c>
      <c r="EH312" t="str">
        <f>""</f>
        <v/>
      </c>
      <c r="EI312" t="str">
        <f>""</f>
        <v/>
      </c>
      <c r="EJ312" t="str">
        <f>""</f>
        <v/>
      </c>
      <c r="EK312" t="str">
        <f>""</f>
        <v/>
      </c>
      <c r="EL312" t="str">
        <f>""</f>
        <v/>
      </c>
      <c r="EM312" t="str">
        <f>""</f>
        <v/>
      </c>
      <c r="EN312" t="str">
        <f>""</f>
        <v/>
      </c>
      <c r="EO312" t="str">
        <f>""</f>
        <v/>
      </c>
      <c r="EP312" t="str">
        <f>""</f>
        <v/>
      </c>
      <c r="EQ312" t="str">
        <f>""</f>
        <v/>
      </c>
      <c r="ER312" t="str">
        <f>""</f>
        <v/>
      </c>
      <c r="ES312" t="str">
        <f>""</f>
        <v/>
      </c>
      <c r="ET312" t="str">
        <f>""</f>
        <v/>
      </c>
      <c r="EU312" t="str">
        <f>""</f>
        <v/>
      </c>
      <c r="EV312" t="str">
        <f>""</f>
        <v/>
      </c>
      <c r="EW312" t="str">
        <f>""</f>
        <v/>
      </c>
      <c r="EX312" t="str">
        <f>""</f>
        <v/>
      </c>
      <c r="EY312" t="str">
        <f>""</f>
        <v/>
      </c>
      <c r="EZ312" t="str">
        <f>""</f>
        <v/>
      </c>
      <c r="FA312" t="str">
        <f>""</f>
        <v/>
      </c>
      <c r="FB312" t="str">
        <f>""</f>
        <v/>
      </c>
      <c r="FC312" t="str">
        <f>""</f>
        <v/>
      </c>
      <c r="FD312" t="str">
        <f>""</f>
        <v/>
      </c>
      <c r="FE312" t="str">
        <f>""</f>
        <v/>
      </c>
      <c r="FF312" t="str">
        <f>""</f>
        <v/>
      </c>
      <c r="FG312" t="str">
        <f>""</f>
        <v/>
      </c>
      <c r="FH312" t="str">
        <f>""</f>
        <v/>
      </c>
      <c r="FI312" t="str">
        <f>""</f>
        <v/>
      </c>
      <c r="FJ312" t="str">
        <f>""</f>
        <v/>
      </c>
      <c r="FK312" t="str">
        <f>""</f>
        <v/>
      </c>
      <c r="FL312" t="str">
        <f>""</f>
        <v/>
      </c>
      <c r="FM312" t="str">
        <f>""</f>
        <v/>
      </c>
      <c r="FN312" t="str">
        <f>""</f>
        <v/>
      </c>
      <c r="FO312" t="str">
        <f>""</f>
        <v/>
      </c>
      <c r="FP312" t="str">
        <f>""</f>
        <v/>
      </c>
      <c r="FQ312" t="str">
        <f>""</f>
        <v/>
      </c>
      <c r="FR312" t="str">
        <f>""</f>
        <v/>
      </c>
      <c r="FS312" t="str">
        <f>""</f>
        <v/>
      </c>
      <c r="FT312" t="str">
        <f>""</f>
        <v/>
      </c>
      <c r="FU312" t="str">
        <f>""</f>
        <v/>
      </c>
      <c r="FV312" t="str">
        <f>""</f>
        <v/>
      </c>
      <c r="FW312" t="str">
        <f>""</f>
        <v/>
      </c>
      <c r="FX312" t="str">
        <f>""</f>
        <v/>
      </c>
      <c r="FY312" t="str">
        <f>""</f>
        <v/>
      </c>
      <c r="FZ312" t="str">
        <f>""</f>
        <v/>
      </c>
      <c r="GA312" t="str">
        <f>""</f>
        <v/>
      </c>
      <c r="GB312" t="str">
        <f>""</f>
        <v/>
      </c>
      <c r="GC312" t="str">
        <f>""</f>
        <v/>
      </c>
      <c r="GD312" t="str">
        <f>""</f>
        <v/>
      </c>
      <c r="GE312" t="str">
        <f>""</f>
        <v/>
      </c>
      <c r="GF312" t="str">
        <f>""</f>
        <v/>
      </c>
      <c r="GG312" t="str">
        <f>""</f>
        <v/>
      </c>
      <c r="GH312" t="str">
        <f>""</f>
        <v/>
      </c>
      <c r="GI312" t="str">
        <f>""</f>
        <v/>
      </c>
      <c r="GJ312" t="str">
        <f>""</f>
        <v/>
      </c>
      <c r="GK312" t="str">
        <f>""</f>
        <v/>
      </c>
      <c r="GL312" t="str">
        <f>""</f>
        <v/>
      </c>
      <c r="GM312" t="str">
        <f>""</f>
        <v/>
      </c>
      <c r="GN312" t="str">
        <f>""</f>
        <v/>
      </c>
      <c r="GO312" t="str">
        <f>""</f>
        <v/>
      </c>
      <c r="GP312" t="str">
        <f>""</f>
        <v/>
      </c>
      <c r="GQ312" t="str">
        <f>""</f>
        <v/>
      </c>
      <c r="GR312" t="str">
        <f>""</f>
        <v/>
      </c>
      <c r="GS312" t="str">
        <f>""</f>
        <v/>
      </c>
      <c r="GT312" t="str">
        <f>""</f>
        <v/>
      </c>
      <c r="GU312" t="str">
        <f>""</f>
        <v/>
      </c>
      <c r="GV312" t="str">
        <f>""</f>
        <v/>
      </c>
      <c r="GW312" t="str">
        <f>""</f>
        <v/>
      </c>
      <c r="GX312" t="str">
        <f>""</f>
        <v/>
      </c>
      <c r="GY312" t="str">
        <f>""</f>
        <v/>
      </c>
      <c r="GZ312" t="str">
        <f>""</f>
        <v/>
      </c>
      <c r="HA312" t="str">
        <f>""</f>
        <v/>
      </c>
      <c r="HB312" t="str">
        <f>""</f>
        <v/>
      </c>
      <c r="HC312" t="str">
        <f>""</f>
        <v/>
      </c>
      <c r="HD312" t="str">
        <f>""</f>
        <v/>
      </c>
      <c r="HE312" t="str">
        <f>""</f>
        <v/>
      </c>
      <c r="HF312" t="str">
        <f>""</f>
        <v/>
      </c>
      <c r="HG312" t="str">
        <f>""</f>
        <v/>
      </c>
      <c r="HH312" t="str">
        <f>""</f>
        <v/>
      </c>
      <c r="HI312" t="str">
        <f>""</f>
        <v/>
      </c>
      <c r="HJ312" t="str">
        <f>""</f>
        <v/>
      </c>
      <c r="HK312" t="str">
        <f>""</f>
        <v/>
      </c>
      <c r="HL312" t="str">
        <f>""</f>
        <v/>
      </c>
      <c r="HM312" t="str">
        <f>"-0.0395"</f>
        <v>-0.0395</v>
      </c>
      <c r="HN312" t="str">
        <f>"-0.00839"</f>
        <v>-0.00839</v>
      </c>
      <c r="HO312" t="str">
        <f>"-0.0266"</f>
        <v>-0.0266</v>
      </c>
      <c r="HP312" t="str">
        <f>""</f>
        <v/>
      </c>
      <c r="HQ312" t="str">
        <f>""</f>
        <v/>
      </c>
      <c r="HR312" t="str">
        <f>""</f>
        <v/>
      </c>
      <c r="HS312" t="str">
        <f>""</f>
        <v/>
      </c>
      <c r="HT312" t="str">
        <f>""</f>
        <v/>
      </c>
      <c r="HU312" t="str">
        <f>""</f>
        <v/>
      </c>
      <c r="HV312" t="str">
        <f>""</f>
        <v/>
      </c>
      <c r="HW312" t="str">
        <f>""</f>
        <v/>
      </c>
      <c r="HX312" t="str">
        <f>""</f>
        <v/>
      </c>
      <c r="HY312" t="str">
        <f>""</f>
        <v/>
      </c>
      <c r="HZ312" t="str">
        <f>""</f>
        <v/>
      </c>
      <c r="IA312" t="str">
        <f>""</f>
        <v/>
      </c>
      <c r="IB312" t="str">
        <f>""</f>
        <v/>
      </c>
      <c r="IC312" t="str">
        <f>""</f>
        <v/>
      </c>
      <c r="ID312" t="str">
        <f>""</f>
        <v/>
      </c>
      <c r="IE312" t="str">
        <f>""</f>
        <v/>
      </c>
      <c r="IF312" t="str">
        <f>""</f>
        <v/>
      </c>
      <c r="IG312" t="str">
        <f>""</f>
        <v/>
      </c>
      <c r="IH312" t="str">
        <f>""</f>
        <v/>
      </c>
      <c r="II312" t="str">
        <f>""</f>
        <v/>
      </c>
      <c r="IJ312" t="str">
        <f>""</f>
        <v/>
      </c>
      <c r="IK312" t="str">
        <f>""</f>
        <v/>
      </c>
      <c r="IL312" t="str">
        <f>""</f>
        <v/>
      </c>
      <c r="IM312" t="str">
        <f>""</f>
        <v/>
      </c>
      <c r="IN312" t="str">
        <f>""</f>
        <v/>
      </c>
      <c r="IO312" t="str">
        <f>""</f>
        <v/>
      </c>
      <c r="IP312" t="str">
        <f>""</f>
        <v/>
      </c>
      <c r="IQ312" t="str">
        <f>""</f>
        <v/>
      </c>
      <c r="IR312" t="str">
        <f>""</f>
        <v/>
      </c>
      <c r="IS312" t="str">
        <f>""</f>
        <v/>
      </c>
      <c r="IT312" t="str">
        <f>""</f>
        <v/>
      </c>
      <c r="IU312" t="str">
        <f>""</f>
        <v/>
      </c>
      <c r="IV312" t="str">
        <f>""</f>
        <v/>
      </c>
      <c r="IW312" t="str">
        <f>""</f>
        <v/>
      </c>
      <c r="IX312" t="str">
        <f>""</f>
        <v/>
      </c>
      <c r="IY312" t="str">
        <f>""</f>
        <v/>
      </c>
      <c r="IZ312" t="str">
        <f>""</f>
        <v/>
      </c>
      <c r="JA312" t="str">
        <f>""</f>
        <v/>
      </c>
      <c r="JB312" t="str">
        <f>""</f>
        <v/>
      </c>
      <c r="JC312" t="str">
        <f>""</f>
        <v/>
      </c>
      <c r="JD312" t="str">
        <f>""</f>
        <v/>
      </c>
      <c r="JE312" t="str">
        <f>""</f>
        <v/>
      </c>
      <c r="JF312" t="str">
        <f>""</f>
        <v/>
      </c>
      <c r="JG312" t="str">
        <f>""</f>
        <v/>
      </c>
      <c r="JH312" t="str">
        <f>""</f>
        <v/>
      </c>
      <c r="JI312" t="str">
        <f>""</f>
        <v/>
      </c>
      <c r="JJ312" t="str">
        <f>""</f>
        <v/>
      </c>
      <c r="JK312" t="str">
        <f>""</f>
        <v/>
      </c>
    </row>
    <row r="313" spans="1:271" x14ac:dyDescent="0.3">
      <c r="A313" t="str">
        <f>""</f>
        <v/>
      </c>
      <c r="B313" t="str">
        <f>""</f>
        <v/>
      </c>
      <c r="C313" t="str">
        <f>""</f>
        <v/>
      </c>
      <c r="D313" t="str">
        <f>""</f>
        <v/>
      </c>
      <c r="E313" t="str">
        <f>""</f>
        <v/>
      </c>
      <c r="F313" t="str">
        <f>""</f>
        <v/>
      </c>
      <c r="G313" t="str">
        <f>""</f>
        <v/>
      </c>
      <c r="H313" t="str">
        <f>""</f>
        <v/>
      </c>
      <c r="I313" t="str">
        <f>""</f>
        <v/>
      </c>
      <c r="J313" t="str">
        <f>""</f>
        <v/>
      </c>
      <c r="K313" t="str">
        <f>""</f>
        <v/>
      </c>
      <c r="L313" t="str">
        <f>""</f>
        <v/>
      </c>
      <c r="M313" t="str">
        <f>""</f>
        <v/>
      </c>
      <c r="N313" t="str">
        <f>""</f>
        <v/>
      </c>
      <c r="O313" t="str">
        <f>""</f>
        <v/>
      </c>
      <c r="P313" t="str">
        <f>""</f>
        <v/>
      </c>
      <c r="Q313" t="str">
        <f>""</f>
        <v/>
      </c>
      <c r="R313" t="str">
        <f>""</f>
        <v/>
      </c>
      <c r="S313" t="str">
        <f>""</f>
        <v/>
      </c>
      <c r="T313" t="str">
        <f>""</f>
        <v/>
      </c>
      <c r="U313" t="str">
        <f>""</f>
        <v/>
      </c>
      <c r="V313" t="str">
        <f>""</f>
        <v/>
      </c>
      <c r="W313" t="str">
        <f>""</f>
        <v/>
      </c>
      <c r="X313" t="str">
        <f>""</f>
        <v/>
      </c>
      <c r="Y313" t="str">
        <f>""</f>
        <v/>
      </c>
      <c r="Z313" t="str">
        <f>""</f>
        <v/>
      </c>
      <c r="AA313" t="str">
        <f>""</f>
        <v/>
      </c>
      <c r="AB313" t="str">
        <f>""</f>
        <v/>
      </c>
      <c r="AC313" t="str">
        <f>""</f>
        <v/>
      </c>
      <c r="AD313" t="str">
        <f>""</f>
        <v/>
      </c>
      <c r="AE313" t="str">
        <f>""</f>
        <v/>
      </c>
      <c r="AF313" t="str">
        <f>""</f>
        <v/>
      </c>
      <c r="AG313" t="str">
        <f>""</f>
        <v/>
      </c>
      <c r="AH313" t="str">
        <f>""</f>
        <v/>
      </c>
      <c r="AI313" t="str">
        <f>""</f>
        <v/>
      </c>
      <c r="AJ313" t="str">
        <f>""</f>
        <v/>
      </c>
      <c r="AK313" t="str">
        <f>""</f>
        <v/>
      </c>
      <c r="AL313" t="str">
        <f>""</f>
        <v/>
      </c>
      <c r="AM313" t="str">
        <f>""</f>
        <v/>
      </c>
      <c r="AN313" t="str">
        <f>""</f>
        <v/>
      </c>
      <c r="AO313" t="str">
        <f>""</f>
        <v/>
      </c>
      <c r="AP313" t="str">
        <f>""</f>
        <v/>
      </c>
      <c r="AQ313" t="str">
        <f>""</f>
        <v/>
      </c>
      <c r="AR313" t="str">
        <f>""</f>
        <v/>
      </c>
      <c r="AS313" t="str">
        <f>""</f>
        <v/>
      </c>
      <c r="AT313" t="str">
        <f>""</f>
        <v/>
      </c>
      <c r="AU313" t="str">
        <f>""</f>
        <v/>
      </c>
      <c r="AV313" t="str">
        <f>""</f>
        <v/>
      </c>
      <c r="AW313" t="str">
        <f>""</f>
        <v/>
      </c>
      <c r="AX313" t="str">
        <f>""</f>
        <v/>
      </c>
      <c r="AY313" t="str">
        <f>""</f>
        <v/>
      </c>
      <c r="AZ313" t="str">
        <f>""</f>
        <v/>
      </c>
      <c r="BA313" t="str">
        <f>""</f>
        <v/>
      </c>
      <c r="BB313" t="str">
        <f>""</f>
        <v/>
      </c>
      <c r="BC313" t="str">
        <f>""</f>
        <v/>
      </c>
      <c r="BD313" t="str">
        <f>""</f>
        <v/>
      </c>
      <c r="BE313" t="str">
        <f>""</f>
        <v/>
      </c>
      <c r="BF313" t="str">
        <f>""</f>
        <v/>
      </c>
      <c r="BG313" t="str">
        <f>""</f>
        <v/>
      </c>
      <c r="BH313" t="str">
        <f>""</f>
        <v/>
      </c>
      <c r="BI313" t="str">
        <f>""</f>
        <v/>
      </c>
      <c r="BJ313" t="str">
        <f>""</f>
        <v/>
      </c>
      <c r="BK313" t="str">
        <f>""</f>
        <v/>
      </c>
      <c r="BL313" t="str">
        <f>""</f>
        <v/>
      </c>
      <c r="BM313" t="str">
        <f>""</f>
        <v/>
      </c>
      <c r="BN313" t="str">
        <f>""</f>
        <v/>
      </c>
      <c r="BO313" t="str">
        <f>""</f>
        <v/>
      </c>
      <c r="BP313" t="str">
        <f>""</f>
        <v/>
      </c>
      <c r="BQ313" t="str">
        <f>""</f>
        <v/>
      </c>
      <c r="BR313" t="str">
        <f>""</f>
        <v/>
      </c>
      <c r="BS313" t="str">
        <f>""</f>
        <v/>
      </c>
      <c r="BT313" t="str">
        <f>""</f>
        <v/>
      </c>
      <c r="BU313" t="str">
        <f>""</f>
        <v/>
      </c>
      <c r="BV313" t="str">
        <f>""</f>
        <v/>
      </c>
      <c r="BW313" t="str">
        <f>""</f>
        <v/>
      </c>
      <c r="BX313" t="str">
        <f>""</f>
        <v/>
      </c>
      <c r="BY313" t="str">
        <f>""</f>
        <v/>
      </c>
      <c r="BZ313" t="str">
        <f>""</f>
        <v/>
      </c>
      <c r="CA313" t="str">
        <f>""</f>
        <v/>
      </c>
      <c r="CB313" t="str">
        <f>""</f>
        <v/>
      </c>
      <c r="CC313" t="str">
        <f>""</f>
        <v/>
      </c>
      <c r="CD313" t="str">
        <f>""</f>
        <v/>
      </c>
      <c r="CE313" t="str">
        <f>""</f>
        <v/>
      </c>
      <c r="CF313" t="str">
        <f>""</f>
        <v/>
      </c>
      <c r="CG313" t="str">
        <f>""</f>
        <v/>
      </c>
      <c r="CH313" t="str">
        <f>""</f>
        <v/>
      </c>
      <c r="CI313" t="str">
        <f>""</f>
        <v/>
      </c>
      <c r="CJ313" t="str">
        <f>""</f>
        <v/>
      </c>
      <c r="CK313" t="str">
        <f>""</f>
        <v/>
      </c>
      <c r="CL313" t="str">
        <f>""</f>
        <v/>
      </c>
      <c r="CM313" t="str">
        <f>""</f>
        <v/>
      </c>
      <c r="CN313" t="str">
        <f>""</f>
        <v/>
      </c>
      <c r="CO313" t="str">
        <f>""</f>
        <v/>
      </c>
      <c r="CP313" t="str">
        <f>""</f>
        <v/>
      </c>
      <c r="CQ313" t="str">
        <f>""</f>
        <v/>
      </c>
      <c r="CR313" t="str">
        <f>""</f>
        <v/>
      </c>
      <c r="CS313" t="str">
        <f>""</f>
        <v/>
      </c>
      <c r="CT313" t="str">
        <f>""</f>
        <v/>
      </c>
      <c r="CU313" t="str">
        <f>""</f>
        <v/>
      </c>
      <c r="CV313" t="str">
        <f>""</f>
        <v/>
      </c>
      <c r="CW313" t="str">
        <f>""</f>
        <v/>
      </c>
      <c r="CX313" t="str">
        <f>""</f>
        <v/>
      </c>
      <c r="CY313" t="str">
        <f>""</f>
        <v/>
      </c>
      <c r="CZ313" t="str">
        <f>""</f>
        <v/>
      </c>
      <c r="DA313" t="str">
        <f>""</f>
        <v/>
      </c>
      <c r="DB313" t="str">
        <f>""</f>
        <v/>
      </c>
      <c r="DC313" t="str">
        <f>""</f>
        <v/>
      </c>
      <c r="DD313" t="str">
        <f>""</f>
        <v/>
      </c>
      <c r="DE313" t="str">
        <f>""</f>
        <v/>
      </c>
      <c r="DF313" t="str">
        <f>""</f>
        <v/>
      </c>
      <c r="DG313" t="str">
        <f>""</f>
        <v/>
      </c>
      <c r="DH313" t="str">
        <f>""</f>
        <v/>
      </c>
      <c r="DI313" t="str">
        <f>""</f>
        <v/>
      </c>
      <c r="DJ313" t="str">
        <f>""</f>
        <v/>
      </c>
      <c r="DK313" t="str">
        <f>""</f>
        <v/>
      </c>
      <c r="DL313" t="str">
        <f>""</f>
        <v/>
      </c>
      <c r="DM313" t="str">
        <f>""</f>
        <v/>
      </c>
      <c r="DN313" t="str">
        <f>""</f>
        <v/>
      </c>
      <c r="DO313" t="str">
        <f>""</f>
        <v/>
      </c>
      <c r="DP313" t="str">
        <f>""</f>
        <v/>
      </c>
      <c r="DQ313" t="str">
        <f>""</f>
        <v/>
      </c>
      <c r="DR313" t="str">
        <f>""</f>
        <v/>
      </c>
      <c r="DS313" t="str">
        <f>""</f>
        <v/>
      </c>
      <c r="DT313" t="str">
        <f>""</f>
        <v/>
      </c>
      <c r="DU313" t="str">
        <f>""</f>
        <v/>
      </c>
      <c r="DV313" t="str">
        <f>""</f>
        <v/>
      </c>
      <c r="DW313" t="str">
        <f>""</f>
        <v/>
      </c>
      <c r="DX313" t="str">
        <f>""</f>
        <v/>
      </c>
      <c r="DY313" t="str">
        <f>""</f>
        <v/>
      </c>
      <c r="DZ313" t="str">
        <f>""</f>
        <v/>
      </c>
      <c r="EA313" t="str">
        <f>""</f>
        <v/>
      </c>
      <c r="EB313" t="str">
        <f>""</f>
        <v/>
      </c>
      <c r="EC313" t="str">
        <f>""</f>
        <v/>
      </c>
      <c r="ED313" t="str">
        <f>""</f>
        <v/>
      </c>
      <c r="EE313" t="str">
        <f>""</f>
        <v/>
      </c>
      <c r="EF313" t="str">
        <f>""</f>
        <v/>
      </c>
      <c r="EG313" t="str">
        <f>""</f>
        <v/>
      </c>
      <c r="EH313" t="str">
        <f>""</f>
        <v/>
      </c>
      <c r="EI313" t="str">
        <f>""</f>
        <v/>
      </c>
      <c r="EJ313" t="str">
        <f>""</f>
        <v/>
      </c>
      <c r="EK313" t="str">
        <f>""</f>
        <v/>
      </c>
      <c r="EL313" t="str">
        <f>""</f>
        <v/>
      </c>
      <c r="EM313" t="str">
        <f>""</f>
        <v/>
      </c>
      <c r="EN313" t="str">
        <f>""</f>
        <v/>
      </c>
      <c r="EO313" t="str">
        <f>""</f>
        <v/>
      </c>
      <c r="EP313" t="str">
        <f>""</f>
        <v/>
      </c>
      <c r="EQ313" t="str">
        <f>""</f>
        <v/>
      </c>
      <c r="ER313" t="str">
        <f>""</f>
        <v/>
      </c>
      <c r="ES313" t="str">
        <f>""</f>
        <v/>
      </c>
      <c r="ET313" t="str">
        <f>""</f>
        <v/>
      </c>
      <c r="EU313" t="str">
        <f>""</f>
        <v/>
      </c>
      <c r="EV313" t="str">
        <f>""</f>
        <v/>
      </c>
      <c r="EW313" t="str">
        <f>""</f>
        <v/>
      </c>
      <c r="EX313" t="str">
        <f>""</f>
        <v/>
      </c>
      <c r="EY313" t="str">
        <f>""</f>
        <v/>
      </c>
      <c r="EZ313" t="str">
        <f>""</f>
        <v/>
      </c>
      <c r="FA313" t="str">
        <f>""</f>
        <v/>
      </c>
      <c r="FB313" t="str">
        <f>""</f>
        <v/>
      </c>
      <c r="FC313" t="str">
        <f>""</f>
        <v/>
      </c>
      <c r="FD313" t="str">
        <f>""</f>
        <v/>
      </c>
      <c r="FE313" t="str">
        <f>""</f>
        <v/>
      </c>
      <c r="FF313" t="str">
        <f>""</f>
        <v/>
      </c>
      <c r="FG313" t="str">
        <f>""</f>
        <v/>
      </c>
      <c r="FH313" t="str">
        <f>""</f>
        <v/>
      </c>
      <c r="FI313" t="str">
        <f>""</f>
        <v/>
      </c>
      <c r="FJ313" t="str">
        <f>""</f>
        <v/>
      </c>
      <c r="FK313" t="str">
        <f>""</f>
        <v/>
      </c>
      <c r="FL313" t="str">
        <f>""</f>
        <v/>
      </c>
      <c r="FM313" t="str">
        <f>""</f>
        <v/>
      </c>
      <c r="FN313" t="str">
        <f>""</f>
        <v/>
      </c>
      <c r="FO313" t="str">
        <f>""</f>
        <v/>
      </c>
      <c r="FP313" t="str">
        <f>""</f>
        <v/>
      </c>
      <c r="FQ313" t="str">
        <f>""</f>
        <v/>
      </c>
      <c r="FR313" t="str">
        <f>""</f>
        <v/>
      </c>
      <c r="FS313" t="str">
        <f>""</f>
        <v/>
      </c>
      <c r="FT313" t="str">
        <f>""</f>
        <v/>
      </c>
      <c r="FU313" t="str">
        <f>""</f>
        <v/>
      </c>
      <c r="FV313" t="str">
        <f>""</f>
        <v/>
      </c>
      <c r="FW313" t="str">
        <f>""</f>
        <v/>
      </c>
      <c r="FX313" t="str">
        <f>""</f>
        <v/>
      </c>
      <c r="FY313" t="str">
        <f>""</f>
        <v/>
      </c>
      <c r="FZ313" t="str">
        <f>""</f>
        <v/>
      </c>
      <c r="GA313" t="str">
        <f>""</f>
        <v/>
      </c>
      <c r="GB313" t="str">
        <f>""</f>
        <v/>
      </c>
      <c r="GC313" t="str">
        <f>""</f>
        <v/>
      </c>
      <c r="GD313" t="str">
        <f>""</f>
        <v/>
      </c>
      <c r="GE313" t="str">
        <f>""</f>
        <v/>
      </c>
      <c r="GF313" t="str">
        <f>""</f>
        <v/>
      </c>
      <c r="GG313" t="str">
        <f>""</f>
        <v/>
      </c>
      <c r="GH313" t="str">
        <f>""</f>
        <v/>
      </c>
      <c r="GI313" t="str">
        <f>""</f>
        <v/>
      </c>
      <c r="GJ313" t="str">
        <f>""</f>
        <v/>
      </c>
      <c r="GK313" t="str">
        <f>""</f>
        <v/>
      </c>
      <c r="GL313" t="str">
        <f>""</f>
        <v/>
      </c>
      <c r="GM313" t="str">
        <f>""</f>
        <v/>
      </c>
      <c r="GN313" t="str">
        <f>""</f>
        <v/>
      </c>
      <c r="GO313" t="str">
        <f>""</f>
        <v/>
      </c>
      <c r="GP313" t="str">
        <f>""</f>
        <v/>
      </c>
      <c r="GQ313" t="str">
        <f>""</f>
        <v/>
      </c>
      <c r="GR313" t="str">
        <f>""</f>
        <v/>
      </c>
      <c r="GS313" t="str">
        <f>""</f>
        <v/>
      </c>
      <c r="GT313" t="str">
        <f>""</f>
        <v/>
      </c>
      <c r="GU313" t="str">
        <f>""</f>
        <v/>
      </c>
      <c r="GV313" t="str">
        <f>""</f>
        <v/>
      </c>
      <c r="GW313" t="str">
        <f>""</f>
        <v/>
      </c>
      <c r="GX313" t="str">
        <f>""</f>
        <v/>
      </c>
      <c r="GY313" t="str">
        <f>""</f>
        <v/>
      </c>
      <c r="GZ313" t="str">
        <f>""</f>
        <v/>
      </c>
      <c r="HA313" t="str">
        <f>""</f>
        <v/>
      </c>
      <c r="HB313" t="str">
        <f>""</f>
        <v/>
      </c>
      <c r="HC313" t="str">
        <f>""</f>
        <v/>
      </c>
      <c r="HD313" t="str">
        <f>""</f>
        <v/>
      </c>
      <c r="HE313" t="str">
        <f>""</f>
        <v/>
      </c>
      <c r="HF313" t="str">
        <f>""</f>
        <v/>
      </c>
      <c r="HG313" t="str">
        <f>""</f>
        <v/>
      </c>
      <c r="HH313" t="str">
        <f>""</f>
        <v/>
      </c>
      <c r="HI313" t="str">
        <f>""</f>
        <v/>
      </c>
      <c r="HJ313" t="str">
        <f>""</f>
        <v/>
      </c>
      <c r="HK313" t="str">
        <f>""</f>
        <v/>
      </c>
      <c r="HL313" t="str">
        <f>""</f>
        <v/>
      </c>
      <c r="HM313" t="str">
        <f>"(0.104)"</f>
        <v>(0.104)</v>
      </c>
      <c r="HN313" t="str">
        <f>"(0.0832)"</f>
        <v>(0.0832)</v>
      </c>
      <c r="HO313" t="str">
        <f>"(0.0441)"</f>
        <v>(0.0441)</v>
      </c>
      <c r="HP313" t="str">
        <f>""</f>
        <v/>
      </c>
      <c r="HQ313" t="str">
        <f>""</f>
        <v/>
      </c>
      <c r="HR313" t="str">
        <f>""</f>
        <v/>
      </c>
      <c r="HS313" t="str">
        <f>""</f>
        <v/>
      </c>
      <c r="HT313" t="str">
        <f>""</f>
        <v/>
      </c>
      <c r="HU313" t="str">
        <f>""</f>
        <v/>
      </c>
      <c r="HV313" t="str">
        <f>""</f>
        <v/>
      </c>
      <c r="HW313" t="str">
        <f>""</f>
        <v/>
      </c>
      <c r="HX313" t="str">
        <f>""</f>
        <v/>
      </c>
      <c r="HY313" t="str">
        <f>""</f>
        <v/>
      </c>
      <c r="HZ313" t="str">
        <f>""</f>
        <v/>
      </c>
      <c r="IA313" t="str">
        <f>""</f>
        <v/>
      </c>
      <c r="IB313" t="str">
        <f>""</f>
        <v/>
      </c>
      <c r="IC313" t="str">
        <f>""</f>
        <v/>
      </c>
      <c r="ID313" t="str">
        <f>""</f>
        <v/>
      </c>
      <c r="IE313" t="str">
        <f>""</f>
        <v/>
      </c>
      <c r="IF313" t="str">
        <f>""</f>
        <v/>
      </c>
      <c r="IG313" t="str">
        <f>""</f>
        <v/>
      </c>
      <c r="IH313" t="str">
        <f>""</f>
        <v/>
      </c>
      <c r="II313" t="str">
        <f>""</f>
        <v/>
      </c>
      <c r="IJ313" t="str">
        <f>""</f>
        <v/>
      </c>
      <c r="IK313" t="str">
        <f>""</f>
        <v/>
      </c>
      <c r="IL313" t="str">
        <f>""</f>
        <v/>
      </c>
      <c r="IM313" t="str">
        <f>""</f>
        <v/>
      </c>
      <c r="IN313" t="str">
        <f>""</f>
        <v/>
      </c>
      <c r="IO313" t="str">
        <f>""</f>
        <v/>
      </c>
      <c r="IP313" t="str">
        <f>""</f>
        <v/>
      </c>
      <c r="IQ313" t="str">
        <f>""</f>
        <v/>
      </c>
      <c r="IR313" t="str">
        <f>""</f>
        <v/>
      </c>
      <c r="IS313" t="str">
        <f>""</f>
        <v/>
      </c>
      <c r="IT313" t="str">
        <f>""</f>
        <v/>
      </c>
      <c r="IU313" t="str">
        <f>""</f>
        <v/>
      </c>
      <c r="IV313" t="str">
        <f>""</f>
        <v/>
      </c>
      <c r="IW313" t="str">
        <f>""</f>
        <v/>
      </c>
      <c r="IX313" t="str">
        <f>""</f>
        <v/>
      </c>
      <c r="IY313" t="str">
        <f>""</f>
        <v/>
      </c>
      <c r="IZ313" t="str">
        <f>""</f>
        <v/>
      </c>
      <c r="JA313" t="str">
        <f>""</f>
        <v/>
      </c>
      <c r="JB313" t="str">
        <f>""</f>
        <v/>
      </c>
      <c r="JC313" t="str">
        <f>""</f>
        <v/>
      </c>
      <c r="JD313" t="str">
        <f>""</f>
        <v/>
      </c>
      <c r="JE313" t="str">
        <f>""</f>
        <v/>
      </c>
      <c r="JF313" t="str">
        <f>""</f>
        <v/>
      </c>
      <c r="JG313" t="str">
        <f>""</f>
        <v/>
      </c>
      <c r="JH313" t="str">
        <f>""</f>
        <v/>
      </c>
      <c r="JI313" t="str">
        <f>""</f>
        <v/>
      </c>
      <c r="JJ313" t="str">
        <f>""</f>
        <v/>
      </c>
      <c r="JK313" t="str">
        <f>""</f>
        <v/>
      </c>
    </row>
    <row r="315" spans="1:271" x14ac:dyDescent="0.3">
      <c r="A315" t="str">
        <f>"c.zMETAB15#c.PM5"</f>
        <v>c.zMETAB15#c.PM5</v>
      </c>
      <c r="B315" t="str">
        <f>""</f>
        <v/>
      </c>
      <c r="C315" t="str">
        <f>""</f>
        <v/>
      </c>
      <c r="D315" t="str">
        <f>""</f>
        <v/>
      </c>
      <c r="E315" t="str">
        <f>""</f>
        <v/>
      </c>
      <c r="F315" t="str">
        <f>""</f>
        <v/>
      </c>
      <c r="G315" t="str">
        <f>""</f>
        <v/>
      </c>
      <c r="H315" t="str">
        <f>""</f>
        <v/>
      </c>
      <c r="I315" t="str">
        <f>""</f>
        <v/>
      </c>
      <c r="J315" t="str">
        <f>""</f>
        <v/>
      </c>
      <c r="K315" t="str">
        <f>""</f>
        <v/>
      </c>
      <c r="L315" t="str">
        <f>""</f>
        <v/>
      </c>
      <c r="M315" t="str">
        <f>""</f>
        <v/>
      </c>
      <c r="N315" t="str">
        <f>""</f>
        <v/>
      </c>
      <c r="O315" t="str">
        <f>""</f>
        <v/>
      </c>
      <c r="P315" t="str">
        <f>""</f>
        <v/>
      </c>
      <c r="Q315" t="str">
        <f>""</f>
        <v/>
      </c>
      <c r="R315" t="str">
        <f>""</f>
        <v/>
      </c>
      <c r="S315" t="str">
        <f>""</f>
        <v/>
      </c>
      <c r="T315" t="str">
        <f>""</f>
        <v/>
      </c>
      <c r="U315" t="str">
        <f>""</f>
        <v/>
      </c>
      <c r="V315" t="str">
        <f>""</f>
        <v/>
      </c>
      <c r="W315" t="str">
        <f>""</f>
        <v/>
      </c>
      <c r="X315" t="str">
        <f>""</f>
        <v/>
      </c>
      <c r="Y315" t="str">
        <f>""</f>
        <v/>
      </c>
      <c r="Z315" t="str">
        <f>""</f>
        <v/>
      </c>
      <c r="AA315" t="str">
        <f>""</f>
        <v/>
      </c>
      <c r="AB315" t="str">
        <f>""</f>
        <v/>
      </c>
      <c r="AC315" t="str">
        <f>""</f>
        <v/>
      </c>
      <c r="AD315" t="str">
        <f>""</f>
        <v/>
      </c>
      <c r="AE315" t="str">
        <f>""</f>
        <v/>
      </c>
      <c r="AF315" t="str">
        <f>""</f>
        <v/>
      </c>
      <c r="AG315" t="str">
        <f>""</f>
        <v/>
      </c>
      <c r="AH315" t="str">
        <f>""</f>
        <v/>
      </c>
      <c r="AI315" t="str">
        <f>""</f>
        <v/>
      </c>
      <c r="AJ315" t="str">
        <f>""</f>
        <v/>
      </c>
      <c r="AK315" t="str">
        <f>""</f>
        <v/>
      </c>
      <c r="AL315" t="str">
        <f>""</f>
        <v/>
      </c>
      <c r="AM315" t="str">
        <f>""</f>
        <v/>
      </c>
      <c r="AN315" t="str">
        <f>""</f>
        <v/>
      </c>
      <c r="AO315" t="str">
        <f>""</f>
        <v/>
      </c>
      <c r="AP315" t="str">
        <f>""</f>
        <v/>
      </c>
      <c r="AQ315" t="str">
        <f>""</f>
        <v/>
      </c>
      <c r="AR315" t="str">
        <f>""</f>
        <v/>
      </c>
      <c r="AS315" t="str">
        <f>""</f>
        <v/>
      </c>
      <c r="AT315" t="str">
        <f>""</f>
        <v/>
      </c>
      <c r="AU315" t="str">
        <f>""</f>
        <v/>
      </c>
      <c r="AV315" t="str">
        <f>""</f>
        <v/>
      </c>
      <c r="AW315" t="str">
        <f>""</f>
        <v/>
      </c>
      <c r="AX315" t="str">
        <f>""</f>
        <v/>
      </c>
      <c r="AY315" t="str">
        <f>""</f>
        <v/>
      </c>
      <c r="AZ315" t="str">
        <f>""</f>
        <v/>
      </c>
      <c r="BA315" t="str">
        <f>""</f>
        <v/>
      </c>
      <c r="BB315" t="str">
        <f>""</f>
        <v/>
      </c>
      <c r="BC315" t="str">
        <f>""</f>
        <v/>
      </c>
      <c r="BD315" t="str">
        <f>""</f>
        <v/>
      </c>
      <c r="BE315" t="str">
        <f>""</f>
        <v/>
      </c>
      <c r="BF315" t="str">
        <f>""</f>
        <v/>
      </c>
      <c r="BG315" t="str">
        <f>""</f>
        <v/>
      </c>
      <c r="BH315" t="str">
        <f>""</f>
        <v/>
      </c>
      <c r="BI315" t="str">
        <f>""</f>
        <v/>
      </c>
      <c r="BJ315" t="str">
        <f>""</f>
        <v/>
      </c>
      <c r="BK315" t="str">
        <f>""</f>
        <v/>
      </c>
      <c r="BL315" t="str">
        <f>""</f>
        <v/>
      </c>
      <c r="BM315" t="str">
        <f>""</f>
        <v/>
      </c>
      <c r="BN315" t="str">
        <f>""</f>
        <v/>
      </c>
      <c r="BO315" t="str">
        <f>""</f>
        <v/>
      </c>
      <c r="BP315" t="str">
        <f>""</f>
        <v/>
      </c>
      <c r="BQ315" t="str">
        <f>""</f>
        <v/>
      </c>
      <c r="BR315" t="str">
        <f>""</f>
        <v/>
      </c>
      <c r="BS315" t="str">
        <f>""</f>
        <v/>
      </c>
      <c r="BT315" t="str">
        <f>""</f>
        <v/>
      </c>
      <c r="BU315" t="str">
        <f>""</f>
        <v/>
      </c>
      <c r="BV315" t="str">
        <f>""</f>
        <v/>
      </c>
      <c r="BW315" t="str">
        <f>""</f>
        <v/>
      </c>
      <c r="BX315" t="str">
        <f>""</f>
        <v/>
      </c>
      <c r="BY315" t="str">
        <f>""</f>
        <v/>
      </c>
      <c r="BZ315" t="str">
        <f>""</f>
        <v/>
      </c>
      <c r="CA315" t="str">
        <f>""</f>
        <v/>
      </c>
      <c r="CB315" t="str">
        <f>""</f>
        <v/>
      </c>
      <c r="CC315" t="str">
        <f>""</f>
        <v/>
      </c>
      <c r="CD315" t="str">
        <f>""</f>
        <v/>
      </c>
      <c r="CE315" t="str">
        <f>""</f>
        <v/>
      </c>
      <c r="CF315" t="str">
        <f>""</f>
        <v/>
      </c>
      <c r="CG315" t="str">
        <f>""</f>
        <v/>
      </c>
      <c r="CH315" t="str">
        <f>""</f>
        <v/>
      </c>
      <c r="CI315" t="str">
        <f>""</f>
        <v/>
      </c>
      <c r="CJ315" t="str">
        <f>""</f>
        <v/>
      </c>
      <c r="CK315" t="str">
        <f>""</f>
        <v/>
      </c>
      <c r="CL315" t="str">
        <f>""</f>
        <v/>
      </c>
      <c r="CM315" t="str">
        <f>""</f>
        <v/>
      </c>
      <c r="CN315" t="str">
        <f>""</f>
        <v/>
      </c>
      <c r="CO315" t="str">
        <f>""</f>
        <v/>
      </c>
      <c r="CP315" t="str">
        <f>""</f>
        <v/>
      </c>
      <c r="CQ315" t="str">
        <f>""</f>
        <v/>
      </c>
      <c r="CR315" t="str">
        <f>""</f>
        <v/>
      </c>
      <c r="CS315" t="str">
        <f>""</f>
        <v/>
      </c>
      <c r="CT315" t="str">
        <f>""</f>
        <v/>
      </c>
      <c r="CU315" t="str">
        <f>""</f>
        <v/>
      </c>
      <c r="CV315" t="str">
        <f>""</f>
        <v/>
      </c>
      <c r="CW315" t="str">
        <f>""</f>
        <v/>
      </c>
      <c r="CX315" t="str">
        <f>""</f>
        <v/>
      </c>
      <c r="CY315" t="str">
        <f>""</f>
        <v/>
      </c>
      <c r="CZ315" t="str">
        <f>""</f>
        <v/>
      </c>
      <c r="DA315" t="str">
        <f>""</f>
        <v/>
      </c>
      <c r="DB315" t="str">
        <f>""</f>
        <v/>
      </c>
      <c r="DC315" t="str">
        <f>""</f>
        <v/>
      </c>
      <c r="DD315" t="str">
        <f>""</f>
        <v/>
      </c>
      <c r="DE315" t="str">
        <f>""</f>
        <v/>
      </c>
      <c r="DF315" t="str">
        <f>""</f>
        <v/>
      </c>
      <c r="DG315" t="str">
        <f>""</f>
        <v/>
      </c>
      <c r="DH315" t="str">
        <f>""</f>
        <v/>
      </c>
      <c r="DI315" t="str">
        <f>""</f>
        <v/>
      </c>
      <c r="DJ315" t="str">
        <f>""</f>
        <v/>
      </c>
      <c r="DK315" t="str">
        <f>""</f>
        <v/>
      </c>
      <c r="DL315" t="str">
        <f>""</f>
        <v/>
      </c>
      <c r="DM315" t="str">
        <f>""</f>
        <v/>
      </c>
      <c r="DN315" t="str">
        <f>""</f>
        <v/>
      </c>
      <c r="DO315" t="str">
        <f>""</f>
        <v/>
      </c>
      <c r="DP315" t="str">
        <f>""</f>
        <v/>
      </c>
      <c r="DQ315" t="str">
        <f>""</f>
        <v/>
      </c>
      <c r="DR315" t="str">
        <f>""</f>
        <v/>
      </c>
      <c r="DS315" t="str">
        <f>""</f>
        <v/>
      </c>
      <c r="DT315" t="str">
        <f>""</f>
        <v/>
      </c>
      <c r="DU315" t="str">
        <f>""</f>
        <v/>
      </c>
      <c r="DV315" t="str">
        <f>""</f>
        <v/>
      </c>
      <c r="DW315" t="str">
        <f>""</f>
        <v/>
      </c>
      <c r="DX315" t="str">
        <f>""</f>
        <v/>
      </c>
      <c r="DY315" t="str">
        <f>""</f>
        <v/>
      </c>
      <c r="DZ315" t="str">
        <f>""</f>
        <v/>
      </c>
      <c r="EA315" t="str">
        <f>""</f>
        <v/>
      </c>
      <c r="EB315" t="str">
        <f>""</f>
        <v/>
      </c>
      <c r="EC315" t="str">
        <f>""</f>
        <v/>
      </c>
      <c r="ED315" t="str">
        <f>""</f>
        <v/>
      </c>
      <c r="EE315" t="str">
        <f>""</f>
        <v/>
      </c>
      <c r="EF315" t="str">
        <f>""</f>
        <v/>
      </c>
      <c r="EG315" t="str">
        <f>""</f>
        <v/>
      </c>
      <c r="EH315" t="str">
        <f>""</f>
        <v/>
      </c>
      <c r="EI315" t="str">
        <f>""</f>
        <v/>
      </c>
      <c r="EJ315" t="str">
        <f>""</f>
        <v/>
      </c>
      <c r="EK315" t="str">
        <f>""</f>
        <v/>
      </c>
      <c r="EL315" t="str">
        <f>""</f>
        <v/>
      </c>
      <c r="EM315" t="str">
        <f>""</f>
        <v/>
      </c>
      <c r="EN315" t="str">
        <f>""</f>
        <v/>
      </c>
      <c r="EO315" t="str">
        <f>""</f>
        <v/>
      </c>
      <c r="EP315" t="str">
        <f>""</f>
        <v/>
      </c>
      <c r="EQ315" t="str">
        <f>""</f>
        <v/>
      </c>
      <c r="ER315" t="str">
        <f>""</f>
        <v/>
      </c>
      <c r="ES315" t="str">
        <f>""</f>
        <v/>
      </c>
      <c r="ET315" t="str">
        <f>""</f>
        <v/>
      </c>
      <c r="EU315" t="str">
        <f>""</f>
        <v/>
      </c>
      <c r="EV315" t="str">
        <f>""</f>
        <v/>
      </c>
      <c r="EW315" t="str">
        <f>""</f>
        <v/>
      </c>
      <c r="EX315" t="str">
        <f>""</f>
        <v/>
      </c>
      <c r="EY315" t="str">
        <f>""</f>
        <v/>
      </c>
      <c r="EZ315" t="str">
        <f>""</f>
        <v/>
      </c>
      <c r="FA315" t="str">
        <f>""</f>
        <v/>
      </c>
      <c r="FB315" t="str">
        <f>""</f>
        <v/>
      </c>
      <c r="FC315" t="str">
        <f>""</f>
        <v/>
      </c>
      <c r="FD315" t="str">
        <f>""</f>
        <v/>
      </c>
      <c r="FE315" t="str">
        <f>""</f>
        <v/>
      </c>
      <c r="FF315" t="str">
        <f>""</f>
        <v/>
      </c>
      <c r="FG315" t="str">
        <f>""</f>
        <v/>
      </c>
      <c r="FH315" t="str">
        <f>""</f>
        <v/>
      </c>
      <c r="FI315" t="str">
        <f>""</f>
        <v/>
      </c>
      <c r="FJ315" t="str">
        <f>""</f>
        <v/>
      </c>
      <c r="FK315" t="str">
        <f>""</f>
        <v/>
      </c>
      <c r="FL315" t="str">
        <f>""</f>
        <v/>
      </c>
      <c r="FM315" t="str">
        <f>""</f>
        <v/>
      </c>
      <c r="FN315" t="str">
        <f>""</f>
        <v/>
      </c>
      <c r="FO315" t="str">
        <f>""</f>
        <v/>
      </c>
      <c r="FP315" t="str">
        <f>""</f>
        <v/>
      </c>
      <c r="FQ315" t="str">
        <f>""</f>
        <v/>
      </c>
      <c r="FR315" t="str">
        <f>""</f>
        <v/>
      </c>
      <c r="FS315" t="str">
        <f>""</f>
        <v/>
      </c>
      <c r="FT315" t="str">
        <f>""</f>
        <v/>
      </c>
      <c r="FU315" t="str">
        <f>""</f>
        <v/>
      </c>
      <c r="FV315" t="str">
        <f>""</f>
        <v/>
      </c>
      <c r="FW315" t="str">
        <f>""</f>
        <v/>
      </c>
      <c r="FX315" t="str">
        <f>""</f>
        <v/>
      </c>
      <c r="FY315" t="str">
        <f>""</f>
        <v/>
      </c>
      <c r="FZ315" t="str">
        <f>""</f>
        <v/>
      </c>
      <c r="GA315" t="str">
        <f>""</f>
        <v/>
      </c>
      <c r="GB315" t="str">
        <f>""</f>
        <v/>
      </c>
      <c r="GC315" t="str">
        <f>""</f>
        <v/>
      </c>
      <c r="GD315" t="str">
        <f>""</f>
        <v/>
      </c>
      <c r="GE315" t="str">
        <f>""</f>
        <v/>
      </c>
      <c r="GF315" t="str">
        <f>""</f>
        <v/>
      </c>
      <c r="GG315" t="str">
        <f>""</f>
        <v/>
      </c>
      <c r="GH315" t="str">
        <f>""</f>
        <v/>
      </c>
      <c r="GI315" t="str">
        <f>""</f>
        <v/>
      </c>
      <c r="GJ315" t="str">
        <f>""</f>
        <v/>
      </c>
      <c r="GK315" t="str">
        <f>""</f>
        <v/>
      </c>
      <c r="GL315" t="str">
        <f>""</f>
        <v/>
      </c>
      <c r="GM315" t="str">
        <f>""</f>
        <v/>
      </c>
      <c r="GN315" t="str">
        <f>""</f>
        <v/>
      </c>
      <c r="GO315" t="str">
        <f>""</f>
        <v/>
      </c>
      <c r="GP315" t="str">
        <f>""</f>
        <v/>
      </c>
      <c r="GQ315" t="str">
        <f>""</f>
        <v/>
      </c>
      <c r="GR315" t="str">
        <f>""</f>
        <v/>
      </c>
      <c r="GS315" t="str">
        <f>""</f>
        <v/>
      </c>
      <c r="GT315" t="str">
        <f>""</f>
        <v/>
      </c>
      <c r="GU315" t="str">
        <f>""</f>
        <v/>
      </c>
      <c r="GV315" t="str">
        <f>""</f>
        <v/>
      </c>
      <c r="GW315" t="str">
        <f>""</f>
        <v/>
      </c>
      <c r="GX315" t="str">
        <f>""</f>
        <v/>
      </c>
      <c r="GY315" t="str">
        <f>""</f>
        <v/>
      </c>
      <c r="GZ315" t="str">
        <f>""</f>
        <v/>
      </c>
      <c r="HA315" t="str">
        <f>""</f>
        <v/>
      </c>
      <c r="HB315" t="str">
        <f>""</f>
        <v/>
      </c>
      <c r="HC315" t="str">
        <f>""</f>
        <v/>
      </c>
      <c r="HD315" t="str">
        <f>""</f>
        <v/>
      </c>
      <c r="HE315" t="str">
        <f>""</f>
        <v/>
      </c>
      <c r="HF315" t="str">
        <f>""</f>
        <v/>
      </c>
      <c r="HG315" t="str">
        <f>""</f>
        <v/>
      </c>
      <c r="HH315" t="str">
        <f>""</f>
        <v/>
      </c>
      <c r="HI315" t="str">
        <f>""</f>
        <v/>
      </c>
      <c r="HJ315" t="str">
        <f>""</f>
        <v/>
      </c>
      <c r="HK315" t="str">
        <f>""</f>
        <v/>
      </c>
      <c r="HL315" t="str">
        <f>""</f>
        <v/>
      </c>
      <c r="HM315" t="str">
        <f>""</f>
        <v/>
      </c>
      <c r="HN315" t="str">
        <f>""</f>
        <v/>
      </c>
      <c r="HO315" t="str">
        <f>""</f>
        <v/>
      </c>
      <c r="HP315" t="str">
        <f>"0.0662"</f>
        <v>0.0662</v>
      </c>
      <c r="HQ315" t="str">
        <f>"0.0197"</f>
        <v>0.0197</v>
      </c>
      <c r="HR315" t="str">
        <f>"0.0181"</f>
        <v>0.0181</v>
      </c>
      <c r="HS315" t="str">
        <f>""</f>
        <v/>
      </c>
      <c r="HT315" t="str">
        <f>""</f>
        <v/>
      </c>
      <c r="HU315" t="str">
        <f>""</f>
        <v/>
      </c>
      <c r="HV315" t="str">
        <f>""</f>
        <v/>
      </c>
      <c r="HW315" t="str">
        <f>""</f>
        <v/>
      </c>
      <c r="HX315" t="str">
        <f>""</f>
        <v/>
      </c>
      <c r="HY315" t="str">
        <f>""</f>
        <v/>
      </c>
      <c r="HZ315" t="str">
        <f>""</f>
        <v/>
      </c>
      <c r="IA315" t="str">
        <f>""</f>
        <v/>
      </c>
      <c r="IB315" t="str">
        <f>""</f>
        <v/>
      </c>
      <c r="IC315" t="str">
        <f>""</f>
        <v/>
      </c>
      <c r="ID315" t="str">
        <f>""</f>
        <v/>
      </c>
      <c r="IE315" t="str">
        <f>""</f>
        <v/>
      </c>
      <c r="IF315" t="str">
        <f>""</f>
        <v/>
      </c>
      <c r="IG315" t="str">
        <f>""</f>
        <v/>
      </c>
      <c r="IH315" t="str">
        <f>""</f>
        <v/>
      </c>
      <c r="II315" t="str">
        <f>""</f>
        <v/>
      </c>
      <c r="IJ315" t="str">
        <f>""</f>
        <v/>
      </c>
      <c r="IK315" t="str">
        <f>""</f>
        <v/>
      </c>
      <c r="IL315" t="str">
        <f>""</f>
        <v/>
      </c>
      <c r="IM315" t="str">
        <f>""</f>
        <v/>
      </c>
      <c r="IN315" t="str">
        <f>""</f>
        <v/>
      </c>
      <c r="IO315" t="str">
        <f>""</f>
        <v/>
      </c>
      <c r="IP315" t="str">
        <f>""</f>
        <v/>
      </c>
      <c r="IQ315" t="str">
        <f>""</f>
        <v/>
      </c>
      <c r="IR315" t="str">
        <f>""</f>
        <v/>
      </c>
      <c r="IS315" t="str">
        <f>""</f>
        <v/>
      </c>
      <c r="IT315" t="str">
        <f>""</f>
        <v/>
      </c>
      <c r="IU315" t="str">
        <f>""</f>
        <v/>
      </c>
      <c r="IV315" t="str">
        <f>""</f>
        <v/>
      </c>
      <c r="IW315" t="str">
        <f>""</f>
        <v/>
      </c>
      <c r="IX315" t="str">
        <f>""</f>
        <v/>
      </c>
      <c r="IY315" t="str">
        <f>""</f>
        <v/>
      </c>
      <c r="IZ315" t="str">
        <f>""</f>
        <v/>
      </c>
      <c r="JA315" t="str">
        <f>""</f>
        <v/>
      </c>
      <c r="JB315" t="str">
        <f>""</f>
        <v/>
      </c>
      <c r="JC315" t="str">
        <f>""</f>
        <v/>
      </c>
      <c r="JD315" t="str">
        <f>""</f>
        <v/>
      </c>
      <c r="JE315" t="str">
        <f>""</f>
        <v/>
      </c>
      <c r="JF315" t="str">
        <f>""</f>
        <v/>
      </c>
      <c r="JG315" t="str">
        <f>""</f>
        <v/>
      </c>
      <c r="JH315" t="str">
        <f>""</f>
        <v/>
      </c>
      <c r="JI315" t="str">
        <f>""</f>
        <v/>
      </c>
      <c r="JJ315" t="str">
        <f>""</f>
        <v/>
      </c>
      <c r="JK315" t="str">
        <f>""</f>
        <v/>
      </c>
    </row>
    <row r="316" spans="1:271" x14ac:dyDescent="0.3">
      <c r="A316" t="str">
        <f>""</f>
        <v/>
      </c>
      <c r="B316" t="str">
        <f>""</f>
        <v/>
      </c>
      <c r="C316" t="str">
        <f>""</f>
        <v/>
      </c>
      <c r="D316" t="str">
        <f>""</f>
        <v/>
      </c>
      <c r="E316" t="str">
        <f>""</f>
        <v/>
      </c>
      <c r="F316" t="str">
        <f>""</f>
        <v/>
      </c>
      <c r="G316" t="str">
        <f>""</f>
        <v/>
      </c>
      <c r="H316" t="str">
        <f>""</f>
        <v/>
      </c>
      <c r="I316" t="str">
        <f>""</f>
        <v/>
      </c>
      <c r="J316" t="str">
        <f>""</f>
        <v/>
      </c>
      <c r="K316" t="str">
        <f>""</f>
        <v/>
      </c>
      <c r="L316" t="str">
        <f>""</f>
        <v/>
      </c>
      <c r="M316" t="str">
        <f>""</f>
        <v/>
      </c>
      <c r="N316" t="str">
        <f>""</f>
        <v/>
      </c>
      <c r="O316" t="str">
        <f>""</f>
        <v/>
      </c>
      <c r="P316" t="str">
        <f>""</f>
        <v/>
      </c>
      <c r="Q316" t="str">
        <f>""</f>
        <v/>
      </c>
      <c r="R316" t="str">
        <f>""</f>
        <v/>
      </c>
      <c r="S316" t="str">
        <f>""</f>
        <v/>
      </c>
      <c r="T316" t="str">
        <f>""</f>
        <v/>
      </c>
      <c r="U316" t="str">
        <f>""</f>
        <v/>
      </c>
      <c r="V316" t="str">
        <f>""</f>
        <v/>
      </c>
      <c r="W316" t="str">
        <f>""</f>
        <v/>
      </c>
      <c r="X316" t="str">
        <f>""</f>
        <v/>
      </c>
      <c r="Y316" t="str">
        <f>""</f>
        <v/>
      </c>
      <c r="Z316" t="str">
        <f>""</f>
        <v/>
      </c>
      <c r="AA316" t="str">
        <f>""</f>
        <v/>
      </c>
      <c r="AB316" t="str">
        <f>""</f>
        <v/>
      </c>
      <c r="AC316" t="str">
        <f>""</f>
        <v/>
      </c>
      <c r="AD316" t="str">
        <f>""</f>
        <v/>
      </c>
      <c r="AE316" t="str">
        <f>""</f>
        <v/>
      </c>
      <c r="AF316" t="str">
        <f>""</f>
        <v/>
      </c>
      <c r="AG316" t="str">
        <f>""</f>
        <v/>
      </c>
      <c r="AH316" t="str">
        <f>""</f>
        <v/>
      </c>
      <c r="AI316" t="str">
        <f>""</f>
        <v/>
      </c>
      <c r="AJ316" t="str">
        <f>""</f>
        <v/>
      </c>
      <c r="AK316" t="str">
        <f>""</f>
        <v/>
      </c>
      <c r="AL316" t="str">
        <f>""</f>
        <v/>
      </c>
      <c r="AM316" t="str">
        <f>""</f>
        <v/>
      </c>
      <c r="AN316" t="str">
        <f>""</f>
        <v/>
      </c>
      <c r="AO316" t="str">
        <f>""</f>
        <v/>
      </c>
      <c r="AP316" t="str">
        <f>""</f>
        <v/>
      </c>
      <c r="AQ316" t="str">
        <f>""</f>
        <v/>
      </c>
      <c r="AR316" t="str">
        <f>""</f>
        <v/>
      </c>
      <c r="AS316" t="str">
        <f>""</f>
        <v/>
      </c>
      <c r="AT316" t="str">
        <f>""</f>
        <v/>
      </c>
      <c r="AU316" t="str">
        <f>""</f>
        <v/>
      </c>
      <c r="AV316" t="str">
        <f>""</f>
        <v/>
      </c>
      <c r="AW316" t="str">
        <f>""</f>
        <v/>
      </c>
      <c r="AX316" t="str">
        <f>""</f>
        <v/>
      </c>
      <c r="AY316" t="str">
        <f>""</f>
        <v/>
      </c>
      <c r="AZ316" t="str">
        <f>""</f>
        <v/>
      </c>
      <c r="BA316" t="str">
        <f>""</f>
        <v/>
      </c>
      <c r="BB316" t="str">
        <f>""</f>
        <v/>
      </c>
      <c r="BC316" t="str">
        <f>""</f>
        <v/>
      </c>
      <c r="BD316" t="str">
        <f>""</f>
        <v/>
      </c>
      <c r="BE316" t="str">
        <f>""</f>
        <v/>
      </c>
      <c r="BF316" t="str">
        <f>""</f>
        <v/>
      </c>
      <c r="BG316" t="str">
        <f>""</f>
        <v/>
      </c>
      <c r="BH316" t="str">
        <f>""</f>
        <v/>
      </c>
      <c r="BI316" t="str">
        <f>""</f>
        <v/>
      </c>
      <c r="BJ316" t="str">
        <f>""</f>
        <v/>
      </c>
      <c r="BK316" t="str">
        <f>""</f>
        <v/>
      </c>
      <c r="BL316" t="str">
        <f>""</f>
        <v/>
      </c>
      <c r="BM316" t="str">
        <f>""</f>
        <v/>
      </c>
      <c r="BN316" t="str">
        <f>""</f>
        <v/>
      </c>
      <c r="BO316" t="str">
        <f>""</f>
        <v/>
      </c>
      <c r="BP316" t="str">
        <f>""</f>
        <v/>
      </c>
      <c r="BQ316" t="str">
        <f>""</f>
        <v/>
      </c>
      <c r="BR316" t="str">
        <f>""</f>
        <v/>
      </c>
      <c r="BS316" t="str">
        <f>""</f>
        <v/>
      </c>
      <c r="BT316" t="str">
        <f>""</f>
        <v/>
      </c>
      <c r="BU316" t="str">
        <f>""</f>
        <v/>
      </c>
      <c r="BV316" t="str">
        <f>""</f>
        <v/>
      </c>
      <c r="BW316" t="str">
        <f>""</f>
        <v/>
      </c>
      <c r="BX316" t="str">
        <f>""</f>
        <v/>
      </c>
      <c r="BY316" t="str">
        <f>""</f>
        <v/>
      </c>
      <c r="BZ316" t="str">
        <f>""</f>
        <v/>
      </c>
      <c r="CA316" t="str">
        <f>""</f>
        <v/>
      </c>
      <c r="CB316" t="str">
        <f>""</f>
        <v/>
      </c>
      <c r="CC316" t="str">
        <f>""</f>
        <v/>
      </c>
      <c r="CD316" t="str">
        <f>""</f>
        <v/>
      </c>
      <c r="CE316" t="str">
        <f>""</f>
        <v/>
      </c>
      <c r="CF316" t="str">
        <f>""</f>
        <v/>
      </c>
      <c r="CG316" t="str">
        <f>""</f>
        <v/>
      </c>
      <c r="CH316" t="str">
        <f>""</f>
        <v/>
      </c>
      <c r="CI316" t="str">
        <f>""</f>
        <v/>
      </c>
      <c r="CJ316" t="str">
        <f>""</f>
        <v/>
      </c>
      <c r="CK316" t="str">
        <f>""</f>
        <v/>
      </c>
      <c r="CL316" t="str">
        <f>""</f>
        <v/>
      </c>
      <c r="CM316" t="str">
        <f>""</f>
        <v/>
      </c>
      <c r="CN316" t="str">
        <f>""</f>
        <v/>
      </c>
      <c r="CO316" t="str">
        <f>""</f>
        <v/>
      </c>
      <c r="CP316" t="str">
        <f>""</f>
        <v/>
      </c>
      <c r="CQ316" t="str">
        <f>""</f>
        <v/>
      </c>
      <c r="CR316" t="str">
        <f>""</f>
        <v/>
      </c>
      <c r="CS316" t="str">
        <f>""</f>
        <v/>
      </c>
      <c r="CT316" t="str">
        <f>""</f>
        <v/>
      </c>
      <c r="CU316" t="str">
        <f>""</f>
        <v/>
      </c>
      <c r="CV316" t="str">
        <f>""</f>
        <v/>
      </c>
      <c r="CW316" t="str">
        <f>""</f>
        <v/>
      </c>
      <c r="CX316" t="str">
        <f>""</f>
        <v/>
      </c>
      <c r="CY316" t="str">
        <f>""</f>
        <v/>
      </c>
      <c r="CZ316" t="str">
        <f>""</f>
        <v/>
      </c>
      <c r="DA316" t="str">
        <f>""</f>
        <v/>
      </c>
      <c r="DB316" t="str">
        <f>""</f>
        <v/>
      </c>
      <c r="DC316" t="str">
        <f>""</f>
        <v/>
      </c>
      <c r="DD316" t="str">
        <f>""</f>
        <v/>
      </c>
      <c r="DE316" t="str">
        <f>""</f>
        <v/>
      </c>
      <c r="DF316" t="str">
        <f>""</f>
        <v/>
      </c>
      <c r="DG316" t="str">
        <f>""</f>
        <v/>
      </c>
      <c r="DH316" t="str">
        <f>""</f>
        <v/>
      </c>
      <c r="DI316" t="str">
        <f>""</f>
        <v/>
      </c>
      <c r="DJ316" t="str">
        <f>""</f>
        <v/>
      </c>
      <c r="DK316" t="str">
        <f>""</f>
        <v/>
      </c>
      <c r="DL316" t="str">
        <f>""</f>
        <v/>
      </c>
      <c r="DM316" t="str">
        <f>""</f>
        <v/>
      </c>
      <c r="DN316" t="str">
        <f>""</f>
        <v/>
      </c>
      <c r="DO316" t="str">
        <f>""</f>
        <v/>
      </c>
      <c r="DP316" t="str">
        <f>""</f>
        <v/>
      </c>
      <c r="DQ316" t="str">
        <f>""</f>
        <v/>
      </c>
      <c r="DR316" t="str">
        <f>""</f>
        <v/>
      </c>
      <c r="DS316" t="str">
        <f>""</f>
        <v/>
      </c>
      <c r="DT316" t="str">
        <f>""</f>
        <v/>
      </c>
      <c r="DU316" t="str">
        <f>""</f>
        <v/>
      </c>
      <c r="DV316" t="str">
        <f>""</f>
        <v/>
      </c>
      <c r="DW316" t="str">
        <f>""</f>
        <v/>
      </c>
      <c r="DX316" t="str">
        <f>""</f>
        <v/>
      </c>
      <c r="DY316" t="str">
        <f>""</f>
        <v/>
      </c>
      <c r="DZ316" t="str">
        <f>""</f>
        <v/>
      </c>
      <c r="EA316" t="str">
        <f>""</f>
        <v/>
      </c>
      <c r="EB316" t="str">
        <f>""</f>
        <v/>
      </c>
      <c r="EC316" t="str">
        <f>""</f>
        <v/>
      </c>
      <c r="ED316" t="str">
        <f>""</f>
        <v/>
      </c>
      <c r="EE316" t="str">
        <f>""</f>
        <v/>
      </c>
      <c r="EF316" t="str">
        <f>""</f>
        <v/>
      </c>
      <c r="EG316" t="str">
        <f>""</f>
        <v/>
      </c>
      <c r="EH316" t="str">
        <f>""</f>
        <v/>
      </c>
      <c r="EI316" t="str">
        <f>""</f>
        <v/>
      </c>
      <c r="EJ316" t="str">
        <f>""</f>
        <v/>
      </c>
      <c r="EK316" t="str">
        <f>""</f>
        <v/>
      </c>
      <c r="EL316" t="str">
        <f>""</f>
        <v/>
      </c>
      <c r="EM316" t="str">
        <f>""</f>
        <v/>
      </c>
      <c r="EN316" t="str">
        <f>""</f>
        <v/>
      </c>
      <c r="EO316" t="str">
        <f>""</f>
        <v/>
      </c>
      <c r="EP316" t="str">
        <f>""</f>
        <v/>
      </c>
      <c r="EQ316" t="str">
        <f>""</f>
        <v/>
      </c>
      <c r="ER316" t="str">
        <f>""</f>
        <v/>
      </c>
      <c r="ES316" t="str">
        <f>""</f>
        <v/>
      </c>
      <c r="ET316" t="str">
        <f>""</f>
        <v/>
      </c>
      <c r="EU316" t="str">
        <f>""</f>
        <v/>
      </c>
      <c r="EV316" t="str">
        <f>""</f>
        <v/>
      </c>
      <c r="EW316" t="str">
        <f>""</f>
        <v/>
      </c>
      <c r="EX316" t="str">
        <f>""</f>
        <v/>
      </c>
      <c r="EY316" t="str">
        <f>""</f>
        <v/>
      </c>
      <c r="EZ316" t="str">
        <f>""</f>
        <v/>
      </c>
      <c r="FA316" t="str">
        <f>""</f>
        <v/>
      </c>
      <c r="FB316" t="str">
        <f>""</f>
        <v/>
      </c>
      <c r="FC316" t="str">
        <f>""</f>
        <v/>
      </c>
      <c r="FD316" t="str">
        <f>""</f>
        <v/>
      </c>
      <c r="FE316" t="str">
        <f>""</f>
        <v/>
      </c>
      <c r="FF316" t="str">
        <f>""</f>
        <v/>
      </c>
      <c r="FG316" t="str">
        <f>""</f>
        <v/>
      </c>
      <c r="FH316" t="str">
        <f>""</f>
        <v/>
      </c>
      <c r="FI316" t="str">
        <f>""</f>
        <v/>
      </c>
      <c r="FJ316" t="str">
        <f>""</f>
        <v/>
      </c>
      <c r="FK316" t="str">
        <f>""</f>
        <v/>
      </c>
      <c r="FL316" t="str">
        <f>""</f>
        <v/>
      </c>
      <c r="FM316" t="str">
        <f>""</f>
        <v/>
      </c>
      <c r="FN316" t="str">
        <f>""</f>
        <v/>
      </c>
      <c r="FO316" t="str">
        <f>""</f>
        <v/>
      </c>
      <c r="FP316" t="str">
        <f>""</f>
        <v/>
      </c>
      <c r="FQ316" t="str">
        <f>""</f>
        <v/>
      </c>
      <c r="FR316" t="str">
        <f>""</f>
        <v/>
      </c>
      <c r="FS316" t="str">
        <f>""</f>
        <v/>
      </c>
      <c r="FT316" t="str">
        <f>""</f>
        <v/>
      </c>
      <c r="FU316" t="str">
        <f>""</f>
        <v/>
      </c>
      <c r="FV316" t="str">
        <f>""</f>
        <v/>
      </c>
      <c r="FW316" t="str">
        <f>""</f>
        <v/>
      </c>
      <c r="FX316" t="str">
        <f>""</f>
        <v/>
      </c>
      <c r="FY316" t="str">
        <f>""</f>
        <v/>
      </c>
      <c r="FZ316" t="str">
        <f>""</f>
        <v/>
      </c>
      <c r="GA316" t="str">
        <f>""</f>
        <v/>
      </c>
      <c r="GB316" t="str">
        <f>""</f>
        <v/>
      </c>
      <c r="GC316" t="str">
        <f>""</f>
        <v/>
      </c>
      <c r="GD316" t="str">
        <f>""</f>
        <v/>
      </c>
      <c r="GE316" t="str">
        <f>""</f>
        <v/>
      </c>
      <c r="GF316" t="str">
        <f>""</f>
        <v/>
      </c>
      <c r="GG316" t="str">
        <f>""</f>
        <v/>
      </c>
      <c r="GH316" t="str">
        <f>""</f>
        <v/>
      </c>
      <c r="GI316" t="str">
        <f>""</f>
        <v/>
      </c>
      <c r="GJ316" t="str">
        <f>""</f>
        <v/>
      </c>
      <c r="GK316" t="str">
        <f>""</f>
        <v/>
      </c>
      <c r="GL316" t="str">
        <f>""</f>
        <v/>
      </c>
      <c r="GM316" t="str">
        <f>""</f>
        <v/>
      </c>
      <c r="GN316" t="str">
        <f>""</f>
        <v/>
      </c>
      <c r="GO316" t="str">
        <f>""</f>
        <v/>
      </c>
      <c r="GP316" t="str">
        <f>""</f>
        <v/>
      </c>
      <c r="GQ316" t="str">
        <f>""</f>
        <v/>
      </c>
      <c r="GR316" t="str">
        <f>""</f>
        <v/>
      </c>
      <c r="GS316" t="str">
        <f>""</f>
        <v/>
      </c>
      <c r="GT316" t="str">
        <f>""</f>
        <v/>
      </c>
      <c r="GU316" t="str">
        <f>""</f>
        <v/>
      </c>
      <c r="GV316" t="str">
        <f>""</f>
        <v/>
      </c>
      <c r="GW316" t="str">
        <f>""</f>
        <v/>
      </c>
      <c r="GX316" t="str">
        <f>""</f>
        <v/>
      </c>
      <c r="GY316" t="str">
        <f>""</f>
        <v/>
      </c>
      <c r="GZ316" t="str">
        <f>""</f>
        <v/>
      </c>
      <c r="HA316" t="str">
        <f>""</f>
        <v/>
      </c>
      <c r="HB316" t="str">
        <f>""</f>
        <v/>
      </c>
      <c r="HC316" t="str">
        <f>""</f>
        <v/>
      </c>
      <c r="HD316" t="str">
        <f>""</f>
        <v/>
      </c>
      <c r="HE316" t="str">
        <f>""</f>
        <v/>
      </c>
      <c r="HF316" t="str">
        <f>""</f>
        <v/>
      </c>
      <c r="HG316" t="str">
        <f>""</f>
        <v/>
      </c>
      <c r="HH316" t="str">
        <f>""</f>
        <v/>
      </c>
      <c r="HI316" t="str">
        <f>""</f>
        <v/>
      </c>
      <c r="HJ316" t="str">
        <f>""</f>
        <v/>
      </c>
      <c r="HK316" t="str">
        <f>""</f>
        <v/>
      </c>
      <c r="HL316" t="str">
        <f>""</f>
        <v/>
      </c>
      <c r="HM316" t="str">
        <f>""</f>
        <v/>
      </c>
      <c r="HN316" t="str">
        <f>""</f>
        <v/>
      </c>
      <c r="HO316" t="str">
        <f>""</f>
        <v/>
      </c>
      <c r="HP316" t="str">
        <f>"(0.105)"</f>
        <v>(0.105)</v>
      </c>
      <c r="HQ316" t="str">
        <f>"(0.0841)"</f>
        <v>(0.0841)</v>
      </c>
      <c r="HR316" t="str">
        <f>"(0.0448)"</f>
        <v>(0.0448)</v>
      </c>
      <c r="HS316" t="str">
        <f>""</f>
        <v/>
      </c>
      <c r="HT316" t="str">
        <f>""</f>
        <v/>
      </c>
      <c r="HU316" t="str">
        <f>""</f>
        <v/>
      </c>
      <c r="HV316" t="str">
        <f>""</f>
        <v/>
      </c>
      <c r="HW316" t="str">
        <f>""</f>
        <v/>
      </c>
      <c r="HX316" t="str">
        <f>""</f>
        <v/>
      </c>
      <c r="HY316" t="str">
        <f>""</f>
        <v/>
      </c>
      <c r="HZ316" t="str">
        <f>""</f>
        <v/>
      </c>
      <c r="IA316" t="str">
        <f>""</f>
        <v/>
      </c>
      <c r="IB316" t="str">
        <f>""</f>
        <v/>
      </c>
      <c r="IC316" t="str">
        <f>""</f>
        <v/>
      </c>
      <c r="ID316" t="str">
        <f>""</f>
        <v/>
      </c>
      <c r="IE316" t="str">
        <f>""</f>
        <v/>
      </c>
      <c r="IF316" t="str">
        <f>""</f>
        <v/>
      </c>
      <c r="IG316" t="str">
        <f>""</f>
        <v/>
      </c>
      <c r="IH316" t="str">
        <f>""</f>
        <v/>
      </c>
      <c r="II316" t="str">
        <f>""</f>
        <v/>
      </c>
      <c r="IJ316" t="str">
        <f>""</f>
        <v/>
      </c>
      <c r="IK316" t="str">
        <f>""</f>
        <v/>
      </c>
      <c r="IL316" t="str">
        <f>""</f>
        <v/>
      </c>
      <c r="IM316" t="str">
        <f>""</f>
        <v/>
      </c>
      <c r="IN316" t="str">
        <f>""</f>
        <v/>
      </c>
      <c r="IO316" t="str">
        <f>""</f>
        <v/>
      </c>
      <c r="IP316" t="str">
        <f>""</f>
        <v/>
      </c>
      <c r="IQ316" t="str">
        <f>""</f>
        <v/>
      </c>
      <c r="IR316" t="str">
        <f>""</f>
        <v/>
      </c>
      <c r="IS316" t="str">
        <f>""</f>
        <v/>
      </c>
      <c r="IT316" t="str">
        <f>""</f>
        <v/>
      </c>
      <c r="IU316" t="str">
        <f>""</f>
        <v/>
      </c>
      <c r="IV316" t="str">
        <f>""</f>
        <v/>
      </c>
      <c r="IW316" t="str">
        <f>""</f>
        <v/>
      </c>
      <c r="IX316" t="str">
        <f>""</f>
        <v/>
      </c>
      <c r="IY316" t="str">
        <f>""</f>
        <v/>
      </c>
      <c r="IZ316" t="str">
        <f>""</f>
        <v/>
      </c>
      <c r="JA316" t="str">
        <f>""</f>
        <v/>
      </c>
      <c r="JB316" t="str">
        <f>""</f>
        <v/>
      </c>
      <c r="JC316" t="str">
        <f>""</f>
        <v/>
      </c>
      <c r="JD316" t="str">
        <f>""</f>
        <v/>
      </c>
      <c r="JE316" t="str">
        <f>""</f>
        <v/>
      </c>
      <c r="JF316" t="str">
        <f>""</f>
        <v/>
      </c>
      <c r="JG316" t="str">
        <f>""</f>
        <v/>
      </c>
      <c r="JH316" t="str">
        <f>""</f>
        <v/>
      </c>
      <c r="JI316" t="str">
        <f>""</f>
        <v/>
      </c>
      <c r="JJ316" t="str">
        <f>""</f>
        <v/>
      </c>
      <c r="JK316" t="str">
        <f>""</f>
        <v/>
      </c>
    </row>
    <row r="318" spans="1:271" x14ac:dyDescent="0.3">
      <c r="A318" t="str">
        <f>"PM6"</f>
        <v>PM6</v>
      </c>
      <c r="B318" t="str">
        <f>""</f>
        <v/>
      </c>
      <c r="C318" t="str">
        <f>""</f>
        <v/>
      </c>
      <c r="D318" t="str">
        <f>""</f>
        <v/>
      </c>
      <c r="E318" t="str">
        <f>""</f>
        <v/>
      </c>
      <c r="F318" t="str">
        <f>""</f>
        <v/>
      </c>
      <c r="G318" t="str">
        <f>""</f>
        <v/>
      </c>
      <c r="H318" t="str">
        <f>""</f>
        <v/>
      </c>
      <c r="I318" t="str">
        <f>""</f>
        <v/>
      </c>
      <c r="J318" t="str">
        <f>""</f>
        <v/>
      </c>
      <c r="K318" t="str">
        <f>""</f>
        <v/>
      </c>
      <c r="L318" t="str">
        <f>""</f>
        <v/>
      </c>
      <c r="M318" t="str">
        <f>""</f>
        <v/>
      </c>
      <c r="N318" t="str">
        <f>""</f>
        <v/>
      </c>
      <c r="O318" t="str">
        <f>""</f>
        <v/>
      </c>
      <c r="P318" t="str">
        <f>""</f>
        <v/>
      </c>
      <c r="Q318" t="str">
        <f>""</f>
        <v/>
      </c>
      <c r="R318" t="str">
        <f>""</f>
        <v/>
      </c>
      <c r="S318" t="str">
        <f>""</f>
        <v/>
      </c>
      <c r="T318" t="str">
        <f>""</f>
        <v/>
      </c>
      <c r="U318" t="str">
        <f>""</f>
        <v/>
      </c>
      <c r="V318" t="str">
        <f>""</f>
        <v/>
      </c>
      <c r="W318" t="str">
        <f>""</f>
        <v/>
      </c>
      <c r="X318" t="str">
        <f>""</f>
        <v/>
      </c>
      <c r="Y318" t="str">
        <f>""</f>
        <v/>
      </c>
      <c r="Z318" t="str">
        <f>""</f>
        <v/>
      </c>
      <c r="AA318" t="str">
        <f>""</f>
        <v/>
      </c>
      <c r="AB318" t="str">
        <f>""</f>
        <v/>
      </c>
      <c r="AC318" t="str">
        <f>""</f>
        <v/>
      </c>
      <c r="AD318" t="str">
        <f>""</f>
        <v/>
      </c>
      <c r="AE318" t="str">
        <f>""</f>
        <v/>
      </c>
      <c r="AF318" t="str">
        <f>""</f>
        <v/>
      </c>
      <c r="AG318" t="str">
        <f>""</f>
        <v/>
      </c>
      <c r="AH318" t="str">
        <f>""</f>
        <v/>
      </c>
      <c r="AI318" t="str">
        <f>""</f>
        <v/>
      </c>
      <c r="AJ318" t="str">
        <f>""</f>
        <v/>
      </c>
      <c r="AK318" t="str">
        <f>""</f>
        <v/>
      </c>
      <c r="AL318" t="str">
        <f>""</f>
        <v/>
      </c>
      <c r="AM318" t="str">
        <f>""</f>
        <v/>
      </c>
      <c r="AN318" t="str">
        <f>""</f>
        <v/>
      </c>
      <c r="AO318" t="str">
        <f>""</f>
        <v/>
      </c>
      <c r="AP318" t="str">
        <f>""</f>
        <v/>
      </c>
      <c r="AQ318" t="str">
        <f>""</f>
        <v/>
      </c>
      <c r="AR318" t="str">
        <f>""</f>
        <v/>
      </c>
      <c r="AS318" t="str">
        <f>""</f>
        <v/>
      </c>
      <c r="AT318" t="str">
        <f>""</f>
        <v/>
      </c>
      <c r="AU318" t="str">
        <f>""</f>
        <v/>
      </c>
      <c r="AV318" t="str">
        <f>""</f>
        <v/>
      </c>
      <c r="AW318" t="str">
        <f>""</f>
        <v/>
      </c>
      <c r="AX318" t="str">
        <f>""</f>
        <v/>
      </c>
      <c r="AY318" t="str">
        <f>""</f>
        <v/>
      </c>
      <c r="AZ318" t="str">
        <f>""</f>
        <v/>
      </c>
      <c r="BA318" t="str">
        <f>""</f>
        <v/>
      </c>
      <c r="BB318" t="str">
        <f>""</f>
        <v/>
      </c>
      <c r="BC318" t="str">
        <f>""</f>
        <v/>
      </c>
      <c r="BD318" t="str">
        <f>""</f>
        <v/>
      </c>
      <c r="BE318" t="str">
        <f>""</f>
        <v/>
      </c>
      <c r="BF318" t="str">
        <f>""</f>
        <v/>
      </c>
      <c r="BG318" t="str">
        <f>""</f>
        <v/>
      </c>
      <c r="BH318" t="str">
        <f>""</f>
        <v/>
      </c>
      <c r="BI318" t="str">
        <f>""</f>
        <v/>
      </c>
      <c r="BJ318" t="str">
        <f>""</f>
        <v/>
      </c>
      <c r="BK318" t="str">
        <f>""</f>
        <v/>
      </c>
      <c r="BL318" t="str">
        <f>""</f>
        <v/>
      </c>
      <c r="BM318" t="str">
        <f>""</f>
        <v/>
      </c>
      <c r="BN318" t="str">
        <f>""</f>
        <v/>
      </c>
      <c r="BO318" t="str">
        <f>""</f>
        <v/>
      </c>
      <c r="BP318" t="str">
        <f>""</f>
        <v/>
      </c>
      <c r="BQ318" t="str">
        <f>""</f>
        <v/>
      </c>
      <c r="BR318" t="str">
        <f>""</f>
        <v/>
      </c>
      <c r="BS318" t="str">
        <f>""</f>
        <v/>
      </c>
      <c r="BT318" t="str">
        <f>""</f>
        <v/>
      </c>
      <c r="BU318" t="str">
        <f>""</f>
        <v/>
      </c>
      <c r="BV318" t="str">
        <f>""</f>
        <v/>
      </c>
      <c r="BW318" t="str">
        <f>""</f>
        <v/>
      </c>
      <c r="BX318" t="str">
        <f>""</f>
        <v/>
      </c>
      <c r="BY318" t="str">
        <f>""</f>
        <v/>
      </c>
      <c r="BZ318" t="str">
        <f>""</f>
        <v/>
      </c>
      <c r="CA318" t="str">
        <f>""</f>
        <v/>
      </c>
      <c r="CB318" t="str">
        <f>""</f>
        <v/>
      </c>
      <c r="CC318" t="str">
        <f>""</f>
        <v/>
      </c>
      <c r="CD318" t="str">
        <f>""</f>
        <v/>
      </c>
      <c r="CE318" t="str">
        <f>""</f>
        <v/>
      </c>
      <c r="CF318" t="str">
        <f>""</f>
        <v/>
      </c>
      <c r="CG318" t="str">
        <f>""</f>
        <v/>
      </c>
      <c r="CH318" t="str">
        <f>""</f>
        <v/>
      </c>
      <c r="CI318" t="str">
        <f>""</f>
        <v/>
      </c>
      <c r="CJ318" t="str">
        <f>""</f>
        <v/>
      </c>
      <c r="CK318" t="str">
        <f>""</f>
        <v/>
      </c>
      <c r="CL318" t="str">
        <f>""</f>
        <v/>
      </c>
      <c r="CM318" t="str">
        <f>""</f>
        <v/>
      </c>
      <c r="CN318" t="str">
        <f>""</f>
        <v/>
      </c>
      <c r="CO318" t="str">
        <f>""</f>
        <v/>
      </c>
      <c r="CP318" t="str">
        <f>""</f>
        <v/>
      </c>
      <c r="CQ318" t="str">
        <f>""</f>
        <v/>
      </c>
      <c r="CR318" t="str">
        <f>""</f>
        <v/>
      </c>
      <c r="CS318" t="str">
        <f>""</f>
        <v/>
      </c>
      <c r="CT318" t="str">
        <f>""</f>
        <v/>
      </c>
      <c r="CU318" t="str">
        <f>""</f>
        <v/>
      </c>
      <c r="CV318" t="str">
        <f>""</f>
        <v/>
      </c>
      <c r="CW318" t="str">
        <f>""</f>
        <v/>
      </c>
      <c r="CX318" t="str">
        <f>""</f>
        <v/>
      </c>
      <c r="CY318" t="str">
        <f>""</f>
        <v/>
      </c>
      <c r="CZ318" t="str">
        <f>""</f>
        <v/>
      </c>
      <c r="DA318" t="str">
        <f>""</f>
        <v/>
      </c>
      <c r="DB318" t="str">
        <f>""</f>
        <v/>
      </c>
      <c r="DC318" t="str">
        <f>""</f>
        <v/>
      </c>
      <c r="DD318" t="str">
        <f>""</f>
        <v/>
      </c>
      <c r="DE318" t="str">
        <f>""</f>
        <v/>
      </c>
      <c r="DF318" t="str">
        <f>""</f>
        <v/>
      </c>
      <c r="DG318" t="str">
        <f>""</f>
        <v/>
      </c>
      <c r="DH318" t="str">
        <f>""</f>
        <v/>
      </c>
      <c r="DI318" t="str">
        <f>""</f>
        <v/>
      </c>
      <c r="DJ318" t="str">
        <f>""</f>
        <v/>
      </c>
      <c r="DK318" t="str">
        <f>""</f>
        <v/>
      </c>
      <c r="DL318" t="str">
        <f>""</f>
        <v/>
      </c>
      <c r="DM318" t="str">
        <f>""</f>
        <v/>
      </c>
      <c r="DN318" t="str">
        <f>""</f>
        <v/>
      </c>
      <c r="DO318" t="str">
        <f>""</f>
        <v/>
      </c>
      <c r="DP318" t="str">
        <f>""</f>
        <v/>
      </c>
      <c r="DQ318" t="str">
        <f>""</f>
        <v/>
      </c>
      <c r="DR318" t="str">
        <f>""</f>
        <v/>
      </c>
      <c r="DS318" t="str">
        <f>""</f>
        <v/>
      </c>
      <c r="DT318" t="str">
        <f>""</f>
        <v/>
      </c>
      <c r="DU318" t="str">
        <f>""</f>
        <v/>
      </c>
      <c r="DV318" t="str">
        <f>""</f>
        <v/>
      </c>
      <c r="DW318" t="str">
        <f>""</f>
        <v/>
      </c>
      <c r="DX318" t="str">
        <f>""</f>
        <v/>
      </c>
      <c r="DY318" t="str">
        <f>""</f>
        <v/>
      </c>
      <c r="DZ318" t="str">
        <f>""</f>
        <v/>
      </c>
      <c r="EA318" t="str">
        <f>""</f>
        <v/>
      </c>
      <c r="EB318" t="str">
        <f>""</f>
        <v/>
      </c>
      <c r="EC318" t="str">
        <f>""</f>
        <v/>
      </c>
      <c r="ED318" t="str">
        <f>""</f>
        <v/>
      </c>
      <c r="EE318" t="str">
        <f>""</f>
        <v/>
      </c>
      <c r="EF318" t="str">
        <f>""</f>
        <v/>
      </c>
      <c r="EG318" t="str">
        <f>""</f>
        <v/>
      </c>
      <c r="EH318" t="str">
        <f>""</f>
        <v/>
      </c>
      <c r="EI318" t="str">
        <f>""</f>
        <v/>
      </c>
      <c r="EJ318" t="str">
        <f>""</f>
        <v/>
      </c>
      <c r="EK318" t="str">
        <f>""</f>
        <v/>
      </c>
      <c r="EL318" t="str">
        <f>""</f>
        <v/>
      </c>
      <c r="EM318" t="str">
        <f>""</f>
        <v/>
      </c>
      <c r="EN318" t="str">
        <f>""</f>
        <v/>
      </c>
      <c r="EO318" t="str">
        <f>""</f>
        <v/>
      </c>
      <c r="EP318" t="str">
        <f>""</f>
        <v/>
      </c>
      <c r="EQ318" t="str">
        <f>""</f>
        <v/>
      </c>
      <c r="ER318" t="str">
        <f>""</f>
        <v/>
      </c>
      <c r="ES318" t="str">
        <f>""</f>
        <v/>
      </c>
      <c r="ET318" t="str">
        <f>""</f>
        <v/>
      </c>
      <c r="EU318" t="str">
        <f>""</f>
        <v/>
      </c>
      <c r="EV318" t="str">
        <f>""</f>
        <v/>
      </c>
      <c r="EW318" t="str">
        <f>""</f>
        <v/>
      </c>
      <c r="EX318" t="str">
        <f>""</f>
        <v/>
      </c>
      <c r="EY318" t="str">
        <f>""</f>
        <v/>
      </c>
      <c r="EZ318" t="str">
        <f>""</f>
        <v/>
      </c>
      <c r="FA318" t="str">
        <f>""</f>
        <v/>
      </c>
      <c r="FB318" t="str">
        <f>""</f>
        <v/>
      </c>
      <c r="FC318" t="str">
        <f>""</f>
        <v/>
      </c>
      <c r="FD318" t="str">
        <f>""</f>
        <v/>
      </c>
      <c r="FE318" t="str">
        <f>""</f>
        <v/>
      </c>
      <c r="FF318" t="str">
        <f>""</f>
        <v/>
      </c>
      <c r="FG318" t="str">
        <f>""</f>
        <v/>
      </c>
      <c r="FH318" t="str">
        <f>""</f>
        <v/>
      </c>
      <c r="FI318" t="str">
        <f>""</f>
        <v/>
      </c>
      <c r="FJ318" t="str">
        <f>""</f>
        <v/>
      </c>
      <c r="FK318" t="str">
        <f>""</f>
        <v/>
      </c>
      <c r="FL318" t="str">
        <f>""</f>
        <v/>
      </c>
      <c r="FM318" t="str">
        <f>""</f>
        <v/>
      </c>
      <c r="FN318" t="str">
        <f>""</f>
        <v/>
      </c>
      <c r="FO318" t="str">
        <f>""</f>
        <v/>
      </c>
      <c r="FP318" t="str">
        <f>""</f>
        <v/>
      </c>
      <c r="FQ318" t="str">
        <f>""</f>
        <v/>
      </c>
      <c r="FR318" t="str">
        <f>""</f>
        <v/>
      </c>
      <c r="FS318" t="str">
        <f>""</f>
        <v/>
      </c>
      <c r="FT318" t="str">
        <f>""</f>
        <v/>
      </c>
      <c r="FU318" t="str">
        <f>""</f>
        <v/>
      </c>
      <c r="FV318" t="str">
        <f>""</f>
        <v/>
      </c>
      <c r="FW318" t="str">
        <f>""</f>
        <v/>
      </c>
      <c r="FX318" t="str">
        <f>""</f>
        <v/>
      </c>
      <c r="FY318" t="str">
        <f>""</f>
        <v/>
      </c>
      <c r="FZ318" t="str">
        <f>""</f>
        <v/>
      </c>
      <c r="GA318" t="str">
        <f>""</f>
        <v/>
      </c>
      <c r="GB318" t="str">
        <f>""</f>
        <v/>
      </c>
      <c r="GC318" t="str">
        <f>""</f>
        <v/>
      </c>
      <c r="GD318" t="str">
        <f>""</f>
        <v/>
      </c>
      <c r="GE318" t="str">
        <f>""</f>
        <v/>
      </c>
      <c r="GF318" t="str">
        <f>""</f>
        <v/>
      </c>
      <c r="GG318" t="str">
        <f>""</f>
        <v/>
      </c>
      <c r="GH318" t="str">
        <f>""</f>
        <v/>
      </c>
      <c r="GI318" t="str">
        <f>""</f>
        <v/>
      </c>
      <c r="GJ318" t="str">
        <f>""</f>
        <v/>
      </c>
      <c r="GK318" t="str">
        <f>""</f>
        <v/>
      </c>
      <c r="GL318" t="str">
        <f>""</f>
        <v/>
      </c>
      <c r="GM318" t="str">
        <f>""</f>
        <v/>
      </c>
      <c r="GN318" t="str">
        <f>""</f>
        <v/>
      </c>
      <c r="GO318" t="str">
        <f>""</f>
        <v/>
      </c>
      <c r="GP318" t="str">
        <f>""</f>
        <v/>
      </c>
      <c r="GQ318" t="str">
        <f>""</f>
        <v/>
      </c>
      <c r="GR318" t="str">
        <f>""</f>
        <v/>
      </c>
      <c r="GS318" t="str">
        <f>""</f>
        <v/>
      </c>
      <c r="GT318" t="str">
        <f>""</f>
        <v/>
      </c>
      <c r="GU318" t="str">
        <f>""</f>
        <v/>
      </c>
      <c r="GV318" t="str">
        <f>""</f>
        <v/>
      </c>
      <c r="GW318" t="str">
        <f>""</f>
        <v/>
      </c>
      <c r="GX318" t="str">
        <f>""</f>
        <v/>
      </c>
      <c r="GY318" t="str">
        <f>""</f>
        <v/>
      </c>
      <c r="GZ318" t="str">
        <f>""</f>
        <v/>
      </c>
      <c r="HA318" t="str">
        <f>""</f>
        <v/>
      </c>
      <c r="HB318" t="str">
        <f>""</f>
        <v/>
      </c>
      <c r="HC318" t="str">
        <f>""</f>
        <v/>
      </c>
      <c r="HD318" t="str">
        <f>""</f>
        <v/>
      </c>
      <c r="HE318" t="str">
        <f>""</f>
        <v/>
      </c>
      <c r="HF318" t="str">
        <f>""</f>
        <v/>
      </c>
      <c r="HG318" t="str">
        <f>""</f>
        <v/>
      </c>
      <c r="HH318" t="str">
        <f>""</f>
        <v/>
      </c>
      <c r="HI318" t="str">
        <f>""</f>
        <v/>
      </c>
      <c r="HJ318" t="str">
        <f>""</f>
        <v/>
      </c>
      <c r="HK318" t="str">
        <f>""</f>
        <v/>
      </c>
      <c r="HL318" t="str">
        <f>""</f>
        <v/>
      </c>
      <c r="HM318" t="str">
        <f>""</f>
        <v/>
      </c>
      <c r="HN318" t="str">
        <f>""</f>
        <v/>
      </c>
      <c r="HO318" t="str">
        <f>""</f>
        <v/>
      </c>
      <c r="HP318" t="str">
        <f>""</f>
        <v/>
      </c>
      <c r="HQ318" t="str">
        <f>""</f>
        <v/>
      </c>
      <c r="HR318" t="str">
        <f>""</f>
        <v/>
      </c>
      <c r="HS318" t="str">
        <f>"-0.0499"</f>
        <v>-0.0499</v>
      </c>
      <c r="HT318" t="str">
        <f>"0.0983"</f>
        <v>0.0983</v>
      </c>
      <c r="HU318" t="str">
        <f>"0.0455"</f>
        <v>0.0455</v>
      </c>
      <c r="HV318" t="str">
        <f>"-0.0429"</f>
        <v>-0.0429</v>
      </c>
      <c r="HW318" t="str">
        <f>"0.0822"</f>
        <v>0.0822</v>
      </c>
      <c r="HX318" t="str">
        <f>"0.0589"</f>
        <v>0.0589</v>
      </c>
      <c r="HY318" t="str">
        <f>"-0.0408"</f>
        <v>-0.0408</v>
      </c>
      <c r="HZ318" t="str">
        <f>"0.0773"</f>
        <v>0.0773</v>
      </c>
      <c r="IA318" t="str">
        <f>"0.0604"</f>
        <v>0.0604</v>
      </c>
      <c r="IB318" t="str">
        <f>"-0.0274"</f>
        <v>-0.0274</v>
      </c>
      <c r="IC318" t="str">
        <f>"0.0782"</f>
        <v>0.0782</v>
      </c>
      <c r="ID318" t="str">
        <f>"0.0443"</f>
        <v>0.0443</v>
      </c>
      <c r="IE318" t="str">
        <f>"-0.0278"</f>
        <v>-0.0278</v>
      </c>
      <c r="IF318" t="str">
        <f>"0.0760"</f>
        <v>0.0760</v>
      </c>
      <c r="IG318" t="str">
        <f>"0.0525"</f>
        <v>0.0525</v>
      </c>
      <c r="IH318" t="str">
        <f>"-0.0434"</f>
        <v>-0.0434</v>
      </c>
      <c r="II318" t="str">
        <f>"0.0825"</f>
        <v>0.0825</v>
      </c>
      <c r="IJ318" t="str">
        <f>"0.0583"</f>
        <v>0.0583</v>
      </c>
      <c r="IK318" t="str">
        <f>"-0.0481"</f>
        <v>-0.0481</v>
      </c>
      <c r="IL318" t="str">
        <f>"0.0778"</f>
        <v>0.0778</v>
      </c>
      <c r="IM318" t="str">
        <f>"0.0426"</f>
        <v>0.0426</v>
      </c>
      <c r="IN318" t="str">
        <f>"-0.0493"</f>
        <v>-0.0493</v>
      </c>
      <c r="IO318" t="str">
        <f>"0.0953"</f>
        <v>0.0953</v>
      </c>
      <c r="IP318" t="str">
        <f>"0.0494"</f>
        <v>0.0494</v>
      </c>
      <c r="IQ318" t="str">
        <f>"-0.0505"</f>
        <v>-0.0505</v>
      </c>
      <c r="IR318" t="str">
        <f>"0.0860"</f>
        <v>0.0860</v>
      </c>
      <c r="IS318" t="str">
        <f>"0.0443"</f>
        <v>0.0443</v>
      </c>
      <c r="IT318" t="str">
        <f>"-0.0482"</f>
        <v>-0.0482</v>
      </c>
      <c r="IU318" t="str">
        <f>"0.0836"</f>
        <v>0.0836</v>
      </c>
      <c r="IV318" t="str">
        <f>"0.0514"</f>
        <v>0.0514</v>
      </c>
      <c r="IW318" t="str">
        <f>"-0.0459"</f>
        <v>-0.0459</v>
      </c>
      <c r="IX318" t="str">
        <f>"0.0834"</f>
        <v>0.0834</v>
      </c>
      <c r="IY318" t="str">
        <f>"0.0596"</f>
        <v>0.0596</v>
      </c>
      <c r="IZ318" t="str">
        <f>"-0.0488"</f>
        <v>-0.0488</v>
      </c>
      <c r="JA318" t="str">
        <f>"0.0872"</f>
        <v>0.0872</v>
      </c>
      <c r="JB318" t="str">
        <f>"0.0497"</f>
        <v>0.0497</v>
      </c>
      <c r="JC318" t="str">
        <f>"-0.0729"</f>
        <v>-0.0729</v>
      </c>
      <c r="JD318" t="str">
        <f>"0.0930"</f>
        <v>0.0930</v>
      </c>
      <c r="JE318" t="str">
        <f>"0.0516"</f>
        <v>0.0516</v>
      </c>
      <c r="JF318" t="str">
        <f>"-0.0453"</f>
        <v>-0.0453</v>
      </c>
      <c r="JG318" t="str">
        <f>"0.0824"</f>
        <v>0.0824</v>
      </c>
      <c r="JH318" t="str">
        <f>"0.0495"</f>
        <v>0.0495</v>
      </c>
      <c r="JI318" t="str">
        <f>"-0.0408"</f>
        <v>-0.0408</v>
      </c>
      <c r="JJ318" t="str">
        <f>"0.0825"</f>
        <v>0.0825</v>
      </c>
      <c r="JK318" t="str">
        <f>"0.0572"</f>
        <v>0.0572</v>
      </c>
    </row>
    <row r="319" spans="1:271" x14ac:dyDescent="0.3">
      <c r="A319" t="str">
        <f>""</f>
        <v/>
      </c>
      <c r="B319" t="str">
        <f>""</f>
        <v/>
      </c>
      <c r="C319" t="str">
        <f>""</f>
        <v/>
      </c>
      <c r="D319" t="str">
        <f>""</f>
        <v/>
      </c>
      <c r="E319" t="str">
        <f>""</f>
        <v/>
      </c>
      <c r="F319" t="str">
        <f>""</f>
        <v/>
      </c>
      <c r="G319" t="str">
        <f>""</f>
        <v/>
      </c>
      <c r="H319" t="str">
        <f>""</f>
        <v/>
      </c>
      <c r="I319" t="str">
        <f>""</f>
        <v/>
      </c>
      <c r="J319" t="str">
        <f>""</f>
        <v/>
      </c>
      <c r="K319" t="str">
        <f>""</f>
        <v/>
      </c>
      <c r="L319" t="str">
        <f>""</f>
        <v/>
      </c>
      <c r="M319" t="str">
        <f>""</f>
        <v/>
      </c>
      <c r="N319" t="str">
        <f>""</f>
        <v/>
      </c>
      <c r="O319" t="str">
        <f>""</f>
        <v/>
      </c>
      <c r="P319" t="str">
        <f>""</f>
        <v/>
      </c>
      <c r="Q319" t="str">
        <f>""</f>
        <v/>
      </c>
      <c r="R319" t="str">
        <f>""</f>
        <v/>
      </c>
      <c r="S319" t="str">
        <f>""</f>
        <v/>
      </c>
      <c r="T319" t="str">
        <f>""</f>
        <v/>
      </c>
      <c r="U319" t="str">
        <f>""</f>
        <v/>
      </c>
      <c r="V319" t="str">
        <f>""</f>
        <v/>
      </c>
      <c r="W319" t="str">
        <f>""</f>
        <v/>
      </c>
      <c r="X319" t="str">
        <f>""</f>
        <v/>
      </c>
      <c r="Y319" t="str">
        <f>""</f>
        <v/>
      </c>
      <c r="Z319" t="str">
        <f>""</f>
        <v/>
      </c>
      <c r="AA319" t="str">
        <f>""</f>
        <v/>
      </c>
      <c r="AB319" t="str">
        <f>""</f>
        <v/>
      </c>
      <c r="AC319" t="str">
        <f>""</f>
        <v/>
      </c>
      <c r="AD319" t="str">
        <f>""</f>
        <v/>
      </c>
      <c r="AE319" t="str">
        <f>""</f>
        <v/>
      </c>
      <c r="AF319" t="str">
        <f>""</f>
        <v/>
      </c>
      <c r="AG319" t="str">
        <f>""</f>
        <v/>
      </c>
      <c r="AH319" t="str">
        <f>""</f>
        <v/>
      </c>
      <c r="AI319" t="str">
        <f>""</f>
        <v/>
      </c>
      <c r="AJ319" t="str">
        <f>""</f>
        <v/>
      </c>
      <c r="AK319" t="str">
        <f>""</f>
        <v/>
      </c>
      <c r="AL319" t="str">
        <f>""</f>
        <v/>
      </c>
      <c r="AM319" t="str">
        <f>""</f>
        <v/>
      </c>
      <c r="AN319" t="str">
        <f>""</f>
        <v/>
      </c>
      <c r="AO319" t="str">
        <f>""</f>
        <v/>
      </c>
      <c r="AP319" t="str">
        <f>""</f>
        <v/>
      </c>
      <c r="AQ319" t="str">
        <f>""</f>
        <v/>
      </c>
      <c r="AR319" t="str">
        <f>""</f>
        <v/>
      </c>
      <c r="AS319" t="str">
        <f>""</f>
        <v/>
      </c>
      <c r="AT319" t="str">
        <f>""</f>
        <v/>
      </c>
      <c r="AU319" t="str">
        <f>""</f>
        <v/>
      </c>
      <c r="AV319" t="str">
        <f>""</f>
        <v/>
      </c>
      <c r="AW319" t="str">
        <f>""</f>
        <v/>
      </c>
      <c r="AX319" t="str">
        <f>""</f>
        <v/>
      </c>
      <c r="AY319" t="str">
        <f>""</f>
        <v/>
      </c>
      <c r="AZ319" t="str">
        <f>""</f>
        <v/>
      </c>
      <c r="BA319" t="str">
        <f>""</f>
        <v/>
      </c>
      <c r="BB319" t="str">
        <f>""</f>
        <v/>
      </c>
      <c r="BC319" t="str">
        <f>""</f>
        <v/>
      </c>
      <c r="BD319" t="str">
        <f>""</f>
        <v/>
      </c>
      <c r="BE319" t="str">
        <f>""</f>
        <v/>
      </c>
      <c r="BF319" t="str">
        <f>""</f>
        <v/>
      </c>
      <c r="BG319" t="str">
        <f>""</f>
        <v/>
      </c>
      <c r="BH319" t="str">
        <f>""</f>
        <v/>
      </c>
      <c r="BI319" t="str">
        <f>""</f>
        <v/>
      </c>
      <c r="BJ319" t="str">
        <f>""</f>
        <v/>
      </c>
      <c r="BK319" t="str">
        <f>""</f>
        <v/>
      </c>
      <c r="BL319" t="str">
        <f>""</f>
        <v/>
      </c>
      <c r="BM319" t="str">
        <f>""</f>
        <v/>
      </c>
      <c r="BN319" t="str">
        <f>""</f>
        <v/>
      </c>
      <c r="BO319" t="str">
        <f>""</f>
        <v/>
      </c>
      <c r="BP319" t="str">
        <f>""</f>
        <v/>
      </c>
      <c r="BQ319" t="str">
        <f>""</f>
        <v/>
      </c>
      <c r="BR319" t="str">
        <f>""</f>
        <v/>
      </c>
      <c r="BS319" t="str">
        <f>""</f>
        <v/>
      </c>
      <c r="BT319" t="str">
        <f>""</f>
        <v/>
      </c>
      <c r="BU319" t="str">
        <f>""</f>
        <v/>
      </c>
      <c r="BV319" t="str">
        <f>""</f>
        <v/>
      </c>
      <c r="BW319" t="str">
        <f>""</f>
        <v/>
      </c>
      <c r="BX319" t="str">
        <f>""</f>
        <v/>
      </c>
      <c r="BY319" t="str">
        <f>""</f>
        <v/>
      </c>
      <c r="BZ319" t="str">
        <f>""</f>
        <v/>
      </c>
      <c r="CA319" t="str">
        <f>""</f>
        <v/>
      </c>
      <c r="CB319" t="str">
        <f>""</f>
        <v/>
      </c>
      <c r="CC319" t="str">
        <f>""</f>
        <v/>
      </c>
      <c r="CD319" t="str">
        <f>""</f>
        <v/>
      </c>
      <c r="CE319" t="str">
        <f>""</f>
        <v/>
      </c>
      <c r="CF319" t="str">
        <f>""</f>
        <v/>
      </c>
      <c r="CG319" t="str">
        <f>""</f>
        <v/>
      </c>
      <c r="CH319" t="str">
        <f>""</f>
        <v/>
      </c>
      <c r="CI319" t="str">
        <f>""</f>
        <v/>
      </c>
      <c r="CJ319" t="str">
        <f>""</f>
        <v/>
      </c>
      <c r="CK319" t="str">
        <f>""</f>
        <v/>
      </c>
      <c r="CL319" t="str">
        <f>""</f>
        <v/>
      </c>
      <c r="CM319" t="str">
        <f>""</f>
        <v/>
      </c>
      <c r="CN319" t="str">
        <f>""</f>
        <v/>
      </c>
      <c r="CO319" t="str">
        <f>""</f>
        <v/>
      </c>
      <c r="CP319" t="str">
        <f>""</f>
        <v/>
      </c>
      <c r="CQ319" t="str">
        <f>""</f>
        <v/>
      </c>
      <c r="CR319" t="str">
        <f>""</f>
        <v/>
      </c>
      <c r="CS319" t="str">
        <f>""</f>
        <v/>
      </c>
      <c r="CT319" t="str">
        <f>""</f>
        <v/>
      </c>
      <c r="CU319" t="str">
        <f>""</f>
        <v/>
      </c>
      <c r="CV319" t="str">
        <f>""</f>
        <v/>
      </c>
      <c r="CW319" t="str">
        <f>""</f>
        <v/>
      </c>
      <c r="CX319" t="str">
        <f>""</f>
        <v/>
      </c>
      <c r="CY319" t="str">
        <f>""</f>
        <v/>
      </c>
      <c r="CZ319" t="str">
        <f>""</f>
        <v/>
      </c>
      <c r="DA319" t="str">
        <f>""</f>
        <v/>
      </c>
      <c r="DB319" t="str">
        <f>""</f>
        <v/>
      </c>
      <c r="DC319" t="str">
        <f>""</f>
        <v/>
      </c>
      <c r="DD319" t="str">
        <f>""</f>
        <v/>
      </c>
      <c r="DE319" t="str">
        <f>""</f>
        <v/>
      </c>
      <c r="DF319" t="str">
        <f>""</f>
        <v/>
      </c>
      <c r="DG319" t="str">
        <f>""</f>
        <v/>
      </c>
      <c r="DH319" t="str">
        <f>""</f>
        <v/>
      </c>
      <c r="DI319" t="str">
        <f>""</f>
        <v/>
      </c>
      <c r="DJ319" t="str">
        <f>""</f>
        <v/>
      </c>
      <c r="DK319" t="str">
        <f>""</f>
        <v/>
      </c>
      <c r="DL319" t="str">
        <f>""</f>
        <v/>
      </c>
      <c r="DM319" t="str">
        <f>""</f>
        <v/>
      </c>
      <c r="DN319" t="str">
        <f>""</f>
        <v/>
      </c>
      <c r="DO319" t="str">
        <f>""</f>
        <v/>
      </c>
      <c r="DP319" t="str">
        <f>""</f>
        <v/>
      </c>
      <c r="DQ319" t="str">
        <f>""</f>
        <v/>
      </c>
      <c r="DR319" t="str">
        <f>""</f>
        <v/>
      </c>
      <c r="DS319" t="str">
        <f>""</f>
        <v/>
      </c>
      <c r="DT319" t="str">
        <f>""</f>
        <v/>
      </c>
      <c r="DU319" t="str">
        <f>""</f>
        <v/>
      </c>
      <c r="DV319" t="str">
        <f>""</f>
        <v/>
      </c>
      <c r="DW319" t="str">
        <f>""</f>
        <v/>
      </c>
      <c r="DX319" t="str">
        <f>""</f>
        <v/>
      </c>
      <c r="DY319" t="str">
        <f>""</f>
        <v/>
      </c>
      <c r="DZ319" t="str">
        <f>""</f>
        <v/>
      </c>
      <c r="EA319" t="str">
        <f>""</f>
        <v/>
      </c>
      <c r="EB319" t="str">
        <f>""</f>
        <v/>
      </c>
      <c r="EC319" t="str">
        <f>""</f>
        <v/>
      </c>
      <c r="ED319" t="str">
        <f>""</f>
        <v/>
      </c>
      <c r="EE319" t="str">
        <f>""</f>
        <v/>
      </c>
      <c r="EF319" t="str">
        <f>""</f>
        <v/>
      </c>
      <c r="EG319" t="str">
        <f>""</f>
        <v/>
      </c>
      <c r="EH319" t="str">
        <f>""</f>
        <v/>
      </c>
      <c r="EI319" t="str">
        <f>""</f>
        <v/>
      </c>
      <c r="EJ319" t="str">
        <f>""</f>
        <v/>
      </c>
      <c r="EK319" t="str">
        <f>""</f>
        <v/>
      </c>
      <c r="EL319" t="str">
        <f>""</f>
        <v/>
      </c>
      <c r="EM319" t="str">
        <f>""</f>
        <v/>
      </c>
      <c r="EN319" t="str">
        <f>""</f>
        <v/>
      </c>
      <c r="EO319" t="str">
        <f>""</f>
        <v/>
      </c>
      <c r="EP319" t="str">
        <f>""</f>
        <v/>
      </c>
      <c r="EQ319" t="str">
        <f>""</f>
        <v/>
      </c>
      <c r="ER319" t="str">
        <f>""</f>
        <v/>
      </c>
      <c r="ES319" t="str">
        <f>""</f>
        <v/>
      </c>
      <c r="ET319" t="str">
        <f>""</f>
        <v/>
      </c>
      <c r="EU319" t="str">
        <f>""</f>
        <v/>
      </c>
      <c r="EV319" t="str">
        <f>""</f>
        <v/>
      </c>
      <c r="EW319" t="str">
        <f>""</f>
        <v/>
      </c>
      <c r="EX319" t="str">
        <f>""</f>
        <v/>
      </c>
      <c r="EY319" t="str">
        <f>""</f>
        <v/>
      </c>
      <c r="EZ319" t="str">
        <f>""</f>
        <v/>
      </c>
      <c r="FA319" t="str">
        <f>""</f>
        <v/>
      </c>
      <c r="FB319" t="str">
        <f>""</f>
        <v/>
      </c>
      <c r="FC319" t="str">
        <f>""</f>
        <v/>
      </c>
      <c r="FD319" t="str">
        <f>""</f>
        <v/>
      </c>
      <c r="FE319" t="str">
        <f>""</f>
        <v/>
      </c>
      <c r="FF319" t="str">
        <f>""</f>
        <v/>
      </c>
      <c r="FG319" t="str">
        <f>""</f>
        <v/>
      </c>
      <c r="FH319" t="str">
        <f>""</f>
        <v/>
      </c>
      <c r="FI319" t="str">
        <f>""</f>
        <v/>
      </c>
      <c r="FJ319" t="str">
        <f>""</f>
        <v/>
      </c>
      <c r="FK319" t="str">
        <f>""</f>
        <v/>
      </c>
      <c r="FL319" t="str">
        <f>""</f>
        <v/>
      </c>
      <c r="FM319" t="str">
        <f>""</f>
        <v/>
      </c>
      <c r="FN319" t="str">
        <f>""</f>
        <v/>
      </c>
      <c r="FO319" t="str">
        <f>""</f>
        <v/>
      </c>
      <c r="FP319" t="str">
        <f>""</f>
        <v/>
      </c>
      <c r="FQ319" t="str">
        <f>""</f>
        <v/>
      </c>
      <c r="FR319" t="str">
        <f>""</f>
        <v/>
      </c>
      <c r="FS319" t="str">
        <f>""</f>
        <v/>
      </c>
      <c r="FT319" t="str">
        <f>""</f>
        <v/>
      </c>
      <c r="FU319" t="str">
        <f>""</f>
        <v/>
      </c>
      <c r="FV319" t="str">
        <f>""</f>
        <v/>
      </c>
      <c r="FW319" t="str">
        <f>""</f>
        <v/>
      </c>
      <c r="FX319" t="str">
        <f>""</f>
        <v/>
      </c>
      <c r="FY319" t="str">
        <f>""</f>
        <v/>
      </c>
      <c r="FZ319" t="str">
        <f>""</f>
        <v/>
      </c>
      <c r="GA319" t="str">
        <f>""</f>
        <v/>
      </c>
      <c r="GB319" t="str">
        <f>""</f>
        <v/>
      </c>
      <c r="GC319" t="str">
        <f>""</f>
        <v/>
      </c>
      <c r="GD319" t="str">
        <f>""</f>
        <v/>
      </c>
      <c r="GE319" t="str">
        <f>""</f>
        <v/>
      </c>
      <c r="GF319" t="str">
        <f>""</f>
        <v/>
      </c>
      <c r="GG319" t="str">
        <f>""</f>
        <v/>
      </c>
      <c r="GH319" t="str">
        <f>""</f>
        <v/>
      </c>
      <c r="GI319" t="str">
        <f>""</f>
        <v/>
      </c>
      <c r="GJ319" t="str">
        <f>""</f>
        <v/>
      </c>
      <c r="GK319" t="str">
        <f>""</f>
        <v/>
      </c>
      <c r="GL319" t="str">
        <f>""</f>
        <v/>
      </c>
      <c r="GM319" t="str">
        <f>""</f>
        <v/>
      </c>
      <c r="GN319" t="str">
        <f>""</f>
        <v/>
      </c>
      <c r="GO319" t="str">
        <f>""</f>
        <v/>
      </c>
      <c r="GP319" t="str">
        <f>""</f>
        <v/>
      </c>
      <c r="GQ319" t="str">
        <f>""</f>
        <v/>
      </c>
      <c r="GR319" t="str">
        <f>""</f>
        <v/>
      </c>
      <c r="GS319" t="str">
        <f>""</f>
        <v/>
      </c>
      <c r="GT319" t="str">
        <f>""</f>
        <v/>
      </c>
      <c r="GU319" t="str">
        <f>""</f>
        <v/>
      </c>
      <c r="GV319" t="str">
        <f>""</f>
        <v/>
      </c>
      <c r="GW319" t="str">
        <f>""</f>
        <v/>
      </c>
      <c r="GX319" t="str">
        <f>""</f>
        <v/>
      </c>
      <c r="GY319" t="str">
        <f>""</f>
        <v/>
      </c>
      <c r="GZ319" t="str">
        <f>""</f>
        <v/>
      </c>
      <c r="HA319" t="str">
        <f>""</f>
        <v/>
      </c>
      <c r="HB319" t="str">
        <f>""</f>
        <v/>
      </c>
      <c r="HC319" t="str">
        <f>""</f>
        <v/>
      </c>
      <c r="HD319" t="str">
        <f>""</f>
        <v/>
      </c>
      <c r="HE319" t="str">
        <f>""</f>
        <v/>
      </c>
      <c r="HF319" t="str">
        <f>""</f>
        <v/>
      </c>
      <c r="HG319" t="str">
        <f>""</f>
        <v/>
      </c>
      <c r="HH319" t="str">
        <f>""</f>
        <v/>
      </c>
      <c r="HI319" t="str">
        <f>""</f>
        <v/>
      </c>
      <c r="HJ319" t="str">
        <f>""</f>
        <v/>
      </c>
      <c r="HK319" t="str">
        <f>""</f>
        <v/>
      </c>
      <c r="HL319" t="str">
        <f>""</f>
        <v/>
      </c>
      <c r="HM319" t="str">
        <f>""</f>
        <v/>
      </c>
      <c r="HN319" t="str">
        <f>""</f>
        <v/>
      </c>
      <c r="HO319" t="str">
        <f>""</f>
        <v/>
      </c>
      <c r="HP319" t="str">
        <f>""</f>
        <v/>
      </c>
      <c r="HQ319" t="str">
        <f>""</f>
        <v/>
      </c>
      <c r="HR319" t="str">
        <f>""</f>
        <v/>
      </c>
      <c r="HS319" t="str">
        <f>"(0.114)"</f>
        <v>(0.114)</v>
      </c>
      <c r="HT319" t="str">
        <f>"(0.0889)"</f>
        <v>(0.0889)</v>
      </c>
      <c r="HU319" t="str">
        <f>"(0.0485)"</f>
        <v>(0.0485)</v>
      </c>
      <c r="HV319" t="str">
        <f>"(0.112)"</f>
        <v>(0.112)</v>
      </c>
      <c r="HW319" t="str">
        <f>"(0.0881)"</f>
        <v>(0.0881)</v>
      </c>
      <c r="HX319" t="str">
        <f>"(0.0486)"</f>
        <v>(0.0486)</v>
      </c>
      <c r="HY319" t="str">
        <f>"(0.112)"</f>
        <v>(0.112)</v>
      </c>
      <c r="HZ319" t="str">
        <f>"(0.0884)"</f>
        <v>(0.0884)</v>
      </c>
      <c r="IA319" t="str">
        <f>"(0.0496)"</f>
        <v>(0.0496)</v>
      </c>
      <c r="IB319" t="str">
        <f>"(0.114)"</f>
        <v>(0.114)</v>
      </c>
      <c r="IC319" t="str">
        <f>"(0.0885)"</f>
        <v>(0.0885)</v>
      </c>
      <c r="ID319" t="str">
        <f>"(0.0493)"</f>
        <v>(0.0493)</v>
      </c>
      <c r="IE319" t="str">
        <f>"(0.112)"</f>
        <v>(0.112)</v>
      </c>
      <c r="IF319" t="str">
        <f>"(0.0885)"</f>
        <v>(0.0885)</v>
      </c>
      <c r="IG319" t="str">
        <f>"(0.0493)"</f>
        <v>(0.0493)</v>
      </c>
      <c r="IH319" t="str">
        <f>"(0.112)"</f>
        <v>(0.112)</v>
      </c>
      <c r="II319" t="str">
        <f>"(0.0881)"</f>
        <v>(0.0881)</v>
      </c>
      <c r="IJ319" t="str">
        <f>"(0.0484)"</f>
        <v>(0.0484)</v>
      </c>
      <c r="IK319" t="str">
        <f>"(0.112)"</f>
        <v>(0.112)</v>
      </c>
      <c r="IL319" t="str">
        <f>"(0.0881)"</f>
        <v>(0.0881)</v>
      </c>
      <c r="IM319" t="str">
        <f>"(0.0488)"</f>
        <v>(0.0488)</v>
      </c>
      <c r="IN319" t="str">
        <f>"(0.112)"</f>
        <v>(0.112)</v>
      </c>
      <c r="IO319" t="str">
        <f>"(0.0885)"</f>
        <v>(0.0885)</v>
      </c>
      <c r="IP319" t="str">
        <f>"(0.0480)"</f>
        <v>(0.0480)</v>
      </c>
      <c r="IQ319" t="str">
        <f>"(0.112)"</f>
        <v>(0.112)</v>
      </c>
      <c r="IR319" t="str">
        <f>"(0.0881)"</f>
        <v>(0.0881)</v>
      </c>
      <c r="IS319" t="str">
        <f>"(0.0479)"</f>
        <v>(0.0479)</v>
      </c>
      <c r="IT319" t="str">
        <f>"(0.112)"</f>
        <v>(0.112)</v>
      </c>
      <c r="IU319" t="str">
        <f>"(0.0880)"</f>
        <v>(0.0880)</v>
      </c>
      <c r="IV319" t="str">
        <f>"(0.0479)"</f>
        <v>(0.0479)</v>
      </c>
      <c r="IW319" t="str">
        <f>"(0.112)"</f>
        <v>(0.112)</v>
      </c>
      <c r="IX319" t="str">
        <f>"(0.0883)"</f>
        <v>(0.0883)</v>
      </c>
      <c r="IY319" t="str">
        <f>"(0.0488)"</f>
        <v>(0.0488)</v>
      </c>
      <c r="IZ319" t="str">
        <f>"(0.112)"</f>
        <v>(0.112)</v>
      </c>
      <c r="JA319" t="str">
        <f>"(0.0881)"</f>
        <v>(0.0881)</v>
      </c>
      <c r="JB319" t="str">
        <f>"(0.0479)"</f>
        <v>(0.0479)</v>
      </c>
      <c r="JC319" t="str">
        <f>"(0.113)"</f>
        <v>(0.113)</v>
      </c>
      <c r="JD319" t="str">
        <f>"(0.0883)"</f>
        <v>(0.0883)</v>
      </c>
      <c r="JE319" t="str">
        <f>"(0.0485)"</f>
        <v>(0.0485)</v>
      </c>
      <c r="JF319" t="str">
        <f>"(0.112)"</f>
        <v>(0.112)</v>
      </c>
      <c r="JG319" t="str">
        <f>"(0.0879)"</f>
        <v>(0.0879)</v>
      </c>
      <c r="JH319" t="str">
        <f>"(0.0480)"</f>
        <v>(0.0480)</v>
      </c>
      <c r="JI319" t="str">
        <f>"(0.112)"</f>
        <v>(0.112)</v>
      </c>
      <c r="JJ319" t="str">
        <f>"(0.0879)"</f>
        <v>(0.0879)</v>
      </c>
      <c r="JK319" t="str">
        <f>"(0.0482)"</f>
        <v>(0.0482)</v>
      </c>
    </row>
    <row r="321" spans="1:271" x14ac:dyDescent="0.3">
      <c r="A321" t="str">
        <f>"c.zMETAB1#c.PM6"</f>
        <v>c.zMETAB1#c.PM6</v>
      </c>
      <c r="B321" t="str">
        <f>""</f>
        <v/>
      </c>
      <c r="C321" t="str">
        <f>""</f>
        <v/>
      </c>
      <c r="D321" t="str">
        <f>""</f>
        <v/>
      </c>
      <c r="E321" t="str">
        <f>""</f>
        <v/>
      </c>
      <c r="F321" t="str">
        <f>""</f>
        <v/>
      </c>
      <c r="G321" t="str">
        <f>""</f>
        <v/>
      </c>
      <c r="H321" t="str">
        <f>""</f>
        <v/>
      </c>
      <c r="I321" t="str">
        <f>""</f>
        <v/>
      </c>
      <c r="J321" t="str">
        <f>""</f>
        <v/>
      </c>
      <c r="K321" t="str">
        <f>""</f>
        <v/>
      </c>
      <c r="L321" t="str">
        <f>""</f>
        <v/>
      </c>
      <c r="M321" t="str">
        <f>""</f>
        <v/>
      </c>
      <c r="N321" t="str">
        <f>""</f>
        <v/>
      </c>
      <c r="O321" t="str">
        <f>""</f>
        <v/>
      </c>
      <c r="P321" t="str">
        <f>""</f>
        <v/>
      </c>
      <c r="Q321" t="str">
        <f>""</f>
        <v/>
      </c>
      <c r="R321" t="str">
        <f>""</f>
        <v/>
      </c>
      <c r="S321" t="str">
        <f>""</f>
        <v/>
      </c>
      <c r="T321" t="str">
        <f>""</f>
        <v/>
      </c>
      <c r="U321" t="str">
        <f>""</f>
        <v/>
      </c>
      <c r="V321" t="str">
        <f>""</f>
        <v/>
      </c>
      <c r="W321" t="str">
        <f>""</f>
        <v/>
      </c>
      <c r="X321" t="str">
        <f>""</f>
        <v/>
      </c>
      <c r="Y321" t="str">
        <f>""</f>
        <v/>
      </c>
      <c r="Z321" t="str">
        <f>""</f>
        <v/>
      </c>
      <c r="AA321" t="str">
        <f>""</f>
        <v/>
      </c>
      <c r="AB321" t="str">
        <f>""</f>
        <v/>
      </c>
      <c r="AC321" t="str">
        <f>""</f>
        <v/>
      </c>
      <c r="AD321" t="str">
        <f>""</f>
        <v/>
      </c>
      <c r="AE321" t="str">
        <f>""</f>
        <v/>
      </c>
      <c r="AF321" t="str">
        <f>""</f>
        <v/>
      </c>
      <c r="AG321" t="str">
        <f>""</f>
        <v/>
      </c>
      <c r="AH321" t="str">
        <f>""</f>
        <v/>
      </c>
      <c r="AI321" t="str">
        <f>""</f>
        <v/>
      </c>
      <c r="AJ321" t="str">
        <f>""</f>
        <v/>
      </c>
      <c r="AK321" t="str">
        <f>""</f>
        <v/>
      </c>
      <c r="AL321" t="str">
        <f>""</f>
        <v/>
      </c>
      <c r="AM321" t="str">
        <f>""</f>
        <v/>
      </c>
      <c r="AN321" t="str">
        <f>""</f>
        <v/>
      </c>
      <c r="AO321" t="str">
        <f>""</f>
        <v/>
      </c>
      <c r="AP321" t="str">
        <f>""</f>
        <v/>
      </c>
      <c r="AQ321" t="str">
        <f>""</f>
        <v/>
      </c>
      <c r="AR321" t="str">
        <f>""</f>
        <v/>
      </c>
      <c r="AS321" t="str">
        <f>""</f>
        <v/>
      </c>
      <c r="AT321" t="str">
        <f>""</f>
        <v/>
      </c>
      <c r="AU321" t="str">
        <f>""</f>
        <v/>
      </c>
      <c r="AV321" t="str">
        <f>""</f>
        <v/>
      </c>
      <c r="AW321" t="str">
        <f>""</f>
        <v/>
      </c>
      <c r="AX321" t="str">
        <f>""</f>
        <v/>
      </c>
      <c r="AY321" t="str">
        <f>""</f>
        <v/>
      </c>
      <c r="AZ321" t="str">
        <f>""</f>
        <v/>
      </c>
      <c r="BA321" t="str">
        <f>""</f>
        <v/>
      </c>
      <c r="BB321" t="str">
        <f>""</f>
        <v/>
      </c>
      <c r="BC321" t="str">
        <f>""</f>
        <v/>
      </c>
      <c r="BD321" t="str">
        <f>""</f>
        <v/>
      </c>
      <c r="BE321" t="str">
        <f>""</f>
        <v/>
      </c>
      <c r="BF321" t="str">
        <f>""</f>
        <v/>
      </c>
      <c r="BG321" t="str">
        <f>""</f>
        <v/>
      </c>
      <c r="BH321" t="str">
        <f>""</f>
        <v/>
      </c>
      <c r="BI321" t="str">
        <f>""</f>
        <v/>
      </c>
      <c r="BJ321" t="str">
        <f>""</f>
        <v/>
      </c>
      <c r="BK321" t="str">
        <f>""</f>
        <v/>
      </c>
      <c r="BL321" t="str">
        <f>""</f>
        <v/>
      </c>
      <c r="BM321" t="str">
        <f>""</f>
        <v/>
      </c>
      <c r="BN321" t="str">
        <f>""</f>
        <v/>
      </c>
      <c r="BO321" t="str">
        <f>""</f>
        <v/>
      </c>
      <c r="BP321" t="str">
        <f>""</f>
        <v/>
      </c>
      <c r="BQ321" t="str">
        <f>""</f>
        <v/>
      </c>
      <c r="BR321" t="str">
        <f>""</f>
        <v/>
      </c>
      <c r="BS321" t="str">
        <f>""</f>
        <v/>
      </c>
      <c r="BT321" t="str">
        <f>""</f>
        <v/>
      </c>
      <c r="BU321" t="str">
        <f>""</f>
        <v/>
      </c>
      <c r="BV321" t="str">
        <f>""</f>
        <v/>
      </c>
      <c r="BW321" t="str">
        <f>""</f>
        <v/>
      </c>
      <c r="BX321" t="str">
        <f>""</f>
        <v/>
      </c>
      <c r="BY321" t="str">
        <f>""</f>
        <v/>
      </c>
      <c r="BZ321" t="str">
        <f>""</f>
        <v/>
      </c>
      <c r="CA321" t="str">
        <f>""</f>
        <v/>
      </c>
      <c r="CB321" t="str">
        <f>""</f>
        <v/>
      </c>
      <c r="CC321" t="str">
        <f>""</f>
        <v/>
      </c>
      <c r="CD321" t="str">
        <f>""</f>
        <v/>
      </c>
      <c r="CE321" t="str">
        <f>""</f>
        <v/>
      </c>
      <c r="CF321" t="str">
        <f>""</f>
        <v/>
      </c>
      <c r="CG321" t="str">
        <f>""</f>
        <v/>
      </c>
      <c r="CH321" t="str">
        <f>""</f>
        <v/>
      </c>
      <c r="CI321" t="str">
        <f>""</f>
        <v/>
      </c>
      <c r="CJ321" t="str">
        <f>""</f>
        <v/>
      </c>
      <c r="CK321" t="str">
        <f>""</f>
        <v/>
      </c>
      <c r="CL321" t="str">
        <f>""</f>
        <v/>
      </c>
      <c r="CM321" t="str">
        <f>""</f>
        <v/>
      </c>
      <c r="CN321" t="str">
        <f>""</f>
        <v/>
      </c>
      <c r="CO321" t="str">
        <f>""</f>
        <v/>
      </c>
      <c r="CP321" t="str">
        <f>""</f>
        <v/>
      </c>
      <c r="CQ321" t="str">
        <f>""</f>
        <v/>
      </c>
      <c r="CR321" t="str">
        <f>""</f>
        <v/>
      </c>
      <c r="CS321" t="str">
        <f>""</f>
        <v/>
      </c>
      <c r="CT321" t="str">
        <f>""</f>
        <v/>
      </c>
      <c r="CU321" t="str">
        <f>""</f>
        <v/>
      </c>
      <c r="CV321" t="str">
        <f>""</f>
        <v/>
      </c>
      <c r="CW321" t="str">
        <f>""</f>
        <v/>
      </c>
      <c r="CX321" t="str">
        <f>""</f>
        <v/>
      </c>
      <c r="CY321" t="str">
        <f>""</f>
        <v/>
      </c>
      <c r="CZ321" t="str">
        <f>""</f>
        <v/>
      </c>
      <c r="DA321" t="str">
        <f>""</f>
        <v/>
      </c>
      <c r="DB321" t="str">
        <f>""</f>
        <v/>
      </c>
      <c r="DC321" t="str">
        <f>""</f>
        <v/>
      </c>
      <c r="DD321" t="str">
        <f>""</f>
        <v/>
      </c>
      <c r="DE321" t="str">
        <f>""</f>
        <v/>
      </c>
      <c r="DF321" t="str">
        <f>""</f>
        <v/>
      </c>
      <c r="DG321" t="str">
        <f>""</f>
        <v/>
      </c>
      <c r="DH321" t="str">
        <f>""</f>
        <v/>
      </c>
      <c r="DI321" t="str">
        <f>""</f>
        <v/>
      </c>
      <c r="DJ321" t="str">
        <f>""</f>
        <v/>
      </c>
      <c r="DK321" t="str">
        <f>""</f>
        <v/>
      </c>
      <c r="DL321" t="str">
        <f>""</f>
        <v/>
      </c>
      <c r="DM321" t="str">
        <f>""</f>
        <v/>
      </c>
      <c r="DN321" t="str">
        <f>""</f>
        <v/>
      </c>
      <c r="DO321" t="str">
        <f>""</f>
        <v/>
      </c>
      <c r="DP321" t="str">
        <f>""</f>
        <v/>
      </c>
      <c r="DQ321" t="str">
        <f>""</f>
        <v/>
      </c>
      <c r="DR321" t="str">
        <f>""</f>
        <v/>
      </c>
      <c r="DS321" t="str">
        <f>""</f>
        <v/>
      </c>
      <c r="DT321" t="str">
        <f>""</f>
        <v/>
      </c>
      <c r="DU321" t="str">
        <f>""</f>
        <v/>
      </c>
      <c r="DV321" t="str">
        <f>""</f>
        <v/>
      </c>
      <c r="DW321" t="str">
        <f>""</f>
        <v/>
      </c>
      <c r="DX321" t="str">
        <f>""</f>
        <v/>
      </c>
      <c r="DY321" t="str">
        <f>""</f>
        <v/>
      </c>
      <c r="DZ321" t="str">
        <f>""</f>
        <v/>
      </c>
      <c r="EA321" t="str">
        <f>""</f>
        <v/>
      </c>
      <c r="EB321" t="str">
        <f>""</f>
        <v/>
      </c>
      <c r="EC321" t="str">
        <f>""</f>
        <v/>
      </c>
      <c r="ED321" t="str">
        <f>""</f>
        <v/>
      </c>
      <c r="EE321" t="str">
        <f>""</f>
        <v/>
      </c>
      <c r="EF321" t="str">
        <f>""</f>
        <v/>
      </c>
      <c r="EG321" t="str">
        <f>""</f>
        <v/>
      </c>
      <c r="EH321" t="str">
        <f>""</f>
        <v/>
      </c>
      <c r="EI321" t="str">
        <f>""</f>
        <v/>
      </c>
      <c r="EJ321" t="str">
        <f>""</f>
        <v/>
      </c>
      <c r="EK321" t="str">
        <f>""</f>
        <v/>
      </c>
      <c r="EL321" t="str">
        <f>""</f>
        <v/>
      </c>
      <c r="EM321" t="str">
        <f>""</f>
        <v/>
      </c>
      <c r="EN321" t="str">
        <f>""</f>
        <v/>
      </c>
      <c r="EO321" t="str">
        <f>""</f>
        <v/>
      </c>
      <c r="EP321" t="str">
        <f>""</f>
        <v/>
      </c>
      <c r="EQ321" t="str">
        <f>""</f>
        <v/>
      </c>
      <c r="ER321" t="str">
        <f>""</f>
        <v/>
      </c>
      <c r="ES321" t="str">
        <f>""</f>
        <v/>
      </c>
      <c r="ET321" t="str">
        <f>""</f>
        <v/>
      </c>
      <c r="EU321" t="str">
        <f>""</f>
        <v/>
      </c>
      <c r="EV321" t="str">
        <f>""</f>
        <v/>
      </c>
      <c r="EW321" t="str">
        <f>""</f>
        <v/>
      </c>
      <c r="EX321" t="str">
        <f>""</f>
        <v/>
      </c>
      <c r="EY321" t="str">
        <f>""</f>
        <v/>
      </c>
      <c r="EZ321" t="str">
        <f>""</f>
        <v/>
      </c>
      <c r="FA321" t="str">
        <f>""</f>
        <v/>
      </c>
      <c r="FB321" t="str">
        <f>""</f>
        <v/>
      </c>
      <c r="FC321" t="str">
        <f>""</f>
        <v/>
      </c>
      <c r="FD321" t="str">
        <f>""</f>
        <v/>
      </c>
      <c r="FE321" t="str">
        <f>""</f>
        <v/>
      </c>
      <c r="FF321" t="str">
        <f>""</f>
        <v/>
      </c>
      <c r="FG321" t="str">
        <f>""</f>
        <v/>
      </c>
      <c r="FH321" t="str">
        <f>""</f>
        <v/>
      </c>
      <c r="FI321" t="str">
        <f>""</f>
        <v/>
      </c>
      <c r="FJ321" t="str">
        <f>""</f>
        <v/>
      </c>
      <c r="FK321" t="str">
        <f>""</f>
        <v/>
      </c>
      <c r="FL321" t="str">
        <f>""</f>
        <v/>
      </c>
      <c r="FM321" t="str">
        <f>""</f>
        <v/>
      </c>
      <c r="FN321" t="str">
        <f>""</f>
        <v/>
      </c>
      <c r="FO321" t="str">
        <f>""</f>
        <v/>
      </c>
      <c r="FP321" t="str">
        <f>""</f>
        <v/>
      </c>
      <c r="FQ321" t="str">
        <f>""</f>
        <v/>
      </c>
      <c r="FR321" t="str">
        <f>""</f>
        <v/>
      </c>
      <c r="FS321" t="str">
        <f>""</f>
        <v/>
      </c>
      <c r="FT321" t="str">
        <f>""</f>
        <v/>
      </c>
      <c r="FU321" t="str">
        <f>""</f>
        <v/>
      </c>
      <c r="FV321" t="str">
        <f>""</f>
        <v/>
      </c>
      <c r="FW321" t="str">
        <f>""</f>
        <v/>
      </c>
      <c r="FX321" t="str">
        <f>""</f>
        <v/>
      </c>
      <c r="FY321" t="str">
        <f>""</f>
        <v/>
      </c>
      <c r="FZ321" t="str">
        <f>""</f>
        <v/>
      </c>
      <c r="GA321" t="str">
        <f>""</f>
        <v/>
      </c>
      <c r="GB321" t="str">
        <f>""</f>
        <v/>
      </c>
      <c r="GC321" t="str">
        <f>""</f>
        <v/>
      </c>
      <c r="GD321" t="str">
        <f>""</f>
        <v/>
      </c>
      <c r="GE321" t="str">
        <f>""</f>
        <v/>
      </c>
      <c r="GF321" t="str">
        <f>""</f>
        <v/>
      </c>
      <c r="GG321" t="str">
        <f>""</f>
        <v/>
      </c>
      <c r="GH321" t="str">
        <f>""</f>
        <v/>
      </c>
      <c r="GI321" t="str">
        <f>""</f>
        <v/>
      </c>
      <c r="GJ321" t="str">
        <f>""</f>
        <v/>
      </c>
      <c r="GK321" t="str">
        <f>""</f>
        <v/>
      </c>
      <c r="GL321" t="str">
        <f>""</f>
        <v/>
      </c>
      <c r="GM321" t="str">
        <f>""</f>
        <v/>
      </c>
      <c r="GN321" t="str">
        <f>""</f>
        <v/>
      </c>
      <c r="GO321" t="str">
        <f>""</f>
        <v/>
      </c>
      <c r="GP321" t="str">
        <f>""</f>
        <v/>
      </c>
      <c r="GQ321" t="str">
        <f>""</f>
        <v/>
      </c>
      <c r="GR321" t="str">
        <f>""</f>
        <v/>
      </c>
      <c r="GS321" t="str">
        <f>""</f>
        <v/>
      </c>
      <c r="GT321" t="str">
        <f>""</f>
        <v/>
      </c>
      <c r="GU321" t="str">
        <f>""</f>
        <v/>
      </c>
      <c r="GV321" t="str">
        <f>""</f>
        <v/>
      </c>
      <c r="GW321" t="str">
        <f>""</f>
        <v/>
      </c>
      <c r="GX321" t="str">
        <f>""</f>
        <v/>
      </c>
      <c r="GY321" t="str">
        <f>""</f>
        <v/>
      </c>
      <c r="GZ321" t="str">
        <f>""</f>
        <v/>
      </c>
      <c r="HA321" t="str">
        <f>""</f>
        <v/>
      </c>
      <c r="HB321" t="str">
        <f>""</f>
        <v/>
      </c>
      <c r="HC321" t="str">
        <f>""</f>
        <v/>
      </c>
      <c r="HD321" t="str">
        <f>""</f>
        <v/>
      </c>
      <c r="HE321" t="str">
        <f>""</f>
        <v/>
      </c>
      <c r="HF321" t="str">
        <f>""</f>
        <v/>
      </c>
      <c r="HG321" t="str">
        <f>""</f>
        <v/>
      </c>
      <c r="HH321" t="str">
        <f>""</f>
        <v/>
      </c>
      <c r="HI321" t="str">
        <f>""</f>
        <v/>
      </c>
      <c r="HJ321" t="str">
        <f>""</f>
        <v/>
      </c>
      <c r="HK321" t="str">
        <f>""</f>
        <v/>
      </c>
      <c r="HL321" t="str">
        <f>""</f>
        <v/>
      </c>
      <c r="HM321" t="str">
        <f>""</f>
        <v/>
      </c>
      <c r="HN321" t="str">
        <f>""</f>
        <v/>
      </c>
      <c r="HO321" t="str">
        <f>""</f>
        <v/>
      </c>
      <c r="HP321" t="str">
        <f>""</f>
        <v/>
      </c>
      <c r="HQ321" t="str">
        <f>""</f>
        <v/>
      </c>
      <c r="HR321" t="str">
        <f>""</f>
        <v/>
      </c>
      <c r="HS321" t="str">
        <f>"0.0133"</f>
        <v>0.0133</v>
      </c>
      <c r="HT321" t="str">
        <f>"0.153"</f>
        <v>0.153</v>
      </c>
      <c r="HU321" t="str">
        <f>"0.0427"</f>
        <v>0.0427</v>
      </c>
      <c r="HV321" t="str">
        <f>""</f>
        <v/>
      </c>
      <c r="HW321" t="str">
        <f>""</f>
        <v/>
      </c>
      <c r="HX321" t="str">
        <f>""</f>
        <v/>
      </c>
      <c r="HY321" t="str">
        <f>""</f>
        <v/>
      </c>
      <c r="HZ321" t="str">
        <f>""</f>
        <v/>
      </c>
      <c r="IA321" t="str">
        <f>""</f>
        <v/>
      </c>
      <c r="IB321" t="str">
        <f>""</f>
        <v/>
      </c>
      <c r="IC321" t="str">
        <f>""</f>
        <v/>
      </c>
      <c r="ID321" t="str">
        <f>""</f>
        <v/>
      </c>
      <c r="IE321" t="str">
        <f>""</f>
        <v/>
      </c>
      <c r="IF321" t="str">
        <f>""</f>
        <v/>
      </c>
      <c r="IG321" t="str">
        <f>""</f>
        <v/>
      </c>
      <c r="IH321" t="str">
        <f>""</f>
        <v/>
      </c>
      <c r="II321" t="str">
        <f>""</f>
        <v/>
      </c>
      <c r="IJ321" t="str">
        <f>""</f>
        <v/>
      </c>
      <c r="IK321" t="str">
        <f>""</f>
        <v/>
      </c>
      <c r="IL321" t="str">
        <f>""</f>
        <v/>
      </c>
      <c r="IM321" t="str">
        <f>""</f>
        <v/>
      </c>
      <c r="IN321" t="str">
        <f>""</f>
        <v/>
      </c>
      <c r="IO321" t="str">
        <f>""</f>
        <v/>
      </c>
      <c r="IP321" t="str">
        <f>""</f>
        <v/>
      </c>
      <c r="IQ321" t="str">
        <f>""</f>
        <v/>
      </c>
      <c r="IR321" t="str">
        <f>""</f>
        <v/>
      </c>
      <c r="IS321" t="str">
        <f>""</f>
        <v/>
      </c>
      <c r="IT321" t="str">
        <f>""</f>
        <v/>
      </c>
      <c r="IU321" t="str">
        <f>""</f>
        <v/>
      </c>
      <c r="IV321" t="str">
        <f>""</f>
        <v/>
      </c>
      <c r="IW321" t="str">
        <f>""</f>
        <v/>
      </c>
      <c r="IX321" t="str">
        <f>""</f>
        <v/>
      </c>
      <c r="IY321" t="str">
        <f>""</f>
        <v/>
      </c>
      <c r="IZ321" t="str">
        <f>""</f>
        <v/>
      </c>
      <c r="JA321" t="str">
        <f>""</f>
        <v/>
      </c>
      <c r="JB321" t="str">
        <f>""</f>
        <v/>
      </c>
      <c r="JC321" t="str">
        <f>""</f>
        <v/>
      </c>
      <c r="JD321" t="str">
        <f>""</f>
        <v/>
      </c>
      <c r="JE321" t="str">
        <f>""</f>
        <v/>
      </c>
      <c r="JF321" t="str">
        <f>""</f>
        <v/>
      </c>
      <c r="JG321" t="str">
        <f>""</f>
        <v/>
      </c>
      <c r="JH321" t="str">
        <f>""</f>
        <v/>
      </c>
      <c r="JI321" t="str">
        <f>""</f>
        <v/>
      </c>
      <c r="JJ321" t="str">
        <f>""</f>
        <v/>
      </c>
      <c r="JK321" t="str">
        <f>""</f>
        <v/>
      </c>
    </row>
    <row r="322" spans="1:271" x14ac:dyDescent="0.3">
      <c r="A322" t="str">
        <f>""</f>
        <v/>
      </c>
      <c r="B322" t="str">
        <f>""</f>
        <v/>
      </c>
      <c r="C322" t="str">
        <f>""</f>
        <v/>
      </c>
      <c r="D322" t="str">
        <f>""</f>
        <v/>
      </c>
      <c r="E322" t="str">
        <f>""</f>
        <v/>
      </c>
      <c r="F322" t="str">
        <f>""</f>
        <v/>
      </c>
      <c r="G322" t="str">
        <f>""</f>
        <v/>
      </c>
      <c r="H322" t="str">
        <f>""</f>
        <v/>
      </c>
      <c r="I322" t="str">
        <f>""</f>
        <v/>
      </c>
      <c r="J322" t="str">
        <f>""</f>
        <v/>
      </c>
      <c r="K322" t="str">
        <f>""</f>
        <v/>
      </c>
      <c r="L322" t="str">
        <f>""</f>
        <v/>
      </c>
      <c r="M322" t="str">
        <f>""</f>
        <v/>
      </c>
      <c r="N322" t="str">
        <f>""</f>
        <v/>
      </c>
      <c r="O322" t="str">
        <f>""</f>
        <v/>
      </c>
      <c r="P322" t="str">
        <f>""</f>
        <v/>
      </c>
      <c r="Q322" t="str">
        <f>""</f>
        <v/>
      </c>
      <c r="R322" t="str">
        <f>""</f>
        <v/>
      </c>
      <c r="S322" t="str">
        <f>""</f>
        <v/>
      </c>
      <c r="T322" t="str">
        <f>""</f>
        <v/>
      </c>
      <c r="U322" t="str">
        <f>""</f>
        <v/>
      </c>
      <c r="V322" t="str">
        <f>""</f>
        <v/>
      </c>
      <c r="W322" t="str">
        <f>""</f>
        <v/>
      </c>
      <c r="X322" t="str">
        <f>""</f>
        <v/>
      </c>
      <c r="Y322" t="str">
        <f>""</f>
        <v/>
      </c>
      <c r="Z322" t="str">
        <f>""</f>
        <v/>
      </c>
      <c r="AA322" t="str">
        <f>""</f>
        <v/>
      </c>
      <c r="AB322" t="str">
        <f>""</f>
        <v/>
      </c>
      <c r="AC322" t="str">
        <f>""</f>
        <v/>
      </c>
      <c r="AD322" t="str">
        <f>""</f>
        <v/>
      </c>
      <c r="AE322" t="str">
        <f>""</f>
        <v/>
      </c>
      <c r="AF322" t="str">
        <f>""</f>
        <v/>
      </c>
      <c r="AG322" t="str">
        <f>""</f>
        <v/>
      </c>
      <c r="AH322" t="str">
        <f>""</f>
        <v/>
      </c>
      <c r="AI322" t="str">
        <f>""</f>
        <v/>
      </c>
      <c r="AJ322" t="str">
        <f>""</f>
        <v/>
      </c>
      <c r="AK322" t="str">
        <f>""</f>
        <v/>
      </c>
      <c r="AL322" t="str">
        <f>""</f>
        <v/>
      </c>
      <c r="AM322" t="str">
        <f>""</f>
        <v/>
      </c>
      <c r="AN322" t="str">
        <f>""</f>
        <v/>
      </c>
      <c r="AO322" t="str">
        <f>""</f>
        <v/>
      </c>
      <c r="AP322" t="str">
        <f>""</f>
        <v/>
      </c>
      <c r="AQ322" t="str">
        <f>""</f>
        <v/>
      </c>
      <c r="AR322" t="str">
        <f>""</f>
        <v/>
      </c>
      <c r="AS322" t="str">
        <f>""</f>
        <v/>
      </c>
      <c r="AT322" t="str">
        <f>""</f>
        <v/>
      </c>
      <c r="AU322" t="str">
        <f>""</f>
        <v/>
      </c>
      <c r="AV322" t="str">
        <f>""</f>
        <v/>
      </c>
      <c r="AW322" t="str">
        <f>""</f>
        <v/>
      </c>
      <c r="AX322" t="str">
        <f>""</f>
        <v/>
      </c>
      <c r="AY322" t="str">
        <f>""</f>
        <v/>
      </c>
      <c r="AZ322" t="str">
        <f>""</f>
        <v/>
      </c>
      <c r="BA322" t="str">
        <f>""</f>
        <v/>
      </c>
      <c r="BB322" t="str">
        <f>""</f>
        <v/>
      </c>
      <c r="BC322" t="str">
        <f>""</f>
        <v/>
      </c>
      <c r="BD322" t="str">
        <f>""</f>
        <v/>
      </c>
      <c r="BE322" t="str">
        <f>""</f>
        <v/>
      </c>
      <c r="BF322" t="str">
        <f>""</f>
        <v/>
      </c>
      <c r="BG322" t="str">
        <f>""</f>
        <v/>
      </c>
      <c r="BH322" t="str">
        <f>""</f>
        <v/>
      </c>
      <c r="BI322" t="str">
        <f>""</f>
        <v/>
      </c>
      <c r="BJ322" t="str">
        <f>""</f>
        <v/>
      </c>
      <c r="BK322" t="str">
        <f>""</f>
        <v/>
      </c>
      <c r="BL322" t="str">
        <f>""</f>
        <v/>
      </c>
      <c r="BM322" t="str">
        <f>""</f>
        <v/>
      </c>
      <c r="BN322" t="str">
        <f>""</f>
        <v/>
      </c>
      <c r="BO322" t="str">
        <f>""</f>
        <v/>
      </c>
      <c r="BP322" t="str">
        <f>""</f>
        <v/>
      </c>
      <c r="BQ322" t="str">
        <f>""</f>
        <v/>
      </c>
      <c r="BR322" t="str">
        <f>""</f>
        <v/>
      </c>
      <c r="BS322" t="str">
        <f>""</f>
        <v/>
      </c>
      <c r="BT322" t="str">
        <f>""</f>
        <v/>
      </c>
      <c r="BU322" t="str">
        <f>""</f>
        <v/>
      </c>
      <c r="BV322" t="str">
        <f>""</f>
        <v/>
      </c>
      <c r="BW322" t="str">
        <f>""</f>
        <v/>
      </c>
      <c r="BX322" t="str">
        <f>""</f>
        <v/>
      </c>
      <c r="BY322" t="str">
        <f>""</f>
        <v/>
      </c>
      <c r="BZ322" t="str">
        <f>""</f>
        <v/>
      </c>
      <c r="CA322" t="str">
        <f>""</f>
        <v/>
      </c>
      <c r="CB322" t="str">
        <f>""</f>
        <v/>
      </c>
      <c r="CC322" t="str">
        <f>""</f>
        <v/>
      </c>
      <c r="CD322" t="str">
        <f>""</f>
        <v/>
      </c>
      <c r="CE322" t="str">
        <f>""</f>
        <v/>
      </c>
      <c r="CF322" t="str">
        <f>""</f>
        <v/>
      </c>
      <c r="CG322" t="str">
        <f>""</f>
        <v/>
      </c>
      <c r="CH322" t="str">
        <f>""</f>
        <v/>
      </c>
      <c r="CI322" t="str">
        <f>""</f>
        <v/>
      </c>
      <c r="CJ322" t="str">
        <f>""</f>
        <v/>
      </c>
      <c r="CK322" t="str">
        <f>""</f>
        <v/>
      </c>
      <c r="CL322" t="str">
        <f>""</f>
        <v/>
      </c>
      <c r="CM322" t="str">
        <f>""</f>
        <v/>
      </c>
      <c r="CN322" t="str">
        <f>""</f>
        <v/>
      </c>
      <c r="CO322" t="str">
        <f>""</f>
        <v/>
      </c>
      <c r="CP322" t="str">
        <f>""</f>
        <v/>
      </c>
      <c r="CQ322" t="str">
        <f>""</f>
        <v/>
      </c>
      <c r="CR322" t="str">
        <f>""</f>
        <v/>
      </c>
      <c r="CS322" t="str">
        <f>""</f>
        <v/>
      </c>
      <c r="CT322" t="str">
        <f>""</f>
        <v/>
      </c>
      <c r="CU322" t="str">
        <f>""</f>
        <v/>
      </c>
      <c r="CV322" t="str">
        <f>""</f>
        <v/>
      </c>
      <c r="CW322" t="str">
        <f>""</f>
        <v/>
      </c>
      <c r="CX322" t="str">
        <f>""</f>
        <v/>
      </c>
      <c r="CY322" t="str">
        <f>""</f>
        <v/>
      </c>
      <c r="CZ322" t="str">
        <f>""</f>
        <v/>
      </c>
      <c r="DA322" t="str">
        <f>""</f>
        <v/>
      </c>
      <c r="DB322" t="str">
        <f>""</f>
        <v/>
      </c>
      <c r="DC322" t="str">
        <f>""</f>
        <v/>
      </c>
      <c r="DD322" t="str">
        <f>""</f>
        <v/>
      </c>
      <c r="DE322" t="str">
        <f>""</f>
        <v/>
      </c>
      <c r="DF322" t="str">
        <f>""</f>
        <v/>
      </c>
      <c r="DG322" t="str">
        <f>""</f>
        <v/>
      </c>
      <c r="DH322" t="str">
        <f>""</f>
        <v/>
      </c>
      <c r="DI322" t="str">
        <f>""</f>
        <v/>
      </c>
      <c r="DJ322" t="str">
        <f>""</f>
        <v/>
      </c>
      <c r="DK322" t="str">
        <f>""</f>
        <v/>
      </c>
      <c r="DL322" t="str">
        <f>""</f>
        <v/>
      </c>
      <c r="DM322" t="str">
        <f>""</f>
        <v/>
      </c>
      <c r="DN322" t="str">
        <f>""</f>
        <v/>
      </c>
      <c r="DO322" t="str">
        <f>""</f>
        <v/>
      </c>
      <c r="DP322" t="str">
        <f>""</f>
        <v/>
      </c>
      <c r="DQ322" t="str">
        <f>""</f>
        <v/>
      </c>
      <c r="DR322" t="str">
        <f>""</f>
        <v/>
      </c>
      <c r="DS322" t="str">
        <f>""</f>
        <v/>
      </c>
      <c r="DT322" t="str">
        <f>""</f>
        <v/>
      </c>
      <c r="DU322" t="str">
        <f>""</f>
        <v/>
      </c>
      <c r="DV322" t="str">
        <f>""</f>
        <v/>
      </c>
      <c r="DW322" t="str">
        <f>""</f>
        <v/>
      </c>
      <c r="DX322" t="str">
        <f>""</f>
        <v/>
      </c>
      <c r="DY322" t="str">
        <f>""</f>
        <v/>
      </c>
      <c r="DZ322" t="str">
        <f>""</f>
        <v/>
      </c>
      <c r="EA322" t="str">
        <f>""</f>
        <v/>
      </c>
      <c r="EB322" t="str">
        <f>""</f>
        <v/>
      </c>
      <c r="EC322" t="str">
        <f>""</f>
        <v/>
      </c>
      <c r="ED322" t="str">
        <f>""</f>
        <v/>
      </c>
      <c r="EE322" t="str">
        <f>""</f>
        <v/>
      </c>
      <c r="EF322" t="str">
        <f>""</f>
        <v/>
      </c>
      <c r="EG322" t="str">
        <f>""</f>
        <v/>
      </c>
      <c r="EH322" t="str">
        <f>""</f>
        <v/>
      </c>
      <c r="EI322" t="str">
        <f>""</f>
        <v/>
      </c>
      <c r="EJ322" t="str">
        <f>""</f>
        <v/>
      </c>
      <c r="EK322" t="str">
        <f>""</f>
        <v/>
      </c>
      <c r="EL322" t="str">
        <f>""</f>
        <v/>
      </c>
      <c r="EM322" t="str">
        <f>""</f>
        <v/>
      </c>
      <c r="EN322" t="str">
        <f>""</f>
        <v/>
      </c>
      <c r="EO322" t="str">
        <f>""</f>
        <v/>
      </c>
      <c r="EP322" t="str">
        <f>""</f>
        <v/>
      </c>
      <c r="EQ322" t="str">
        <f>""</f>
        <v/>
      </c>
      <c r="ER322" t="str">
        <f>""</f>
        <v/>
      </c>
      <c r="ES322" t="str">
        <f>""</f>
        <v/>
      </c>
      <c r="ET322" t="str">
        <f>""</f>
        <v/>
      </c>
      <c r="EU322" t="str">
        <f>""</f>
        <v/>
      </c>
      <c r="EV322" t="str">
        <f>""</f>
        <v/>
      </c>
      <c r="EW322" t="str">
        <f>""</f>
        <v/>
      </c>
      <c r="EX322" t="str">
        <f>""</f>
        <v/>
      </c>
      <c r="EY322" t="str">
        <f>""</f>
        <v/>
      </c>
      <c r="EZ322" t="str">
        <f>""</f>
        <v/>
      </c>
      <c r="FA322" t="str">
        <f>""</f>
        <v/>
      </c>
      <c r="FB322" t="str">
        <f>""</f>
        <v/>
      </c>
      <c r="FC322" t="str">
        <f>""</f>
        <v/>
      </c>
      <c r="FD322" t="str">
        <f>""</f>
        <v/>
      </c>
      <c r="FE322" t="str">
        <f>""</f>
        <v/>
      </c>
      <c r="FF322" t="str">
        <f>""</f>
        <v/>
      </c>
      <c r="FG322" t="str">
        <f>""</f>
        <v/>
      </c>
      <c r="FH322" t="str">
        <f>""</f>
        <v/>
      </c>
      <c r="FI322" t="str">
        <f>""</f>
        <v/>
      </c>
      <c r="FJ322" t="str">
        <f>""</f>
        <v/>
      </c>
      <c r="FK322" t="str">
        <f>""</f>
        <v/>
      </c>
      <c r="FL322" t="str">
        <f>""</f>
        <v/>
      </c>
      <c r="FM322" t="str">
        <f>""</f>
        <v/>
      </c>
      <c r="FN322" t="str">
        <f>""</f>
        <v/>
      </c>
      <c r="FO322" t="str">
        <f>""</f>
        <v/>
      </c>
      <c r="FP322" t="str">
        <f>""</f>
        <v/>
      </c>
      <c r="FQ322" t="str">
        <f>""</f>
        <v/>
      </c>
      <c r="FR322" t="str">
        <f>""</f>
        <v/>
      </c>
      <c r="FS322" t="str">
        <f>""</f>
        <v/>
      </c>
      <c r="FT322" t="str">
        <f>""</f>
        <v/>
      </c>
      <c r="FU322" t="str">
        <f>""</f>
        <v/>
      </c>
      <c r="FV322" t="str">
        <f>""</f>
        <v/>
      </c>
      <c r="FW322" t="str">
        <f>""</f>
        <v/>
      </c>
      <c r="FX322" t="str">
        <f>""</f>
        <v/>
      </c>
      <c r="FY322" t="str">
        <f>""</f>
        <v/>
      </c>
      <c r="FZ322" t="str">
        <f>""</f>
        <v/>
      </c>
      <c r="GA322" t="str">
        <f>""</f>
        <v/>
      </c>
      <c r="GB322" t="str">
        <f>""</f>
        <v/>
      </c>
      <c r="GC322" t="str">
        <f>""</f>
        <v/>
      </c>
      <c r="GD322" t="str">
        <f>""</f>
        <v/>
      </c>
      <c r="GE322" t="str">
        <f>""</f>
        <v/>
      </c>
      <c r="GF322" t="str">
        <f>""</f>
        <v/>
      </c>
      <c r="GG322" t="str">
        <f>""</f>
        <v/>
      </c>
      <c r="GH322" t="str">
        <f>""</f>
        <v/>
      </c>
      <c r="GI322" t="str">
        <f>""</f>
        <v/>
      </c>
      <c r="GJ322" t="str">
        <f>""</f>
        <v/>
      </c>
      <c r="GK322" t="str">
        <f>""</f>
        <v/>
      </c>
      <c r="GL322" t="str">
        <f>""</f>
        <v/>
      </c>
      <c r="GM322" t="str">
        <f>""</f>
        <v/>
      </c>
      <c r="GN322" t="str">
        <f>""</f>
        <v/>
      </c>
      <c r="GO322" t="str">
        <f>""</f>
        <v/>
      </c>
      <c r="GP322" t="str">
        <f>""</f>
        <v/>
      </c>
      <c r="GQ322" t="str">
        <f>""</f>
        <v/>
      </c>
      <c r="GR322" t="str">
        <f>""</f>
        <v/>
      </c>
      <c r="GS322" t="str">
        <f>""</f>
        <v/>
      </c>
      <c r="GT322" t="str">
        <f>""</f>
        <v/>
      </c>
      <c r="GU322" t="str">
        <f>""</f>
        <v/>
      </c>
      <c r="GV322" t="str">
        <f>""</f>
        <v/>
      </c>
      <c r="GW322" t="str">
        <f>""</f>
        <v/>
      </c>
      <c r="GX322" t="str">
        <f>""</f>
        <v/>
      </c>
      <c r="GY322" t="str">
        <f>""</f>
        <v/>
      </c>
      <c r="GZ322" t="str">
        <f>""</f>
        <v/>
      </c>
      <c r="HA322" t="str">
        <f>""</f>
        <v/>
      </c>
      <c r="HB322" t="str">
        <f>""</f>
        <v/>
      </c>
      <c r="HC322" t="str">
        <f>""</f>
        <v/>
      </c>
      <c r="HD322" t="str">
        <f>""</f>
        <v/>
      </c>
      <c r="HE322" t="str">
        <f>""</f>
        <v/>
      </c>
      <c r="HF322" t="str">
        <f>""</f>
        <v/>
      </c>
      <c r="HG322" t="str">
        <f>""</f>
        <v/>
      </c>
      <c r="HH322" t="str">
        <f>""</f>
        <v/>
      </c>
      <c r="HI322" t="str">
        <f>""</f>
        <v/>
      </c>
      <c r="HJ322" t="str">
        <f>""</f>
        <v/>
      </c>
      <c r="HK322" t="str">
        <f>""</f>
        <v/>
      </c>
      <c r="HL322" t="str">
        <f>""</f>
        <v/>
      </c>
      <c r="HM322" t="str">
        <f>""</f>
        <v/>
      </c>
      <c r="HN322" t="str">
        <f>""</f>
        <v/>
      </c>
      <c r="HO322" t="str">
        <f>""</f>
        <v/>
      </c>
      <c r="HP322" t="str">
        <f>""</f>
        <v/>
      </c>
      <c r="HQ322" t="str">
        <f>""</f>
        <v/>
      </c>
      <c r="HR322" t="str">
        <f>""</f>
        <v/>
      </c>
      <c r="HS322" t="str">
        <f>"(0.105)"</f>
        <v>(0.105)</v>
      </c>
      <c r="HT322" t="str">
        <f>"(0.0815)"</f>
        <v>(0.0815)</v>
      </c>
      <c r="HU322" t="str">
        <f>"(0.0442)"</f>
        <v>(0.0442)</v>
      </c>
      <c r="HV322" t="str">
        <f>""</f>
        <v/>
      </c>
      <c r="HW322" t="str">
        <f>""</f>
        <v/>
      </c>
      <c r="HX322" t="str">
        <f>""</f>
        <v/>
      </c>
      <c r="HY322" t="str">
        <f>""</f>
        <v/>
      </c>
      <c r="HZ322" t="str">
        <f>""</f>
        <v/>
      </c>
      <c r="IA322" t="str">
        <f>""</f>
        <v/>
      </c>
      <c r="IB322" t="str">
        <f>""</f>
        <v/>
      </c>
      <c r="IC322" t="str">
        <f>""</f>
        <v/>
      </c>
      <c r="ID322" t="str">
        <f>""</f>
        <v/>
      </c>
      <c r="IE322" t="str">
        <f>""</f>
        <v/>
      </c>
      <c r="IF322" t="str">
        <f>""</f>
        <v/>
      </c>
      <c r="IG322" t="str">
        <f>""</f>
        <v/>
      </c>
      <c r="IH322" t="str">
        <f>""</f>
        <v/>
      </c>
      <c r="II322" t="str">
        <f>""</f>
        <v/>
      </c>
      <c r="IJ322" t="str">
        <f>""</f>
        <v/>
      </c>
      <c r="IK322" t="str">
        <f>""</f>
        <v/>
      </c>
      <c r="IL322" t="str">
        <f>""</f>
        <v/>
      </c>
      <c r="IM322" t="str">
        <f>""</f>
        <v/>
      </c>
      <c r="IN322" t="str">
        <f>""</f>
        <v/>
      </c>
      <c r="IO322" t="str">
        <f>""</f>
        <v/>
      </c>
      <c r="IP322" t="str">
        <f>""</f>
        <v/>
      </c>
      <c r="IQ322" t="str">
        <f>""</f>
        <v/>
      </c>
      <c r="IR322" t="str">
        <f>""</f>
        <v/>
      </c>
      <c r="IS322" t="str">
        <f>""</f>
        <v/>
      </c>
      <c r="IT322" t="str">
        <f>""</f>
        <v/>
      </c>
      <c r="IU322" t="str">
        <f>""</f>
        <v/>
      </c>
      <c r="IV322" t="str">
        <f>""</f>
        <v/>
      </c>
      <c r="IW322" t="str">
        <f>""</f>
        <v/>
      </c>
      <c r="IX322" t="str">
        <f>""</f>
        <v/>
      </c>
      <c r="IY322" t="str">
        <f>""</f>
        <v/>
      </c>
      <c r="IZ322" t="str">
        <f>""</f>
        <v/>
      </c>
      <c r="JA322" t="str">
        <f>""</f>
        <v/>
      </c>
      <c r="JB322" t="str">
        <f>""</f>
        <v/>
      </c>
      <c r="JC322" t="str">
        <f>""</f>
        <v/>
      </c>
      <c r="JD322" t="str">
        <f>""</f>
        <v/>
      </c>
      <c r="JE322" t="str">
        <f>""</f>
        <v/>
      </c>
      <c r="JF322" t="str">
        <f>""</f>
        <v/>
      </c>
      <c r="JG322" t="str">
        <f>""</f>
        <v/>
      </c>
      <c r="JH322" t="str">
        <f>""</f>
        <v/>
      </c>
      <c r="JI322" t="str">
        <f>""</f>
        <v/>
      </c>
      <c r="JJ322" t="str">
        <f>""</f>
        <v/>
      </c>
      <c r="JK322" t="str">
        <f>""</f>
        <v/>
      </c>
    </row>
    <row r="324" spans="1:271" x14ac:dyDescent="0.3">
      <c r="A324" t="str">
        <f>"c.zMETAB2#c.PM6"</f>
        <v>c.zMETAB2#c.PM6</v>
      </c>
      <c r="B324" t="str">
        <f>""</f>
        <v/>
      </c>
      <c r="C324" t="str">
        <f>""</f>
        <v/>
      </c>
      <c r="D324" t="str">
        <f>""</f>
        <v/>
      </c>
      <c r="E324" t="str">
        <f>""</f>
        <v/>
      </c>
      <c r="F324" t="str">
        <f>""</f>
        <v/>
      </c>
      <c r="G324" t="str">
        <f>""</f>
        <v/>
      </c>
      <c r="H324" t="str">
        <f>""</f>
        <v/>
      </c>
      <c r="I324" t="str">
        <f>""</f>
        <v/>
      </c>
      <c r="J324" t="str">
        <f>""</f>
        <v/>
      </c>
      <c r="K324" t="str">
        <f>""</f>
        <v/>
      </c>
      <c r="L324" t="str">
        <f>""</f>
        <v/>
      </c>
      <c r="M324" t="str">
        <f>""</f>
        <v/>
      </c>
      <c r="N324" t="str">
        <f>""</f>
        <v/>
      </c>
      <c r="O324" t="str">
        <f>""</f>
        <v/>
      </c>
      <c r="P324" t="str">
        <f>""</f>
        <v/>
      </c>
      <c r="Q324" t="str">
        <f>""</f>
        <v/>
      </c>
      <c r="R324" t="str">
        <f>""</f>
        <v/>
      </c>
      <c r="S324" t="str">
        <f>""</f>
        <v/>
      </c>
      <c r="T324" t="str">
        <f>""</f>
        <v/>
      </c>
      <c r="U324" t="str">
        <f>""</f>
        <v/>
      </c>
      <c r="V324" t="str">
        <f>""</f>
        <v/>
      </c>
      <c r="W324" t="str">
        <f>""</f>
        <v/>
      </c>
      <c r="X324" t="str">
        <f>""</f>
        <v/>
      </c>
      <c r="Y324" t="str">
        <f>""</f>
        <v/>
      </c>
      <c r="Z324" t="str">
        <f>""</f>
        <v/>
      </c>
      <c r="AA324" t="str">
        <f>""</f>
        <v/>
      </c>
      <c r="AB324" t="str">
        <f>""</f>
        <v/>
      </c>
      <c r="AC324" t="str">
        <f>""</f>
        <v/>
      </c>
      <c r="AD324" t="str">
        <f>""</f>
        <v/>
      </c>
      <c r="AE324" t="str">
        <f>""</f>
        <v/>
      </c>
      <c r="AF324" t="str">
        <f>""</f>
        <v/>
      </c>
      <c r="AG324" t="str">
        <f>""</f>
        <v/>
      </c>
      <c r="AH324" t="str">
        <f>""</f>
        <v/>
      </c>
      <c r="AI324" t="str">
        <f>""</f>
        <v/>
      </c>
      <c r="AJ324" t="str">
        <f>""</f>
        <v/>
      </c>
      <c r="AK324" t="str">
        <f>""</f>
        <v/>
      </c>
      <c r="AL324" t="str">
        <f>""</f>
        <v/>
      </c>
      <c r="AM324" t="str">
        <f>""</f>
        <v/>
      </c>
      <c r="AN324" t="str">
        <f>""</f>
        <v/>
      </c>
      <c r="AO324" t="str">
        <f>""</f>
        <v/>
      </c>
      <c r="AP324" t="str">
        <f>""</f>
        <v/>
      </c>
      <c r="AQ324" t="str">
        <f>""</f>
        <v/>
      </c>
      <c r="AR324" t="str">
        <f>""</f>
        <v/>
      </c>
      <c r="AS324" t="str">
        <f>""</f>
        <v/>
      </c>
      <c r="AT324" t="str">
        <f>""</f>
        <v/>
      </c>
      <c r="AU324" t="str">
        <f>""</f>
        <v/>
      </c>
      <c r="AV324" t="str">
        <f>""</f>
        <v/>
      </c>
      <c r="AW324" t="str">
        <f>""</f>
        <v/>
      </c>
      <c r="AX324" t="str">
        <f>""</f>
        <v/>
      </c>
      <c r="AY324" t="str">
        <f>""</f>
        <v/>
      </c>
      <c r="AZ324" t="str">
        <f>""</f>
        <v/>
      </c>
      <c r="BA324" t="str">
        <f>""</f>
        <v/>
      </c>
      <c r="BB324" t="str">
        <f>""</f>
        <v/>
      </c>
      <c r="BC324" t="str">
        <f>""</f>
        <v/>
      </c>
      <c r="BD324" t="str">
        <f>""</f>
        <v/>
      </c>
      <c r="BE324" t="str">
        <f>""</f>
        <v/>
      </c>
      <c r="BF324" t="str">
        <f>""</f>
        <v/>
      </c>
      <c r="BG324" t="str">
        <f>""</f>
        <v/>
      </c>
      <c r="BH324" t="str">
        <f>""</f>
        <v/>
      </c>
      <c r="BI324" t="str">
        <f>""</f>
        <v/>
      </c>
      <c r="BJ324" t="str">
        <f>""</f>
        <v/>
      </c>
      <c r="BK324" t="str">
        <f>""</f>
        <v/>
      </c>
      <c r="BL324" t="str">
        <f>""</f>
        <v/>
      </c>
      <c r="BM324" t="str">
        <f>""</f>
        <v/>
      </c>
      <c r="BN324" t="str">
        <f>""</f>
        <v/>
      </c>
      <c r="BO324" t="str">
        <f>""</f>
        <v/>
      </c>
      <c r="BP324" t="str">
        <f>""</f>
        <v/>
      </c>
      <c r="BQ324" t="str">
        <f>""</f>
        <v/>
      </c>
      <c r="BR324" t="str">
        <f>""</f>
        <v/>
      </c>
      <c r="BS324" t="str">
        <f>""</f>
        <v/>
      </c>
      <c r="BT324" t="str">
        <f>""</f>
        <v/>
      </c>
      <c r="BU324" t="str">
        <f>""</f>
        <v/>
      </c>
      <c r="BV324" t="str">
        <f>""</f>
        <v/>
      </c>
      <c r="BW324" t="str">
        <f>""</f>
        <v/>
      </c>
      <c r="BX324" t="str">
        <f>""</f>
        <v/>
      </c>
      <c r="BY324" t="str">
        <f>""</f>
        <v/>
      </c>
      <c r="BZ324" t="str">
        <f>""</f>
        <v/>
      </c>
      <c r="CA324" t="str">
        <f>""</f>
        <v/>
      </c>
      <c r="CB324" t="str">
        <f>""</f>
        <v/>
      </c>
      <c r="CC324" t="str">
        <f>""</f>
        <v/>
      </c>
      <c r="CD324" t="str">
        <f>""</f>
        <v/>
      </c>
      <c r="CE324" t="str">
        <f>""</f>
        <v/>
      </c>
      <c r="CF324" t="str">
        <f>""</f>
        <v/>
      </c>
      <c r="CG324" t="str">
        <f>""</f>
        <v/>
      </c>
      <c r="CH324" t="str">
        <f>""</f>
        <v/>
      </c>
      <c r="CI324" t="str">
        <f>""</f>
        <v/>
      </c>
      <c r="CJ324" t="str">
        <f>""</f>
        <v/>
      </c>
      <c r="CK324" t="str">
        <f>""</f>
        <v/>
      </c>
      <c r="CL324" t="str">
        <f>""</f>
        <v/>
      </c>
      <c r="CM324" t="str">
        <f>""</f>
        <v/>
      </c>
      <c r="CN324" t="str">
        <f>""</f>
        <v/>
      </c>
      <c r="CO324" t="str">
        <f>""</f>
        <v/>
      </c>
      <c r="CP324" t="str">
        <f>""</f>
        <v/>
      </c>
      <c r="CQ324" t="str">
        <f>""</f>
        <v/>
      </c>
      <c r="CR324" t="str">
        <f>""</f>
        <v/>
      </c>
      <c r="CS324" t="str">
        <f>""</f>
        <v/>
      </c>
      <c r="CT324" t="str">
        <f>""</f>
        <v/>
      </c>
      <c r="CU324" t="str">
        <f>""</f>
        <v/>
      </c>
      <c r="CV324" t="str">
        <f>""</f>
        <v/>
      </c>
      <c r="CW324" t="str">
        <f>""</f>
        <v/>
      </c>
      <c r="CX324" t="str">
        <f>""</f>
        <v/>
      </c>
      <c r="CY324" t="str">
        <f>""</f>
        <v/>
      </c>
      <c r="CZ324" t="str">
        <f>""</f>
        <v/>
      </c>
      <c r="DA324" t="str">
        <f>""</f>
        <v/>
      </c>
      <c r="DB324" t="str">
        <f>""</f>
        <v/>
      </c>
      <c r="DC324" t="str">
        <f>""</f>
        <v/>
      </c>
      <c r="DD324" t="str">
        <f>""</f>
        <v/>
      </c>
      <c r="DE324" t="str">
        <f>""</f>
        <v/>
      </c>
      <c r="DF324" t="str">
        <f>""</f>
        <v/>
      </c>
      <c r="DG324" t="str">
        <f>""</f>
        <v/>
      </c>
      <c r="DH324" t="str">
        <f>""</f>
        <v/>
      </c>
      <c r="DI324" t="str">
        <f>""</f>
        <v/>
      </c>
      <c r="DJ324" t="str">
        <f>""</f>
        <v/>
      </c>
      <c r="DK324" t="str">
        <f>""</f>
        <v/>
      </c>
      <c r="DL324" t="str">
        <f>""</f>
        <v/>
      </c>
      <c r="DM324" t="str">
        <f>""</f>
        <v/>
      </c>
      <c r="DN324" t="str">
        <f>""</f>
        <v/>
      </c>
      <c r="DO324" t="str">
        <f>""</f>
        <v/>
      </c>
      <c r="DP324" t="str">
        <f>""</f>
        <v/>
      </c>
      <c r="DQ324" t="str">
        <f>""</f>
        <v/>
      </c>
      <c r="DR324" t="str">
        <f>""</f>
        <v/>
      </c>
      <c r="DS324" t="str">
        <f>""</f>
        <v/>
      </c>
      <c r="DT324" t="str">
        <f>""</f>
        <v/>
      </c>
      <c r="DU324" t="str">
        <f>""</f>
        <v/>
      </c>
      <c r="DV324" t="str">
        <f>""</f>
        <v/>
      </c>
      <c r="DW324" t="str">
        <f>""</f>
        <v/>
      </c>
      <c r="DX324" t="str">
        <f>""</f>
        <v/>
      </c>
      <c r="DY324" t="str">
        <f>""</f>
        <v/>
      </c>
      <c r="DZ324" t="str">
        <f>""</f>
        <v/>
      </c>
      <c r="EA324" t="str">
        <f>""</f>
        <v/>
      </c>
      <c r="EB324" t="str">
        <f>""</f>
        <v/>
      </c>
      <c r="EC324" t="str">
        <f>""</f>
        <v/>
      </c>
      <c r="ED324" t="str">
        <f>""</f>
        <v/>
      </c>
      <c r="EE324" t="str">
        <f>""</f>
        <v/>
      </c>
      <c r="EF324" t="str">
        <f>""</f>
        <v/>
      </c>
      <c r="EG324" t="str">
        <f>""</f>
        <v/>
      </c>
      <c r="EH324" t="str">
        <f>""</f>
        <v/>
      </c>
      <c r="EI324" t="str">
        <f>""</f>
        <v/>
      </c>
      <c r="EJ324" t="str">
        <f>""</f>
        <v/>
      </c>
      <c r="EK324" t="str">
        <f>""</f>
        <v/>
      </c>
      <c r="EL324" t="str">
        <f>""</f>
        <v/>
      </c>
      <c r="EM324" t="str">
        <f>""</f>
        <v/>
      </c>
      <c r="EN324" t="str">
        <f>""</f>
        <v/>
      </c>
      <c r="EO324" t="str">
        <f>""</f>
        <v/>
      </c>
      <c r="EP324" t="str">
        <f>""</f>
        <v/>
      </c>
      <c r="EQ324" t="str">
        <f>""</f>
        <v/>
      </c>
      <c r="ER324" t="str">
        <f>""</f>
        <v/>
      </c>
      <c r="ES324" t="str">
        <f>""</f>
        <v/>
      </c>
      <c r="ET324" t="str">
        <f>""</f>
        <v/>
      </c>
      <c r="EU324" t="str">
        <f>""</f>
        <v/>
      </c>
      <c r="EV324" t="str">
        <f>""</f>
        <v/>
      </c>
      <c r="EW324" t="str">
        <f>""</f>
        <v/>
      </c>
      <c r="EX324" t="str">
        <f>""</f>
        <v/>
      </c>
      <c r="EY324" t="str">
        <f>""</f>
        <v/>
      </c>
      <c r="EZ324" t="str">
        <f>""</f>
        <v/>
      </c>
      <c r="FA324" t="str">
        <f>""</f>
        <v/>
      </c>
      <c r="FB324" t="str">
        <f>""</f>
        <v/>
      </c>
      <c r="FC324" t="str">
        <f>""</f>
        <v/>
      </c>
      <c r="FD324" t="str">
        <f>""</f>
        <v/>
      </c>
      <c r="FE324" t="str">
        <f>""</f>
        <v/>
      </c>
      <c r="FF324" t="str">
        <f>""</f>
        <v/>
      </c>
      <c r="FG324" t="str">
        <f>""</f>
        <v/>
      </c>
      <c r="FH324" t="str">
        <f>""</f>
        <v/>
      </c>
      <c r="FI324" t="str">
        <f>""</f>
        <v/>
      </c>
      <c r="FJ324" t="str">
        <f>""</f>
        <v/>
      </c>
      <c r="FK324" t="str">
        <f>""</f>
        <v/>
      </c>
      <c r="FL324" t="str">
        <f>""</f>
        <v/>
      </c>
      <c r="FM324" t="str">
        <f>""</f>
        <v/>
      </c>
      <c r="FN324" t="str">
        <f>""</f>
        <v/>
      </c>
      <c r="FO324" t="str">
        <f>""</f>
        <v/>
      </c>
      <c r="FP324" t="str">
        <f>""</f>
        <v/>
      </c>
      <c r="FQ324" t="str">
        <f>""</f>
        <v/>
      </c>
      <c r="FR324" t="str">
        <f>""</f>
        <v/>
      </c>
      <c r="FS324" t="str">
        <f>""</f>
        <v/>
      </c>
      <c r="FT324" t="str">
        <f>""</f>
        <v/>
      </c>
      <c r="FU324" t="str">
        <f>""</f>
        <v/>
      </c>
      <c r="FV324" t="str">
        <f>""</f>
        <v/>
      </c>
      <c r="FW324" t="str">
        <f>""</f>
        <v/>
      </c>
      <c r="FX324" t="str">
        <f>""</f>
        <v/>
      </c>
      <c r="FY324" t="str">
        <f>""</f>
        <v/>
      </c>
      <c r="FZ324" t="str">
        <f>""</f>
        <v/>
      </c>
      <c r="GA324" t="str">
        <f>""</f>
        <v/>
      </c>
      <c r="GB324" t="str">
        <f>""</f>
        <v/>
      </c>
      <c r="GC324" t="str">
        <f>""</f>
        <v/>
      </c>
      <c r="GD324" t="str">
        <f>""</f>
        <v/>
      </c>
      <c r="GE324" t="str">
        <f>""</f>
        <v/>
      </c>
      <c r="GF324" t="str">
        <f>""</f>
        <v/>
      </c>
      <c r="GG324" t="str">
        <f>""</f>
        <v/>
      </c>
      <c r="GH324" t="str">
        <f>""</f>
        <v/>
      </c>
      <c r="GI324" t="str">
        <f>""</f>
        <v/>
      </c>
      <c r="GJ324" t="str">
        <f>""</f>
        <v/>
      </c>
      <c r="GK324" t="str">
        <f>""</f>
        <v/>
      </c>
      <c r="GL324" t="str">
        <f>""</f>
        <v/>
      </c>
      <c r="GM324" t="str">
        <f>""</f>
        <v/>
      </c>
      <c r="GN324" t="str">
        <f>""</f>
        <v/>
      </c>
      <c r="GO324" t="str">
        <f>""</f>
        <v/>
      </c>
      <c r="GP324" t="str">
        <f>""</f>
        <v/>
      </c>
      <c r="GQ324" t="str">
        <f>""</f>
        <v/>
      </c>
      <c r="GR324" t="str">
        <f>""</f>
        <v/>
      </c>
      <c r="GS324" t="str">
        <f>""</f>
        <v/>
      </c>
      <c r="GT324" t="str">
        <f>""</f>
        <v/>
      </c>
      <c r="GU324" t="str">
        <f>""</f>
        <v/>
      </c>
      <c r="GV324" t="str">
        <f>""</f>
        <v/>
      </c>
      <c r="GW324" t="str">
        <f>""</f>
        <v/>
      </c>
      <c r="GX324" t="str">
        <f>""</f>
        <v/>
      </c>
      <c r="GY324" t="str">
        <f>""</f>
        <v/>
      </c>
      <c r="GZ324" t="str">
        <f>""</f>
        <v/>
      </c>
      <c r="HA324" t="str">
        <f>""</f>
        <v/>
      </c>
      <c r="HB324" t="str">
        <f>""</f>
        <v/>
      </c>
      <c r="HC324" t="str">
        <f>""</f>
        <v/>
      </c>
      <c r="HD324" t="str">
        <f>""</f>
        <v/>
      </c>
      <c r="HE324" t="str">
        <f>""</f>
        <v/>
      </c>
      <c r="HF324" t="str">
        <f>""</f>
        <v/>
      </c>
      <c r="HG324" t="str">
        <f>""</f>
        <v/>
      </c>
      <c r="HH324" t="str">
        <f>""</f>
        <v/>
      </c>
      <c r="HI324" t="str">
        <f>""</f>
        <v/>
      </c>
      <c r="HJ324" t="str">
        <f>""</f>
        <v/>
      </c>
      <c r="HK324" t="str">
        <f>""</f>
        <v/>
      </c>
      <c r="HL324" t="str">
        <f>""</f>
        <v/>
      </c>
      <c r="HM324" t="str">
        <f>""</f>
        <v/>
      </c>
      <c r="HN324" t="str">
        <f>""</f>
        <v/>
      </c>
      <c r="HO324" t="str">
        <f>""</f>
        <v/>
      </c>
      <c r="HP324" t="str">
        <f>""</f>
        <v/>
      </c>
      <c r="HQ324" t="str">
        <f>""</f>
        <v/>
      </c>
      <c r="HR324" t="str">
        <f>""</f>
        <v/>
      </c>
      <c r="HS324" t="str">
        <f>""</f>
        <v/>
      </c>
      <c r="HT324" t="str">
        <f>""</f>
        <v/>
      </c>
      <c r="HU324" t="str">
        <f>""</f>
        <v/>
      </c>
      <c r="HV324" t="str">
        <f>"0.0303"</f>
        <v>0.0303</v>
      </c>
      <c r="HW324" t="str">
        <f>"-0.0494"</f>
        <v>-0.0494</v>
      </c>
      <c r="HX324" t="str">
        <f>"0.0398"</f>
        <v>0.0398</v>
      </c>
      <c r="HY324" t="str">
        <f>""</f>
        <v/>
      </c>
      <c r="HZ324" t="str">
        <f>""</f>
        <v/>
      </c>
      <c r="IA324" t="str">
        <f>""</f>
        <v/>
      </c>
      <c r="IB324" t="str">
        <f>""</f>
        <v/>
      </c>
      <c r="IC324" t="str">
        <f>""</f>
        <v/>
      </c>
      <c r="ID324" t="str">
        <f>""</f>
        <v/>
      </c>
      <c r="IE324" t="str">
        <f>""</f>
        <v/>
      </c>
      <c r="IF324" t="str">
        <f>""</f>
        <v/>
      </c>
      <c r="IG324" t="str">
        <f>""</f>
        <v/>
      </c>
      <c r="IH324" t="str">
        <f>""</f>
        <v/>
      </c>
      <c r="II324" t="str">
        <f>""</f>
        <v/>
      </c>
      <c r="IJ324" t="str">
        <f>""</f>
        <v/>
      </c>
      <c r="IK324" t="str">
        <f>""</f>
        <v/>
      </c>
      <c r="IL324" t="str">
        <f>""</f>
        <v/>
      </c>
      <c r="IM324" t="str">
        <f>""</f>
        <v/>
      </c>
      <c r="IN324" t="str">
        <f>""</f>
        <v/>
      </c>
      <c r="IO324" t="str">
        <f>""</f>
        <v/>
      </c>
      <c r="IP324" t="str">
        <f>""</f>
        <v/>
      </c>
      <c r="IQ324" t="str">
        <f>""</f>
        <v/>
      </c>
      <c r="IR324" t="str">
        <f>""</f>
        <v/>
      </c>
      <c r="IS324" t="str">
        <f>""</f>
        <v/>
      </c>
      <c r="IT324" t="str">
        <f>""</f>
        <v/>
      </c>
      <c r="IU324" t="str">
        <f>""</f>
        <v/>
      </c>
      <c r="IV324" t="str">
        <f>""</f>
        <v/>
      </c>
      <c r="IW324" t="str">
        <f>""</f>
        <v/>
      </c>
      <c r="IX324" t="str">
        <f>""</f>
        <v/>
      </c>
      <c r="IY324" t="str">
        <f>""</f>
        <v/>
      </c>
      <c r="IZ324" t="str">
        <f>""</f>
        <v/>
      </c>
      <c r="JA324" t="str">
        <f>""</f>
        <v/>
      </c>
      <c r="JB324" t="str">
        <f>""</f>
        <v/>
      </c>
      <c r="JC324" t="str">
        <f>""</f>
        <v/>
      </c>
      <c r="JD324" t="str">
        <f>""</f>
        <v/>
      </c>
      <c r="JE324" t="str">
        <f>""</f>
        <v/>
      </c>
      <c r="JF324" t="str">
        <f>""</f>
        <v/>
      </c>
      <c r="JG324" t="str">
        <f>""</f>
        <v/>
      </c>
      <c r="JH324" t="str">
        <f>""</f>
        <v/>
      </c>
      <c r="JI324" t="str">
        <f>""</f>
        <v/>
      </c>
      <c r="JJ324" t="str">
        <f>""</f>
        <v/>
      </c>
      <c r="JK324" t="str">
        <f>""</f>
        <v/>
      </c>
    </row>
    <row r="325" spans="1:271" x14ac:dyDescent="0.3">
      <c r="A325" t="str">
        <f>""</f>
        <v/>
      </c>
      <c r="B325" t="str">
        <f>""</f>
        <v/>
      </c>
      <c r="C325" t="str">
        <f>""</f>
        <v/>
      </c>
      <c r="D325" t="str">
        <f>""</f>
        <v/>
      </c>
      <c r="E325" t="str">
        <f>""</f>
        <v/>
      </c>
      <c r="F325" t="str">
        <f>""</f>
        <v/>
      </c>
      <c r="G325" t="str">
        <f>""</f>
        <v/>
      </c>
      <c r="H325" t="str">
        <f>""</f>
        <v/>
      </c>
      <c r="I325" t="str">
        <f>""</f>
        <v/>
      </c>
      <c r="J325" t="str">
        <f>""</f>
        <v/>
      </c>
      <c r="K325" t="str">
        <f>""</f>
        <v/>
      </c>
      <c r="L325" t="str">
        <f>""</f>
        <v/>
      </c>
      <c r="M325" t="str">
        <f>""</f>
        <v/>
      </c>
      <c r="N325" t="str">
        <f>""</f>
        <v/>
      </c>
      <c r="O325" t="str">
        <f>""</f>
        <v/>
      </c>
      <c r="P325" t="str">
        <f>""</f>
        <v/>
      </c>
      <c r="Q325" t="str">
        <f>""</f>
        <v/>
      </c>
      <c r="R325" t="str">
        <f>""</f>
        <v/>
      </c>
      <c r="S325" t="str">
        <f>""</f>
        <v/>
      </c>
      <c r="T325" t="str">
        <f>""</f>
        <v/>
      </c>
      <c r="U325" t="str">
        <f>""</f>
        <v/>
      </c>
      <c r="V325" t="str">
        <f>""</f>
        <v/>
      </c>
      <c r="W325" t="str">
        <f>""</f>
        <v/>
      </c>
      <c r="X325" t="str">
        <f>""</f>
        <v/>
      </c>
      <c r="Y325" t="str">
        <f>""</f>
        <v/>
      </c>
      <c r="Z325" t="str">
        <f>""</f>
        <v/>
      </c>
      <c r="AA325" t="str">
        <f>""</f>
        <v/>
      </c>
      <c r="AB325" t="str">
        <f>""</f>
        <v/>
      </c>
      <c r="AC325" t="str">
        <f>""</f>
        <v/>
      </c>
      <c r="AD325" t="str">
        <f>""</f>
        <v/>
      </c>
      <c r="AE325" t="str">
        <f>""</f>
        <v/>
      </c>
      <c r="AF325" t="str">
        <f>""</f>
        <v/>
      </c>
      <c r="AG325" t="str">
        <f>""</f>
        <v/>
      </c>
      <c r="AH325" t="str">
        <f>""</f>
        <v/>
      </c>
      <c r="AI325" t="str">
        <f>""</f>
        <v/>
      </c>
      <c r="AJ325" t="str">
        <f>""</f>
        <v/>
      </c>
      <c r="AK325" t="str">
        <f>""</f>
        <v/>
      </c>
      <c r="AL325" t="str">
        <f>""</f>
        <v/>
      </c>
      <c r="AM325" t="str">
        <f>""</f>
        <v/>
      </c>
      <c r="AN325" t="str">
        <f>""</f>
        <v/>
      </c>
      <c r="AO325" t="str">
        <f>""</f>
        <v/>
      </c>
      <c r="AP325" t="str">
        <f>""</f>
        <v/>
      </c>
      <c r="AQ325" t="str">
        <f>""</f>
        <v/>
      </c>
      <c r="AR325" t="str">
        <f>""</f>
        <v/>
      </c>
      <c r="AS325" t="str">
        <f>""</f>
        <v/>
      </c>
      <c r="AT325" t="str">
        <f>""</f>
        <v/>
      </c>
      <c r="AU325" t="str">
        <f>""</f>
        <v/>
      </c>
      <c r="AV325" t="str">
        <f>""</f>
        <v/>
      </c>
      <c r="AW325" t="str">
        <f>""</f>
        <v/>
      </c>
      <c r="AX325" t="str">
        <f>""</f>
        <v/>
      </c>
      <c r="AY325" t="str">
        <f>""</f>
        <v/>
      </c>
      <c r="AZ325" t="str">
        <f>""</f>
        <v/>
      </c>
      <c r="BA325" t="str">
        <f>""</f>
        <v/>
      </c>
      <c r="BB325" t="str">
        <f>""</f>
        <v/>
      </c>
      <c r="BC325" t="str">
        <f>""</f>
        <v/>
      </c>
      <c r="BD325" t="str">
        <f>""</f>
        <v/>
      </c>
      <c r="BE325" t="str">
        <f>""</f>
        <v/>
      </c>
      <c r="BF325" t="str">
        <f>""</f>
        <v/>
      </c>
      <c r="BG325" t="str">
        <f>""</f>
        <v/>
      </c>
      <c r="BH325" t="str">
        <f>""</f>
        <v/>
      </c>
      <c r="BI325" t="str">
        <f>""</f>
        <v/>
      </c>
      <c r="BJ325" t="str">
        <f>""</f>
        <v/>
      </c>
      <c r="BK325" t="str">
        <f>""</f>
        <v/>
      </c>
      <c r="BL325" t="str">
        <f>""</f>
        <v/>
      </c>
      <c r="BM325" t="str">
        <f>""</f>
        <v/>
      </c>
      <c r="BN325" t="str">
        <f>""</f>
        <v/>
      </c>
      <c r="BO325" t="str">
        <f>""</f>
        <v/>
      </c>
      <c r="BP325" t="str">
        <f>""</f>
        <v/>
      </c>
      <c r="BQ325" t="str">
        <f>""</f>
        <v/>
      </c>
      <c r="BR325" t="str">
        <f>""</f>
        <v/>
      </c>
      <c r="BS325" t="str">
        <f>""</f>
        <v/>
      </c>
      <c r="BT325" t="str">
        <f>""</f>
        <v/>
      </c>
      <c r="BU325" t="str">
        <f>""</f>
        <v/>
      </c>
      <c r="BV325" t="str">
        <f>""</f>
        <v/>
      </c>
      <c r="BW325" t="str">
        <f>""</f>
        <v/>
      </c>
      <c r="BX325" t="str">
        <f>""</f>
        <v/>
      </c>
      <c r="BY325" t="str">
        <f>""</f>
        <v/>
      </c>
      <c r="BZ325" t="str">
        <f>""</f>
        <v/>
      </c>
      <c r="CA325" t="str">
        <f>""</f>
        <v/>
      </c>
      <c r="CB325" t="str">
        <f>""</f>
        <v/>
      </c>
      <c r="CC325" t="str">
        <f>""</f>
        <v/>
      </c>
      <c r="CD325" t="str">
        <f>""</f>
        <v/>
      </c>
      <c r="CE325" t="str">
        <f>""</f>
        <v/>
      </c>
      <c r="CF325" t="str">
        <f>""</f>
        <v/>
      </c>
      <c r="CG325" t="str">
        <f>""</f>
        <v/>
      </c>
      <c r="CH325" t="str">
        <f>""</f>
        <v/>
      </c>
      <c r="CI325" t="str">
        <f>""</f>
        <v/>
      </c>
      <c r="CJ325" t="str">
        <f>""</f>
        <v/>
      </c>
      <c r="CK325" t="str">
        <f>""</f>
        <v/>
      </c>
      <c r="CL325" t="str">
        <f>""</f>
        <v/>
      </c>
      <c r="CM325" t="str">
        <f>""</f>
        <v/>
      </c>
      <c r="CN325" t="str">
        <f>""</f>
        <v/>
      </c>
      <c r="CO325" t="str">
        <f>""</f>
        <v/>
      </c>
      <c r="CP325" t="str">
        <f>""</f>
        <v/>
      </c>
      <c r="CQ325" t="str">
        <f>""</f>
        <v/>
      </c>
      <c r="CR325" t="str">
        <f>""</f>
        <v/>
      </c>
      <c r="CS325" t="str">
        <f>""</f>
        <v/>
      </c>
      <c r="CT325" t="str">
        <f>""</f>
        <v/>
      </c>
      <c r="CU325" t="str">
        <f>""</f>
        <v/>
      </c>
      <c r="CV325" t="str">
        <f>""</f>
        <v/>
      </c>
      <c r="CW325" t="str">
        <f>""</f>
        <v/>
      </c>
      <c r="CX325" t="str">
        <f>""</f>
        <v/>
      </c>
      <c r="CY325" t="str">
        <f>""</f>
        <v/>
      </c>
      <c r="CZ325" t="str">
        <f>""</f>
        <v/>
      </c>
      <c r="DA325" t="str">
        <f>""</f>
        <v/>
      </c>
      <c r="DB325" t="str">
        <f>""</f>
        <v/>
      </c>
      <c r="DC325" t="str">
        <f>""</f>
        <v/>
      </c>
      <c r="DD325" t="str">
        <f>""</f>
        <v/>
      </c>
      <c r="DE325" t="str">
        <f>""</f>
        <v/>
      </c>
      <c r="DF325" t="str">
        <f>""</f>
        <v/>
      </c>
      <c r="DG325" t="str">
        <f>""</f>
        <v/>
      </c>
      <c r="DH325" t="str">
        <f>""</f>
        <v/>
      </c>
      <c r="DI325" t="str">
        <f>""</f>
        <v/>
      </c>
      <c r="DJ325" t="str">
        <f>""</f>
        <v/>
      </c>
      <c r="DK325" t="str">
        <f>""</f>
        <v/>
      </c>
      <c r="DL325" t="str">
        <f>""</f>
        <v/>
      </c>
      <c r="DM325" t="str">
        <f>""</f>
        <v/>
      </c>
      <c r="DN325" t="str">
        <f>""</f>
        <v/>
      </c>
      <c r="DO325" t="str">
        <f>""</f>
        <v/>
      </c>
      <c r="DP325" t="str">
        <f>""</f>
        <v/>
      </c>
      <c r="DQ325" t="str">
        <f>""</f>
        <v/>
      </c>
      <c r="DR325" t="str">
        <f>""</f>
        <v/>
      </c>
      <c r="DS325" t="str">
        <f>""</f>
        <v/>
      </c>
      <c r="DT325" t="str">
        <f>""</f>
        <v/>
      </c>
      <c r="DU325" t="str">
        <f>""</f>
        <v/>
      </c>
      <c r="DV325" t="str">
        <f>""</f>
        <v/>
      </c>
      <c r="DW325" t="str">
        <f>""</f>
        <v/>
      </c>
      <c r="DX325" t="str">
        <f>""</f>
        <v/>
      </c>
      <c r="DY325" t="str">
        <f>""</f>
        <v/>
      </c>
      <c r="DZ325" t="str">
        <f>""</f>
        <v/>
      </c>
      <c r="EA325" t="str">
        <f>""</f>
        <v/>
      </c>
      <c r="EB325" t="str">
        <f>""</f>
        <v/>
      </c>
      <c r="EC325" t="str">
        <f>""</f>
        <v/>
      </c>
      <c r="ED325" t="str">
        <f>""</f>
        <v/>
      </c>
      <c r="EE325" t="str">
        <f>""</f>
        <v/>
      </c>
      <c r="EF325" t="str">
        <f>""</f>
        <v/>
      </c>
      <c r="EG325" t="str">
        <f>""</f>
        <v/>
      </c>
      <c r="EH325" t="str">
        <f>""</f>
        <v/>
      </c>
      <c r="EI325" t="str">
        <f>""</f>
        <v/>
      </c>
      <c r="EJ325" t="str">
        <f>""</f>
        <v/>
      </c>
      <c r="EK325" t="str">
        <f>""</f>
        <v/>
      </c>
      <c r="EL325" t="str">
        <f>""</f>
        <v/>
      </c>
      <c r="EM325" t="str">
        <f>""</f>
        <v/>
      </c>
      <c r="EN325" t="str">
        <f>""</f>
        <v/>
      </c>
      <c r="EO325" t="str">
        <f>""</f>
        <v/>
      </c>
      <c r="EP325" t="str">
        <f>""</f>
        <v/>
      </c>
      <c r="EQ325" t="str">
        <f>""</f>
        <v/>
      </c>
      <c r="ER325" t="str">
        <f>""</f>
        <v/>
      </c>
      <c r="ES325" t="str">
        <f>""</f>
        <v/>
      </c>
      <c r="ET325" t="str">
        <f>""</f>
        <v/>
      </c>
      <c r="EU325" t="str">
        <f>""</f>
        <v/>
      </c>
      <c r="EV325" t="str">
        <f>""</f>
        <v/>
      </c>
      <c r="EW325" t="str">
        <f>""</f>
        <v/>
      </c>
      <c r="EX325" t="str">
        <f>""</f>
        <v/>
      </c>
      <c r="EY325" t="str">
        <f>""</f>
        <v/>
      </c>
      <c r="EZ325" t="str">
        <f>""</f>
        <v/>
      </c>
      <c r="FA325" t="str">
        <f>""</f>
        <v/>
      </c>
      <c r="FB325" t="str">
        <f>""</f>
        <v/>
      </c>
      <c r="FC325" t="str">
        <f>""</f>
        <v/>
      </c>
      <c r="FD325" t="str">
        <f>""</f>
        <v/>
      </c>
      <c r="FE325" t="str">
        <f>""</f>
        <v/>
      </c>
      <c r="FF325" t="str">
        <f>""</f>
        <v/>
      </c>
      <c r="FG325" t="str">
        <f>""</f>
        <v/>
      </c>
      <c r="FH325" t="str">
        <f>""</f>
        <v/>
      </c>
      <c r="FI325" t="str">
        <f>""</f>
        <v/>
      </c>
      <c r="FJ325" t="str">
        <f>""</f>
        <v/>
      </c>
      <c r="FK325" t="str">
        <f>""</f>
        <v/>
      </c>
      <c r="FL325" t="str">
        <f>""</f>
        <v/>
      </c>
      <c r="FM325" t="str">
        <f>""</f>
        <v/>
      </c>
      <c r="FN325" t="str">
        <f>""</f>
        <v/>
      </c>
      <c r="FO325" t="str">
        <f>""</f>
        <v/>
      </c>
      <c r="FP325" t="str">
        <f>""</f>
        <v/>
      </c>
      <c r="FQ325" t="str">
        <f>""</f>
        <v/>
      </c>
      <c r="FR325" t="str">
        <f>""</f>
        <v/>
      </c>
      <c r="FS325" t="str">
        <f>""</f>
        <v/>
      </c>
      <c r="FT325" t="str">
        <f>""</f>
        <v/>
      </c>
      <c r="FU325" t="str">
        <f>""</f>
        <v/>
      </c>
      <c r="FV325" t="str">
        <f>""</f>
        <v/>
      </c>
      <c r="FW325" t="str">
        <f>""</f>
        <v/>
      </c>
      <c r="FX325" t="str">
        <f>""</f>
        <v/>
      </c>
      <c r="FY325" t="str">
        <f>""</f>
        <v/>
      </c>
      <c r="FZ325" t="str">
        <f>""</f>
        <v/>
      </c>
      <c r="GA325" t="str">
        <f>""</f>
        <v/>
      </c>
      <c r="GB325" t="str">
        <f>""</f>
        <v/>
      </c>
      <c r="GC325" t="str">
        <f>""</f>
        <v/>
      </c>
      <c r="GD325" t="str">
        <f>""</f>
        <v/>
      </c>
      <c r="GE325" t="str">
        <f>""</f>
        <v/>
      </c>
      <c r="GF325" t="str">
        <f>""</f>
        <v/>
      </c>
      <c r="GG325" t="str">
        <f>""</f>
        <v/>
      </c>
      <c r="GH325" t="str">
        <f>""</f>
        <v/>
      </c>
      <c r="GI325" t="str">
        <f>""</f>
        <v/>
      </c>
      <c r="GJ325" t="str">
        <f>""</f>
        <v/>
      </c>
      <c r="GK325" t="str">
        <f>""</f>
        <v/>
      </c>
      <c r="GL325" t="str">
        <f>""</f>
        <v/>
      </c>
      <c r="GM325" t="str">
        <f>""</f>
        <v/>
      </c>
      <c r="GN325" t="str">
        <f>""</f>
        <v/>
      </c>
      <c r="GO325" t="str">
        <f>""</f>
        <v/>
      </c>
      <c r="GP325" t="str">
        <f>""</f>
        <v/>
      </c>
      <c r="GQ325" t="str">
        <f>""</f>
        <v/>
      </c>
      <c r="GR325" t="str">
        <f>""</f>
        <v/>
      </c>
      <c r="GS325" t="str">
        <f>""</f>
        <v/>
      </c>
      <c r="GT325" t="str">
        <f>""</f>
        <v/>
      </c>
      <c r="GU325" t="str">
        <f>""</f>
        <v/>
      </c>
      <c r="GV325" t="str">
        <f>""</f>
        <v/>
      </c>
      <c r="GW325" t="str">
        <f>""</f>
        <v/>
      </c>
      <c r="GX325" t="str">
        <f>""</f>
        <v/>
      </c>
      <c r="GY325" t="str">
        <f>""</f>
        <v/>
      </c>
      <c r="GZ325" t="str">
        <f>""</f>
        <v/>
      </c>
      <c r="HA325" t="str">
        <f>""</f>
        <v/>
      </c>
      <c r="HB325" t="str">
        <f>""</f>
        <v/>
      </c>
      <c r="HC325" t="str">
        <f>""</f>
        <v/>
      </c>
      <c r="HD325" t="str">
        <f>""</f>
        <v/>
      </c>
      <c r="HE325" t="str">
        <f>""</f>
        <v/>
      </c>
      <c r="HF325" t="str">
        <f>""</f>
        <v/>
      </c>
      <c r="HG325" t="str">
        <f>""</f>
        <v/>
      </c>
      <c r="HH325" t="str">
        <f>""</f>
        <v/>
      </c>
      <c r="HI325" t="str">
        <f>""</f>
        <v/>
      </c>
      <c r="HJ325" t="str">
        <f>""</f>
        <v/>
      </c>
      <c r="HK325" t="str">
        <f>""</f>
        <v/>
      </c>
      <c r="HL325" t="str">
        <f>""</f>
        <v/>
      </c>
      <c r="HM325" t="str">
        <f>""</f>
        <v/>
      </c>
      <c r="HN325" t="str">
        <f>""</f>
        <v/>
      </c>
      <c r="HO325" t="str">
        <f>""</f>
        <v/>
      </c>
      <c r="HP325" t="str">
        <f>""</f>
        <v/>
      </c>
      <c r="HQ325" t="str">
        <f>""</f>
        <v/>
      </c>
      <c r="HR325" t="str">
        <f>""</f>
        <v/>
      </c>
      <c r="HS325" t="str">
        <f>""</f>
        <v/>
      </c>
      <c r="HT325" t="str">
        <f>""</f>
        <v/>
      </c>
      <c r="HU325" t="str">
        <f>""</f>
        <v/>
      </c>
      <c r="HV325" t="str">
        <f>"(0.102)"</f>
        <v>(0.102)</v>
      </c>
      <c r="HW325" t="str">
        <f>"(0.0806)"</f>
        <v>(0.0806)</v>
      </c>
      <c r="HX325" t="str">
        <f>"(0.0449)"</f>
        <v>(0.0449)</v>
      </c>
      <c r="HY325" t="str">
        <f>""</f>
        <v/>
      </c>
      <c r="HZ325" t="str">
        <f>""</f>
        <v/>
      </c>
      <c r="IA325" t="str">
        <f>""</f>
        <v/>
      </c>
      <c r="IB325" t="str">
        <f>""</f>
        <v/>
      </c>
      <c r="IC325" t="str">
        <f>""</f>
        <v/>
      </c>
      <c r="ID325" t="str">
        <f>""</f>
        <v/>
      </c>
      <c r="IE325" t="str">
        <f>""</f>
        <v/>
      </c>
      <c r="IF325" t="str">
        <f>""</f>
        <v/>
      </c>
      <c r="IG325" t="str">
        <f>""</f>
        <v/>
      </c>
      <c r="IH325" t="str">
        <f>""</f>
        <v/>
      </c>
      <c r="II325" t="str">
        <f>""</f>
        <v/>
      </c>
      <c r="IJ325" t="str">
        <f>""</f>
        <v/>
      </c>
      <c r="IK325" t="str">
        <f>""</f>
        <v/>
      </c>
      <c r="IL325" t="str">
        <f>""</f>
        <v/>
      </c>
      <c r="IM325" t="str">
        <f>""</f>
        <v/>
      </c>
      <c r="IN325" t="str">
        <f>""</f>
        <v/>
      </c>
      <c r="IO325" t="str">
        <f>""</f>
        <v/>
      </c>
      <c r="IP325" t="str">
        <f>""</f>
        <v/>
      </c>
      <c r="IQ325" t="str">
        <f>""</f>
        <v/>
      </c>
      <c r="IR325" t="str">
        <f>""</f>
        <v/>
      </c>
      <c r="IS325" t="str">
        <f>""</f>
        <v/>
      </c>
      <c r="IT325" t="str">
        <f>""</f>
        <v/>
      </c>
      <c r="IU325" t="str">
        <f>""</f>
        <v/>
      </c>
      <c r="IV325" t="str">
        <f>""</f>
        <v/>
      </c>
      <c r="IW325" t="str">
        <f>""</f>
        <v/>
      </c>
      <c r="IX325" t="str">
        <f>""</f>
        <v/>
      </c>
      <c r="IY325" t="str">
        <f>""</f>
        <v/>
      </c>
      <c r="IZ325" t="str">
        <f>""</f>
        <v/>
      </c>
      <c r="JA325" t="str">
        <f>""</f>
        <v/>
      </c>
      <c r="JB325" t="str">
        <f>""</f>
        <v/>
      </c>
      <c r="JC325" t="str">
        <f>""</f>
        <v/>
      </c>
      <c r="JD325" t="str">
        <f>""</f>
        <v/>
      </c>
      <c r="JE325" t="str">
        <f>""</f>
        <v/>
      </c>
      <c r="JF325" t="str">
        <f>""</f>
        <v/>
      </c>
      <c r="JG325" t="str">
        <f>""</f>
        <v/>
      </c>
      <c r="JH325" t="str">
        <f>""</f>
        <v/>
      </c>
      <c r="JI325" t="str">
        <f>""</f>
        <v/>
      </c>
      <c r="JJ325" t="str">
        <f>""</f>
        <v/>
      </c>
      <c r="JK325" t="str">
        <f>""</f>
        <v/>
      </c>
    </row>
    <row r="327" spans="1:271" x14ac:dyDescent="0.3">
      <c r="A327" t="str">
        <f>"c.zMETAB3#c.PM6"</f>
        <v>c.zMETAB3#c.PM6</v>
      </c>
      <c r="B327" t="str">
        <f>""</f>
        <v/>
      </c>
      <c r="C327" t="str">
        <f>""</f>
        <v/>
      </c>
      <c r="D327" t="str">
        <f>""</f>
        <v/>
      </c>
      <c r="E327" t="str">
        <f>""</f>
        <v/>
      </c>
      <c r="F327" t="str">
        <f>""</f>
        <v/>
      </c>
      <c r="G327" t="str">
        <f>""</f>
        <v/>
      </c>
      <c r="H327" t="str">
        <f>""</f>
        <v/>
      </c>
      <c r="I327" t="str">
        <f>""</f>
        <v/>
      </c>
      <c r="J327" t="str">
        <f>""</f>
        <v/>
      </c>
      <c r="K327" t="str">
        <f>""</f>
        <v/>
      </c>
      <c r="L327" t="str">
        <f>""</f>
        <v/>
      </c>
      <c r="M327" t="str">
        <f>""</f>
        <v/>
      </c>
      <c r="N327" t="str">
        <f>""</f>
        <v/>
      </c>
      <c r="O327" t="str">
        <f>""</f>
        <v/>
      </c>
      <c r="P327" t="str">
        <f>""</f>
        <v/>
      </c>
      <c r="Q327" t="str">
        <f>""</f>
        <v/>
      </c>
      <c r="R327" t="str">
        <f>""</f>
        <v/>
      </c>
      <c r="S327" t="str">
        <f>""</f>
        <v/>
      </c>
      <c r="T327" t="str">
        <f>""</f>
        <v/>
      </c>
      <c r="U327" t="str">
        <f>""</f>
        <v/>
      </c>
      <c r="V327" t="str">
        <f>""</f>
        <v/>
      </c>
      <c r="W327" t="str">
        <f>""</f>
        <v/>
      </c>
      <c r="X327" t="str">
        <f>""</f>
        <v/>
      </c>
      <c r="Y327" t="str">
        <f>""</f>
        <v/>
      </c>
      <c r="Z327" t="str">
        <f>""</f>
        <v/>
      </c>
      <c r="AA327" t="str">
        <f>""</f>
        <v/>
      </c>
      <c r="AB327" t="str">
        <f>""</f>
        <v/>
      </c>
      <c r="AC327" t="str">
        <f>""</f>
        <v/>
      </c>
      <c r="AD327" t="str">
        <f>""</f>
        <v/>
      </c>
      <c r="AE327" t="str">
        <f>""</f>
        <v/>
      </c>
      <c r="AF327" t="str">
        <f>""</f>
        <v/>
      </c>
      <c r="AG327" t="str">
        <f>""</f>
        <v/>
      </c>
      <c r="AH327" t="str">
        <f>""</f>
        <v/>
      </c>
      <c r="AI327" t="str">
        <f>""</f>
        <v/>
      </c>
      <c r="AJ327" t="str">
        <f>""</f>
        <v/>
      </c>
      <c r="AK327" t="str">
        <f>""</f>
        <v/>
      </c>
      <c r="AL327" t="str">
        <f>""</f>
        <v/>
      </c>
      <c r="AM327" t="str">
        <f>""</f>
        <v/>
      </c>
      <c r="AN327" t="str">
        <f>""</f>
        <v/>
      </c>
      <c r="AO327" t="str">
        <f>""</f>
        <v/>
      </c>
      <c r="AP327" t="str">
        <f>""</f>
        <v/>
      </c>
      <c r="AQ327" t="str">
        <f>""</f>
        <v/>
      </c>
      <c r="AR327" t="str">
        <f>""</f>
        <v/>
      </c>
      <c r="AS327" t="str">
        <f>""</f>
        <v/>
      </c>
      <c r="AT327" t="str">
        <f>""</f>
        <v/>
      </c>
      <c r="AU327" t="str">
        <f>""</f>
        <v/>
      </c>
      <c r="AV327" t="str">
        <f>""</f>
        <v/>
      </c>
      <c r="AW327" t="str">
        <f>""</f>
        <v/>
      </c>
      <c r="AX327" t="str">
        <f>""</f>
        <v/>
      </c>
      <c r="AY327" t="str">
        <f>""</f>
        <v/>
      </c>
      <c r="AZ327" t="str">
        <f>""</f>
        <v/>
      </c>
      <c r="BA327" t="str">
        <f>""</f>
        <v/>
      </c>
      <c r="BB327" t="str">
        <f>""</f>
        <v/>
      </c>
      <c r="BC327" t="str">
        <f>""</f>
        <v/>
      </c>
      <c r="BD327" t="str">
        <f>""</f>
        <v/>
      </c>
      <c r="BE327" t="str">
        <f>""</f>
        <v/>
      </c>
      <c r="BF327" t="str">
        <f>""</f>
        <v/>
      </c>
      <c r="BG327" t="str">
        <f>""</f>
        <v/>
      </c>
      <c r="BH327" t="str">
        <f>""</f>
        <v/>
      </c>
      <c r="BI327" t="str">
        <f>""</f>
        <v/>
      </c>
      <c r="BJ327" t="str">
        <f>""</f>
        <v/>
      </c>
      <c r="BK327" t="str">
        <f>""</f>
        <v/>
      </c>
      <c r="BL327" t="str">
        <f>""</f>
        <v/>
      </c>
      <c r="BM327" t="str">
        <f>""</f>
        <v/>
      </c>
      <c r="BN327" t="str">
        <f>""</f>
        <v/>
      </c>
      <c r="BO327" t="str">
        <f>""</f>
        <v/>
      </c>
      <c r="BP327" t="str">
        <f>""</f>
        <v/>
      </c>
      <c r="BQ327" t="str">
        <f>""</f>
        <v/>
      </c>
      <c r="BR327" t="str">
        <f>""</f>
        <v/>
      </c>
      <c r="BS327" t="str">
        <f>""</f>
        <v/>
      </c>
      <c r="BT327" t="str">
        <f>""</f>
        <v/>
      </c>
      <c r="BU327" t="str">
        <f>""</f>
        <v/>
      </c>
      <c r="BV327" t="str">
        <f>""</f>
        <v/>
      </c>
      <c r="BW327" t="str">
        <f>""</f>
        <v/>
      </c>
      <c r="BX327" t="str">
        <f>""</f>
        <v/>
      </c>
      <c r="BY327" t="str">
        <f>""</f>
        <v/>
      </c>
      <c r="BZ327" t="str">
        <f>""</f>
        <v/>
      </c>
      <c r="CA327" t="str">
        <f>""</f>
        <v/>
      </c>
      <c r="CB327" t="str">
        <f>""</f>
        <v/>
      </c>
      <c r="CC327" t="str">
        <f>""</f>
        <v/>
      </c>
      <c r="CD327" t="str">
        <f>""</f>
        <v/>
      </c>
      <c r="CE327" t="str">
        <f>""</f>
        <v/>
      </c>
      <c r="CF327" t="str">
        <f>""</f>
        <v/>
      </c>
      <c r="CG327" t="str">
        <f>""</f>
        <v/>
      </c>
      <c r="CH327" t="str">
        <f>""</f>
        <v/>
      </c>
      <c r="CI327" t="str">
        <f>""</f>
        <v/>
      </c>
      <c r="CJ327" t="str">
        <f>""</f>
        <v/>
      </c>
      <c r="CK327" t="str">
        <f>""</f>
        <v/>
      </c>
      <c r="CL327" t="str">
        <f>""</f>
        <v/>
      </c>
      <c r="CM327" t="str">
        <f>""</f>
        <v/>
      </c>
      <c r="CN327" t="str">
        <f>""</f>
        <v/>
      </c>
      <c r="CO327" t="str">
        <f>""</f>
        <v/>
      </c>
      <c r="CP327" t="str">
        <f>""</f>
        <v/>
      </c>
      <c r="CQ327" t="str">
        <f>""</f>
        <v/>
      </c>
      <c r="CR327" t="str">
        <f>""</f>
        <v/>
      </c>
      <c r="CS327" t="str">
        <f>""</f>
        <v/>
      </c>
      <c r="CT327" t="str">
        <f>""</f>
        <v/>
      </c>
      <c r="CU327" t="str">
        <f>""</f>
        <v/>
      </c>
      <c r="CV327" t="str">
        <f>""</f>
        <v/>
      </c>
      <c r="CW327" t="str">
        <f>""</f>
        <v/>
      </c>
      <c r="CX327" t="str">
        <f>""</f>
        <v/>
      </c>
      <c r="CY327" t="str">
        <f>""</f>
        <v/>
      </c>
      <c r="CZ327" t="str">
        <f>""</f>
        <v/>
      </c>
      <c r="DA327" t="str">
        <f>""</f>
        <v/>
      </c>
      <c r="DB327" t="str">
        <f>""</f>
        <v/>
      </c>
      <c r="DC327" t="str">
        <f>""</f>
        <v/>
      </c>
      <c r="DD327" t="str">
        <f>""</f>
        <v/>
      </c>
      <c r="DE327" t="str">
        <f>""</f>
        <v/>
      </c>
      <c r="DF327" t="str">
        <f>""</f>
        <v/>
      </c>
      <c r="DG327" t="str">
        <f>""</f>
        <v/>
      </c>
      <c r="DH327" t="str">
        <f>""</f>
        <v/>
      </c>
      <c r="DI327" t="str">
        <f>""</f>
        <v/>
      </c>
      <c r="DJ327" t="str">
        <f>""</f>
        <v/>
      </c>
      <c r="DK327" t="str">
        <f>""</f>
        <v/>
      </c>
      <c r="DL327" t="str">
        <f>""</f>
        <v/>
      </c>
      <c r="DM327" t="str">
        <f>""</f>
        <v/>
      </c>
      <c r="DN327" t="str">
        <f>""</f>
        <v/>
      </c>
      <c r="DO327" t="str">
        <f>""</f>
        <v/>
      </c>
      <c r="DP327" t="str">
        <f>""</f>
        <v/>
      </c>
      <c r="DQ327" t="str">
        <f>""</f>
        <v/>
      </c>
      <c r="DR327" t="str">
        <f>""</f>
        <v/>
      </c>
      <c r="DS327" t="str">
        <f>""</f>
        <v/>
      </c>
      <c r="DT327" t="str">
        <f>""</f>
        <v/>
      </c>
      <c r="DU327" t="str">
        <f>""</f>
        <v/>
      </c>
      <c r="DV327" t="str">
        <f>""</f>
        <v/>
      </c>
      <c r="DW327" t="str">
        <f>""</f>
        <v/>
      </c>
      <c r="DX327" t="str">
        <f>""</f>
        <v/>
      </c>
      <c r="DY327" t="str">
        <f>""</f>
        <v/>
      </c>
      <c r="DZ327" t="str">
        <f>""</f>
        <v/>
      </c>
      <c r="EA327" t="str">
        <f>""</f>
        <v/>
      </c>
      <c r="EB327" t="str">
        <f>""</f>
        <v/>
      </c>
      <c r="EC327" t="str">
        <f>""</f>
        <v/>
      </c>
      <c r="ED327" t="str">
        <f>""</f>
        <v/>
      </c>
      <c r="EE327" t="str">
        <f>""</f>
        <v/>
      </c>
      <c r="EF327" t="str">
        <f>""</f>
        <v/>
      </c>
      <c r="EG327" t="str">
        <f>""</f>
        <v/>
      </c>
      <c r="EH327" t="str">
        <f>""</f>
        <v/>
      </c>
      <c r="EI327" t="str">
        <f>""</f>
        <v/>
      </c>
      <c r="EJ327" t="str">
        <f>""</f>
        <v/>
      </c>
      <c r="EK327" t="str">
        <f>""</f>
        <v/>
      </c>
      <c r="EL327" t="str">
        <f>""</f>
        <v/>
      </c>
      <c r="EM327" t="str">
        <f>""</f>
        <v/>
      </c>
      <c r="EN327" t="str">
        <f>""</f>
        <v/>
      </c>
      <c r="EO327" t="str">
        <f>""</f>
        <v/>
      </c>
      <c r="EP327" t="str">
        <f>""</f>
        <v/>
      </c>
      <c r="EQ327" t="str">
        <f>""</f>
        <v/>
      </c>
      <c r="ER327" t="str">
        <f>""</f>
        <v/>
      </c>
      <c r="ES327" t="str">
        <f>""</f>
        <v/>
      </c>
      <c r="ET327" t="str">
        <f>""</f>
        <v/>
      </c>
      <c r="EU327" t="str">
        <f>""</f>
        <v/>
      </c>
      <c r="EV327" t="str">
        <f>""</f>
        <v/>
      </c>
      <c r="EW327" t="str">
        <f>""</f>
        <v/>
      </c>
      <c r="EX327" t="str">
        <f>""</f>
        <v/>
      </c>
      <c r="EY327" t="str">
        <f>""</f>
        <v/>
      </c>
      <c r="EZ327" t="str">
        <f>""</f>
        <v/>
      </c>
      <c r="FA327" t="str">
        <f>""</f>
        <v/>
      </c>
      <c r="FB327" t="str">
        <f>""</f>
        <v/>
      </c>
      <c r="FC327" t="str">
        <f>""</f>
        <v/>
      </c>
      <c r="FD327" t="str">
        <f>""</f>
        <v/>
      </c>
      <c r="FE327" t="str">
        <f>""</f>
        <v/>
      </c>
      <c r="FF327" t="str">
        <f>""</f>
        <v/>
      </c>
      <c r="FG327" t="str">
        <f>""</f>
        <v/>
      </c>
      <c r="FH327" t="str">
        <f>""</f>
        <v/>
      </c>
      <c r="FI327" t="str">
        <f>""</f>
        <v/>
      </c>
      <c r="FJ327" t="str">
        <f>""</f>
        <v/>
      </c>
      <c r="FK327" t="str">
        <f>""</f>
        <v/>
      </c>
      <c r="FL327" t="str">
        <f>""</f>
        <v/>
      </c>
      <c r="FM327" t="str">
        <f>""</f>
        <v/>
      </c>
      <c r="FN327" t="str">
        <f>""</f>
        <v/>
      </c>
      <c r="FO327" t="str">
        <f>""</f>
        <v/>
      </c>
      <c r="FP327" t="str">
        <f>""</f>
        <v/>
      </c>
      <c r="FQ327" t="str">
        <f>""</f>
        <v/>
      </c>
      <c r="FR327" t="str">
        <f>""</f>
        <v/>
      </c>
      <c r="FS327" t="str">
        <f>""</f>
        <v/>
      </c>
      <c r="FT327" t="str">
        <f>""</f>
        <v/>
      </c>
      <c r="FU327" t="str">
        <f>""</f>
        <v/>
      </c>
      <c r="FV327" t="str">
        <f>""</f>
        <v/>
      </c>
      <c r="FW327" t="str">
        <f>""</f>
        <v/>
      </c>
      <c r="FX327" t="str">
        <f>""</f>
        <v/>
      </c>
      <c r="FY327" t="str">
        <f>""</f>
        <v/>
      </c>
      <c r="FZ327" t="str">
        <f>""</f>
        <v/>
      </c>
      <c r="GA327" t="str">
        <f>""</f>
        <v/>
      </c>
      <c r="GB327" t="str">
        <f>""</f>
        <v/>
      </c>
      <c r="GC327" t="str">
        <f>""</f>
        <v/>
      </c>
      <c r="GD327" t="str">
        <f>""</f>
        <v/>
      </c>
      <c r="GE327" t="str">
        <f>""</f>
        <v/>
      </c>
      <c r="GF327" t="str">
        <f>""</f>
        <v/>
      </c>
      <c r="GG327" t="str">
        <f>""</f>
        <v/>
      </c>
      <c r="GH327" t="str">
        <f>""</f>
        <v/>
      </c>
      <c r="GI327" t="str">
        <f>""</f>
        <v/>
      </c>
      <c r="GJ327" t="str">
        <f>""</f>
        <v/>
      </c>
      <c r="GK327" t="str">
        <f>""</f>
        <v/>
      </c>
      <c r="GL327" t="str">
        <f>""</f>
        <v/>
      </c>
      <c r="GM327" t="str">
        <f>""</f>
        <v/>
      </c>
      <c r="GN327" t="str">
        <f>""</f>
        <v/>
      </c>
      <c r="GO327" t="str">
        <f>""</f>
        <v/>
      </c>
      <c r="GP327" t="str">
        <f>""</f>
        <v/>
      </c>
      <c r="GQ327" t="str">
        <f>""</f>
        <v/>
      </c>
      <c r="GR327" t="str">
        <f>""</f>
        <v/>
      </c>
      <c r="GS327" t="str">
        <f>""</f>
        <v/>
      </c>
      <c r="GT327" t="str">
        <f>""</f>
        <v/>
      </c>
      <c r="GU327" t="str">
        <f>""</f>
        <v/>
      </c>
      <c r="GV327" t="str">
        <f>""</f>
        <v/>
      </c>
      <c r="GW327" t="str">
        <f>""</f>
        <v/>
      </c>
      <c r="GX327" t="str">
        <f>""</f>
        <v/>
      </c>
      <c r="GY327" t="str">
        <f>""</f>
        <v/>
      </c>
      <c r="GZ327" t="str">
        <f>""</f>
        <v/>
      </c>
      <c r="HA327" t="str">
        <f>""</f>
        <v/>
      </c>
      <c r="HB327" t="str">
        <f>""</f>
        <v/>
      </c>
      <c r="HC327" t="str">
        <f>""</f>
        <v/>
      </c>
      <c r="HD327" t="str">
        <f>""</f>
        <v/>
      </c>
      <c r="HE327" t="str">
        <f>""</f>
        <v/>
      </c>
      <c r="HF327" t="str">
        <f>""</f>
        <v/>
      </c>
      <c r="HG327" t="str">
        <f>""</f>
        <v/>
      </c>
      <c r="HH327" t="str">
        <f>""</f>
        <v/>
      </c>
      <c r="HI327" t="str">
        <f>""</f>
        <v/>
      </c>
      <c r="HJ327" t="str">
        <f>""</f>
        <v/>
      </c>
      <c r="HK327" t="str">
        <f>""</f>
        <v/>
      </c>
      <c r="HL327" t="str">
        <f>""</f>
        <v/>
      </c>
      <c r="HM327" t="str">
        <f>""</f>
        <v/>
      </c>
      <c r="HN327" t="str">
        <f>""</f>
        <v/>
      </c>
      <c r="HO327" t="str">
        <f>""</f>
        <v/>
      </c>
      <c r="HP327" t="str">
        <f>""</f>
        <v/>
      </c>
      <c r="HQ327" t="str">
        <f>""</f>
        <v/>
      </c>
      <c r="HR327" t="str">
        <f>""</f>
        <v/>
      </c>
      <c r="HS327" t="str">
        <f>""</f>
        <v/>
      </c>
      <c r="HT327" t="str">
        <f>""</f>
        <v/>
      </c>
      <c r="HU327" t="str">
        <f>""</f>
        <v/>
      </c>
      <c r="HV327" t="str">
        <f>""</f>
        <v/>
      </c>
      <c r="HW327" t="str">
        <f>""</f>
        <v/>
      </c>
      <c r="HX327" t="str">
        <f>""</f>
        <v/>
      </c>
      <c r="HY327" t="str">
        <f>"-0.133"</f>
        <v>-0.133</v>
      </c>
      <c r="HZ327" t="str">
        <f>"0.0807"</f>
        <v>0.0807</v>
      </c>
      <c r="IA327" t="str">
        <f>"-0.0358"</f>
        <v>-0.0358</v>
      </c>
      <c r="IB327" t="str">
        <f>""</f>
        <v/>
      </c>
      <c r="IC327" t="str">
        <f>""</f>
        <v/>
      </c>
      <c r="ID327" t="str">
        <f>""</f>
        <v/>
      </c>
      <c r="IE327" t="str">
        <f>""</f>
        <v/>
      </c>
      <c r="IF327" t="str">
        <f>""</f>
        <v/>
      </c>
      <c r="IG327" t="str">
        <f>""</f>
        <v/>
      </c>
      <c r="IH327" t="str">
        <f>""</f>
        <v/>
      </c>
      <c r="II327" t="str">
        <f>""</f>
        <v/>
      </c>
      <c r="IJ327" t="str">
        <f>""</f>
        <v/>
      </c>
      <c r="IK327" t="str">
        <f>""</f>
        <v/>
      </c>
      <c r="IL327" t="str">
        <f>""</f>
        <v/>
      </c>
      <c r="IM327" t="str">
        <f>""</f>
        <v/>
      </c>
      <c r="IN327" t="str">
        <f>""</f>
        <v/>
      </c>
      <c r="IO327" t="str">
        <f>""</f>
        <v/>
      </c>
      <c r="IP327" t="str">
        <f>""</f>
        <v/>
      </c>
      <c r="IQ327" t="str">
        <f>""</f>
        <v/>
      </c>
      <c r="IR327" t="str">
        <f>""</f>
        <v/>
      </c>
      <c r="IS327" t="str">
        <f>""</f>
        <v/>
      </c>
      <c r="IT327" t="str">
        <f>""</f>
        <v/>
      </c>
      <c r="IU327" t="str">
        <f>""</f>
        <v/>
      </c>
      <c r="IV327" t="str">
        <f>""</f>
        <v/>
      </c>
      <c r="IW327" t="str">
        <f>""</f>
        <v/>
      </c>
      <c r="IX327" t="str">
        <f>""</f>
        <v/>
      </c>
      <c r="IY327" t="str">
        <f>""</f>
        <v/>
      </c>
      <c r="IZ327" t="str">
        <f>""</f>
        <v/>
      </c>
      <c r="JA327" t="str">
        <f>""</f>
        <v/>
      </c>
      <c r="JB327" t="str">
        <f>""</f>
        <v/>
      </c>
      <c r="JC327" t="str">
        <f>""</f>
        <v/>
      </c>
      <c r="JD327" t="str">
        <f>""</f>
        <v/>
      </c>
      <c r="JE327" t="str">
        <f>""</f>
        <v/>
      </c>
      <c r="JF327" t="str">
        <f>""</f>
        <v/>
      </c>
      <c r="JG327" t="str">
        <f>""</f>
        <v/>
      </c>
      <c r="JH327" t="str">
        <f>""</f>
        <v/>
      </c>
      <c r="JI327" t="str">
        <f>""</f>
        <v/>
      </c>
      <c r="JJ327" t="str">
        <f>""</f>
        <v/>
      </c>
      <c r="JK327" t="str">
        <f>""</f>
        <v/>
      </c>
    </row>
    <row r="328" spans="1:271" x14ac:dyDescent="0.3">
      <c r="A328" t="str">
        <f>""</f>
        <v/>
      </c>
      <c r="B328" t="str">
        <f>""</f>
        <v/>
      </c>
      <c r="C328" t="str">
        <f>""</f>
        <v/>
      </c>
      <c r="D328" t="str">
        <f>""</f>
        <v/>
      </c>
      <c r="E328" t="str">
        <f>""</f>
        <v/>
      </c>
      <c r="F328" t="str">
        <f>""</f>
        <v/>
      </c>
      <c r="G328" t="str">
        <f>""</f>
        <v/>
      </c>
      <c r="H328" t="str">
        <f>""</f>
        <v/>
      </c>
      <c r="I328" t="str">
        <f>""</f>
        <v/>
      </c>
      <c r="J328" t="str">
        <f>""</f>
        <v/>
      </c>
      <c r="K328" t="str">
        <f>""</f>
        <v/>
      </c>
      <c r="L328" t="str">
        <f>""</f>
        <v/>
      </c>
      <c r="M328" t="str">
        <f>""</f>
        <v/>
      </c>
      <c r="N328" t="str">
        <f>""</f>
        <v/>
      </c>
      <c r="O328" t="str">
        <f>""</f>
        <v/>
      </c>
      <c r="P328" t="str">
        <f>""</f>
        <v/>
      </c>
      <c r="Q328" t="str">
        <f>""</f>
        <v/>
      </c>
      <c r="R328" t="str">
        <f>""</f>
        <v/>
      </c>
      <c r="S328" t="str">
        <f>""</f>
        <v/>
      </c>
      <c r="T328" t="str">
        <f>""</f>
        <v/>
      </c>
      <c r="U328" t="str">
        <f>""</f>
        <v/>
      </c>
      <c r="V328" t="str">
        <f>""</f>
        <v/>
      </c>
      <c r="W328" t="str">
        <f>""</f>
        <v/>
      </c>
      <c r="X328" t="str">
        <f>""</f>
        <v/>
      </c>
      <c r="Y328" t="str">
        <f>""</f>
        <v/>
      </c>
      <c r="Z328" t="str">
        <f>""</f>
        <v/>
      </c>
      <c r="AA328" t="str">
        <f>""</f>
        <v/>
      </c>
      <c r="AB328" t="str">
        <f>""</f>
        <v/>
      </c>
      <c r="AC328" t="str">
        <f>""</f>
        <v/>
      </c>
      <c r="AD328" t="str">
        <f>""</f>
        <v/>
      </c>
      <c r="AE328" t="str">
        <f>""</f>
        <v/>
      </c>
      <c r="AF328" t="str">
        <f>""</f>
        <v/>
      </c>
      <c r="AG328" t="str">
        <f>""</f>
        <v/>
      </c>
      <c r="AH328" t="str">
        <f>""</f>
        <v/>
      </c>
      <c r="AI328" t="str">
        <f>""</f>
        <v/>
      </c>
      <c r="AJ328" t="str">
        <f>""</f>
        <v/>
      </c>
      <c r="AK328" t="str">
        <f>""</f>
        <v/>
      </c>
      <c r="AL328" t="str">
        <f>""</f>
        <v/>
      </c>
      <c r="AM328" t="str">
        <f>""</f>
        <v/>
      </c>
      <c r="AN328" t="str">
        <f>""</f>
        <v/>
      </c>
      <c r="AO328" t="str">
        <f>""</f>
        <v/>
      </c>
      <c r="AP328" t="str">
        <f>""</f>
        <v/>
      </c>
      <c r="AQ328" t="str">
        <f>""</f>
        <v/>
      </c>
      <c r="AR328" t="str">
        <f>""</f>
        <v/>
      </c>
      <c r="AS328" t="str">
        <f>""</f>
        <v/>
      </c>
      <c r="AT328" t="str">
        <f>""</f>
        <v/>
      </c>
      <c r="AU328" t="str">
        <f>""</f>
        <v/>
      </c>
      <c r="AV328" t="str">
        <f>""</f>
        <v/>
      </c>
      <c r="AW328" t="str">
        <f>""</f>
        <v/>
      </c>
      <c r="AX328" t="str">
        <f>""</f>
        <v/>
      </c>
      <c r="AY328" t="str">
        <f>""</f>
        <v/>
      </c>
      <c r="AZ328" t="str">
        <f>""</f>
        <v/>
      </c>
      <c r="BA328" t="str">
        <f>""</f>
        <v/>
      </c>
      <c r="BB328" t="str">
        <f>""</f>
        <v/>
      </c>
      <c r="BC328" t="str">
        <f>""</f>
        <v/>
      </c>
      <c r="BD328" t="str">
        <f>""</f>
        <v/>
      </c>
      <c r="BE328" t="str">
        <f>""</f>
        <v/>
      </c>
      <c r="BF328" t="str">
        <f>""</f>
        <v/>
      </c>
      <c r="BG328" t="str">
        <f>""</f>
        <v/>
      </c>
      <c r="BH328" t="str">
        <f>""</f>
        <v/>
      </c>
      <c r="BI328" t="str">
        <f>""</f>
        <v/>
      </c>
      <c r="BJ328" t="str">
        <f>""</f>
        <v/>
      </c>
      <c r="BK328" t="str">
        <f>""</f>
        <v/>
      </c>
      <c r="BL328" t="str">
        <f>""</f>
        <v/>
      </c>
      <c r="BM328" t="str">
        <f>""</f>
        <v/>
      </c>
      <c r="BN328" t="str">
        <f>""</f>
        <v/>
      </c>
      <c r="BO328" t="str">
        <f>""</f>
        <v/>
      </c>
      <c r="BP328" t="str">
        <f>""</f>
        <v/>
      </c>
      <c r="BQ328" t="str">
        <f>""</f>
        <v/>
      </c>
      <c r="BR328" t="str">
        <f>""</f>
        <v/>
      </c>
      <c r="BS328" t="str">
        <f>""</f>
        <v/>
      </c>
      <c r="BT328" t="str">
        <f>""</f>
        <v/>
      </c>
      <c r="BU328" t="str">
        <f>""</f>
        <v/>
      </c>
      <c r="BV328" t="str">
        <f>""</f>
        <v/>
      </c>
      <c r="BW328" t="str">
        <f>""</f>
        <v/>
      </c>
      <c r="BX328" t="str">
        <f>""</f>
        <v/>
      </c>
      <c r="BY328" t="str">
        <f>""</f>
        <v/>
      </c>
      <c r="BZ328" t="str">
        <f>""</f>
        <v/>
      </c>
      <c r="CA328" t="str">
        <f>""</f>
        <v/>
      </c>
      <c r="CB328" t="str">
        <f>""</f>
        <v/>
      </c>
      <c r="CC328" t="str">
        <f>""</f>
        <v/>
      </c>
      <c r="CD328" t="str">
        <f>""</f>
        <v/>
      </c>
      <c r="CE328" t="str">
        <f>""</f>
        <v/>
      </c>
      <c r="CF328" t="str">
        <f>""</f>
        <v/>
      </c>
      <c r="CG328" t="str">
        <f>""</f>
        <v/>
      </c>
      <c r="CH328" t="str">
        <f>""</f>
        <v/>
      </c>
      <c r="CI328" t="str">
        <f>""</f>
        <v/>
      </c>
      <c r="CJ328" t="str">
        <f>""</f>
        <v/>
      </c>
      <c r="CK328" t="str">
        <f>""</f>
        <v/>
      </c>
      <c r="CL328" t="str">
        <f>""</f>
        <v/>
      </c>
      <c r="CM328" t="str">
        <f>""</f>
        <v/>
      </c>
      <c r="CN328" t="str">
        <f>""</f>
        <v/>
      </c>
      <c r="CO328" t="str">
        <f>""</f>
        <v/>
      </c>
      <c r="CP328" t="str">
        <f>""</f>
        <v/>
      </c>
      <c r="CQ328" t="str">
        <f>""</f>
        <v/>
      </c>
      <c r="CR328" t="str">
        <f>""</f>
        <v/>
      </c>
      <c r="CS328" t="str">
        <f>""</f>
        <v/>
      </c>
      <c r="CT328" t="str">
        <f>""</f>
        <v/>
      </c>
      <c r="CU328" t="str">
        <f>""</f>
        <v/>
      </c>
      <c r="CV328" t="str">
        <f>""</f>
        <v/>
      </c>
      <c r="CW328" t="str">
        <f>""</f>
        <v/>
      </c>
      <c r="CX328" t="str">
        <f>""</f>
        <v/>
      </c>
      <c r="CY328" t="str">
        <f>""</f>
        <v/>
      </c>
      <c r="CZ328" t="str">
        <f>""</f>
        <v/>
      </c>
      <c r="DA328" t="str">
        <f>""</f>
        <v/>
      </c>
      <c r="DB328" t="str">
        <f>""</f>
        <v/>
      </c>
      <c r="DC328" t="str">
        <f>""</f>
        <v/>
      </c>
      <c r="DD328" t="str">
        <f>""</f>
        <v/>
      </c>
      <c r="DE328" t="str">
        <f>""</f>
        <v/>
      </c>
      <c r="DF328" t="str">
        <f>""</f>
        <v/>
      </c>
      <c r="DG328" t="str">
        <f>""</f>
        <v/>
      </c>
      <c r="DH328" t="str">
        <f>""</f>
        <v/>
      </c>
      <c r="DI328" t="str">
        <f>""</f>
        <v/>
      </c>
      <c r="DJ328" t="str">
        <f>""</f>
        <v/>
      </c>
      <c r="DK328" t="str">
        <f>""</f>
        <v/>
      </c>
      <c r="DL328" t="str">
        <f>""</f>
        <v/>
      </c>
      <c r="DM328" t="str">
        <f>""</f>
        <v/>
      </c>
      <c r="DN328" t="str">
        <f>""</f>
        <v/>
      </c>
      <c r="DO328" t="str">
        <f>""</f>
        <v/>
      </c>
      <c r="DP328" t="str">
        <f>""</f>
        <v/>
      </c>
      <c r="DQ328" t="str">
        <f>""</f>
        <v/>
      </c>
      <c r="DR328" t="str">
        <f>""</f>
        <v/>
      </c>
      <c r="DS328" t="str">
        <f>""</f>
        <v/>
      </c>
      <c r="DT328" t="str">
        <f>""</f>
        <v/>
      </c>
      <c r="DU328" t="str">
        <f>""</f>
        <v/>
      </c>
      <c r="DV328" t="str">
        <f>""</f>
        <v/>
      </c>
      <c r="DW328" t="str">
        <f>""</f>
        <v/>
      </c>
      <c r="DX328" t="str">
        <f>""</f>
        <v/>
      </c>
      <c r="DY328" t="str">
        <f>""</f>
        <v/>
      </c>
      <c r="DZ328" t="str">
        <f>""</f>
        <v/>
      </c>
      <c r="EA328" t="str">
        <f>""</f>
        <v/>
      </c>
      <c r="EB328" t="str">
        <f>""</f>
        <v/>
      </c>
      <c r="EC328" t="str">
        <f>""</f>
        <v/>
      </c>
      <c r="ED328" t="str">
        <f>""</f>
        <v/>
      </c>
      <c r="EE328" t="str">
        <f>""</f>
        <v/>
      </c>
      <c r="EF328" t="str">
        <f>""</f>
        <v/>
      </c>
      <c r="EG328" t="str">
        <f>""</f>
        <v/>
      </c>
      <c r="EH328" t="str">
        <f>""</f>
        <v/>
      </c>
      <c r="EI328" t="str">
        <f>""</f>
        <v/>
      </c>
      <c r="EJ328" t="str">
        <f>""</f>
        <v/>
      </c>
      <c r="EK328" t="str">
        <f>""</f>
        <v/>
      </c>
      <c r="EL328" t="str">
        <f>""</f>
        <v/>
      </c>
      <c r="EM328" t="str">
        <f>""</f>
        <v/>
      </c>
      <c r="EN328" t="str">
        <f>""</f>
        <v/>
      </c>
      <c r="EO328" t="str">
        <f>""</f>
        <v/>
      </c>
      <c r="EP328" t="str">
        <f>""</f>
        <v/>
      </c>
      <c r="EQ328" t="str">
        <f>""</f>
        <v/>
      </c>
      <c r="ER328" t="str">
        <f>""</f>
        <v/>
      </c>
      <c r="ES328" t="str">
        <f>""</f>
        <v/>
      </c>
      <c r="ET328" t="str">
        <f>""</f>
        <v/>
      </c>
      <c r="EU328" t="str">
        <f>""</f>
        <v/>
      </c>
      <c r="EV328" t="str">
        <f>""</f>
        <v/>
      </c>
      <c r="EW328" t="str">
        <f>""</f>
        <v/>
      </c>
      <c r="EX328" t="str">
        <f>""</f>
        <v/>
      </c>
      <c r="EY328" t="str">
        <f>""</f>
        <v/>
      </c>
      <c r="EZ328" t="str">
        <f>""</f>
        <v/>
      </c>
      <c r="FA328" t="str">
        <f>""</f>
        <v/>
      </c>
      <c r="FB328" t="str">
        <f>""</f>
        <v/>
      </c>
      <c r="FC328" t="str">
        <f>""</f>
        <v/>
      </c>
      <c r="FD328" t="str">
        <f>""</f>
        <v/>
      </c>
      <c r="FE328" t="str">
        <f>""</f>
        <v/>
      </c>
      <c r="FF328" t="str">
        <f>""</f>
        <v/>
      </c>
      <c r="FG328" t="str">
        <f>""</f>
        <v/>
      </c>
      <c r="FH328" t="str">
        <f>""</f>
        <v/>
      </c>
      <c r="FI328" t="str">
        <f>""</f>
        <v/>
      </c>
      <c r="FJ328" t="str">
        <f>""</f>
        <v/>
      </c>
      <c r="FK328" t="str">
        <f>""</f>
        <v/>
      </c>
      <c r="FL328" t="str">
        <f>""</f>
        <v/>
      </c>
      <c r="FM328" t="str">
        <f>""</f>
        <v/>
      </c>
      <c r="FN328" t="str">
        <f>""</f>
        <v/>
      </c>
      <c r="FO328" t="str">
        <f>""</f>
        <v/>
      </c>
      <c r="FP328" t="str">
        <f>""</f>
        <v/>
      </c>
      <c r="FQ328" t="str">
        <f>""</f>
        <v/>
      </c>
      <c r="FR328" t="str">
        <f>""</f>
        <v/>
      </c>
      <c r="FS328" t="str">
        <f>""</f>
        <v/>
      </c>
      <c r="FT328" t="str">
        <f>""</f>
        <v/>
      </c>
      <c r="FU328" t="str">
        <f>""</f>
        <v/>
      </c>
      <c r="FV328" t="str">
        <f>""</f>
        <v/>
      </c>
      <c r="FW328" t="str">
        <f>""</f>
        <v/>
      </c>
      <c r="FX328" t="str">
        <f>""</f>
        <v/>
      </c>
      <c r="FY328" t="str">
        <f>""</f>
        <v/>
      </c>
      <c r="FZ328" t="str">
        <f>""</f>
        <v/>
      </c>
      <c r="GA328" t="str">
        <f>""</f>
        <v/>
      </c>
      <c r="GB328" t="str">
        <f>""</f>
        <v/>
      </c>
      <c r="GC328" t="str">
        <f>""</f>
        <v/>
      </c>
      <c r="GD328" t="str">
        <f>""</f>
        <v/>
      </c>
      <c r="GE328" t="str">
        <f>""</f>
        <v/>
      </c>
      <c r="GF328" t="str">
        <f>""</f>
        <v/>
      </c>
      <c r="GG328" t="str">
        <f>""</f>
        <v/>
      </c>
      <c r="GH328" t="str">
        <f>""</f>
        <v/>
      </c>
      <c r="GI328" t="str">
        <f>""</f>
        <v/>
      </c>
      <c r="GJ328" t="str">
        <f>""</f>
        <v/>
      </c>
      <c r="GK328" t="str">
        <f>""</f>
        <v/>
      </c>
      <c r="GL328" t="str">
        <f>""</f>
        <v/>
      </c>
      <c r="GM328" t="str">
        <f>""</f>
        <v/>
      </c>
      <c r="GN328" t="str">
        <f>""</f>
        <v/>
      </c>
      <c r="GO328" t="str">
        <f>""</f>
        <v/>
      </c>
      <c r="GP328" t="str">
        <f>""</f>
        <v/>
      </c>
      <c r="GQ328" t="str">
        <f>""</f>
        <v/>
      </c>
      <c r="GR328" t="str">
        <f>""</f>
        <v/>
      </c>
      <c r="GS328" t="str">
        <f>""</f>
        <v/>
      </c>
      <c r="GT328" t="str">
        <f>""</f>
        <v/>
      </c>
      <c r="GU328" t="str">
        <f>""</f>
        <v/>
      </c>
      <c r="GV328" t="str">
        <f>""</f>
        <v/>
      </c>
      <c r="GW328" t="str">
        <f>""</f>
        <v/>
      </c>
      <c r="GX328" t="str">
        <f>""</f>
        <v/>
      </c>
      <c r="GY328" t="str">
        <f>""</f>
        <v/>
      </c>
      <c r="GZ328" t="str">
        <f>""</f>
        <v/>
      </c>
      <c r="HA328" t="str">
        <f>""</f>
        <v/>
      </c>
      <c r="HB328" t="str">
        <f>""</f>
        <v/>
      </c>
      <c r="HC328" t="str">
        <f>""</f>
        <v/>
      </c>
      <c r="HD328" t="str">
        <f>""</f>
        <v/>
      </c>
      <c r="HE328" t="str">
        <f>""</f>
        <v/>
      </c>
      <c r="HF328" t="str">
        <f>""</f>
        <v/>
      </c>
      <c r="HG328" t="str">
        <f>""</f>
        <v/>
      </c>
      <c r="HH328" t="str">
        <f>""</f>
        <v/>
      </c>
      <c r="HI328" t="str">
        <f>""</f>
        <v/>
      </c>
      <c r="HJ328" t="str">
        <f>""</f>
        <v/>
      </c>
      <c r="HK328" t="str">
        <f>""</f>
        <v/>
      </c>
      <c r="HL328" t="str">
        <f>""</f>
        <v/>
      </c>
      <c r="HM328" t="str">
        <f>""</f>
        <v/>
      </c>
      <c r="HN328" t="str">
        <f>""</f>
        <v/>
      </c>
      <c r="HO328" t="str">
        <f>""</f>
        <v/>
      </c>
      <c r="HP328" t="str">
        <f>""</f>
        <v/>
      </c>
      <c r="HQ328" t="str">
        <f>""</f>
        <v/>
      </c>
      <c r="HR328" t="str">
        <f>""</f>
        <v/>
      </c>
      <c r="HS328" t="str">
        <f>""</f>
        <v/>
      </c>
      <c r="HT328" t="str">
        <f>""</f>
        <v/>
      </c>
      <c r="HU328" t="str">
        <f>""</f>
        <v/>
      </c>
      <c r="HV328" t="str">
        <f>""</f>
        <v/>
      </c>
      <c r="HW328" t="str">
        <f>""</f>
        <v/>
      </c>
      <c r="HX328" t="str">
        <f>""</f>
        <v/>
      </c>
      <c r="HY328" t="str">
        <f>"(0.107)"</f>
        <v>(0.107)</v>
      </c>
      <c r="HZ328" t="str">
        <f>"(0.0836)"</f>
        <v>(0.0836)</v>
      </c>
      <c r="IA328" t="str">
        <f>"(0.0416)"</f>
        <v>(0.0416)</v>
      </c>
      <c r="IB328" t="str">
        <f>""</f>
        <v/>
      </c>
      <c r="IC328" t="str">
        <f>""</f>
        <v/>
      </c>
      <c r="ID328" t="str">
        <f>""</f>
        <v/>
      </c>
      <c r="IE328" t="str">
        <f>""</f>
        <v/>
      </c>
      <c r="IF328" t="str">
        <f>""</f>
        <v/>
      </c>
      <c r="IG328" t="str">
        <f>""</f>
        <v/>
      </c>
      <c r="IH328" t="str">
        <f>""</f>
        <v/>
      </c>
      <c r="II328" t="str">
        <f>""</f>
        <v/>
      </c>
      <c r="IJ328" t="str">
        <f>""</f>
        <v/>
      </c>
      <c r="IK328" t="str">
        <f>""</f>
        <v/>
      </c>
      <c r="IL328" t="str">
        <f>""</f>
        <v/>
      </c>
      <c r="IM328" t="str">
        <f>""</f>
        <v/>
      </c>
      <c r="IN328" t="str">
        <f>""</f>
        <v/>
      </c>
      <c r="IO328" t="str">
        <f>""</f>
        <v/>
      </c>
      <c r="IP328" t="str">
        <f>""</f>
        <v/>
      </c>
      <c r="IQ328" t="str">
        <f>""</f>
        <v/>
      </c>
      <c r="IR328" t="str">
        <f>""</f>
        <v/>
      </c>
      <c r="IS328" t="str">
        <f>""</f>
        <v/>
      </c>
      <c r="IT328" t="str">
        <f>""</f>
        <v/>
      </c>
      <c r="IU328" t="str">
        <f>""</f>
        <v/>
      </c>
      <c r="IV328" t="str">
        <f>""</f>
        <v/>
      </c>
      <c r="IW328" t="str">
        <f>""</f>
        <v/>
      </c>
      <c r="IX328" t="str">
        <f>""</f>
        <v/>
      </c>
      <c r="IY328" t="str">
        <f>""</f>
        <v/>
      </c>
      <c r="IZ328" t="str">
        <f>""</f>
        <v/>
      </c>
      <c r="JA328" t="str">
        <f>""</f>
        <v/>
      </c>
      <c r="JB328" t="str">
        <f>""</f>
        <v/>
      </c>
      <c r="JC328" t="str">
        <f>""</f>
        <v/>
      </c>
      <c r="JD328" t="str">
        <f>""</f>
        <v/>
      </c>
      <c r="JE328" t="str">
        <f>""</f>
        <v/>
      </c>
      <c r="JF328" t="str">
        <f>""</f>
        <v/>
      </c>
      <c r="JG328" t="str">
        <f>""</f>
        <v/>
      </c>
      <c r="JH328" t="str">
        <f>""</f>
        <v/>
      </c>
      <c r="JI328" t="str">
        <f>""</f>
        <v/>
      </c>
      <c r="JJ328" t="str">
        <f>""</f>
        <v/>
      </c>
      <c r="JK328" t="str">
        <f>""</f>
        <v/>
      </c>
    </row>
    <row r="330" spans="1:271" x14ac:dyDescent="0.3">
      <c r="A330" t="str">
        <f>"c.zMETAB4#c.PM6"</f>
        <v>c.zMETAB4#c.PM6</v>
      </c>
      <c r="B330" t="str">
        <f>""</f>
        <v/>
      </c>
      <c r="C330" t="str">
        <f>""</f>
        <v/>
      </c>
      <c r="D330" t="str">
        <f>""</f>
        <v/>
      </c>
      <c r="E330" t="str">
        <f>""</f>
        <v/>
      </c>
      <c r="F330" t="str">
        <f>""</f>
        <v/>
      </c>
      <c r="G330" t="str">
        <f>""</f>
        <v/>
      </c>
      <c r="H330" t="str">
        <f>""</f>
        <v/>
      </c>
      <c r="I330" t="str">
        <f>""</f>
        <v/>
      </c>
      <c r="J330" t="str">
        <f>""</f>
        <v/>
      </c>
      <c r="K330" t="str">
        <f>""</f>
        <v/>
      </c>
      <c r="L330" t="str">
        <f>""</f>
        <v/>
      </c>
      <c r="M330" t="str">
        <f>""</f>
        <v/>
      </c>
      <c r="N330" t="str">
        <f>""</f>
        <v/>
      </c>
      <c r="O330" t="str">
        <f>""</f>
        <v/>
      </c>
      <c r="P330" t="str">
        <f>""</f>
        <v/>
      </c>
      <c r="Q330" t="str">
        <f>""</f>
        <v/>
      </c>
      <c r="R330" t="str">
        <f>""</f>
        <v/>
      </c>
      <c r="S330" t="str">
        <f>""</f>
        <v/>
      </c>
      <c r="T330" t="str">
        <f>""</f>
        <v/>
      </c>
      <c r="U330" t="str">
        <f>""</f>
        <v/>
      </c>
      <c r="V330" t="str">
        <f>""</f>
        <v/>
      </c>
      <c r="W330" t="str">
        <f>""</f>
        <v/>
      </c>
      <c r="X330" t="str">
        <f>""</f>
        <v/>
      </c>
      <c r="Y330" t="str">
        <f>""</f>
        <v/>
      </c>
      <c r="Z330" t="str">
        <f>""</f>
        <v/>
      </c>
      <c r="AA330" t="str">
        <f>""</f>
        <v/>
      </c>
      <c r="AB330" t="str">
        <f>""</f>
        <v/>
      </c>
      <c r="AC330" t="str">
        <f>""</f>
        <v/>
      </c>
      <c r="AD330" t="str">
        <f>""</f>
        <v/>
      </c>
      <c r="AE330" t="str">
        <f>""</f>
        <v/>
      </c>
      <c r="AF330" t="str">
        <f>""</f>
        <v/>
      </c>
      <c r="AG330" t="str">
        <f>""</f>
        <v/>
      </c>
      <c r="AH330" t="str">
        <f>""</f>
        <v/>
      </c>
      <c r="AI330" t="str">
        <f>""</f>
        <v/>
      </c>
      <c r="AJ330" t="str">
        <f>""</f>
        <v/>
      </c>
      <c r="AK330" t="str">
        <f>""</f>
        <v/>
      </c>
      <c r="AL330" t="str">
        <f>""</f>
        <v/>
      </c>
      <c r="AM330" t="str">
        <f>""</f>
        <v/>
      </c>
      <c r="AN330" t="str">
        <f>""</f>
        <v/>
      </c>
      <c r="AO330" t="str">
        <f>""</f>
        <v/>
      </c>
      <c r="AP330" t="str">
        <f>""</f>
        <v/>
      </c>
      <c r="AQ330" t="str">
        <f>""</f>
        <v/>
      </c>
      <c r="AR330" t="str">
        <f>""</f>
        <v/>
      </c>
      <c r="AS330" t="str">
        <f>""</f>
        <v/>
      </c>
      <c r="AT330" t="str">
        <f>""</f>
        <v/>
      </c>
      <c r="AU330" t="str">
        <f>""</f>
        <v/>
      </c>
      <c r="AV330" t="str">
        <f>""</f>
        <v/>
      </c>
      <c r="AW330" t="str">
        <f>""</f>
        <v/>
      </c>
      <c r="AX330" t="str">
        <f>""</f>
        <v/>
      </c>
      <c r="AY330" t="str">
        <f>""</f>
        <v/>
      </c>
      <c r="AZ330" t="str">
        <f>""</f>
        <v/>
      </c>
      <c r="BA330" t="str">
        <f>""</f>
        <v/>
      </c>
      <c r="BB330" t="str">
        <f>""</f>
        <v/>
      </c>
      <c r="BC330" t="str">
        <f>""</f>
        <v/>
      </c>
      <c r="BD330" t="str">
        <f>""</f>
        <v/>
      </c>
      <c r="BE330" t="str">
        <f>""</f>
        <v/>
      </c>
      <c r="BF330" t="str">
        <f>""</f>
        <v/>
      </c>
      <c r="BG330" t="str">
        <f>""</f>
        <v/>
      </c>
      <c r="BH330" t="str">
        <f>""</f>
        <v/>
      </c>
      <c r="BI330" t="str">
        <f>""</f>
        <v/>
      </c>
      <c r="BJ330" t="str">
        <f>""</f>
        <v/>
      </c>
      <c r="BK330" t="str">
        <f>""</f>
        <v/>
      </c>
      <c r="BL330" t="str">
        <f>""</f>
        <v/>
      </c>
      <c r="BM330" t="str">
        <f>""</f>
        <v/>
      </c>
      <c r="BN330" t="str">
        <f>""</f>
        <v/>
      </c>
      <c r="BO330" t="str">
        <f>""</f>
        <v/>
      </c>
      <c r="BP330" t="str">
        <f>""</f>
        <v/>
      </c>
      <c r="BQ330" t="str">
        <f>""</f>
        <v/>
      </c>
      <c r="BR330" t="str">
        <f>""</f>
        <v/>
      </c>
      <c r="BS330" t="str">
        <f>""</f>
        <v/>
      </c>
      <c r="BT330" t="str">
        <f>""</f>
        <v/>
      </c>
      <c r="BU330" t="str">
        <f>""</f>
        <v/>
      </c>
      <c r="BV330" t="str">
        <f>""</f>
        <v/>
      </c>
      <c r="BW330" t="str">
        <f>""</f>
        <v/>
      </c>
      <c r="BX330" t="str">
        <f>""</f>
        <v/>
      </c>
      <c r="BY330" t="str">
        <f>""</f>
        <v/>
      </c>
      <c r="BZ330" t="str">
        <f>""</f>
        <v/>
      </c>
      <c r="CA330" t="str">
        <f>""</f>
        <v/>
      </c>
      <c r="CB330" t="str">
        <f>""</f>
        <v/>
      </c>
      <c r="CC330" t="str">
        <f>""</f>
        <v/>
      </c>
      <c r="CD330" t="str">
        <f>""</f>
        <v/>
      </c>
      <c r="CE330" t="str">
        <f>""</f>
        <v/>
      </c>
      <c r="CF330" t="str">
        <f>""</f>
        <v/>
      </c>
      <c r="CG330" t="str">
        <f>""</f>
        <v/>
      </c>
      <c r="CH330" t="str">
        <f>""</f>
        <v/>
      </c>
      <c r="CI330" t="str">
        <f>""</f>
        <v/>
      </c>
      <c r="CJ330" t="str">
        <f>""</f>
        <v/>
      </c>
      <c r="CK330" t="str">
        <f>""</f>
        <v/>
      </c>
      <c r="CL330" t="str">
        <f>""</f>
        <v/>
      </c>
      <c r="CM330" t="str">
        <f>""</f>
        <v/>
      </c>
      <c r="CN330" t="str">
        <f>""</f>
        <v/>
      </c>
      <c r="CO330" t="str">
        <f>""</f>
        <v/>
      </c>
      <c r="CP330" t="str">
        <f>""</f>
        <v/>
      </c>
      <c r="CQ330" t="str">
        <f>""</f>
        <v/>
      </c>
      <c r="CR330" t="str">
        <f>""</f>
        <v/>
      </c>
      <c r="CS330" t="str">
        <f>""</f>
        <v/>
      </c>
      <c r="CT330" t="str">
        <f>""</f>
        <v/>
      </c>
      <c r="CU330" t="str">
        <f>""</f>
        <v/>
      </c>
      <c r="CV330" t="str">
        <f>""</f>
        <v/>
      </c>
      <c r="CW330" t="str">
        <f>""</f>
        <v/>
      </c>
      <c r="CX330" t="str">
        <f>""</f>
        <v/>
      </c>
      <c r="CY330" t="str">
        <f>""</f>
        <v/>
      </c>
      <c r="CZ330" t="str">
        <f>""</f>
        <v/>
      </c>
      <c r="DA330" t="str">
        <f>""</f>
        <v/>
      </c>
      <c r="DB330" t="str">
        <f>""</f>
        <v/>
      </c>
      <c r="DC330" t="str">
        <f>""</f>
        <v/>
      </c>
      <c r="DD330" t="str">
        <f>""</f>
        <v/>
      </c>
      <c r="DE330" t="str">
        <f>""</f>
        <v/>
      </c>
      <c r="DF330" t="str">
        <f>""</f>
        <v/>
      </c>
      <c r="DG330" t="str">
        <f>""</f>
        <v/>
      </c>
      <c r="DH330" t="str">
        <f>""</f>
        <v/>
      </c>
      <c r="DI330" t="str">
        <f>""</f>
        <v/>
      </c>
      <c r="DJ330" t="str">
        <f>""</f>
        <v/>
      </c>
      <c r="DK330" t="str">
        <f>""</f>
        <v/>
      </c>
      <c r="DL330" t="str">
        <f>""</f>
        <v/>
      </c>
      <c r="DM330" t="str">
        <f>""</f>
        <v/>
      </c>
      <c r="DN330" t="str">
        <f>""</f>
        <v/>
      </c>
      <c r="DO330" t="str">
        <f>""</f>
        <v/>
      </c>
      <c r="DP330" t="str">
        <f>""</f>
        <v/>
      </c>
      <c r="DQ330" t="str">
        <f>""</f>
        <v/>
      </c>
      <c r="DR330" t="str">
        <f>""</f>
        <v/>
      </c>
      <c r="DS330" t="str">
        <f>""</f>
        <v/>
      </c>
      <c r="DT330" t="str">
        <f>""</f>
        <v/>
      </c>
      <c r="DU330" t="str">
        <f>""</f>
        <v/>
      </c>
      <c r="DV330" t="str">
        <f>""</f>
        <v/>
      </c>
      <c r="DW330" t="str">
        <f>""</f>
        <v/>
      </c>
      <c r="DX330" t="str">
        <f>""</f>
        <v/>
      </c>
      <c r="DY330" t="str">
        <f>""</f>
        <v/>
      </c>
      <c r="DZ330" t="str">
        <f>""</f>
        <v/>
      </c>
      <c r="EA330" t="str">
        <f>""</f>
        <v/>
      </c>
      <c r="EB330" t="str">
        <f>""</f>
        <v/>
      </c>
      <c r="EC330" t="str">
        <f>""</f>
        <v/>
      </c>
      <c r="ED330" t="str">
        <f>""</f>
        <v/>
      </c>
      <c r="EE330" t="str">
        <f>""</f>
        <v/>
      </c>
      <c r="EF330" t="str">
        <f>""</f>
        <v/>
      </c>
      <c r="EG330" t="str">
        <f>""</f>
        <v/>
      </c>
      <c r="EH330" t="str">
        <f>""</f>
        <v/>
      </c>
      <c r="EI330" t="str">
        <f>""</f>
        <v/>
      </c>
      <c r="EJ330" t="str">
        <f>""</f>
        <v/>
      </c>
      <c r="EK330" t="str">
        <f>""</f>
        <v/>
      </c>
      <c r="EL330" t="str">
        <f>""</f>
        <v/>
      </c>
      <c r="EM330" t="str">
        <f>""</f>
        <v/>
      </c>
      <c r="EN330" t="str">
        <f>""</f>
        <v/>
      </c>
      <c r="EO330" t="str">
        <f>""</f>
        <v/>
      </c>
      <c r="EP330" t="str">
        <f>""</f>
        <v/>
      </c>
      <c r="EQ330" t="str">
        <f>""</f>
        <v/>
      </c>
      <c r="ER330" t="str">
        <f>""</f>
        <v/>
      </c>
      <c r="ES330" t="str">
        <f>""</f>
        <v/>
      </c>
      <c r="ET330" t="str">
        <f>""</f>
        <v/>
      </c>
      <c r="EU330" t="str">
        <f>""</f>
        <v/>
      </c>
      <c r="EV330" t="str">
        <f>""</f>
        <v/>
      </c>
      <c r="EW330" t="str">
        <f>""</f>
        <v/>
      </c>
      <c r="EX330" t="str">
        <f>""</f>
        <v/>
      </c>
      <c r="EY330" t="str">
        <f>""</f>
        <v/>
      </c>
      <c r="EZ330" t="str">
        <f>""</f>
        <v/>
      </c>
      <c r="FA330" t="str">
        <f>""</f>
        <v/>
      </c>
      <c r="FB330" t="str">
        <f>""</f>
        <v/>
      </c>
      <c r="FC330" t="str">
        <f>""</f>
        <v/>
      </c>
      <c r="FD330" t="str">
        <f>""</f>
        <v/>
      </c>
      <c r="FE330" t="str">
        <f>""</f>
        <v/>
      </c>
      <c r="FF330" t="str">
        <f>""</f>
        <v/>
      </c>
      <c r="FG330" t="str">
        <f>""</f>
        <v/>
      </c>
      <c r="FH330" t="str">
        <f>""</f>
        <v/>
      </c>
      <c r="FI330" t="str">
        <f>""</f>
        <v/>
      </c>
      <c r="FJ330" t="str">
        <f>""</f>
        <v/>
      </c>
      <c r="FK330" t="str">
        <f>""</f>
        <v/>
      </c>
      <c r="FL330" t="str">
        <f>""</f>
        <v/>
      </c>
      <c r="FM330" t="str">
        <f>""</f>
        <v/>
      </c>
      <c r="FN330" t="str">
        <f>""</f>
        <v/>
      </c>
      <c r="FO330" t="str">
        <f>""</f>
        <v/>
      </c>
      <c r="FP330" t="str">
        <f>""</f>
        <v/>
      </c>
      <c r="FQ330" t="str">
        <f>""</f>
        <v/>
      </c>
      <c r="FR330" t="str">
        <f>""</f>
        <v/>
      </c>
      <c r="FS330" t="str">
        <f>""</f>
        <v/>
      </c>
      <c r="FT330" t="str">
        <f>""</f>
        <v/>
      </c>
      <c r="FU330" t="str">
        <f>""</f>
        <v/>
      </c>
      <c r="FV330" t="str">
        <f>""</f>
        <v/>
      </c>
      <c r="FW330" t="str">
        <f>""</f>
        <v/>
      </c>
      <c r="FX330" t="str">
        <f>""</f>
        <v/>
      </c>
      <c r="FY330" t="str">
        <f>""</f>
        <v/>
      </c>
      <c r="FZ330" t="str">
        <f>""</f>
        <v/>
      </c>
      <c r="GA330" t="str">
        <f>""</f>
        <v/>
      </c>
      <c r="GB330" t="str">
        <f>""</f>
        <v/>
      </c>
      <c r="GC330" t="str">
        <f>""</f>
        <v/>
      </c>
      <c r="GD330" t="str">
        <f>""</f>
        <v/>
      </c>
      <c r="GE330" t="str">
        <f>""</f>
        <v/>
      </c>
      <c r="GF330" t="str">
        <f>""</f>
        <v/>
      </c>
      <c r="GG330" t="str">
        <f>""</f>
        <v/>
      </c>
      <c r="GH330" t="str">
        <f>""</f>
        <v/>
      </c>
      <c r="GI330" t="str">
        <f>""</f>
        <v/>
      </c>
      <c r="GJ330" t="str">
        <f>""</f>
        <v/>
      </c>
      <c r="GK330" t="str">
        <f>""</f>
        <v/>
      </c>
      <c r="GL330" t="str">
        <f>""</f>
        <v/>
      </c>
      <c r="GM330" t="str">
        <f>""</f>
        <v/>
      </c>
      <c r="GN330" t="str">
        <f>""</f>
        <v/>
      </c>
      <c r="GO330" t="str">
        <f>""</f>
        <v/>
      </c>
      <c r="GP330" t="str">
        <f>""</f>
        <v/>
      </c>
      <c r="GQ330" t="str">
        <f>""</f>
        <v/>
      </c>
      <c r="GR330" t="str">
        <f>""</f>
        <v/>
      </c>
      <c r="GS330" t="str">
        <f>""</f>
        <v/>
      </c>
      <c r="GT330" t="str">
        <f>""</f>
        <v/>
      </c>
      <c r="GU330" t="str">
        <f>""</f>
        <v/>
      </c>
      <c r="GV330" t="str">
        <f>""</f>
        <v/>
      </c>
      <c r="GW330" t="str">
        <f>""</f>
        <v/>
      </c>
      <c r="GX330" t="str">
        <f>""</f>
        <v/>
      </c>
      <c r="GY330" t="str">
        <f>""</f>
        <v/>
      </c>
      <c r="GZ330" t="str">
        <f>""</f>
        <v/>
      </c>
      <c r="HA330" t="str">
        <f>""</f>
        <v/>
      </c>
      <c r="HB330" t="str">
        <f>""</f>
        <v/>
      </c>
      <c r="HC330" t="str">
        <f>""</f>
        <v/>
      </c>
      <c r="HD330" t="str">
        <f>""</f>
        <v/>
      </c>
      <c r="HE330" t="str">
        <f>""</f>
        <v/>
      </c>
      <c r="HF330" t="str">
        <f>""</f>
        <v/>
      </c>
      <c r="HG330" t="str">
        <f>""</f>
        <v/>
      </c>
      <c r="HH330" t="str">
        <f>""</f>
        <v/>
      </c>
      <c r="HI330" t="str">
        <f>""</f>
        <v/>
      </c>
      <c r="HJ330" t="str">
        <f>""</f>
        <v/>
      </c>
      <c r="HK330" t="str">
        <f>""</f>
        <v/>
      </c>
      <c r="HL330" t="str">
        <f>""</f>
        <v/>
      </c>
      <c r="HM330" t="str">
        <f>""</f>
        <v/>
      </c>
      <c r="HN330" t="str">
        <f>""</f>
        <v/>
      </c>
      <c r="HO330" t="str">
        <f>""</f>
        <v/>
      </c>
      <c r="HP330" t="str">
        <f>""</f>
        <v/>
      </c>
      <c r="HQ330" t="str">
        <f>""</f>
        <v/>
      </c>
      <c r="HR330" t="str">
        <f>""</f>
        <v/>
      </c>
      <c r="HS330" t="str">
        <f>""</f>
        <v/>
      </c>
      <c r="HT330" t="str">
        <f>""</f>
        <v/>
      </c>
      <c r="HU330" t="str">
        <f>""</f>
        <v/>
      </c>
      <c r="HV330" t="str">
        <f>""</f>
        <v/>
      </c>
      <c r="HW330" t="str">
        <f>""</f>
        <v/>
      </c>
      <c r="HX330" t="str">
        <f>""</f>
        <v/>
      </c>
      <c r="HY330" t="str">
        <f>""</f>
        <v/>
      </c>
      <c r="HZ330" t="str">
        <f>""</f>
        <v/>
      </c>
      <c r="IA330" t="str">
        <f>""</f>
        <v/>
      </c>
      <c r="IB330" t="str">
        <f>"0.0998"</f>
        <v>0.0998</v>
      </c>
      <c r="IC330" t="str">
        <f>"-0.0302"</f>
        <v>-0.0302</v>
      </c>
      <c r="ID330" t="str">
        <f>"-0.0222"</f>
        <v>-0.0222</v>
      </c>
      <c r="IE330" t="str">
        <f>""</f>
        <v/>
      </c>
      <c r="IF330" t="str">
        <f>""</f>
        <v/>
      </c>
      <c r="IG330" t="str">
        <f>""</f>
        <v/>
      </c>
      <c r="IH330" t="str">
        <f>""</f>
        <v/>
      </c>
      <c r="II330" t="str">
        <f>""</f>
        <v/>
      </c>
      <c r="IJ330" t="str">
        <f>""</f>
        <v/>
      </c>
      <c r="IK330" t="str">
        <f>""</f>
        <v/>
      </c>
      <c r="IL330" t="str">
        <f>""</f>
        <v/>
      </c>
      <c r="IM330" t="str">
        <f>""</f>
        <v/>
      </c>
      <c r="IN330" t="str">
        <f>""</f>
        <v/>
      </c>
      <c r="IO330" t="str">
        <f>""</f>
        <v/>
      </c>
      <c r="IP330" t="str">
        <f>""</f>
        <v/>
      </c>
      <c r="IQ330" t="str">
        <f>""</f>
        <v/>
      </c>
      <c r="IR330" t="str">
        <f>""</f>
        <v/>
      </c>
      <c r="IS330" t="str">
        <f>""</f>
        <v/>
      </c>
      <c r="IT330" t="str">
        <f>""</f>
        <v/>
      </c>
      <c r="IU330" t="str">
        <f>""</f>
        <v/>
      </c>
      <c r="IV330" t="str">
        <f>""</f>
        <v/>
      </c>
      <c r="IW330" t="str">
        <f>""</f>
        <v/>
      </c>
      <c r="IX330" t="str">
        <f>""</f>
        <v/>
      </c>
      <c r="IY330" t="str">
        <f>""</f>
        <v/>
      </c>
      <c r="IZ330" t="str">
        <f>""</f>
        <v/>
      </c>
      <c r="JA330" t="str">
        <f>""</f>
        <v/>
      </c>
      <c r="JB330" t="str">
        <f>""</f>
        <v/>
      </c>
      <c r="JC330" t="str">
        <f>""</f>
        <v/>
      </c>
      <c r="JD330" t="str">
        <f>""</f>
        <v/>
      </c>
      <c r="JE330" t="str">
        <f>""</f>
        <v/>
      </c>
      <c r="JF330" t="str">
        <f>""</f>
        <v/>
      </c>
      <c r="JG330" t="str">
        <f>""</f>
        <v/>
      </c>
      <c r="JH330" t="str">
        <f>""</f>
        <v/>
      </c>
      <c r="JI330" t="str">
        <f>""</f>
        <v/>
      </c>
      <c r="JJ330" t="str">
        <f>""</f>
        <v/>
      </c>
      <c r="JK330" t="str">
        <f>""</f>
        <v/>
      </c>
    </row>
    <row r="331" spans="1:271" x14ac:dyDescent="0.3">
      <c r="A331" t="str">
        <f>""</f>
        <v/>
      </c>
      <c r="B331" t="str">
        <f>""</f>
        <v/>
      </c>
      <c r="C331" t="str">
        <f>""</f>
        <v/>
      </c>
      <c r="D331" t="str">
        <f>""</f>
        <v/>
      </c>
      <c r="E331" t="str">
        <f>""</f>
        <v/>
      </c>
      <c r="F331" t="str">
        <f>""</f>
        <v/>
      </c>
      <c r="G331" t="str">
        <f>""</f>
        <v/>
      </c>
      <c r="H331" t="str">
        <f>""</f>
        <v/>
      </c>
      <c r="I331" t="str">
        <f>""</f>
        <v/>
      </c>
      <c r="J331" t="str">
        <f>""</f>
        <v/>
      </c>
      <c r="K331" t="str">
        <f>""</f>
        <v/>
      </c>
      <c r="L331" t="str">
        <f>""</f>
        <v/>
      </c>
      <c r="M331" t="str">
        <f>""</f>
        <v/>
      </c>
      <c r="N331" t="str">
        <f>""</f>
        <v/>
      </c>
      <c r="O331" t="str">
        <f>""</f>
        <v/>
      </c>
      <c r="P331" t="str">
        <f>""</f>
        <v/>
      </c>
      <c r="Q331" t="str">
        <f>""</f>
        <v/>
      </c>
      <c r="R331" t="str">
        <f>""</f>
        <v/>
      </c>
      <c r="S331" t="str">
        <f>""</f>
        <v/>
      </c>
      <c r="T331" t="str">
        <f>""</f>
        <v/>
      </c>
      <c r="U331" t="str">
        <f>""</f>
        <v/>
      </c>
      <c r="V331" t="str">
        <f>""</f>
        <v/>
      </c>
      <c r="W331" t="str">
        <f>""</f>
        <v/>
      </c>
      <c r="X331" t="str">
        <f>""</f>
        <v/>
      </c>
      <c r="Y331" t="str">
        <f>""</f>
        <v/>
      </c>
      <c r="Z331" t="str">
        <f>""</f>
        <v/>
      </c>
      <c r="AA331" t="str">
        <f>""</f>
        <v/>
      </c>
      <c r="AB331" t="str">
        <f>""</f>
        <v/>
      </c>
      <c r="AC331" t="str">
        <f>""</f>
        <v/>
      </c>
      <c r="AD331" t="str">
        <f>""</f>
        <v/>
      </c>
      <c r="AE331" t="str">
        <f>""</f>
        <v/>
      </c>
      <c r="AF331" t="str">
        <f>""</f>
        <v/>
      </c>
      <c r="AG331" t="str">
        <f>""</f>
        <v/>
      </c>
      <c r="AH331" t="str">
        <f>""</f>
        <v/>
      </c>
      <c r="AI331" t="str">
        <f>""</f>
        <v/>
      </c>
      <c r="AJ331" t="str">
        <f>""</f>
        <v/>
      </c>
      <c r="AK331" t="str">
        <f>""</f>
        <v/>
      </c>
      <c r="AL331" t="str">
        <f>""</f>
        <v/>
      </c>
      <c r="AM331" t="str">
        <f>""</f>
        <v/>
      </c>
      <c r="AN331" t="str">
        <f>""</f>
        <v/>
      </c>
      <c r="AO331" t="str">
        <f>""</f>
        <v/>
      </c>
      <c r="AP331" t="str">
        <f>""</f>
        <v/>
      </c>
      <c r="AQ331" t="str">
        <f>""</f>
        <v/>
      </c>
      <c r="AR331" t="str">
        <f>""</f>
        <v/>
      </c>
      <c r="AS331" t="str">
        <f>""</f>
        <v/>
      </c>
      <c r="AT331" t="str">
        <f>""</f>
        <v/>
      </c>
      <c r="AU331" t="str">
        <f>""</f>
        <v/>
      </c>
      <c r="AV331" t="str">
        <f>""</f>
        <v/>
      </c>
      <c r="AW331" t="str">
        <f>""</f>
        <v/>
      </c>
      <c r="AX331" t="str">
        <f>""</f>
        <v/>
      </c>
      <c r="AY331" t="str">
        <f>""</f>
        <v/>
      </c>
      <c r="AZ331" t="str">
        <f>""</f>
        <v/>
      </c>
      <c r="BA331" t="str">
        <f>""</f>
        <v/>
      </c>
      <c r="BB331" t="str">
        <f>""</f>
        <v/>
      </c>
      <c r="BC331" t="str">
        <f>""</f>
        <v/>
      </c>
      <c r="BD331" t="str">
        <f>""</f>
        <v/>
      </c>
      <c r="BE331" t="str">
        <f>""</f>
        <v/>
      </c>
      <c r="BF331" t="str">
        <f>""</f>
        <v/>
      </c>
      <c r="BG331" t="str">
        <f>""</f>
        <v/>
      </c>
      <c r="BH331" t="str">
        <f>""</f>
        <v/>
      </c>
      <c r="BI331" t="str">
        <f>""</f>
        <v/>
      </c>
      <c r="BJ331" t="str">
        <f>""</f>
        <v/>
      </c>
      <c r="BK331" t="str">
        <f>""</f>
        <v/>
      </c>
      <c r="BL331" t="str">
        <f>""</f>
        <v/>
      </c>
      <c r="BM331" t="str">
        <f>""</f>
        <v/>
      </c>
      <c r="BN331" t="str">
        <f>""</f>
        <v/>
      </c>
      <c r="BO331" t="str">
        <f>""</f>
        <v/>
      </c>
      <c r="BP331" t="str">
        <f>""</f>
        <v/>
      </c>
      <c r="BQ331" t="str">
        <f>""</f>
        <v/>
      </c>
      <c r="BR331" t="str">
        <f>""</f>
        <v/>
      </c>
      <c r="BS331" t="str">
        <f>""</f>
        <v/>
      </c>
      <c r="BT331" t="str">
        <f>""</f>
        <v/>
      </c>
      <c r="BU331" t="str">
        <f>""</f>
        <v/>
      </c>
      <c r="BV331" t="str">
        <f>""</f>
        <v/>
      </c>
      <c r="BW331" t="str">
        <f>""</f>
        <v/>
      </c>
      <c r="BX331" t="str">
        <f>""</f>
        <v/>
      </c>
      <c r="BY331" t="str">
        <f>""</f>
        <v/>
      </c>
      <c r="BZ331" t="str">
        <f>""</f>
        <v/>
      </c>
      <c r="CA331" t="str">
        <f>""</f>
        <v/>
      </c>
      <c r="CB331" t="str">
        <f>""</f>
        <v/>
      </c>
      <c r="CC331" t="str">
        <f>""</f>
        <v/>
      </c>
      <c r="CD331" t="str">
        <f>""</f>
        <v/>
      </c>
      <c r="CE331" t="str">
        <f>""</f>
        <v/>
      </c>
      <c r="CF331" t="str">
        <f>""</f>
        <v/>
      </c>
      <c r="CG331" t="str">
        <f>""</f>
        <v/>
      </c>
      <c r="CH331" t="str">
        <f>""</f>
        <v/>
      </c>
      <c r="CI331" t="str">
        <f>""</f>
        <v/>
      </c>
      <c r="CJ331" t="str">
        <f>""</f>
        <v/>
      </c>
      <c r="CK331" t="str">
        <f>""</f>
        <v/>
      </c>
      <c r="CL331" t="str">
        <f>""</f>
        <v/>
      </c>
      <c r="CM331" t="str">
        <f>""</f>
        <v/>
      </c>
      <c r="CN331" t="str">
        <f>""</f>
        <v/>
      </c>
      <c r="CO331" t="str">
        <f>""</f>
        <v/>
      </c>
      <c r="CP331" t="str">
        <f>""</f>
        <v/>
      </c>
      <c r="CQ331" t="str">
        <f>""</f>
        <v/>
      </c>
      <c r="CR331" t="str">
        <f>""</f>
        <v/>
      </c>
      <c r="CS331" t="str">
        <f>""</f>
        <v/>
      </c>
      <c r="CT331" t="str">
        <f>""</f>
        <v/>
      </c>
      <c r="CU331" t="str">
        <f>""</f>
        <v/>
      </c>
      <c r="CV331" t="str">
        <f>""</f>
        <v/>
      </c>
      <c r="CW331" t="str">
        <f>""</f>
        <v/>
      </c>
      <c r="CX331" t="str">
        <f>""</f>
        <v/>
      </c>
      <c r="CY331" t="str">
        <f>""</f>
        <v/>
      </c>
      <c r="CZ331" t="str">
        <f>""</f>
        <v/>
      </c>
      <c r="DA331" t="str">
        <f>""</f>
        <v/>
      </c>
      <c r="DB331" t="str">
        <f>""</f>
        <v/>
      </c>
      <c r="DC331" t="str">
        <f>""</f>
        <v/>
      </c>
      <c r="DD331" t="str">
        <f>""</f>
        <v/>
      </c>
      <c r="DE331" t="str">
        <f>""</f>
        <v/>
      </c>
      <c r="DF331" t="str">
        <f>""</f>
        <v/>
      </c>
      <c r="DG331" t="str">
        <f>""</f>
        <v/>
      </c>
      <c r="DH331" t="str">
        <f>""</f>
        <v/>
      </c>
      <c r="DI331" t="str">
        <f>""</f>
        <v/>
      </c>
      <c r="DJ331" t="str">
        <f>""</f>
        <v/>
      </c>
      <c r="DK331" t="str">
        <f>""</f>
        <v/>
      </c>
      <c r="DL331" t="str">
        <f>""</f>
        <v/>
      </c>
      <c r="DM331" t="str">
        <f>""</f>
        <v/>
      </c>
      <c r="DN331" t="str">
        <f>""</f>
        <v/>
      </c>
      <c r="DO331" t="str">
        <f>""</f>
        <v/>
      </c>
      <c r="DP331" t="str">
        <f>""</f>
        <v/>
      </c>
      <c r="DQ331" t="str">
        <f>""</f>
        <v/>
      </c>
      <c r="DR331" t="str">
        <f>""</f>
        <v/>
      </c>
      <c r="DS331" t="str">
        <f>""</f>
        <v/>
      </c>
      <c r="DT331" t="str">
        <f>""</f>
        <v/>
      </c>
      <c r="DU331" t="str">
        <f>""</f>
        <v/>
      </c>
      <c r="DV331" t="str">
        <f>""</f>
        <v/>
      </c>
      <c r="DW331" t="str">
        <f>""</f>
        <v/>
      </c>
      <c r="DX331" t="str">
        <f>""</f>
        <v/>
      </c>
      <c r="DY331" t="str">
        <f>""</f>
        <v/>
      </c>
      <c r="DZ331" t="str">
        <f>""</f>
        <v/>
      </c>
      <c r="EA331" t="str">
        <f>""</f>
        <v/>
      </c>
      <c r="EB331" t="str">
        <f>""</f>
        <v/>
      </c>
      <c r="EC331" t="str">
        <f>""</f>
        <v/>
      </c>
      <c r="ED331" t="str">
        <f>""</f>
        <v/>
      </c>
      <c r="EE331" t="str">
        <f>""</f>
        <v/>
      </c>
      <c r="EF331" t="str">
        <f>""</f>
        <v/>
      </c>
      <c r="EG331" t="str">
        <f>""</f>
        <v/>
      </c>
      <c r="EH331" t="str">
        <f>""</f>
        <v/>
      </c>
      <c r="EI331" t="str">
        <f>""</f>
        <v/>
      </c>
      <c r="EJ331" t="str">
        <f>""</f>
        <v/>
      </c>
      <c r="EK331" t="str">
        <f>""</f>
        <v/>
      </c>
      <c r="EL331" t="str">
        <f>""</f>
        <v/>
      </c>
      <c r="EM331" t="str">
        <f>""</f>
        <v/>
      </c>
      <c r="EN331" t="str">
        <f>""</f>
        <v/>
      </c>
      <c r="EO331" t="str">
        <f>""</f>
        <v/>
      </c>
      <c r="EP331" t="str">
        <f>""</f>
        <v/>
      </c>
      <c r="EQ331" t="str">
        <f>""</f>
        <v/>
      </c>
      <c r="ER331" t="str">
        <f>""</f>
        <v/>
      </c>
      <c r="ES331" t="str">
        <f>""</f>
        <v/>
      </c>
      <c r="ET331" t="str">
        <f>""</f>
        <v/>
      </c>
      <c r="EU331" t="str">
        <f>""</f>
        <v/>
      </c>
      <c r="EV331" t="str">
        <f>""</f>
        <v/>
      </c>
      <c r="EW331" t="str">
        <f>""</f>
        <v/>
      </c>
      <c r="EX331" t="str">
        <f>""</f>
        <v/>
      </c>
      <c r="EY331" t="str">
        <f>""</f>
        <v/>
      </c>
      <c r="EZ331" t="str">
        <f>""</f>
        <v/>
      </c>
      <c r="FA331" t="str">
        <f>""</f>
        <v/>
      </c>
      <c r="FB331" t="str">
        <f>""</f>
        <v/>
      </c>
      <c r="FC331" t="str">
        <f>""</f>
        <v/>
      </c>
      <c r="FD331" t="str">
        <f>""</f>
        <v/>
      </c>
      <c r="FE331" t="str">
        <f>""</f>
        <v/>
      </c>
      <c r="FF331" t="str">
        <f>""</f>
        <v/>
      </c>
      <c r="FG331" t="str">
        <f>""</f>
        <v/>
      </c>
      <c r="FH331" t="str">
        <f>""</f>
        <v/>
      </c>
      <c r="FI331" t="str">
        <f>""</f>
        <v/>
      </c>
      <c r="FJ331" t="str">
        <f>""</f>
        <v/>
      </c>
      <c r="FK331" t="str">
        <f>""</f>
        <v/>
      </c>
      <c r="FL331" t="str">
        <f>""</f>
        <v/>
      </c>
      <c r="FM331" t="str">
        <f>""</f>
        <v/>
      </c>
      <c r="FN331" t="str">
        <f>""</f>
        <v/>
      </c>
      <c r="FO331" t="str">
        <f>""</f>
        <v/>
      </c>
      <c r="FP331" t="str">
        <f>""</f>
        <v/>
      </c>
      <c r="FQ331" t="str">
        <f>""</f>
        <v/>
      </c>
      <c r="FR331" t="str">
        <f>""</f>
        <v/>
      </c>
      <c r="FS331" t="str">
        <f>""</f>
        <v/>
      </c>
      <c r="FT331" t="str">
        <f>""</f>
        <v/>
      </c>
      <c r="FU331" t="str">
        <f>""</f>
        <v/>
      </c>
      <c r="FV331" t="str">
        <f>""</f>
        <v/>
      </c>
      <c r="FW331" t="str">
        <f>""</f>
        <v/>
      </c>
      <c r="FX331" t="str">
        <f>""</f>
        <v/>
      </c>
      <c r="FY331" t="str">
        <f>""</f>
        <v/>
      </c>
      <c r="FZ331" t="str">
        <f>""</f>
        <v/>
      </c>
      <c r="GA331" t="str">
        <f>""</f>
        <v/>
      </c>
      <c r="GB331" t="str">
        <f>""</f>
        <v/>
      </c>
      <c r="GC331" t="str">
        <f>""</f>
        <v/>
      </c>
      <c r="GD331" t="str">
        <f>""</f>
        <v/>
      </c>
      <c r="GE331" t="str">
        <f>""</f>
        <v/>
      </c>
      <c r="GF331" t="str">
        <f>""</f>
        <v/>
      </c>
      <c r="GG331" t="str">
        <f>""</f>
        <v/>
      </c>
      <c r="GH331" t="str">
        <f>""</f>
        <v/>
      </c>
      <c r="GI331" t="str">
        <f>""</f>
        <v/>
      </c>
      <c r="GJ331" t="str">
        <f>""</f>
        <v/>
      </c>
      <c r="GK331" t="str">
        <f>""</f>
        <v/>
      </c>
      <c r="GL331" t="str">
        <f>""</f>
        <v/>
      </c>
      <c r="GM331" t="str">
        <f>""</f>
        <v/>
      </c>
      <c r="GN331" t="str">
        <f>""</f>
        <v/>
      </c>
      <c r="GO331" t="str">
        <f>""</f>
        <v/>
      </c>
      <c r="GP331" t="str">
        <f>""</f>
        <v/>
      </c>
      <c r="GQ331" t="str">
        <f>""</f>
        <v/>
      </c>
      <c r="GR331" t="str">
        <f>""</f>
        <v/>
      </c>
      <c r="GS331" t="str">
        <f>""</f>
        <v/>
      </c>
      <c r="GT331" t="str">
        <f>""</f>
        <v/>
      </c>
      <c r="GU331" t="str">
        <f>""</f>
        <v/>
      </c>
      <c r="GV331" t="str">
        <f>""</f>
        <v/>
      </c>
      <c r="GW331" t="str">
        <f>""</f>
        <v/>
      </c>
      <c r="GX331" t="str">
        <f>""</f>
        <v/>
      </c>
      <c r="GY331" t="str">
        <f>""</f>
        <v/>
      </c>
      <c r="GZ331" t="str">
        <f>""</f>
        <v/>
      </c>
      <c r="HA331" t="str">
        <f>""</f>
        <v/>
      </c>
      <c r="HB331" t="str">
        <f>""</f>
        <v/>
      </c>
      <c r="HC331" t="str">
        <f>""</f>
        <v/>
      </c>
      <c r="HD331" t="str">
        <f>""</f>
        <v/>
      </c>
      <c r="HE331" t="str">
        <f>""</f>
        <v/>
      </c>
      <c r="HF331" t="str">
        <f>""</f>
        <v/>
      </c>
      <c r="HG331" t="str">
        <f>""</f>
        <v/>
      </c>
      <c r="HH331" t="str">
        <f>""</f>
        <v/>
      </c>
      <c r="HI331" t="str">
        <f>""</f>
        <v/>
      </c>
      <c r="HJ331" t="str">
        <f>""</f>
        <v/>
      </c>
      <c r="HK331" t="str">
        <f>""</f>
        <v/>
      </c>
      <c r="HL331" t="str">
        <f>""</f>
        <v/>
      </c>
      <c r="HM331" t="str">
        <f>""</f>
        <v/>
      </c>
      <c r="HN331" t="str">
        <f>""</f>
        <v/>
      </c>
      <c r="HO331" t="str">
        <f>""</f>
        <v/>
      </c>
      <c r="HP331" t="str">
        <f>""</f>
        <v/>
      </c>
      <c r="HQ331" t="str">
        <f>""</f>
        <v/>
      </c>
      <c r="HR331" t="str">
        <f>""</f>
        <v/>
      </c>
      <c r="HS331" t="str">
        <f>""</f>
        <v/>
      </c>
      <c r="HT331" t="str">
        <f>""</f>
        <v/>
      </c>
      <c r="HU331" t="str">
        <f>""</f>
        <v/>
      </c>
      <c r="HV331" t="str">
        <f>""</f>
        <v/>
      </c>
      <c r="HW331" t="str">
        <f>""</f>
        <v/>
      </c>
      <c r="HX331" t="str">
        <f>""</f>
        <v/>
      </c>
      <c r="HY331" t="str">
        <f>""</f>
        <v/>
      </c>
      <c r="HZ331" t="str">
        <f>""</f>
        <v/>
      </c>
      <c r="IA331" t="str">
        <f>""</f>
        <v/>
      </c>
      <c r="IB331" t="str">
        <f>"(0.103)"</f>
        <v>(0.103)</v>
      </c>
      <c r="IC331" t="str">
        <f>"(0.0811)"</f>
        <v>(0.0811)</v>
      </c>
      <c r="ID331" t="str">
        <f>"(0.0439)"</f>
        <v>(0.0439)</v>
      </c>
      <c r="IE331" t="str">
        <f>""</f>
        <v/>
      </c>
      <c r="IF331" t="str">
        <f>""</f>
        <v/>
      </c>
      <c r="IG331" t="str">
        <f>""</f>
        <v/>
      </c>
      <c r="IH331" t="str">
        <f>""</f>
        <v/>
      </c>
      <c r="II331" t="str">
        <f>""</f>
        <v/>
      </c>
      <c r="IJ331" t="str">
        <f>""</f>
        <v/>
      </c>
      <c r="IK331" t="str">
        <f>""</f>
        <v/>
      </c>
      <c r="IL331" t="str">
        <f>""</f>
        <v/>
      </c>
      <c r="IM331" t="str">
        <f>""</f>
        <v/>
      </c>
      <c r="IN331" t="str">
        <f>""</f>
        <v/>
      </c>
      <c r="IO331" t="str">
        <f>""</f>
        <v/>
      </c>
      <c r="IP331" t="str">
        <f>""</f>
        <v/>
      </c>
      <c r="IQ331" t="str">
        <f>""</f>
        <v/>
      </c>
      <c r="IR331" t="str">
        <f>""</f>
        <v/>
      </c>
      <c r="IS331" t="str">
        <f>""</f>
        <v/>
      </c>
      <c r="IT331" t="str">
        <f>""</f>
        <v/>
      </c>
      <c r="IU331" t="str">
        <f>""</f>
        <v/>
      </c>
      <c r="IV331" t="str">
        <f>""</f>
        <v/>
      </c>
      <c r="IW331" t="str">
        <f>""</f>
        <v/>
      </c>
      <c r="IX331" t="str">
        <f>""</f>
        <v/>
      </c>
      <c r="IY331" t="str">
        <f>""</f>
        <v/>
      </c>
      <c r="IZ331" t="str">
        <f>""</f>
        <v/>
      </c>
      <c r="JA331" t="str">
        <f>""</f>
        <v/>
      </c>
      <c r="JB331" t="str">
        <f>""</f>
        <v/>
      </c>
      <c r="JC331" t="str">
        <f>""</f>
        <v/>
      </c>
      <c r="JD331" t="str">
        <f>""</f>
        <v/>
      </c>
      <c r="JE331" t="str">
        <f>""</f>
        <v/>
      </c>
      <c r="JF331" t="str">
        <f>""</f>
        <v/>
      </c>
      <c r="JG331" t="str">
        <f>""</f>
        <v/>
      </c>
      <c r="JH331" t="str">
        <f>""</f>
        <v/>
      </c>
      <c r="JI331" t="str">
        <f>""</f>
        <v/>
      </c>
      <c r="JJ331" t="str">
        <f>""</f>
        <v/>
      </c>
      <c r="JK331" t="str">
        <f>""</f>
        <v/>
      </c>
    </row>
    <row r="333" spans="1:271" x14ac:dyDescent="0.3">
      <c r="A333" t="str">
        <f>"c.zMETAB5#c.PM6"</f>
        <v>c.zMETAB5#c.PM6</v>
      </c>
      <c r="B333" t="str">
        <f>""</f>
        <v/>
      </c>
      <c r="C333" t="str">
        <f>""</f>
        <v/>
      </c>
      <c r="D333" t="str">
        <f>""</f>
        <v/>
      </c>
      <c r="E333" t="str">
        <f>""</f>
        <v/>
      </c>
      <c r="F333" t="str">
        <f>""</f>
        <v/>
      </c>
      <c r="G333" t="str">
        <f>""</f>
        <v/>
      </c>
      <c r="H333" t="str">
        <f>""</f>
        <v/>
      </c>
      <c r="I333" t="str">
        <f>""</f>
        <v/>
      </c>
      <c r="J333" t="str">
        <f>""</f>
        <v/>
      </c>
      <c r="K333" t="str">
        <f>""</f>
        <v/>
      </c>
      <c r="L333" t="str">
        <f>""</f>
        <v/>
      </c>
      <c r="M333" t="str">
        <f>""</f>
        <v/>
      </c>
      <c r="N333" t="str">
        <f>""</f>
        <v/>
      </c>
      <c r="O333" t="str">
        <f>""</f>
        <v/>
      </c>
      <c r="P333" t="str">
        <f>""</f>
        <v/>
      </c>
      <c r="Q333" t="str">
        <f>""</f>
        <v/>
      </c>
      <c r="R333" t="str">
        <f>""</f>
        <v/>
      </c>
      <c r="S333" t="str">
        <f>""</f>
        <v/>
      </c>
      <c r="T333" t="str">
        <f>""</f>
        <v/>
      </c>
      <c r="U333" t="str">
        <f>""</f>
        <v/>
      </c>
      <c r="V333" t="str">
        <f>""</f>
        <v/>
      </c>
      <c r="W333" t="str">
        <f>""</f>
        <v/>
      </c>
      <c r="X333" t="str">
        <f>""</f>
        <v/>
      </c>
      <c r="Y333" t="str">
        <f>""</f>
        <v/>
      </c>
      <c r="Z333" t="str">
        <f>""</f>
        <v/>
      </c>
      <c r="AA333" t="str">
        <f>""</f>
        <v/>
      </c>
      <c r="AB333" t="str">
        <f>""</f>
        <v/>
      </c>
      <c r="AC333" t="str">
        <f>""</f>
        <v/>
      </c>
      <c r="AD333" t="str">
        <f>""</f>
        <v/>
      </c>
      <c r="AE333" t="str">
        <f>""</f>
        <v/>
      </c>
      <c r="AF333" t="str">
        <f>""</f>
        <v/>
      </c>
      <c r="AG333" t="str">
        <f>""</f>
        <v/>
      </c>
      <c r="AH333" t="str">
        <f>""</f>
        <v/>
      </c>
      <c r="AI333" t="str">
        <f>""</f>
        <v/>
      </c>
      <c r="AJ333" t="str">
        <f>""</f>
        <v/>
      </c>
      <c r="AK333" t="str">
        <f>""</f>
        <v/>
      </c>
      <c r="AL333" t="str">
        <f>""</f>
        <v/>
      </c>
      <c r="AM333" t="str">
        <f>""</f>
        <v/>
      </c>
      <c r="AN333" t="str">
        <f>""</f>
        <v/>
      </c>
      <c r="AO333" t="str">
        <f>""</f>
        <v/>
      </c>
      <c r="AP333" t="str">
        <f>""</f>
        <v/>
      </c>
      <c r="AQ333" t="str">
        <f>""</f>
        <v/>
      </c>
      <c r="AR333" t="str">
        <f>""</f>
        <v/>
      </c>
      <c r="AS333" t="str">
        <f>""</f>
        <v/>
      </c>
      <c r="AT333" t="str">
        <f>""</f>
        <v/>
      </c>
      <c r="AU333" t="str">
        <f>""</f>
        <v/>
      </c>
      <c r="AV333" t="str">
        <f>""</f>
        <v/>
      </c>
      <c r="AW333" t="str">
        <f>""</f>
        <v/>
      </c>
      <c r="AX333" t="str">
        <f>""</f>
        <v/>
      </c>
      <c r="AY333" t="str">
        <f>""</f>
        <v/>
      </c>
      <c r="AZ333" t="str">
        <f>""</f>
        <v/>
      </c>
      <c r="BA333" t="str">
        <f>""</f>
        <v/>
      </c>
      <c r="BB333" t="str">
        <f>""</f>
        <v/>
      </c>
      <c r="BC333" t="str">
        <f>""</f>
        <v/>
      </c>
      <c r="BD333" t="str">
        <f>""</f>
        <v/>
      </c>
      <c r="BE333" t="str">
        <f>""</f>
        <v/>
      </c>
      <c r="BF333" t="str">
        <f>""</f>
        <v/>
      </c>
      <c r="BG333" t="str">
        <f>""</f>
        <v/>
      </c>
      <c r="BH333" t="str">
        <f>""</f>
        <v/>
      </c>
      <c r="BI333" t="str">
        <f>""</f>
        <v/>
      </c>
      <c r="BJ333" t="str">
        <f>""</f>
        <v/>
      </c>
      <c r="BK333" t="str">
        <f>""</f>
        <v/>
      </c>
      <c r="BL333" t="str">
        <f>""</f>
        <v/>
      </c>
      <c r="BM333" t="str">
        <f>""</f>
        <v/>
      </c>
      <c r="BN333" t="str">
        <f>""</f>
        <v/>
      </c>
      <c r="BO333" t="str">
        <f>""</f>
        <v/>
      </c>
      <c r="BP333" t="str">
        <f>""</f>
        <v/>
      </c>
      <c r="BQ333" t="str">
        <f>""</f>
        <v/>
      </c>
      <c r="BR333" t="str">
        <f>""</f>
        <v/>
      </c>
      <c r="BS333" t="str">
        <f>""</f>
        <v/>
      </c>
      <c r="BT333" t="str">
        <f>""</f>
        <v/>
      </c>
      <c r="BU333" t="str">
        <f>""</f>
        <v/>
      </c>
      <c r="BV333" t="str">
        <f>""</f>
        <v/>
      </c>
      <c r="BW333" t="str">
        <f>""</f>
        <v/>
      </c>
      <c r="BX333" t="str">
        <f>""</f>
        <v/>
      </c>
      <c r="BY333" t="str">
        <f>""</f>
        <v/>
      </c>
      <c r="BZ333" t="str">
        <f>""</f>
        <v/>
      </c>
      <c r="CA333" t="str">
        <f>""</f>
        <v/>
      </c>
      <c r="CB333" t="str">
        <f>""</f>
        <v/>
      </c>
      <c r="CC333" t="str">
        <f>""</f>
        <v/>
      </c>
      <c r="CD333" t="str">
        <f>""</f>
        <v/>
      </c>
      <c r="CE333" t="str">
        <f>""</f>
        <v/>
      </c>
      <c r="CF333" t="str">
        <f>""</f>
        <v/>
      </c>
      <c r="CG333" t="str">
        <f>""</f>
        <v/>
      </c>
      <c r="CH333" t="str">
        <f>""</f>
        <v/>
      </c>
      <c r="CI333" t="str">
        <f>""</f>
        <v/>
      </c>
      <c r="CJ333" t="str">
        <f>""</f>
        <v/>
      </c>
      <c r="CK333" t="str">
        <f>""</f>
        <v/>
      </c>
      <c r="CL333" t="str">
        <f>""</f>
        <v/>
      </c>
      <c r="CM333" t="str">
        <f>""</f>
        <v/>
      </c>
      <c r="CN333" t="str">
        <f>""</f>
        <v/>
      </c>
      <c r="CO333" t="str">
        <f>""</f>
        <v/>
      </c>
      <c r="CP333" t="str">
        <f>""</f>
        <v/>
      </c>
      <c r="CQ333" t="str">
        <f>""</f>
        <v/>
      </c>
      <c r="CR333" t="str">
        <f>""</f>
        <v/>
      </c>
      <c r="CS333" t="str">
        <f>""</f>
        <v/>
      </c>
      <c r="CT333" t="str">
        <f>""</f>
        <v/>
      </c>
      <c r="CU333" t="str">
        <f>""</f>
        <v/>
      </c>
      <c r="CV333" t="str">
        <f>""</f>
        <v/>
      </c>
      <c r="CW333" t="str">
        <f>""</f>
        <v/>
      </c>
      <c r="CX333" t="str">
        <f>""</f>
        <v/>
      </c>
      <c r="CY333" t="str">
        <f>""</f>
        <v/>
      </c>
      <c r="CZ333" t="str">
        <f>""</f>
        <v/>
      </c>
      <c r="DA333" t="str">
        <f>""</f>
        <v/>
      </c>
      <c r="DB333" t="str">
        <f>""</f>
        <v/>
      </c>
      <c r="DC333" t="str">
        <f>""</f>
        <v/>
      </c>
      <c r="DD333" t="str">
        <f>""</f>
        <v/>
      </c>
      <c r="DE333" t="str">
        <f>""</f>
        <v/>
      </c>
      <c r="DF333" t="str">
        <f>""</f>
        <v/>
      </c>
      <c r="DG333" t="str">
        <f>""</f>
        <v/>
      </c>
      <c r="DH333" t="str">
        <f>""</f>
        <v/>
      </c>
      <c r="DI333" t="str">
        <f>""</f>
        <v/>
      </c>
      <c r="DJ333" t="str">
        <f>""</f>
        <v/>
      </c>
      <c r="DK333" t="str">
        <f>""</f>
        <v/>
      </c>
      <c r="DL333" t="str">
        <f>""</f>
        <v/>
      </c>
      <c r="DM333" t="str">
        <f>""</f>
        <v/>
      </c>
      <c r="DN333" t="str">
        <f>""</f>
        <v/>
      </c>
      <c r="DO333" t="str">
        <f>""</f>
        <v/>
      </c>
      <c r="DP333" t="str">
        <f>""</f>
        <v/>
      </c>
      <c r="DQ333" t="str">
        <f>""</f>
        <v/>
      </c>
      <c r="DR333" t="str">
        <f>""</f>
        <v/>
      </c>
      <c r="DS333" t="str">
        <f>""</f>
        <v/>
      </c>
      <c r="DT333" t="str">
        <f>""</f>
        <v/>
      </c>
      <c r="DU333" t="str">
        <f>""</f>
        <v/>
      </c>
      <c r="DV333" t="str">
        <f>""</f>
        <v/>
      </c>
      <c r="DW333" t="str">
        <f>""</f>
        <v/>
      </c>
      <c r="DX333" t="str">
        <f>""</f>
        <v/>
      </c>
      <c r="DY333" t="str">
        <f>""</f>
        <v/>
      </c>
      <c r="DZ333" t="str">
        <f>""</f>
        <v/>
      </c>
      <c r="EA333" t="str">
        <f>""</f>
        <v/>
      </c>
      <c r="EB333" t="str">
        <f>""</f>
        <v/>
      </c>
      <c r="EC333" t="str">
        <f>""</f>
        <v/>
      </c>
      <c r="ED333" t="str">
        <f>""</f>
        <v/>
      </c>
      <c r="EE333" t="str">
        <f>""</f>
        <v/>
      </c>
      <c r="EF333" t="str">
        <f>""</f>
        <v/>
      </c>
      <c r="EG333" t="str">
        <f>""</f>
        <v/>
      </c>
      <c r="EH333" t="str">
        <f>""</f>
        <v/>
      </c>
      <c r="EI333" t="str">
        <f>""</f>
        <v/>
      </c>
      <c r="EJ333" t="str">
        <f>""</f>
        <v/>
      </c>
      <c r="EK333" t="str">
        <f>""</f>
        <v/>
      </c>
      <c r="EL333" t="str">
        <f>""</f>
        <v/>
      </c>
      <c r="EM333" t="str">
        <f>""</f>
        <v/>
      </c>
      <c r="EN333" t="str">
        <f>""</f>
        <v/>
      </c>
      <c r="EO333" t="str">
        <f>""</f>
        <v/>
      </c>
      <c r="EP333" t="str">
        <f>""</f>
        <v/>
      </c>
      <c r="EQ333" t="str">
        <f>""</f>
        <v/>
      </c>
      <c r="ER333" t="str">
        <f>""</f>
        <v/>
      </c>
      <c r="ES333" t="str">
        <f>""</f>
        <v/>
      </c>
      <c r="ET333" t="str">
        <f>""</f>
        <v/>
      </c>
      <c r="EU333" t="str">
        <f>""</f>
        <v/>
      </c>
      <c r="EV333" t="str">
        <f>""</f>
        <v/>
      </c>
      <c r="EW333" t="str">
        <f>""</f>
        <v/>
      </c>
      <c r="EX333" t="str">
        <f>""</f>
        <v/>
      </c>
      <c r="EY333" t="str">
        <f>""</f>
        <v/>
      </c>
      <c r="EZ333" t="str">
        <f>""</f>
        <v/>
      </c>
      <c r="FA333" t="str">
        <f>""</f>
        <v/>
      </c>
      <c r="FB333" t="str">
        <f>""</f>
        <v/>
      </c>
      <c r="FC333" t="str">
        <f>""</f>
        <v/>
      </c>
      <c r="FD333" t="str">
        <f>""</f>
        <v/>
      </c>
      <c r="FE333" t="str">
        <f>""</f>
        <v/>
      </c>
      <c r="FF333" t="str">
        <f>""</f>
        <v/>
      </c>
      <c r="FG333" t="str">
        <f>""</f>
        <v/>
      </c>
      <c r="FH333" t="str">
        <f>""</f>
        <v/>
      </c>
      <c r="FI333" t="str">
        <f>""</f>
        <v/>
      </c>
      <c r="FJ333" t="str">
        <f>""</f>
        <v/>
      </c>
      <c r="FK333" t="str">
        <f>""</f>
        <v/>
      </c>
      <c r="FL333" t="str">
        <f>""</f>
        <v/>
      </c>
      <c r="FM333" t="str">
        <f>""</f>
        <v/>
      </c>
      <c r="FN333" t="str">
        <f>""</f>
        <v/>
      </c>
      <c r="FO333" t="str">
        <f>""</f>
        <v/>
      </c>
      <c r="FP333" t="str">
        <f>""</f>
        <v/>
      </c>
      <c r="FQ333" t="str">
        <f>""</f>
        <v/>
      </c>
      <c r="FR333" t="str">
        <f>""</f>
        <v/>
      </c>
      <c r="FS333" t="str">
        <f>""</f>
        <v/>
      </c>
      <c r="FT333" t="str">
        <f>""</f>
        <v/>
      </c>
      <c r="FU333" t="str">
        <f>""</f>
        <v/>
      </c>
      <c r="FV333" t="str">
        <f>""</f>
        <v/>
      </c>
      <c r="FW333" t="str">
        <f>""</f>
        <v/>
      </c>
      <c r="FX333" t="str">
        <f>""</f>
        <v/>
      </c>
      <c r="FY333" t="str">
        <f>""</f>
        <v/>
      </c>
      <c r="FZ333" t="str">
        <f>""</f>
        <v/>
      </c>
      <c r="GA333" t="str">
        <f>""</f>
        <v/>
      </c>
      <c r="GB333" t="str">
        <f>""</f>
        <v/>
      </c>
      <c r="GC333" t="str">
        <f>""</f>
        <v/>
      </c>
      <c r="GD333" t="str">
        <f>""</f>
        <v/>
      </c>
      <c r="GE333" t="str">
        <f>""</f>
        <v/>
      </c>
      <c r="GF333" t="str">
        <f>""</f>
        <v/>
      </c>
      <c r="GG333" t="str">
        <f>""</f>
        <v/>
      </c>
      <c r="GH333" t="str">
        <f>""</f>
        <v/>
      </c>
      <c r="GI333" t="str">
        <f>""</f>
        <v/>
      </c>
      <c r="GJ333" t="str">
        <f>""</f>
        <v/>
      </c>
      <c r="GK333" t="str">
        <f>""</f>
        <v/>
      </c>
      <c r="GL333" t="str">
        <f>""</f>
        <v/>
      </c>
      <c r="GM333" t="str">
        <f>""</f>
        <v/>
      </c>
      <c r="GN333" t="str">
        <f>""</f>
        <v/>
      </c>
      <c r="GO333" t="str">
        <f>""</f>
        <v/>
      </c>
      <c r="GP333" t="str">
        <f>""</f>
        <v/>
      </c>
      <c r="GQ333" t="str">
        <f>""</f>
        <v/>
      </c>
      <c r="GR333" t="str">
        <f>""</f>
        <v/>
      </c>
      <c r="GS333" t="str">
        <f>""</f>
        <v/>
      </c>
      <c r="GT333" t="str">
        <f>""</f>
        <v/>
      </c>
      <c r="GU333" t="str">
        <f>""</f>
        <v/>
      </c>
      <c r="GV333" t="str">
        <f>""</f>
        <v/>
      </c>
      <c r="GW333" t="str">
        <f>""</f>
        <v/>
      </c>
      <c r="GX333" t="str">
        <f>""</f>
        <v/>
      </c>
      <c r="GY333" t="str">
        <f>""</f>
        <v/>
      </c>
      <c r="GZ333" t="str">
        <f>""</f>
        <v/>
      </c>
      <c r="HA333" t="str">
        <f>""</f>
        <v/>
      </c>
      <c r="HB333" t="str">
        <f>""</f>
        <v/>
      </c>
      <c r="HC333" t="str">
        <f>""</f>
        <v/>
      </c>
      <c r="HD333" t="str">
        <f>""</f>
        <v/>
      </c>
      <c r="HE333" t="str">
        <f>""</f>
        <v/>
      </c>
      <c r="HF333" t="str">
        <f>""</f>
        <v/>
      </c>
      <c r="HG333" t="str">
        <f>""</f>
        <v/>
      </c>
      <c r="HH333" t="str">
        <f>""</f>
        <v/>
      </c>
      <c r="HI333" t="str">
        <f>""</f>
        <v/>
      </c>
      <c r="HJ333" t="str">
        <f>""</f>
        <v/>
      </c>
      <c r="HK333" t="str">
        <f>""</f>
        <v/>
      </c>
      <c r="HL333" t="str">
        <f>""</f>
        <v/>
      </c>
      <c r="HM333" t="str">
        <f>""</f>
        <v/>
      </c>
      <c r="HN333" t="str">
        <f>""</f>
        <v/>
      </c>
      <c r="HO333" t="str">
        <f>""</f>
        <v/>
      </c>
      <c r="HP333" t="str">
        <f>""</f>
        <v/>
      </c>
      <c r="HQ333" t="str">
        <f>""</f>
        <v/>
      </c>
      <c r="HR333" t="str">
        <f>""</f>
        <v/>
      </c>
      <c r="HS333" t="str">
        <f>""</f>
        <v/>
      </c>
      <c r="HT333" t="str">
        <f>""</f>
        <v/>
      </c>
      <c r="HU333" t="str">
        <f>""</f>
        <v/>
      </c>
      <c r="HV333" t="str">
        <f>""</f>
        <v/>
      </c>
      <c r="HW333" t="str">
        <f>""</f>
        <v/>
      </c>
      <c r="HX333" t="str">
        <f>""</f>
        <v/>
      </c>
      <c r="HY333" t="str">
        <f>""</f>
        <v/>
      </c>
      <c r="HZ333" t="str">
        <f>""</f>
        <v/>
      </c>
      <c r="IA333" t="str">
        <f>""</f>
        <v/>
      </c>
      <c r="IB333" t="str">
        <f>""</f>
        <v/>
      </c>
      <c r="IC333" t="str">
        <f>""</f>
        <v/>
      </c>
      <c r="ID333" t="str">
        <f>""</f>
        <v/>
      </c>
      <c r="IE333" t="str">
        <f>"0.225*"</f>
        <v>0.225*</v>
      </c>
      <c r="IF333" t="str">
        <f>"-0.0707"</f>
        <v>-0.0707</v>
      </c>
      <c r="IG333" t="str">
        <f>"0.0229"</f>
        <v>0.0229</v>
      </c>
      <c r="IH333" t="str">
        <f>""</f>
        <v/>
      </c>
      <c r="II333" t="str">
        <f>""</f>
        <v/>
      </c>
      <c r="IJ333" t="str">
        <f>""</f>
        <v/>
      </c>
      <c r="IK333" t="str">
        <f>""</f>
        <v/>
      </c>
      <c r="IL333" t="str">
        <f>""</f>
        <v/>
      </c>
      <c r="IM333" t="str">
        <f>""</f>
        <v/>
      </c>
      <c r="IN333" t="str">
        <f>""</f>
        <v/>
      </c>
      <c r="IO333" t="str">
        <f>""</f>
        <v/>
      </c>
      <c r="IP333" t="str">
        <f>""</f>
        <v/>
      </c>
      <c r="IQ333" t="str">
        <f>""</f>
        <v/>
      </c>
      <c r="IR333" t="str">
        <f>""</f>
        <v/>
      </c>
      <c r="IS333" t="str">
        <f>""</f>
        <v/>
      </c>
      <c r="IT333" t="str">
        <f>""</f>
        <v/>
      </c>
      <c r="IU333" t="str">
        <f>""</f>
        <v/>
      </c>
      <c r="IV333" t="str">
        <f>""</f>
        <v/>
      </c>
      <c r="IW333" t="str">
        <f>""</f>
        <v/>
      </c>
      <c r="IX333" t="str">
        <f>""</f>
        <v/>
      </c>
      <c r="IY333" t="str">
        <f>""</f>
        <v/>
      </c>
      <c r="IZ333" t="str">
        <f>""</f>
        <v/>
      </c>
      <c r="JA333" t="str">
        <f>""</f>
        <v/>
      </c>
      <c r="JB333" t="str">
        <f>""</f>
        <v/>
      </c>
      <c r="JC333" t="str">
        <f>""</f>
        <v/>
      </c>
      <c r="JD333" t="str">
        <f>""</f>
        <v/>
      </c>
      <c r="JE333" t="str">
        <f>""</f>
        <v/>
      </c>
      <c r="JF333" t="str">
        <f>""</f>
        <v/>
      </c>
      <c r="JG333" t="str">
        <f>""</f>
        <v/>
      </c>
      <c r="JH333" t="str">
        <f>""</f>
        <v/>
      </c>
      <c r="JI333" t="str">
        <f>""</f>
        <v/>
      </c>
      <c r="JJ333" t="str">
        <f>""</f>
        <v/>
      </c>
      <c r="JK333" t="str">
        <f>""</f>
        <v/>
      </c>
    </row>
    <row r="334" spans="1:271" x14ac:dyDescent="0.3">
      <c r="A334" t="str">
        <f>""</f>
        <v/>
      </c>
      <c r="B334" t="str">
        <f>""</f>
        <v/>
      </c>
      <c r="C334" t="str">
        <f>""</f>
        <v/>
      </c>
      <c r="D334" t="str">
        <f>""</f>
        <v/>
      </c>
      <c r="E334" t="str">
        <f>""</f>
        <v/>
      </c>
      <c r="F334" t="str">
        <f>""</f>
        <v/>
      </c>
      <c r="G334" t="str">
        <f>""</f>
        <v/>
      </c>
      <c r="H334" t="str">
        <f>""</f>
        <v/>
      </c>
      <c r="I334" t="str">
        <f>""</f>
        <v/>
      </c>
      <c r="J334" t="str">
        <f>""</f>
        <v/>
      </c>
      <c r="K334" t="str">
        <f>""</f>
        <v/>
      </c>
      <c r="L334" t="str">
        <f>""</f>
        <v/>
      </c>
      <c r="M334" t="str">
        <f>""</f>
        <v/>
      </c>
      <c r="N334" t="str">
        <f>""</f>
        <v/>
      </c>
      <c r="O334" t="str">
        <f>""</f>
        <v/>
      </c>
      <c r="P334" t="str">
        <f>""</f>
        <v/>
      </c>
      <c r="Q334" t="str">
        <f>""</f>
        <v/>
      </c>
      <c r="R334" t="str">
        <f>""</f>
        <v/>
      </c>
      <c r="S334" t="str">
        <f>""</f>
        <v/>
      </c>
      <c r="T334" t="str">
        <f>""</f>
        <v/>
      </c>
      <c r="U334" t="str">
        <f>""</f>
        <v/>
      </c>
      <c r="V334" t="str">
        <f>""</f>
        <v/>
      </c>
      <c r="W334" t="str">
        <f>""</f>
        <v/>
      </c>
      <c r="X334" t="str">
        <f>""</f>
        <v/>
      </c>
      <c r="Y334" t="str">
        <f>""</f>
        <v/>
      </c>
      <c r="Z334" t="str">
        <f>""</f>
        <v/>
      </c>
      <c r="AA334" t="str">
        <f>""</f>
        <v/>
      </c>
      <c r="AB334" t="str">
        <f>""</f>
        <v/>
      </c>
      <c r="AC334" t="str">
        <f>""</f>
        <v/>
      </c>
      <c r="AD334" t="str">
        <f>""</f>
        <v/>
      </c>
      <c r="AE334" t="str">
        <f>""</f>
        <v/>
      </c>
      <c r="AF334" t="str">
        <f>""</f>
        <v/>
      </c>
      <c r="AG334" t="str">
        <f>""</f>
        <v/>
      </c>
      <c r="AH334" t="str">
        <f>""</f>
        <v/>
      </c>
      <c r="AI334" t="str">
        <f>""</f>
        <v/>
      </c>
      <c r="AJ334" t="str">
        <f>""</f>
        <v/>
      </c>
      <c r="AK334" t="str">
        <f>""</f>
        <v/>
      </c>
      <c r="AL334" t="str">
        <f>""</f>
        <v/>
      </c>
      <c r="AM334" t="str">
        <f>""</f>
        <v/>
      </c>
      <c r="AN334" t="str">
        <f>""</f>
        <v/>
      </c>
      <c r="AO334" t="str">
        <f>""</f>
        <v/>
      </c>
      <c r="AP334" t="str">
        <f>""</f>
        <v/>
      </c>
      <c r="AQ334" t="str">
        <f>""</f>
        <v/>
      </c>
      <c r="AR334" t="str">
        <f>""</f>
        <v/>
      </c>
      <c r="AS334" t="str">
        <f>""</f>
        <v/>
      </c>
      <c r="AT334" t="str">
        <f>""</f>
        <v/>
      </c>
      <c r="AU334" t="str">
        <f>""</f>
        <v/>
      </c>
      <c r="AV334" t="str">
        <f>""</f>
        <v/>
      </c>
      <c r="AW334" t="str">
        <f>""</f>
        <v/>
      </c>
      <c r="AX334" t="str">
        <f>""</f>
        <v/>
      </c>
      <c r="AY334" t="str">
        <f>""</f>
        <v/>
      </c>
      <c r="AZ334" t="str">
        <f>""</f>
        <v/>
      </c>
      <c r="BA334" t="str">
        <f>""</f>
        <v/>
      </c>
      <c r="BB334" t="str">
        <f>""</f>
        <v/>
      </c>
      <c r="BC334" t="str">
        <f>""</f>
        <v/>
      </c>
      <c r="BD334" t="str">
        <f>""</f>
        <v/>
      </c>
      <c r="BE334" t="str">
        <f>""</f>
        <v/>
      </c>
      <c r="BF334" t="str">
        <f>""</f>
        <v/>
      </c>
      <c r="BG334" t="str">
        <f>""</f>
        <v/>
      </c>
      <c r="BH334" t="str">
        <f>""</f>
        <v/>
      </c>
      <c r="BI334" t="str">
        <f>""</f>
        <v/>
      </c>
      <c r="BJ334" t="str">
        <f>""</f>
        <v/>
      </c>
      <c r="BK334" t="str">
        <f>""</f>
        <v/>
      </c>
      <c r="BL334" t="str">
        <f>""</f>
        <v/>
      </c>
      <c r="BM334" t="str">
        <f>""</f>
        <v/>
      </c>
      <c r="BN334" t="str">
        <f>""</f>
        <v/>
      </c>
      <c r="BO334" t="str">
        <f>""</f>
        <v/>
      </c>
      <c r="BP334" t="str">
        <f>""</f>
        <v/>
      </c>
      <c r="BQ334" t="str">
        <f>""</f>
        <v/>
      </c>
      <c r="BR334" t="str">
        <f>""</f>
        <v/>
      </c>
      <c r="BS334" t="str">
        <f>""</f>
        <v/>
      </c>
      <c r="BT334" t="str">
        <f>""</f>
        <v/>
      </c>
      <c r="BU334" t="str">
        <f>""</f>
        <v/>
      </c>
      <c r="BV334" t="str">
        <f>""</f>
        <v/>
      </c>
      <c r="BW334" t="str">
        <f>""</f>
        <v/>
      </c>
      <c r="BX334" t="str">
        <f>""</f>
        <v/>
      </c>
      <c r="BY334" t="str">
        <f>""</f>
        <v/>
      </c>
      <c r="BZ334" t="str">
        <f>""</f>
        <v/>
      </c>
      <c r="CA334" t="str">
        <f>""</f>
        <v/>
      </c>
      <c r="CB334" t="str">
        <f>""</f>
        <v/>
      </c>
      <c r="CC334" t="str">
        <f>""</f>
        <v/>
      </c>
      <c r="CD334" t="str">
        <f>""</f>
        <v/>
      </c>
      <c r="CE334" t="str">
        <f>""</f>
        <v/>
      </c>
      <c r="CF334" t="str">
        <f>""</f>
        <v/>
      </c>
      <c r="CG334" t="str">
        <f>""</f>
        <v/>
      </c>
      <c r="CH334" t="str">
        <f>""</f>
        <v/>
      </c>
      <c r="CI334" t="str">
        <f>""</f>
        <v/>
      </c>
      <c r="CJ334" t="str">
        <f>""</f>
        <v/>
      </c>
      <c r="CK334" t="str">
        <f>""</f>
        <v/>
      </c>
      <c r="CL334" t="str">
        <f>""</f>
        <v/>
      </c>
      <c r="CM334" t="str">
        <f>""</f>
        <v/>
      </c>
      <c r="CN334" t="str">
        <f>""</f>
        <v/>
      </c>
      <c r="CO334" t="str">
        <f>""</f>
        <v/>
      </c>
      <c r="CP334" t="str">
        <f>""</f>
        <v/>
      </c>
      <c r="CQ334" t="str">
        <f>""</f>
        <v/>
      </c>
      <c r="CR334" t="str">
        <f>""</f>
        <v/>
      </c>
      <c r="CS334" t="str">
        <f>""</f>
        <v/>
      </c>
      <c r="CT334" t="str">
        <f>""</f>
        <v/>
      </c>
      <c r="CU334" t="str">
        <f>""</f>
        <v/>
      </c>
      <c r="CV334" t="str">
        <f>""</f>
        <v/>
      </c>
      <c r="CW334" t="str">
        <f>""</f>
        <v/>
      </c>
      <c r="CX334" t="str">
        <f>""</f>
        <v/>
      </c>
      <c r="CY334" t="str">
        <f>""</f>
        <v/>
      </c>
      <c r="CZ334" t="str">
        <f>""</f>
        <v/>
      </c>
      <c r="DA334" t="str">
        <f>""</f>
        <v/>
      </c>
      <c r="DB334" t="str">
        <f>""</f>
        <v/>
      </c>
      <c r="DC334" t="str">
        <f>""</f>
        <v/>
      </c>
      <c r="DD334" t="str">
        <f>""</f>
        <v/>
      </c>
      <c r="DE334" t="str">
        <f>""</f>
        <v/>
      </c>
      <c r="DF334" t="str">
        <f>""</f>
        <v/>
      </c>
      <c r="DG334" t="str">
        <f>""</f>
        <v/>
      </c>
      <c r="DH334" t="str">
        <f>""</f>
        <v/>
      </c>
      <c r="DI334" t="str">
        <f>""</f>
        <v/>
      </c>
      <c r="DJ334" t="str">
        <f>""</f>
        <v/>
      </c>
      <c r="DK334" t="str">
        <f>""</f>
        <v/>
      </c>
      <c r="DL334" t="str">
        <f>""</f>
        <v/>
      </c>
      <c r="DM334" t="str">
        <f>""</f>
        <v/>
      </c>
      <c r="DN334" t="str">
        <f>""</f>
        <v/>
      </c>
      <c r="DO334" t="str">
        <f>""</f>
        <v/>
      </c>
      <c r="DP334" t="str">
        <f>""</f>
        <v/>
      </c>
      <c r="DQ334" t="str">
        <f>""</f>
        <v/>
      </c>
      <c r="DR334" t="str">
        <f>""</f>
        <v/>
      </c>
      <c r="DS334" t="str">
        <f>""</f>
        <v/>
      </c>
      <c r="DT334" t="str">
        <f>""</f>
        <v/>
      </c>
      <c r="DU334" t="str">
        <f>""</f>
        <v/>
      </c>
      <c r="DV334" t="str">
        <f>""</f>
        <v/>
      </c>
      <c r="DW334" t="str">
        <f>""</f>
        <v/>
      </c>
      <c r="DX334" t="str">
        <f>""</f>
        <v/>
      </c>
      <c r="DY334" t="str">
        <f>""</f>
        <v/>
      </c>
      <c r="DZ334" t="str">
        <f>""</f>
        <v/>
      </c>
      <c r="EA334" t="str">
        <f>""</f>
        <v/>
      </c>
      <c r="EB334" t="str">
        <f>""</f>
        <v/>
      </c>
      <c r="EC334" t="str">
        <f>""</f>
        <v/>
      </c>
      <c r="ED334" t="str">
        <f>""</f>
        <v/>
      </c>
      <c r="EE334" t="str">
        <f>""</f>
        <v/>
      </c>
      <c r="EF334" t="str">
        <f>""</f>
        <v/>
      </c>
      <c r="EG334" t="str">
        <f>""</f>
        <v/>
      </c>
      <c r="EH334" t="str">
        <f>""</f>
        <v/>
      </c>
      <c r="EI334" t="str">
        <f>""</f>
        <v/>
      </c>
      <c r="EJ334" t="str">
        <f>""</f>
        <v/>
      </c>
      <c r="EK334" t="str">
        <f>""</f>
        <v/>
      </c>
      <c r="EL334" t="str">
        <f>""</f>
        <v/>
      </c>
      <c r="EM334" t="str">
        <f>""</f>
        <v/>
      </c>
      <c r="EN334" t="str">
        <f>""</f>
        <v/>
      </c>
      <c r="EO334" t="str">
        <f>""</f>
        <v/>
      </c>
      <c r="EP334" t="str">
        <f>""</f>
        <v/>
      </c>
      <c r="EQ334" t="str">
        <f>""</f>
        <v/>
      </c>
      <c r="ER334" t="str">
        <f>""</f>
        <v/>
      </c>
      <c r="ES334" t="str">
        <f>""</f>
        <v/>
      </c>
      <c r="ET334" t="str">
        <f>""</f>
        <v/>
      </c>
      <c r="EU334" t="str">
        <f>""</f>
        <v/>
      </c>
      <c r="EV334" t="str">
        <f>""</f>
        <v/>
      </c>
      <c r="EW334" t="str">
        <f>""</f>
        <v/>
      </c>
      <c r="EX334" t="str">
        <f>""</f>
        <v/>
      </c>
      <c r="EY334" t="str">
        <f>""</f>
        <v/>
      </c>
      <c r="EZ334" t="str">
        <f>""</f>
        <v/>
      </c>
      <c r="FA334" t="str">
        <f>""</f>
        <v/>
      </c>
      <c r="FB334" t="str">
        <f>""</f>
        <v/>
      </c>
      <c r="FC334" t="str">
        <f>""</f>
        <v/>
      </c>
      <c r="FD334" t="str">
        <f>""</f>
        <v/>
      </c>
      <c r="FE334" t="str">
        <f>""</f>
        <v/>
      </c>
      <c r="FF334" t="str">
        <f>""</f>
        <v/>
      </c>
      <c r="FG334" t="str">
        <f>""</f>
        <v/>
      </c>
      <c r="FH334" t="str">
        <f>""</f>
        <v/>
      </c>
      <c r="FI334" t="str">
        <f>""</f>
        <v/>
      </c>
      <c r="FJ334" t="str">
        <f>""</f>
        <v/>
      </c>
      <c r="FK334" t="str">
        <f>""</f>
        <v/>
      </c>
      <c r="FL334" t="str">
        <f>""</f>
        <v/>
      </c>
      <c r="FM334" t="str">
        <f>""</f>
        <v/>
      </c>
      <c r="FN334" t="str">
        <f>""</f>
        <v/>
      </c>
      <c r="FO334" t="str">
        <f>""</f>
        <v/>
      </c>
      <c r="FP334" t="str">
        <f>""</f>
        <v/>
      </c>
      <c r="FQ334" t="str">
        <f>""</f>
        <v/>
      </c>
      <c r="FR334" t="str">
        <f>""</f>
        <v/>
      </c>
      <c r="FS334" t="str">
        <f>""</f>
        <v/>
      </c>
      <c r="FT334" t="str">
        <f>""</f>
        <v/>
      </c>
      <c r="FU334" t="str">
        <f>""</f>
        <v/>
      </c>
      <c r="FV334" t="str">
        <f>""</f>
        <v/>
      </c>
      <c r="FW334" t="str">
        <f>""</f>
        <v/>
      </c>
      <c r="FX334" t="str">
        <f>""</f>
        <v/>
      </c>
      <c r="FY334" t="str">
        <f>""</f>
        <v/>
      </c>
      <c r="FZ334" t="str">
        <f>""</f>
        <v/>
      </c>
      <c r="GA334" t="str">
        <f>""</f>
        <v/>
      </c>
      <c r="GB334" t="str">
        <f>""</f>
        <v/>
      </c>
      <c r="GC334" t="str">
        <f>""</f>
        <v/>
      </c>
      <c r="GD334" t="str">
        <f>""</f>
        <v/>
      </c>
      <c r="GE334" t="str">
        <f>""</f>
        <v/>
      </c>
      <c r="GF334" t="str">
        <f>""</f>
        <v/>
      </c>
      <c r="GG334" t="str">
        <f>""</f>
        <v/>
      </c>
      <c r="GH334" t="str">
        <f>""</f>
        <v/>
      </c>
      <c r="GI334" t="str">
        <f>""</f>
        <v/>
      </c>
      <c r="GJ334" t="str">
        <f>""</f>
        <v/>
      </c>
      <c r="GK334" t="str">
        <f>""</f>
        <v/>
      </c>
      <c r="GL334" t="str">
        <f>""</f>
        <v/>
      </c>
      <c r="GM334" t="str">
        <f>""</f>
        <v/>
      </c>
      <c r="GN334" t="str">
        <f>""</f>
        <v/>
      </c>
      <c r="GO334" t="str">
        <f>""</f>
        <v/>
      </c>
      <c r="GP334" t="str">
        <f>""</f>
        <v/>
      </c>
      <c r="GQ334" t="str">
        <f>""</f>
        <v/>
      </c>
      <c r="GR334" t="str">
        <f>""</f>
        <v/>
      </c>
      <c r="GS334" t="str">
        <f>""</f>
        <v/>
      </c>
      <c r="GT334" t="str">
        <f>""</f>
        <v/>
      </c>
      <c r="GU334" t="str">
        <f>""</f>
        <v/>
      </c>
      <c r="GV334" t="str">
        <f>""</f>
        <v/>
      </c>
      <c r="GW334" t="str">
        <f>""</f>
        <v/>
      </c>
      <c r="GX334" t="str">
        <f>""</f>
        <v/>
      </c>
      <c r="GY334" t="str">
        <f>""</f>
        <v/>
      </c>
      <c r="GZ334" t="str">
        <f>""</f>
        <v/>
      </c>
      <c r="HA334" t="str">
        <f>""</f>
        <v/>
      </c>
      <c r="HB334" t="str">
        <f>""</f>
        <v/>
      </c>
      <c r="HC334" t="str">
        <f>""</f>
        <v/>
      </c>
      <c r="HD334" t="str">
        <f>""</f>
        <v/>
      </c>
      <c r="HE334" t="str">
        <f>""</f>
        <v/>
      </c>
      <c r="HF334" t="str">
        <f>""</f>
        <v/>
      </c>
      <c r="HG334" t="str">
        <f>""</f>
        <v/>
      </c>
      <c r="HH334" t="str">
        <f>""</f>
        <v/>
      </c>
      <c r="HI334" t="str">
        <f>""</f>
        <v/>
      </c>
      <c r="HJ334" t="str">
        <f>""</f>
        <v/>
      </c>
      <c r="HK334" t="str">
        <f>""</f>
        <v/>
      </c>
      <c r="HL334" t="str">
        <f>""</f>
        <v/>
      </c>
      <c r="HM334" t="str">
        <f>""</f>
        <v/>
      </c>
      <c r="HN334" t="str">
        <f>""</f>
        <v/>
      </c>
      <c r="HO334" t="str">
        <f>""</f>
        <v/>
      </c>
      <c r="HP334" t="str">
        <f>""</f>
        <v/>
      </c>
      <c r="HQ334" t="str">
        <f>""</f>
        <v/>
      </c>
      <c r="HR334" t="str">
        <f>""</f>
        <v/>
      </c>
      <c r="HS334" t="str">
        <f>""</f>
        <v/>
      </c>
      <c r="HT334" t="str">
        <f>""</f>
        <v/>
      </c>
      <c r="HU334" t="str">
        <f>""</f>
        <v/>
      </c>
      <c r="HV334" t="str">
        <f>""</f>
        <v/>
      </c>
      <c r="HW334" t="str">
        <f>""</f>
        <v/>
      </c>
      <c r="HX334" t="str">
        <f>""</f>
        <v/>
      </c>
      <c r="HY334" t="str">
        <f>""</f>
        <v/>
      </c>
      <c r="HZ334" t="str">
        <f>""</f>
        <v/>
      </c>
      <c r="IA334" t="str">
        <f>""</f>
        <v/>
      </c>
      <c r="IB334" t="str">
        <f>""</f>
        <v/>
      </c>
      <c r="IC334" t="str">
        <f>""</f>
        <v/>
      </c>
      <c r="ID334" t="str">
        <f>""</f>
        <v/>
      </c>
      <c r="IE334" t="str">
        <f>"(0.103)"</f>
        <v>(0.103)</v>
      </c>
      <c r="IF334" t="str">
        <f>"(0.0818)"</f>
        <v>(0.0818)</v>
      </c>
      <c r="IG334" t="str">
        <f>"(0.0416)"</f>
        <v>(0.0416)</v>
      </c>
      <c r="IH334" t="str">
        <f>""</f>
        <v/>
      </c>
      <c r="II334" t="str">
        <f>""</f>
        <v/>
      </c>
      <c r="IJ334" t="str">
        <f>""</f>
        <v/>
      </c>
      <c r="IK334" t="str">
        <f>""</f>
        <v/>
      </c>
      <c r="IL334" t="str">
        <f>""</f>
        <v/>
      </c>
      <c r="IM334" t="str">
        <f>""</f>
        <v/>
      </c>
      <c r="IN334" t="str">
        <f>""</f>
        <v/>
      </c>
      <c r="IO334" t="str">
        <f>""</f>
        <v/>
      </c>
      <c r="IP334" t="str">
        <f>""</f>
        <v/>
      </c>
      <c r="IQ334" t="str">
        <f>""</f>
        <v/>
      </c>
      <c r="IR334" t="str">
        <f>""</f>
        <v/>
      </c>
      <c r="IS334" t="str">
        <f>""</f>
        <v/>
      </c>
      <c r="IT334" t="str">
        <f>""</f>
        <v/>
      </c>
      <c r="IU334" t="str">
        <f>""</f>
        <v/>
      </c>
      <c r="IV334" t="str">
        <f>""</f>
        <v/>
      </c>
      <c r="IW334" t="str">
        <f>""</f>
        <v/>
      </c>
      <c r="IX334" t="str">
        <f>""</f>
        <v/>
      </c>
      <c r="IY334" t="str">
        <f>""</f>
        <v/>
      </c>
      <c r="IZ334" t="str">
        <f>""</f>
        <v/>
      </c>
      <c r="JA334" t="str">
        <f>""</f>
        <v/>
      </c>
      <c r="JB334" t="str">
        <f>""</f>
        <v/>
      </c>
      <c r="JC334" t="str">
        <f>""</f>
        <v/>
      </c>
      <c r="JD334" t="str">
        <f>""</f>
        <v/>
      </c>
      <c r="JE334" t="str">
        <f>""</f>
        <v/>
      </c>
      <c r="JF334" t="str">
        <f>""</f>
        <v/>
      </c>
      <c r="JG334" t="str">
        <f>""</f>
        <v/>
      </c>
      <c r="JH334" t="str">
        <f>""</f>
        <v/>
      </c>
      <c r="JI334" t="str">
        <f>""</f>
        <v/>
      </c>
      <c r="JJ334" t="str">
        <f>""</f>
        <v/>
      </c>
      <c r="JK334" t="str">
        <f>""</f>
        <v/>
      </c>
    </row>
    <row r="336" spans="1:271" x14ac:dyDescent="0.3">
      <c r="A336" t="str">
        <f>"c.zMETAB6#c.PM6"</f>
        <v>c.zMETAB6#c.PM6</v>
      </c>
      <c r="B336" t="str">
        <f>""</f>
        <v/>
      </c>
      <c r="C336" t="str">
        <f>""</f>
        <v/>
      </c>
      <c r="D336" t="str">
        <f>""</f>
        <v/>
      </c>
      <c r="E336" t="str">
        <f>""</f>
        <v/>
      </c>
      <c r="F336" t="str">
        <f>""</f>
        <v/>
      </c>
      <c r="G336" t="str">
        <f>""</f>
        <v/>
      </c>
      <c r="H336" t="str">
        <f>""</f>
        <v/>
      </c>
      <c r="I336" t="str">
        <f>""</f>
        <v/>
      </c>
      <c r="J336" t="str">
        <f>""</f>
        <v/>
      </c>
      <c r="K336" t="str">
        <f>""</f>
        <v/>
      </c>
      <c r="L336" t="str">
        <f>""</f>
        <v/>
      </c>
      <c r="M336" t="str">
        <f>""</f>
        <v/>
      </c>
      <c r="N336" t="str">
        <f>""</f>
        <v/>
      </c>
      <c r="O336" t="str">
        <f>""</f>
        <v/>
      </c>
      <c r="P336" t="str">
        <f>""</f>
        <v/>
      </c>
      <c r="Q336" t="str">
        <f>""</f>
        <v/>
      </c>
      <c r="R336" t="str">
        <f>""</f>
        <v/>
      </c>
      <c r="S336" t="str">
        <f>""</f>
        <v/>
      </c>
      <c r="T336" t="str">
        <f>""</f>
        <v/>
      </c>
      <c r="U336" t="str">
        <f>""</f>
        <v/>
      </c>
      <c r="V336" t="str">
        <f>""</f>
        <v/>
      </c>
      <c r="W336" t="str">
        <f>""</f>
        <v/>
      </c>
      <c r="X336" t="str">
        <f>""</f>
        <v/>
      </c>
      <c r="Y336" t="str">
        <f>""</f>
        <v/>
      </c>
      <c r="Z336" t="str">
        <f>""</f>
        <v/>
      </c>
      <c r="AA336" t="str">
        <f>""</f>
        <v/>
      </c>
      <c r="AB336" t="str">
        <f>""</f>
        <v/>
      </c>
      <c r="AC336" t="str">
        <f>""</f>
        <v/>
      </c>
      <c r="AD336" t="str">
        <f>""</f>
        <v/>
      </c>
      <c r="AE336" t="str">
        <f>""</f>
        <v/>
      </c>
      <c r="AF336" t="str">
        <f>""</f>
        <v/>
      </c>
      <c r="AG336" t="str">
        <f>""</f>
        <v/>
      </c>
      <c r="AH336" t="str">
        <f>""</f>
        <v/>
      </c>
      <c r="AI336" t="str">
        <f>""</f>
        <v/>
      </c>
      <c r="AJ336" t="str">
        <f>""</f>
        <v/>
      </c>
      <c r="AK336" t="str">
        <f>""</f>
        <v/>
      </c>
      <c r="AL336" t="str">
        <f>""</f>
        <v/>
      </c>
      <c r="AM336" t="str">
        <f>""</f>
        <v/>
      </c>
      <c r="AN336" t="str">
        <f>""</f>
        <v/>
      </c>
      <c r="AO336" t="str">
        <f>""</f>
        <v/>
      </c>
      <c r="AP336" t="str">
        <f>""</f>
        <v/>
      </c>
      <c r="AQ336" t="str">
        <f>""</f>
        <v/>
      </c>
      <c r="AR336" t="str">
        <f>""</f>
        <v/>
      </c>
      <c r="AS336" t="str">
        <f>""</f>
        <v/>
      </c>
      <c r="AT336" t="str">
        <f>""</f>
        <v/>
      </c>
      <c r="AU336" t="str">
        <f>""</f>
        <v/>
      </c>
      <c r="AV336" t="str">
        <f>""</f>
        <v/>
      </c>
      <c r="AW336" t="str">
        <f>""</f>
        <v/>
      </c>
      <c r="AX336" t="str">
        <f>""</f>
        <v/>
      </c>
      <c r="AY336" t="str">
        <f>""</f>
        <v/>
      </c>
      <c r="AZ336" t="str">
        <f>""</f>
        <v/>
      </c>
      <c r="BA336" t="str">
        <f>""</f>
        <v/>
      </c>
      <c r="BB336" t="str">
        <f>""</f>
        <v/>
      </c>
      <c r="BC336" t="str">
        <f>""</f>
        <v/>
      </c>
      <c r="BD336" t="str">
        <f>""</f>
        <v/>
      </c>
      <c r="BE336" t="str">
        <f>""</f>
        <v/>
      </c>
      <c r="BF336" t="str">
        <f>""</f>
        <v/>
      </c>
      <c r="BG336" t="str">
        <f>""</f>
        <v/>
      </c>
      <c r="BH336" t="str">
        <f>""</f>
        <v/>
      </c>
      <c r="BI336" t="str">
        <f>""</f>
        <v/>
      </c>
      <c r="BJ336" t="str">
        <f>""</f>
        <v/>
      </c>
      <c r="BK336" t="str">
        <f>""</f>
        <v/>
      </c>
      <c r="BL336" t="str">
        <f>""</f>
        <v/>
      </c>
      <c r="BM336" t="str">
        <f>""</f>
        <v/>
      </c>
      <c r="BN336" t="str">
        <f>""</f>
        <v/>
      </c>
      <c r="BO336" t="str">
        <f>""</f>
        <v/>
      </c>
      <c r="BP336" t="str">
        <f>""</f>
        <v/>
      </c>
      <c r="BQ336" t="str">
        <f>""</f>
        <v/>
      </c>
      <c r="BR336" t="str">
        <f>""</f>
        <v/>
      </c>
      <c r="BS336" t="str">
        <f>""</f>
        <v/>
      </c>
      <c r="BT336" t="str">
        <f>""</f>
        <v/>
      </c>
      <c r="BU336" t="str">
        <f>""</f>
        <v/>
      </c>
      <c r="BV336" t="str">
        <f>""</f>
        <v/>
      </c>
      <c r="BW336" t="str">
        <f>""</f>
        <v/>
      </c>
      <c r="BX336" t="str">
        <f>""</f>
        <v/>
      </c>
      <c r="BY336" t="str">
        <f>""</f>
        <v/>
      </c>
      <c r="BZ336" t="str">
        <f>""</f>
        <v/>
      </c>
      <c r="CA336" t="str">
        <f>""</f>
        <v/>
      </c>
      <c r="CB336" t="str">
        <f>""</f>
        <v/>
      </c>
      <c r="CC336" t="str">
        <f>""</f>
        <v/>
      </c>
      <c r="CD336" t="str">
        <f>""</f>
        <v/>
      </c>
      <c r="CE336" t="str">
        <f>""</f>
        <v/>
      </c>
      <c r="CF336" t="str">
        <f>""</f>
        <v/>
      </c>
      <c r="CG336" t="str">
        <f>""</f>
        <v/>
      </c>
      <c r="CH336" t="str">
        <f>""</f>
        <v/>
      </c>
      <c r="CI336" t="str">
        <f>""</f>
        <v/>
      </c>
      <c r="CJ336" t="str">
        <f>""</f>
        <v/>
      </c>
      <c r="CK336" t="str">
        <f>""</f>
        <v/>
      </c>
      <c r="CL336" t="str">
        <f>""</f>
        <v/>
      </c>
      <c r="CM336" t="str">
        <f>""</f>
        <v/>
      </c>
      <c r="CN336" t="str">
        <f>""</f>
        <v/>
      </c>
      <c r="CO336" t="str">
        <f>""</f>
        <v/>
      </c>
      <c r="CP336" t="str">
        <f>""</f>
        <v/>
      </c>
      <c r="CQ336" t="str">
        <f>""</f>
        <v/>
      </c>
      <c r="CR336" t="str">
        <f>""</f>
        <v/>
      </c>
      <c r="CS336" t="str">
        <f>""</f>
        <v/>
      </c>
      <c r="CT336" t="str">
        <f>""</f>
        <v/>
      </c>
      <c r="CU336" t="str">
        <f>""</f>
        <v/>
      </c>
      <c r="CV336" t="str">
        <f>""</f>
        <v/>
      </c>
      <c r="CW336" t="str">
        <f>""</f>
        <v/>
      </c>
      <c r="CX336" t="str">
        <f>""</f>
        <v/>
      </c>
      <c r="CY336" t="str">
        <f>""</f>
        <v/>
      </c>
      <c r="CZ336" t="str">
        <f>""</f>
        <v/>
      </c>
      <c r="DA336" t="str">
        <f>""</f>
        <v/>
      </c>
      <c r="DB336" t="str">
        <f>""</f>
        <v/>
      </c>
      <c r="DC336" t="str">
        <f>""</f>
        <v/>
      </c>
      <c r="DD336" t="str">
        <f>""</f>
        <v/>
      </c>
      <c r="DE336" t="str">
        <f>""</f>
        <v/>
      </c>
      <c r="DF336" t="str">
        <f>""</f>
        <v/>
      </c>
      <c r="DG336" t="str">
        <f>""</f>
        <v/>
      </c>
      <c r="DH336" t="str">
        <f>""</f>
        <v/>
      </c>
      <c r="DI336" t="str">
        <f>""</f>
        <v/>
      </c>
      <c r="DJ336" t="str">
        <f>""</f>
        <v/>
      </c>
      <c r="DK336" t="str">
        <f>""</f>
        <v/>
      </c>
      <c r="DL336" t="str">
        <f>""</f>
        <v/>
      </c>
      <c r="DM336" t="str">
        <f>""</f>
        <v/>
      </c>
      <c r="DN336" t="str">
        <f>""</f>
        <v/>
      </c>
      <c r="DO336" t="str">
        <f>""</f>
        <v/>
      </c>
      <c r="DP336" t="str">
        <f>""</f>
        <v/>
      </c>
      <c r="DQ336" t="str">
        <f>""</f>
        <v/>
      </c>
      <c r="DR336" t="str">
        <f>""</f>
        <v/>
      </c>
      <c r="DS336" t="str">
        <f>""</f>
        <v/>
      </c>
      <c r="DT336" t="str">
        <f>""</f>
        <v/>
      </c>
      <c r="DU336" t="str">
        <f>""</f>
        <v/>
      </c>
      <c r="DV336" t="str">
        <f>""</f>
        <v/>
      </c>
      <c r="DW336" t="str">
        <f>""</f>
        <v/>
      </c>
      <c r="DX336" t="str">
        <f>""</f>
        <v/>
      </c>
      <c r="DY336" t="str">
        <f>""</f>
        <v/>
      </c>
      <c r="DZ336" t="str">
        <f>""</f>
        <v/>
      </c>
      <c r="EA336" t="str">
        <f>""</f>
        <v/>
      </c>
      <c r="EB336" t="str">
        <f>""</f>
        <v/>
      </c>
      <c r="EC336" t="str">
        <f>""</f>
        <v/>
      </c>
      <c r="ED336" t="str">
        <f>""</f>
        <v/>
      </c>
      <c r="EE336" t="str">
        <f>""</f>
        <v/>
      </c>
      <c r="EF336" t="str">
        <f>""</f>
        <v/>
      </c>
      <c r="EG336" t="str">
        <f>""</f>
        <v/>
      </c>
      <c r="EH336" t="str">
        <f>""</f>
        <v/>
      </c>
      <c r="EI336" t="str">
        <f>""</f>
        <v/>
      </c>
      <c r="EJ336" t="str">
        <f>""</f>
        <v/>
      </c>
      <c r="EK336" t="str">
        <f>""</f>
        <v/>
      </c>
      <c r="EL336" t="str">
        <f>""</f>
        <v/>
      </c>
      <c r="EM336" t="str">
        <f>""</f>
        <v/>
      </c>
      <c r="EN336" t="str">
        <f>""</f>
        <v/>
      </c>
      <c r="EO336" t="str">
        <f>""</f>
        <v/>
      </c>
      <c r="EP336" t="str">
        <f>""</f>
        <v/>
      </c>
      <c r="EQ336" t="str">
        <f>""</f>
        <v/>
      </c>
      <c r="ER336" t="str">
        <f>""</f>
        <v/>
      </c>
      <c r="ES336" t="str">
        <f>""</f>
        <v/>
      </c>
      <c r="ET336" t="str">
        <f>""</f>
        <v/>
      </c>
      <c r="EU336" t="str">
        <f>""</f>
        <v/>
      </c>
      <c r="EV336" t="str">
        <f>""</f>
        <v/>
      </c>
      <c r="EW336" t="str">
        <f>""</f>
        <v/>
      </c>
      <c r="EX336" t="str">
        <f>""</f>
        <v/>
      </c>
      <c r="EY336" t="str">
        <f>""</f>
        <v/>
      </c>
      <c r="EZ336" t="str">
        <f>""</f>
        <v/>
      </c>
      <c r="FA336" t="str">
        <f>""</f>
        <v/>
      </c>
      <c r="FB336" t="str">
        <f>""</f>
        <v/>
      </c>
      <c r="FC336" t="str">
        <f>""</f>
        <v/>
      </c>
      <c r="FD336" t="str">
        <f>""</f>
        <v/>
      </c>
      <c r="FE336" t="str">
        <f>""</f>
        <v/>
      </c>
      <c r="FF336" t="str">
        <f>""</f>
        <v/>
      </c>
      <c r="FG336" t="str">
        <f>""</f>
        <v/>
      </c>
      <c r="FH336" t="str">
        <f>""</f>
        <v/>
      </c>
      <c r="FI336" t="str">
        <f>""</f>
        <v/>
      </c>
      <c r="FJ336" t="str">
        <f>""</f>
        <v/>
      </c>
      <c r="FK336" t="str">
        <f>""</f>
        <v/>
      </c>
      <c r="FL336" t="str">
        <f>""</f>
        <v/>
      </c>
      <c r="FM336" t="str">
        <f>""</f>
        <v/>
      </c>
      <c r="FN336" t="str">
        <f>""</f>
        <v/>
      </c>
      <c r="FO336" t="str">
        <f>""</f>
        <v/>
      </c>
      <c r="FP336" t="str">
        <f>""</f>
        <v/>
      </c>
      <c r="FQ336" t="str">
        <f>""</f>
        <v/>
      </c>
      <c r="FR336" t="str">
        <f>""</f>
        <v/>
      </c>
      <c r="FS336" t="str">
        <f>""</f>
        <v/>
      </c>
      <c r="FT336" t="str">
        <f>""</f>
        <v/>
      </c>
      <c r="FU336" t="str">
        <f>""</f>
        <v/>
      </c>
      <c r="FV336" t="str">
        <f>""</f>
        <v/>
      </c>
      <c r="FW336" t="str">
        <f>""</f>
        <v/>
      </c>
      <c r="FX336" t="str">
        <f>""</f>
        <v/>
      </c>
      <c r="FY336" t="str">
        <f>""</f>
        <v/>
      </c>
      <c r="FZ336" t="str">
        <f>""</f>
        <v/>
      </c>
      <c r="GA336" t="str">
        <f>""</f>
        <v/>
      </c>
      <c r="GB336" t="str">
        <f>""</f>
        <v/>
      </c>
      <c r="GC336" t="str">
        <f>""</f>
        <v/>
      </c>
      <c r="GD336" t="str">
        <f>""</f>
        <v/>
      </c>
      <c r="GE336" t="str">
        <f>""</f>
        <v/>
      </c>
      <c r="GF336" t="str">
        <f>""</f>
        <v/>
      </c>
      <c r="GG336" t="str">
        <f>""</f>
        <v/>
      </c>
      <c r="GH336" t="str">
        <f>""</f>
        <v/>
      </c>
      <c r="GI336" t="str">
        <f>""</f>
        <v/>
      </c>
      <c r="GJ336" t="str">
        <f>""</f>
        <v/>
      </c>
      <c r="GK336" t="str">
        <f>""</f>
        <v/>
      </c>
      <c r="GL336" t="str">
        <f>""</f>
        <v/>
      </c>
      <c r="GM336" t="str">
        <f>""</f>
        <v/>
      </c>
      <c r="GN336" t="str">
        <f>""</f>
        <v/>
      </c>
      <c r="GO336" t="str">
        <f>""</f>
        <v/>
      </c>
      <c r="GP336" t="str">
        <f>""</f>
        <v/>
      </c>
      <c r="GQ336" t="str">
        <f>""</f>
        <v/>
      </c>
      <c r="GR336" t="str">
        <f>""</f>
        <v/>
      </c>
      <c r="GS336" t="str">
        <f>""</f>
        <v/>
      </c>
      <c r="GT336" t="str">
        <f>""</f>
        <v/>
      </c>
      <c r="GU336" t="str">
        <f>""</f>
        <v/>
      </c>
      <c r="GV336" t="str">
        <f>""</f>
        <v/>
      </c>
      <c r="GW336" t="str">
        <f>""</f>
        <v/>
      </c>
      <c r="GX336" t="str">
        <f>""</f>
        <v/>
      </c>
      <c r="GY336" t="str">
        <f>""</f>
        <v/>
      </c>
      <c r="GZ336" t="str">
        <f>""</f>
        <v/>
      </c>
      <c r="HA336" t="str">
        <f>""</f>
        <v/>
      </c>
      <c r="HB336" t="str">
        <f>""</f>
        <v/>
      </c>
      <c r="HC336" t="str">
        <f>""</f>
        <v/>
      </c>
      <c r="HD336" t="str">
        <f>""</f>
        <v/>
      </c>
      <c r="HE336" t="str">
        <f>""</f>
        <v/>
      </c>
      <c r="HF336" t="str">
        <f>""</f>
        <v/>
      </c>
      <c r="HG336" t="str">
        <f>""</f>
        <v/>
      </c>
      <c r="HH336" t="str">
        <f>""</f>
        <v/>
      </c>
      <c r="HI336" t="str">
        <f>""</f>
        <v/>
      </c>
      <c r="HJ336" t="str">
        <f>""</f>
        <v/>
      </c>
      <c r="HK336" t="str">
        <f>""</f>
        <v/>
      </c>
      <c r="HL336" t="str">
        <f>""</f>
        <v/>
      </c>
      <c r="HM336" t="str">
        <f>""</f>
        <v/>
      </c>
      <c r="HN336" t="str">
        <f>""</f>
        <v/>
      </c>
      <c r="HO336" t="str">
        <f>""</f>
        <v/>
      </c>
      <c r="HP336" t="str">
        <f>""</f>
        <v/>
      </c>
      <c r="HQ336" t="str">
        <f>""</f>
        <v/>
      </c>
      <c r="HR336" t="str">
        <f>""</f>
        <v/>
      </c>
      <c r="HS336" t="str">
        <f>""</f>
        <v/>
      </c>
      <c r="HT336" t="str">
        <f>""</f>
        <v/>
      </c>
      <c r="HU336" t="str">
        <f>""</f>
        <v/>
      </c>
      <c r="HV336" t="str">
        <f>""</f>
        <v/>
      </c>
      <c r="HW336" t="str">
        <f>""</f>
        <v/>
      </c>
      <c r="HX336" t="str">
        <f>""</f>
        <v/>
      </c>
      <c r="HY336" t="str">
        <f>""</f>
        <v/>
      </c>
      <c r="HZ336" t="str">
        <f>""</f>
        <v/>
      </c>
      <c r="IA336" t="str">
        <f>""</f>
        <v/>
      </c>
      <c r="IB336" t="str">
        <f>""</f>
        <v/>
      </c>
      <c r="IC336" t="str">
        <f>""</f>
        <v/>
      </c>
      <c r="ID336" t="str">
        <f>""</f>
        <v/>
      </c>
      <c r="IE336" t="str">
        <f>""</f>
        <v/>
      </c>
      <c r="IF336" t="str">
        <f>""</f>
        <v/>
      </c>
      <c r="IG336" t="str">
        <f>""</f>
        <v/>
      </c>
      <c r="IH336" t="str">
        <f>"0.0147"</f>
        <v>0.0147</v>
      </c>
      <c r="II336" t="str">
        <f>"-0.0325"</f>
        <v>-0.0325</v>
      </c>
      <c r="IJ336" t="str">
        <f>"0.0447"</f>
        <v>0.0447</v>
      </c>
      <c r="IK336" t="str">
        <f>""</f>
        <v/>
      </c>
      <c r="IL336" t="str">
        <f>""</f>
        <v/>
      </c>
      <c r="IM336" t="str">
        <f>""</f>
        <v/>
      </c>
      <c r="IN336" t="str">
        <f>""</f>
        <v/>
      </c>
      <c r="IO336" t="str">
        <f>""</f>
        <v/>
      </c>
      <c r="IP336" t="str">
        <f>""</f>
        <v/>
      </c>
      <c r="IQ336" t="str">
        <f>""</f>
        <v/>
      </c>
      <c r="IR336" t="str">
        <f>""</f>
        <v/>
      </c>
      <c r="IS336" t="str">
        <f>""</f>
        <v/>
      </c>
      <c r="IT336" t="str">
        <f>""</f>
        <v/>
      </c>
      <c r="IU336" t="str">
        <f>""</f>
        <v/>
      </c>
      <c r="IV336" t="str">
        <f>""</f>
        <v/>
      </c>
      <c r="IW336" t="str">
        <f>""</f>
        <v/>
      </c>
      <c r="IX336" t="str">
        <f>""</f>
        <v/>
      </c>
      <c r="IY336" t="str">
        <f>""</f>
        <v/>
      </c>
      <c r="IZ336" t="str">
        <f>""</f>
        <v/>
      </c>
      <c r="JA336" t="str">
        <f>""</f>
        <v/>
      </c>
      <c r="JB336" t="str">
        <f>""</f>
        <v/>
      </c>
      <c r="JC336" t="str">
        <f>""</f>
        <v/>
      </c>
      <c r="JD336" t="str">
        <f>""</f>
        <v/>
      </c>
      <c r="JE336" t="str">
        <f>""</f>
        <v/>
      </c>
      <c r="JF336" t="str">
        <f>""</f>
        <v/>
      </c>
      <c r="JG336" t="str">
        <f>""</f>
        <v/>
      </c>
      <c r="JH336" t="str">
        <f>""</f>
        <v/>
      </c>
      <c r="JI336" t="str">
        <f>""</f>
        <v/>
      </c>
      <c r="JJ336" t="str">
        <f>""</f>
        <v/>
      </c>
      <c r="JK336" t="str">
        <f>""</f>
        <v/>
      </c>
    </row>
    <row r="337" spans="1:271" x14ac:dyDescent="0.3">
      <c r="A337" t="str">
        <f>""</f>
        <v/>
      </c>
      <c r="B337" t="str">
        <f>""</f>
        <v/>
      </c>
      <c r="C337" t="str">
        <f>""</f>
        <v/>
      </c>
      <c r="D337" t="str">
        <f>""</f>
        <v/>
      </c>
      <c r="E337" t="str">
        <f>""</f>
        <v/>
      </c>
      <c r="F337" t="str">
        <f>""</f>
        <v/>
      </c>
      <c r="G337" t="str">
        <f>""</f>
        <v/>
      </c>
      <c r="H337" t="str">
        <f>""</f>
        <v/>
      </c>
      <c r="I337" t="str">
        <f>""</f>
        <v/>
      </c>
      <c r="J337" t="str">
        <f>""</f>
        <v/>
      </c>
      <c r="K337" t="str">
        <f>""</f>
        <v/>
      </c>
      <c r="L337" t="str">
        <f>""</f>
        <v/>
      </c>
      <c r="M337" t="str">
        <f>""</f>
        <v/>
      </c>
      <c r="N337" t="str">
        <f>""</f>
        <v/>
      </c>
      <c r="O337" t="str">
        <f>""</f>
        <v/>
      </c>
      <c r="P337" t="str">
        <f>""</f>
        <v/>
      </c>
      <c r="Q337" t="str">
        <f>""</f>
        <v/>
      </c>
      <c r="R337" t="str">
        <f>""</f>
        <v/>
      </c>
      <c r="S337" t="str">
        <f>""</f>
        <v/>
      </c>
      <c r="T337" t="str">
        <f>""</f>
        <v/>
      </c>
      <c r="U337" t="str">
        <f>""</f>
        <v/>
      </c>
      <c r="V337" t="str">
        <f>""</f>
        <v/>
      </c>
      <c r="W337" t="str">
        <f>""</f>
        <v/>
      </c>
      <c r="X337" t="str">
        <f>""</f>
        <v/>
      </c>
      <c r="Y337" t="str">
        <f>""</f>
        <v/>
      </c>
      <c r="Z337" t="str">
        <f>""</f>
        <v/>
      </c>
      <c r="AA337" t="str">
        <f>""</f>
        <v/>
      </c>
      <c r="AB337" t="str">
        <f>""</f>
        <v/>
      </c>
      <c r="AC337" t="str">
        <f>""</f>
        <v/>
      </c>
      <c r="AD337" t="str">
        <f>""</f>
        <v/>
      </c>
      <c r="AE337" t="str">
        <f>""</f>
        <v/>
      </c>
      <c r="AF337" t="str">
        <f>""</f>
        <v/>
      </c>
      <c r="AG337" t="str">
        <f>""</f>
        <v/>
      </c>
      <c r="AH337" t="str">
        <f>""</f>
        <v/>
      </c>
      <c r="AI337" t="str">
        <f>""</f>
        <v/>
      </c>
      <c r="AJ337" t="str">
        <f>""</f>
        <v/>
      </c>
      <c r="AK337" t="str">
        <f>""</f>
        <v/>
      </c>
      <c r="AL337" t="str">
        <f>""</f>
        <v/>
      </c>
      <c r="AM337" t="str">
        <f>""</f>
        <v/>
      </c>
      <c r="AN337" t="str">
        <f>""</f>
        <v/>
      </c>
      <c r="AO337" t="str">
        <f>""</f>
        <v/>
      </c>
      <c r="AP337" t="str">
        <f>""</f>
        <v/>
      </c>
      <c r="AQ337" t="str">
        <f>""</f>
        <v/>
      </c>
      <c r="AR337" t="str">
        <f>""</f>
        <v/>
      </c>
      <c r="AS337" t="str">
        <f>""</f>
        <v/>
      </c>
      <c r="AT337" t="str">
        <f>""</f>
        <v/>
      </c>
      <c r="AU337" t="str">
        <f>""</f>
        <v/>
      </c>
      <c r="AV337" t="str">
        <f>""</f>
        <v/>
      </c>
      <c r="AW337" t="str">
        <f>""</f>
        <v/>
      </c>
      <c r="AX337" t="str">
        <f>""</f>
        <v/>
      </c>
      <c r="AY337" t="str">
        <f>""</f>
        <v/>
      </c>
      <c r="AZ337" t="str">
        <f>""</f>
        <v/>
      </c>
      <c r="BA337" t="str">
        <f>""</f>
        <v/>
      </c>
      <c r="BB337" t="str">
        <f>""</f>
        <v/>
      </c>
      <c r="BC337" t="str">
        <f>""</f>
        <v/>
      </c>
      <c r="BD337" t="str">
        <f>""</f>
        <v/>
      </c>
      <c r="BE337" t="str">
        <f>""</f>
        <v/>
      </c>
      <c r="BF337" t="str">
        <f>""</f>
        <v/>
      </c>
      <c r="BG337" t="str">
        <f>""</f>
        <v/>
      </c>
      <c r="BH337" t="str">
        <f>""</f>
        <v/>
      </c>
      <c r="BI337" t="str">
        <f>""</f>
        <v/>
      </c>
      <c r="BJ337" t="str">
        <f>""</f>
        <v/>
      </c>
      <c r="BK337" t="str">
        <f>""</f>
        <v/>
      </c>
      <c r="BL337" t="str">
        <f>""</f>
        <v/>
      </c>
      <c r="BM337" t="str">
        <f>""</f>
        <v/>
      </c>
      <c r="BN337" t="str">
        <f>""</f>
        <v/>
      </c>
      <c r="BO337" t="str">
        <f>""</f>
        <v/>
      </c>
      <c r="BP337" t="str">
        <f>""</f>
        <v/>
      </c>
      <c r="BQ337" t="str">
        <f>""</f>
        <v/>
      </c>
      <c r="BR337" t="str">
        <f>""</f>
        <v/>
      </c>
      <c r="BS337" t="str">
        <f>""</f>
        <v/>
      </c>
      <c r="BT337" t="str">
        <f>""</f>
        <v/>
      </c>
      <c r="BU337" t="str">
        <f>""</f>
        <v/>
      </c>
      <c r="BV337" t="str">
        <f>""</f>
        <v/>
      </c>
      <c r="BW337" t="str">
        <f>""</f>
        <v/>
      </c>
      <c r="BX337" t="str">
        <f>""</f>
        <v/>
      </c>
      <c r="BY337" t="str">
        <f>""</f>
        <v/>
      </c>
      <c r="BZ337" t="str">
        <f>""</f>
        <v/>
      </c>
      <c r="CA337" t="str">
        <f>""</f>
        <v/>
      </c>
      <c r="CB337" t="str">
        <f>""</f>
        <v/>
      </c>
      <c r="CC337" t="str">
        <f>""</f>
        <v/>
      </c>
      <c r="CD337" t="str">
        <f>""</f>
        <v/>
      </c>
      <c r="CE337" t="str">
        <f>""</f>
        <v/>
      </c>
      <c r="CF337" t="str">
        <f>""</f>
        <v/>
      </c>
      <c r="CG337" t="str">
        <f>""</f>
        <v/>
      </c>
      <c r="CH337" t="str">
        <f>""</f>
        <v/>
      </c>
      <c r="CI337" t="str">
        <f>""</f>
        <v/>
      </c>
      <c r="CJ337" t="str">
        <f>""</f>
        <v/>
      </c>
      <c r="CK337" t="str">
        <f>""</f>
        <v/>
      </c>
      <c r="CL337" t="str">
        <f>""</f>
        <v/>
      </c>
      <c r="CM337" t="str">
        <f>""</f>
        <v/>
      </c>
      <c r="CN337" t="str">
        <f>""</f>
        <v/>
      </c>
      <c r="CO337" t="str">
        <f>""</f>
        <v/>
      </c>
      <c r="CP337" t="str">
        <f>""</f>
        <v/>
      </c>
      <c r="CQ337" t="str">
        <f>""</f>
        <v/>
      </c>
      <c r="CR337" t="str">
        <f>""</f>
        <v/>
      </c>
      <c r="CS337" t="str">
        <f>""</f>
        <v/>
      </c>
      <c r="CT337" t="str">
        <f>""</f>
        <v/>
      </c>
      <c r="CU337" t="str">
        <f>""</f>
        <v/>
      </c>
      <c r="CV337" t="str">
        <f>""</f>
        <v/>
      </c>
      <c r="CW337" t="str">
        <f>""</f>
        <v/>
      </c>
      <c r="CX337" t="str">
        <f>""</f>
        <v/>
      </c>
      <c r="CY337" t="str">
        <f>""</f>
        <v/>
      </c>
      <c r="CZ337" t="str">
        <f>""</f>
        <v/>
      </c>
      <c r="DA337" t="str">
        <f>""</f>
        <v/>
      </c>
      <c r="DB337" t="str">
        <f>""</f>
        <v/>
      </c>
      <c r="DC337" t="str">
        <f>""</f>
        <v/>
      </c>
      <c r="DD337" t="str">
        <f>""</f>
        <v/>
      </c>
      <c r="DE337" t="str">
        <f>""</f>
        <v/>
      </c>
      <c r="DF337" t="str">
        <f>""</f>
        <v/>
      </c>
      <c r="DG337" t="str">
        <f>""</f>
        <v/>
      </c>
      <c r="DH337" t="str">
        <f>""</f>
        <v/>
      </c>
      <c r="DI337" t="str">
        <f>""</f>
        <v/>
      </c>
      <c r="DJ337" t="str">
        <f>""</f>
        <v/>
      </c>
      <c r="DK337" t="str">
        <f>""</f>
        <v/>
      </c>
      <c r="DL337" t="str">
        <f>""</f>
        <v/>
      </c>
      <c r="DM337" t="str">
        <f>""</f>
        <v/>
      </c>
      <c r="DN337" t="str">
        <f>""</f>
        <v/>
      </c>
      <c r="DO337" t="str">
        <f>""</f>
        <v/>
      </c>
      <c r="DP337" t="str">
        <f>""</f>
        <v/>
      </c>
      <c r="DQ337" t="str">
        <f>""</f>
        <v/>
      </c>
      <c r="DR337" t="str">
        <f>""</f>
        <v/>
      </c>
      <c r="DS337" t="str">
        <f>""</f>
        <v/>
      </c>
      <c r="DT337" t="str">
        <f>""</f>
        <v/>
      </c>
      <c r="DU337" t="str">
        <f>""</f>
        <v/>
      </c>
      <c r="DV337" t="str">
        <f>""</f>
        <v/>
      </c>
      <c r="DW337" t="str">
        <f>""</f>
        <v/>
      </c>
      <c r="DX337" t="str">
        <f>""</f>
        <v/>
      </c>
      <c r="DY337" t="str">
        <f>""</f>
        <v/>
      </c>
      <c r="DZ337" t="str">
        <f>""</f>
        <v/>
      </c>
      <c r="EA337" t="str">
        <f>""</f>
        <v/>
      </c>
      <c r="EB337" t="str">
        <f>""</f>
        <v/>
      </c>
      <c r="EC337" t="str">
        <f>""</f>
        <v/>
      </c>
      <c r="ED337" t="str">
        <f>""</f>
        <v/>
      </c>
      <c r="EE337" t="str">
        <f>""</f>
        <v/>
      </c>
      <c r="EF337" t="str">
        <f>""</f>
        <v/>
      </c>
      <c r="EG337" t="str">
        <f>""</f>
        <v/>
      </c>
      <c r="EH337" t="str">
        <f>""</f>
        <v/>
      </c>
      <c r="EI337" t="str">
        <f>""</f>
        <v/>
      </c>
      <c r="EJ337" t="str">
        <f>""</f>
        <v/>
      </c>
      <c r="EK337" t="str">
        <f>""</f>
        <v/>
      </c>
      <c r="EL337" t="str">
        <f>""</f>
        <v/>
      </c>
      <c r="EM337" t="str">
        <f>""</f>
        <v/>
      </c>
      <c r="EN337" t="str">
        <f>""</f>
        <v/>
      </c>
      <c r="EO337" t="str">
        <f>""</f>
        <v/>
      </c>
      <c r="EP337" t="str">
        <f>""</f>
        <v/>
      </c>
      <c r="EQ337" t="str">
        <f>""</f>
        <v/>
      </c>
      <c r="ER337" t="str">
        <f>""</f>
        <v/>
      </c>
      <c r="ES337" t="str">
        <f>""</f>
        <v/>
      </c>
      <c r="ET337" t="str">
        <f>""</f>
        <v/>
      </c>
      <c r="EU337" t="str">
        <f>""</f>
        <v/>
      </c>
      <c r="EV337" t="str">
        <f>""</f>
        <v/>
      </c>
      <c r="EW337" t="str">
        <f>""</f>
        <v/>
      </c>
      <c r="EX337" t="str">
        <f>""</f>
        <v/>
      </c>
      <c r="EY337" t="str">
        <f>""</f>
        <v/>
      </c>
      <c r="EZ337" t="str">
        <f>""</f>
        <v/>
      </c>
      <c r="FA337" t="str">
        <f>""</f>
        <v/>
      </c>
      <c r="FB337" t="str">
        <f>""</f>
        <v/>
      </c>
      <c r="FC337" t="str">
        <f>""</f>
        <v/>
      </c>
      <c r="FD337" t="str">
        <f>""</f>
        <v/>
      </c>
      <c r="FE337" t="str">
        <f>""</f>
        <v/>
      </c>
      <c r="FF337" t="str">
        <f>""</f>
        <v/>
      </c>
      <c r="FG337" t="str">
        <f>""</f>
        <v/>
      </c>
      <c r="FH337" t="str">
        <f>""</f>
        <v/>
      </c>
      <c r="FI337" t="str">
        <f>""</f>
        <v/>
      </c>
      <c r="FJ337" t="str">
        <f>""</f>
        <v/>
      </c>
      <c r="FK337" t="str">
        <f>""</f>
        <v/>
      </c>
      <c r="FL337" t="str">
        <f>""</f>
        <v/>
      </c>
      <c r="FM337" t="str">
        <f>""</f>
        <v/>
      </c>
      <c r="FN337" t="str">
        <f>""</f>
        <v/>
      </c>
      <c r="FO337" t="str">
        <f>""</f>
        <v/>
      </c>
      <c r="FP337" t="str">
        <f>""</f>
        <v/>
      </c>
      <c r="FQ337" t="str">
        <f>""</f>
        <v/>
      </c>
      <c r="FR337" t="str">
        <f>""</f>
        <v/>
      </c>
      <c r="FS337" t="str">
        <f>""</f>
        <v/>
      </c>
      <c r="FT337" t="str">
        <f>""</f>
        <v/>
      </c>
      <c r="FU337" t="str">
        <f>""</f>
        <v/>
      </c>
      <c r="FV337" t="str">
        <f>""</f>
        <v/>
      </c>
      <c r="FW337" t="str">
        <f>""</f>
        <v/>
      </c>
      <c r="FX337" t="str">
        <f>""</f>
        <v/>
      </c>
      <c r="FY337" t="str">
        <f>""</f>
        <v/>
      </c>
      <c r="FZ337" t="str">
        <f>""</f>
        <v/>
      </c>
      <c r="GA337" t="str">
        <f>""</f>
        <v/>
      </c>
      <c r="GB337" t="str">
        <f>""</f>
        <v/>
      </c>
      <c r="GC337" t="str">
        <f>""</f>
        <v/>
      </c>
      <c r="GD337" t="str">
        <f>""</f>
        <v/>
      </c>
      <c r="GE337" t="str">
        <f>""</f>
        <v/>
      </c>
      <c r="GF337" t="str">
        <f>""</f>
        <v/>
      </c>
      <c r="GG337" t="str">
        <f>""</f>
        <v/>
      </c>
      <c r="GH337" t="str">
        <f>""</f>
        <v/>
      </c>
      <c r="GI337" t="str">
        <f>""</f>
        <v/>
      </c>
      <c r="GJ337" t="str">
        <f>""</f>
        <v/>
      </c>
      <c r="GK337" t="str">
        <f>""</f>
        <v/>
      </c>
      <c r="GL337" t="str">
        <f>""</f>
        <v/>
      </c>
      <c r="GM337" t="str">
        <f>""</f>
        <v/>
      </c>
      <c r="GN337" t="str">
        <f>""</f>
        <v/>
      </c>
      <c r="GO337" t="str">
        <f>""</f>
        <v/>
      </c>
      <c r="GP337" t="str">
        <f>""</f>
        <v/>
      </c>
      <c r="GQ337" t="str">
        <f>""</f>
        <v/>
      </c>
      <c r="GR337" t="str">
        <f>""</f>
        <v/>
      </c>
      <c r="GS337" t="str">
        <f>""</f>
        <v/>
      </c>
      <c r="GT337" t="str">
        <f>""</f>
        <v/>
      </c>
      <c r="GU337" t="str">
        <f>""</f>
        <v/>
      </c>
      <c r="GV337" t="str">
        <f>""</f>
        <v/>
      </c>
      <c r="GW337" t="str">
        <f>""</f>
        <v/>
      </c>
      <c r="GX337" t="str">
        <f>""</f>
        <v/>
      </c>
      <c r="GY337" t="str">
        <f>""</f>
        <v/>
      </c>
      <c r="GZ337" t="str">
        <f>""</f>
        <v/>
      </c>
      <c r="HA337" t="str">
        <f>""</f>
        <v/>
      </c>
      <c r="HB337" t="str">
        <f>""</f>
        <v/>
      </c>
      <c r="HC337" t="str">
        <f>""</f>
        <v/>
      </c>
      <c r="HD337" t="str">
        <f>""</f>
        <v/>
      </c>
      <c r="HE337" t="str">
        <f>""</f>
        <v/>
      </c>
      <c r="HF337" t="str">
        <f>""</f>
        <v/>
      </c>
      <c r="HG337" t="str">
        <f>""</f>
        <v/>
      </c>
      <c r="HH337" t="str">
        <f>""</f>
        <v/>
      </c>
      <c r="HI337" t="str">
        <f>""</f>
        <v/>
      </c>
      <c r="HJ337" t="str">
        <f>""</f>
        <v/>
      </c>
      <c r="HK337" t="str">
        <f>""</f>
        <v/>
      </c>
      <c r="HL337" t="str">
        <f>""</f>
        <v/>
      </c>
      <c r="HM337" t="str">
        <f>""</f>
        <v/>
      </c>
      <c r="HN337" t="str">
        <f>""</f>
        <v/>
      </c>
      <c r="HO337" t="str">
        <f>""</f>
        <v/>
      </c>
      <c r="HP337" t="str">
        <f>""</f>
        <v/>
      </c>
      <c r="HQ337" t="str">
        <f>""</f>
        <v/>
      </c>
      <c r="HR337" t="str">
        <f>""</f>
        <v/>
      </c>
      <c r="HS337" t="str">
        <f>""</f>
        <v/>
      </c>
      <c r="HT337" t="str">
        <f>""</f>
        <v/>
      </c>
      <c r="HU337" t="str">
        <f>""</f>
        <v/>
      </c>
      <c r="HV337" t="str">
        <f>""</f>
        <v/>
      </c>
      <c r="HW337" t="str">
        <f>""</f>
        <v/>
      </c>
      <c r="HX337" t="str">
        <f>""</f>
        <v/>
      </c>
      <c r="HY337" t="str">
        <f>""</f>
        <v/>
      </c>
      <c r="HZ337" t="str">
        <f>""</f>
        <v/>
      </c>
      <c r="IA337" t="str">
        <f>""</f>
        <v/>
      </c>
      <c r="IB337" t="str">
        <f>""</f>
        <v/>
      </c>
      <c r="IC337" t="str">
        <f>""</f>
        <v/>
      </c>
      <c r="ID337" t="str">
        <f>""</f>
        <v/>
      </c>
      <c r="IE337" t="str">
        <f>""</f>
        <v/>
      </c>
      <c r="IF337" t="str">
        <f>""</f>
        <v/>
      </c>
      <c r="IG337" t="str">
        <f>""</f>
        <v/>
      </c>
      <c r="IH337" t="str">
        <f>"(0.103)"</f>
        <v>(0.103)</v>
      </c>
      <c r="II337" t="str">
        <f>"(0.0814)"</f>
        <v>(0.0814)</v>
      </c>
      <c r="IJ337" t="str">
        <f>"(0.0440)"</f>
        <v>(0.0440)</v>
      </c>
      <c r="IK337" t="str">
        <f>""</f>
        <v/>
      </c>
      <c r="IL337" t="str">
        <f>""</f>
        <v/>
      </c>
      <c r="IM337" t="str">
        <f>""</f>
        <v/>
      </c>
      <c r="IN337" t="str">
        <f>""</f>
        <v/>
      </c>
      <c r="IO337" t="str">
        <f>""</f>
        <v/>
      </c>
      <c r="IP337" t="str">
        <f>""</f>
        <v/>
      </c>
      <c r="IQ337" t="str">
        <f>""</f>
        <v/>
      </c>
      <c r="IR337" t="str">
        <f>""</f>
        <v/>
      </c>
      <c r="IS337" t="str">
        <f>""</f>
        <v/>
      </c>
      <c r="IT337" t="str">
        <f>""</f>
        <v/>
      </c>
      <c r="IU337" t="str">
        <f>""</f>
        <v/>
      </c>
      <c r="IV337" t="str">
        <f>""</f>
        <v/>
      </c>
      <c r="IW337" t="str">
        <f>""</f>
        <v/>
      </c>
      <c r="IX337" t="str">
        <f>""</f>
        <v/>
      </c>
      <c r="IY337" t="str">
        <f>""</f>
        <v/>
      </c>
      <c r="IZ337" t="str">
        <f>""</f>
        <v/>
      </c>
      <c r="JA337" t="str">
        <f>""</f>
        <v/>
      </c>
      <c r="JB337" t="str">
        <f>""</f>
        <v/>
      </c>
      <c r="JC337" t="str">
        <f>""</f>
        <v/>
      </c>
      <c r="JD337" t="str">
        <f>""</f>
        <v/>
      </c>
      <c r="JE337" t="str">
        <f>""</f>
        <v/>
      </c>
      <c r="JF337" t="str">
        <f>""</f>
        <v/>
      </c>
      <c r="JG337" t="str">
        <f>""</f>
        <v/>
      </c>
      <c r="JH337" t="str">
        <f>""</f>
        <v/>
      </c>
      <c r="JI337" t="str">
        <f>""</f>
        <v/>
      </c>
      <c r="JJ337" t="str">
        <f>""</f>
        <v/>
      </c>
      <c r="JK337" t="str">
        <f>""</f>
        <v/>
      </c>
    </row>
    <row r="339" spans="1:271" x14ac:dyDescent="0.3">
      <c r="A339" t="str">
        <f>"c.zMETAB7#c.PM6"</f>
        <v>c.zMETAB7#c.PM6</v>
      </c>
      <c r="B339" t="str">
        <f>""</f>
        <v/>
      </c>
      <c r="C339" t="str">
        <f>""</f>
        <v/>
      </c>
      <c r="D339" t="str">
        <f>""</f>
        <v/>
      </c>
      <c r="E339" t="str">
        <f>""</f>
        <v/>
      </c>
      <c r="F339" t="str">
        <f>""</f>
        <v/>
      </c>
      <c r="G339" t="str">
        <f>""</f>
        <v/>
      </c>
      <c r="H339" t="str">
        <f>""</f>
        <v/>
      </c>
      <c r="I339" t="str">
        <f>""</f>
        <v/>
      </c>
      <c r="J339" t="str">
        <f>""</f>
        <v/>
      </c>
      <c r="K339" t="str">
        <f>""</f>
        <v/>
      </c>
      <c r="L339" t="str">
        <f>""</f>
        <v/>
      </c>
      <c r="M339" t="str">
        <f>""</f>
        <v/>
      </c>
      <c r="N339" t="str">
        <f>""</f>
        <v/>
      </c>
      <c r="O339" t="str">
        <f>""</f>
        <v/>
      </c>
      <c r="P339" t="str">
        <f>""</f>
        <v/>
      </c>
      <c r="Q339" t="str">
        <f>""</f>
        <v/>
      </c>
      <c r="R339" t="str">
        <f>""</f>
        <v/>
      </c>
      <c r="S339" t="str">
        <f>""</f>
        <v/>
      </c>
      <c r="T339" t="str">
        <f>""</f>
        <v/>
      </c>
      <c r="U339" t="str">
        <f>""</f>
        <v/>
      </c>
      <c r="V339" t="str">
        <f>""</f>
        <v/>
      </c>
      <c r="W339" t="str">
        <f>""</f>
        <v/>
      </c>
      <c r="X339" t="str">
        <f>""</f>
        <v/>
      </c>
      <c r="Y339" t="str">
        <f>""</f>
        <v/>
      </c>
      <c r="Z339" t="str">
        <f>""</f>
        <v/>
      </c>
      <c r="AA339" t="str">
        <f>""</f>
        <v/>
      </c>
      <c r="AB339" t="str">
        <f>""</f>
        <v/>
      </c>
      <c r="AC339" t="str">
        <f>""</f>
        <v/>
      </c>
      <c r="AD339" t="str">
        <f>""</f>
        <v/>
      </c>
      <c r="AE339" t="str">
        <f>""</f>
        <v/>
      </c>
      <c r="AF339" t="str">
        <f>""</f>
        <v/>
      </c>
      <c r="AG339" t="str">
        <f>""</f>
        <v/>
      </c>
      <c r="AH339" t="str">
        <f>""</f>
        <v/>
      </c>
      <c r="AI339" t="str">
        <f>""</f>
        <v/>
      </c>
      <c r="AJ339" t="str">
        <f>""</f>
        <v/>
      </c>
      <c r="AK339" t="str">
        <f>""</f>
        <v/>
      </c>
      <c r="AL339" t="str">
        <f>""</f>
        <v/>
      </c>
      <c r="AM339" t="str">
        <f>""</f>
        <v/>
      </c>
      <c r="AN339" t="str">
        <f>""</f>
        <v/>
      </c>
      <c r="AO339" t="str">
        <f>""</f>
        <v/>
      </c>
      <c r="AP339" t="str">
        <f>""</f>
        <v/>
      </c>
      <c r="AQ339" t="str">
        <f>""</f>
        <v/>
      </c>
      <c r="AR339" t="str">
        <f>""</f>
        <v/>
      </c>
      <c r="AS339" t="str">
        <f>""</f>
        <v/>
      </c>
      <c r="AT339" t="str">
        <f>""</f>
        <v/>
      </c>
      <c r="AU339" t="str">
        <f>""</f>
        <v/>
      </c>
      <c r="AV339" t="str">
        <f>""</f>
        <v/>
      </c>
      <c r="AW339" t="str">
        <f>""</f>
        <v/>
      </c>
      <c r="AX339" t="str">
        <f>""</f>
        <v/>
      </c>
      <c r="AY339" t="str">
        <f>""</f>
        <v/>
      </c>
      <c r="AZ339" t="str">
        <f>""</f>
        <v/>
      </c>
      <c r="BA339" t="str">
        <f>""</f>
        <v/>
      </c>
      <c r="BB339" t="str">
        <f>""</f>
        <v/>
      </c>
      <c r="BC339" t="str">
        <f>""</f>
        <v/>
      </c>
      <c r="BD339" t="str">
        <f>""</f>
        <v/>
      </c>
      <c r="BE339" t="str">
        <f>""</f>
        <v/>
      </c>
      <c r="BF339" t="str">
        <f>""</f>
        <v/>
      </c>
      <c r="BG339" t="str">
        <f>""</f>
        <v/>
      </c>
      <c r="BH339" t="str">
        <f>""</f>
        <v/>
      </c>
      <c r="BI339" t="str">
        <f>""</f>
        <v/>
      </c>
      <c r="BJ339" t="str">
        <f>""</f>
        <v/>
      </c>
      <c r="BK339" t="str">
        <f>""</f>
        <v/>
      </c>
      <c r="BL339" t="str">
        <f>""</f>
        <v/>
      </c>
      <c r="BM339" t="str">
        <f>""</f>
        <v/>
      </c>
      <c r="BN339" t="str">
        <f>""</f>
        <v/>
      </c>
      <c r="BO339" t="str">
        <f>""</f>
        <v/>
      </c>
      <c r="BP339" t="str">
        <f>""</f>
        <v/>
      </c>
      <c r="BQ339" t="str">
        <f>""</f>
        <v/>
      </c>
      <c r="BR339" t="str">
        <f>""</f>
        <v/>
      </c>
      <c r="BS339" t="str">
        <f>""</f>
        <v/>
      </c>
      <c r="BT339" t="str">
        <f>""</f>
        <v/>
      </c>
      <c r="BU339" t="str">
        <f>""</f>
        <v/>
      </c>
      <c r="BV339" t="str">
        <f>""</f>
        <v/>
      </c>
      <c r="BW339" t="str">
        <f>""</f>
        <v/>
      </c>
      <c r="BX339" t="str">
        <f>""</f>
        <v/>
      </c>
      <c r="BY339" t="str">
        <f>""</f>
        <v/>
      </c>
      <c r="BZ339" t="str">
        <f>""</f>
        <v/>
      </c>
      <c r="CA339" t="str">
        <f>""</f>
        <v/>
      </c>
      <c r="CB339" t="str">
        <f>""</f>
        <v/>
      </c>
      <c r="CC339" t="str">
        <f>""</f>
        <v/>
      </c>
      <c r="CD339" t="str">
        <f>""</f>
        <v/>
      </c>
      <c r="CE339" t="str">
        <f>""</f>
        <v/>
      </c>
      <c r="CF339" t="str">
        <f>""</f>
        <v/>
      </c>
      <c r="CG339" t="str">
        <f>""</f>
        <v/>
      </c>
      <c r="CH339" t="str">
        <f>""</f>
        <v/>
      </c>
      <c r="CI339" t="str">
        <f>""</f>
        <v/>
      </c>
      <c r="CJ339" t="str">
        <f>""</f>
        <v/>
      </c>
      <c r="CK339" t="str">
        <f>""</f>
        <v/>
      </c>
      <c r="CL339" t="str">
        <f>""</f>
        <v/>
      </c>
      <c r="CM339" t="str">
        <f>""</f>
        <v/>
      </c>
      <c r="CN339" t="str">
        <f>""</f>
        <v/>
      </c>
      <c r="CO339" t="str">
        <f>""</f>
        <v/>
      </c>
      <c r="CP339" t="str">
        <f>""</f>
        <v/>
      </c>
      <c r="CQ339" t="str">
        <f>""</f>
        <v/>
      </c>
      <c r="CR339" t="str">
        <f>""</f>
        <v/>
      </c>
      <c r="CS339" t="str">
        <f>""</f>
        <v/>
      </c>
      <c r="CT339" t="str">
        <f>""</f>
        <v/>
      </c>
      <c r="CU339" t="str">
        <f>""</f>
        <v/>
      </c>
      <c r="CV339" t="str">
        <f>""</f>
        <v/>
      </c>
      <c r="CW339" t="str">
        <f>""</f>
        <v/>
      </c>
      <c r="CX339" t="str">
        <f>""</f>
        <v/>
      </c>
      <c r="CY339" t="str">
        <f>""</f>
        <v/>
      </c>
      <c r="CZ339" t="str">
        <f>""</f>
        <v/>
      </c>
      <c r="DA339" t="str">
        <f>""</f>
        <v/>
      </c>
      <c r="DB339" t="str">
        <f>""</f>
        <v/>
      </c>
      <c r="DC339" t="str">
        <f>""</f>
        <v/>
      </c>
      <c r="DD339" t="str">
        <f>""</f>
        <v/>
      </c>
      <c r="DE339" t="str">
        <f>""</f>
        <v/>
      </c>
      <c r="DF339" t="str">
        <f>""</f>
        <v/>
      </c>
      <c r="DG339" t="str">
        <f>""</f>
        <v/>
      </c>
      <c r="DH339" t="str">
        <f>""</f>
        <v/>
      </c>
      <c r="DI339" t="str">
        <f>""</f>
        <v/>
      </c>
      <c r="DJ339" t="str">
        <f>""</f>
        <v/>
      </c>
      <c r="DK339" t="str">
        <f>""</f>
        <v/>
      </c>
      <c r="DL339" t="str">
        <f>""</f>
        <v/>
      </c>
      <c r="DM339" t="str">
        <f>""</f>
        <v/>
      </c>
      <c r="DN339" t="str">
        <f>""</f>
        <v/>
      </c>
      <c r="DO339" t="str">
        <f>""</f>
        <v/>
      </c>
      <c r="DP339" t="str">
        <f>""</f>
        <v/>
      </c>
      <c r="DQ339" t="str">
        <f>""</f>
        <v/>
      </c>
      <c r="DR339" t="str">
        <f>""</f>
        <v/>
      </c>
      <c r="DS339" t="str">
        <f>""</f>
        <v/>
      </c>
      <c r="DT339" t="str">
        <f>""</f>
        <v/>
      </c>
      <c r="DU339" t="str">
        <f>""</f>
        <v/>
      </c>
      <c r="DV339" t="str">
        <f>""</f>
        <v/>
      </c>
      <c r="DW339" t="str">
        <f>""</f>
        <v/>
      </c>
      <c r="DX339" t="str">
        <f>""</f>
        <v/>
      </c>
      <c r="DY339" t="str">
        <f>""</f>
        <v/>
      </c>
      <c r="DZ339" t="str">
        <f>""</f>
        <v/>
      </c>
      <c r="EA339" t="str">
        <f>""</f>
        <v/>
      </c>
      <c r="EB339" t="str">
        <f>""</f>
        <v/>
      </c>
      <c r="EC339" t="str">
        <f>""</f>
        <v/>
      </c>
      <c r="ED339" t="str">
        <f>""</f>
        <v/>
      </c>
      <c r="EE339" t="str">
        <f>""</f>
        <v/>
      </c>
      <c r="EF339" t="str">
        <f>""</f>
        <v/>
      </c>
      <c r="EG339" t="str">
        <f>""</f>
        <v/>
      </c>
      <c r="EH339" t="str">
        <f>""</f>
        <v/>
      </c>
      <c r="EI339" t="str">
        <f>""</f>
        <v/>
      </c>
      <c r="EJ339" t="str">
        <f>""</f>
        <v/>
      </c>
      <c r="EK339" t="str">
        <f>""</f>
        <v/>
      </c>
      <c r="EL339" t="str">
        <f>""</f>
        <v/>
      </c>
      <c r="EM339" t="str">
        <f>""</f>
        <v/>
      </c>
      <c r="EN339" t="str">
        <f>""</f>
        <v/>
      </c>
      <c r="EO339" t="str">
        <f>""</f>
        <v/>
      </c>
      <c r="EP339" t="str">
        <f>""</f>
        <v/>
      </c>
      <c r="EQ339" t="str">
        <f>""</f>
        <v/>
      </c>
      <c r="ER339" t="str">
        <f>""</f>
        <v/>
      </c>
      <c r="ES339" t="str">
        <f>""</f>
        <v/>
      </c>
      <c r="ET339" t="str">
        <f>""</f>
        <v/>
      </c>
      <c r="EU339" t="str">
        <f>""</f>
        <v/>
      </c>
      <c r="EV339" t="str">
        <f>""</f>
        <v/>
      </c>
      <c r="EW339" t="str">
        <f>""</f>
        <v/>
      </c>
      <c r="EX339" t="str">
        <f>""</f>
        <v/>
      </c>
      <c r="EY339" t="str">
        <f>""</f>
        <v/>
      </c>
      <c r="EZ339" t="str">
        <f>""</f>
        <v/>
      </c>
      <c r="FA339" t="str">
        <f>""</f>
        <v/>
      </c>
      <c r="FB339" t="str">
        <f>""</f>
        <v/>
      </c>
      <c r="FC339" t="str">
        <f>""</f>
        <v/>
      </c>
      <c r="FD339" t="str">
        <f>""</f>
        <v/>
      </c>
      <c r="FE339" t="str">
        <f>""</f>
        <v/>
      </c>
      <c r="FF339" t="str">
        <f>""</f>
        <v/>
      </c>
      <c r="FG339" t="str">
        <f>""</f>
        <v/>
      </c>
      <c r="FH339" t="str">
        <f>""</f>
        <v/>
      </c>
      <c r="FI339" t="str">
        <f>""</f>
        <v/>
      </c>
      <c r="FJ339" t="str">
        <f>""</f>
        <v/>
      </c>
      <c r="FK339" t="str">
        <f>""</f>
        <v/>
      </c>
      <c r="FL339" t="str">
        <f>""</f>
        <v/>
      </c>
      <c r="FM339" t="str">
        <f>""</f>
        <v/>
      </c>
      <c r="FN339" t="str">
        <f>""</f>
        <v/>
      </c>
      <c r="FO339" t="str">
        <f>""</f>
        <v/>
      </c>
      <c r="FP339" t="str">
        <f>""</f>
        <v/>
      </c>
      <c r="FQ339" t="str">
        <f>""</f>
        <v/>
      </c>
      <c r="FR339" t="str">
        <f>""</f>
        <v/>
      </c>
      <c r="FS339" t="str">
        <f>""</f>
        <v/>
      </c>
      <c r="FT339" t="str">
        <f>""</f>
        <v/>
      </c>
      <c r="FU339" t="str">
        <f>""</f>
        <v/>
      </c>
      <c r="FV339" t="str">
        <f>""</f>
        <v/>
      </c>
      <c r="FW339" t="str">
        <f>""</f>
        <v/>
      </c>
      <c r="FX339" t="str">
        <f>""</f>
        <v/>
      </c>
      <c r="FY339" t="str">
        <f>""</f>
        <v/>
      </c>
      <c r="FZ339" t="str">
        <f>""</f>
        <v/>
      </c>
      <c r="GA339" t="str">
        <f>""</f>
        <v/>
      </c>
      <c r="GB339" t="str">
        <f>""</f>
        <v/>
      </c>
      <c r="GC339" t="str">
        <f>""</f>
        <v/>
      </c>
      <c r="GD339" t="str">
        <f>""</f>
        <v/>
      </c>
      <c r="GE339" t="str">
        <f>""</f>
        <v/>
      </c>
      <c r="GF339" t="str">
        <f>""</f>
        <v/>
      </c>
      <c r="GG339" t="str">
        <f>""</f>
        <v/>
      </c>
      <c r="GH339" t="str">
        <f>""</f>
        <v/>
      </c>
      <c r="GI339" t="str">
        <f>""</f>
        <v/>
      </c>
      <c r="GJ339" t="str">
        <f>""</f>
        <v/>
      </c>
      <c r="GK339" t="str">
        <f>""</f>
        <v/>
      </c>
      <c r="GL339" t="str">
        <f>""</f>
        <v/>
      </c>
      <c r="GM339" t="str">
        <f>""</f>
        <v/>
      </c>
      <c r="GN339" t="str">
        <f>""</f>
        <v/>
      </c>
      <c r="GO339" t="str">
        <f>""</f>
        <v/>
      </c>
      <c r="GP339" t="str">
        <f>""</f>
        <v/>
      </c>
      <c r="GQ339" t="str">
        <f>""</f>
        <v/>
      </c>
      <c r="GR339" t="str">
        <f>""</f>
        <v/>
      </c>
      <c r="GS339" t="str">
        <f>""</f>
        <v/>
      </c>
      <c r="GT339" t="str">
        <f>""</f>
        <v/>
      </c>
      <c r="GU339" t="str">
        <f>""</f>
        <v/>
      </c>
      <c r="GV339" t="str">
        <f>""</f>
        <v/>
      </c>
      <c r="GW339" t="str">
        <f>""</f>
        <v/>
      </c>
      <c r="GX339" t="str">
        <f>""</f>
        <v/>
      </c>
      <c r="GY339" t="str">
        <f>""</f>
        <v/>
      </c>
      <c r="GZ339" t="str">
        <f>""</f>
        <v/>
      </c>
      <c r="HA339" t="str">
        <f>""</f>
        <v/>
      </c>
      <c r="HB339" t="str">
        <f>""</f>
        <v/>
      </c>
      <c r="HC339" t="str">
        <f>""</f>
        <v/>
      </c>
      <c r="HD339" t="str">
        <f>""</f>
        <v/>
      </c>
      <c r="HE339" t="str">
        <f>""</f>
        <v/>
      </c>
      <c r="HF339" t="str">
        <f>""</f>
        <v/>
      </c>
      <c r="HG339" t="str">
        <f>""</f>
        <v/>
      </c>
      <c r="HH339" t="str">
        <f>""</f>
        <v/>
      </c>
      <c r="HI339" t="str">
        <f>""</f>
        <v/>
      </c>
      <c r="HJ339" t="str">
        <f>""</f>
        <v/>
      </c>
      <c r="HK339" t="str">
        <f>""</f>
        <v/>
      </c>
      <c r="HL339" t="str">
        <f>""</f>
        <v/>
      </c>
      <c r="HM339" t="str">
        <f>""</f>
        <v/>
      </c>
      <c r="HN339" t="str">
        <f>""</f>
        <v/>
      </c>
      <c r="HO339" t="str">
        <f>""</f>
        <v/>
      </c>
      <c r="HP339" t="str">
        <f>""</f>
        <v/>
      </c>
      <c r="HQ339" t="str">
        <f>""</f>
        <v/>
      </c>
      <c r="HR339" t="str">
        <f>""</f>
        <v/>
      </c>
      <c r="HS339" t="str">
        <f>""</f>
        <v/>
      </c>
      <c r="HT339" t="str">
        <f>""</f>
        <v/>
      </c>
      <c r="HU339" t="str">
        <f>""</f>
        <v/>
      </c>
      <c r="HV339" t="str">
        <f>""</f>
        <v/>
      </c>
      <c r="HW339" t="str">
        <f>""</f>
        <v/>
      </c>
      <c r="HX339" t="str">
        <f>""</f>
        <v/>
      </c>
      <c r="HY339" t="str">
        <f>""</f>
        <v/>
      </c>
      <c r="HZ339" t="str">
        <f>""</f>
        <v/>
      </c>
      <c r="IA339" t="str">
        <f>""</f>
        <v/>
      </c>
      <c r="IB339" t="str">
        <f>""</f>
        <v/>
      </c>
      <c r="IC339" t="str">
        <f>""</f>
        <v/>
      </c>
      <c r="ID339" t="str">
        <f>""</f>
        <v/>
      </c>
      <c r="IE339" t="str">
        <f>""</f>
        <v/>
      </c>
      <c r="IF339" t="str">
        <f>""</f>
        <v/>
      </c>
      <c r="IG339" t="str">
        <f>""</f>
        <v/>
      </c>
      <c r="IH339" t="str">
        <f>""</f>
        <v/>
      </c>
      <c r="II339" t="str">
        <f>""</f>
        <v/>
      </c>
      <c r="IJ339" t="str">
        <f>""</f>
        <v/>
      </c>
      <c r="IK339" t="str">
        <f>"0.0503"</f>
        <v>0.0503</v>
      </c>
      <c r="IL339" t="str">
        <f>"-0.0453"</f>
        <v>-0.0453</v>
      </c>
      <c r="IM339" t="str">
        <f>"-0.00650"</f>
        <v>-0.00650</v>
      </c>
      <c r="IN339" t="str">
        <f>""</f>
        <v/>
      </c>
      <c r="IO339" t="str">
        <f>""</f>
        <v/>
      </c>
      <c r="IP339" t="str">
        <f>""</f>
        <v/>
      </c>
      <c r="IQ339" t="str">
        <f>""</f>
        <v/>
      </c>
      <c r="IR339" t="str">
        <f>""</f>
        <v/>
      </c>
      <c r="IS339" t="str">
        <f>""</f>
        <v/>
      </c>
      <c r="IT339" t="str">
        <f>""</f>
        <v/>
      </c>
      <c r="IU339" t="str">
        <f>""</f>
        <v/>
      </c>
      <c r="IV339" t="str">
        <f>""</f>
        <v/>
      </c>
      <c r="IW339" t="str">
        <f>""</f>
        <v/>
      </c>
      <c r="IX339" t="str">
        <f>""</f>
        <v/>
      </c>
      <c r="IY339" t="str">
        <f>""</f>
        <v/>
      </c>
      <c r="IZ339" t="str">
        <f>""</f>
        <v/>
      </c>
      <c r="JA339" t="str">
        <f>""</f>
        <v/>
      </c>
      <c r="JB339" t="str">
        <f>""</f>
        <v/>
      </c>
      <c r="JC339" t="str">
        <f>""</f>
        <v/>
      </c>
      <c r="JD339" t="str">
        <f>""</f>
        <v/>
      </c>
      <c r="JE339" t="str">
        <f>""</f>
        <v/>
      </c>
      <c r="JF339" t="str">
        <f>""</f>
        <v/>
      </c>
      <c r="JG339" t="str">
        <f>""</f>
        <v/>
      </c>
      <c r="JH339" t="str">
        <f>""</f>
        <v/>
      </c>
      <c r="JI339" t="str">
        <f>""</f>
        <v/>
      </c>
      <c r="JJ339" t="str">
        <f>""</f>
        <v/>
      </c>
      <c r="JK339" t="str">
        <f>""</f>
        <v/>
      </c>
    </row>
    <row r="340" spans="1:271" x14ac:dyDescent="0.3">
      <c r="A340" t="str">
        <f>""</f>
        <v/>
      </c>
      <c r="B340" t="str">
        <f>""</f>
        <v/>
      </c>
      <c r="C340" t="str">
        <f>""</f>
        <v/>
      </c>
      <c r="D340" t="str">
        <f>""</f>
        <v/>
      </c>
      <c r="E340" t="str">
        <f>""</f>
        <v/>
      </c>
      <c r="F340" t="str">
        <f>""</f>
        <v/>
      </c>
      <c r="G340" t="str">
        <f>""</f>
        <v/>
      </c>
      <c r="H340" t="str">
        <f>""</f>
        <v/>
      </c>
      <c r="I340" t="str">
        <f>""</f>
        <v/>
      </c>
      <c r="J340" t="str">
        <f>""</f>
        <v/>
      </c>
      <c r="K340" t="str">
        <f>""</f>
        <v/>
      </c>
      <c r="L340" t="str">
        <f>""</f>
        <v/>
      </c>
      <c r="M340" t="str">
        <f>""</f>
        <v/>
      </c>
      <c r="N340" t="str">
        <f>""</f>
        <v/>
      </c>
      <c r="O340" t="str">
        <f>""</f>
        <v/>
      </c>
      <c r="P340" t="str">
        <f>""</f>
        <v/>
      </c>
      <c r="Q340" t="str">
        <f>""</f>
        <v/>
      </c>
      <c r="R340" t="str">
        <f>""</f>
        <v/>
      </c>
      <c r="S340" t="str">
        <f>""</f>
        <v/>
      </c>
      <c r="T340" t="str">
        <f>""</f>
        <v/>
      </c>
      <c r="U340" t="str">
        <f>""</f>
        <v/>
      </c>
      <c r="V340" t="str">
        <f>""</f>
        <v/>
      </c>
      <c r="W340" t="str">
        <f>""</f>
        <v/>
      </c>
      <c r="X340" t="str">
        <f>""</f>
        <v/>
      </c>
      <c r="Y340" t="str">
        <f>""</f>
        <v/>
      </c>
      <c r="Z340" t="str">
        <f>""</f>
        <v/>
      </c>
      <c r="AA340" t="str">
        <f>""</f>
        <v/>
      </c>
      <c r="AB340" t="str">
        <f>""</f>
        <v/>
      </c>
      <c r="AC340" t="str">
        <f>""</f>
        <v/>
      </c>
      <c r="AD340" t="str">
        <f>""</f>
        <v/>
      </c>
      <c r="AE340" t="str">
        <f>""</f>
        <v/>
      </c>
      <c r="AF340" t="str">
        <f>""</f>
        <v/>
      </c>
      <c r="AG340" t="str">
        <f>""</f>
        <v/>
      </c>
      <c r="AH340" t="str">
        <f>""</f>
        <v/>
      </c>
      <c r="AI340" t="str">
        <f>""</f>
        <v/>
      </c>
      <c r="AJ340" t="str">
        <f>""</f>
        <v/>
      </c>
      <c r="AK340" t="str">
        <f>""</f>
        <v/>
      </c>
      <c r="AL340" t="str">
        <f>""</f>
        <v/>
      </c>
      <c r="AM340" t="str">
        <f>""</f>
        <v/>
      </c>
      <c r="AN340" t="str">
        <f>""</f>
        <v/>
      </c>
      <c r="AO340" t="str">
        <f>""</f>
        <v/>
      </c>
      <c r="AP340" t="str">
        <f>""</f>
        <v/>
      </c>
      <c r="AQ340" t="str">
        <f>""</f>
        <v/>
      </c>
      <c r="AR340" t="str">
        <f>""</f>
        <v/>
      </c>
      <c r="AS340" t="str">
        <f>""</f>
        <v/>
      </c>
      <c r="AT340" t="str">
        <f>""</f>
        <v/>
      </c>
      <c r="AU340" t="str">
        <f>""</f>
        <v/>
      </c>
      <c r="AV340" t="str">
        <f>""</f>
        <v/>
      </c>
      <c r="AW340" t="str">
        <f>""</f>
        <v/>
      </c>
      <c r="AX340" t="str">
        <f>""</f>
        <v/>
      </c>
      <c r="AY340" t="str">
        <f>""</f>
        <v/>
      </c>
      <c r="AZ340" t="str">
        <f>""</f>
        <v/>
      </c>
      <c r="BA340" t="str">
        <f>""</f>
        <v/>
      </c>
      <c r="BB340" t="str">
        <f>""</f>
        <v/>
      </c>
      <c r="BC340" t="str">
        <f>""</f>
        <v/>
      </c>
      <c r="BD340" t="str">
        <f>""</f>
        <v/>
      </c>
      <c r="BE340" t="str">
        <f>""</f>
        <v/>
      </c>
      <c r="BF340" t="str">
        <f>""</f>
        <v/>
      </c>
      <c r="BG340" t="str">
        <f>""</f>
        <v/>
      </c>
      <c r="BH340" t="str">
        <f>""</f>
        <v/>
      </c>
      <c r="BI340" t="str">
        <f>""</f>
        <v/>
      </c>
      <c r="BJ340" t="str">
        <f>""</f>
        <v/>
      </c>
      <c r="BK340" t="str">
        <f>""</f>
        <v/>
      </c>
      <c r="BL340" t="str">
        <f>""</f>
        <v/>
      </c>
      <c r="BM340" t="str">
        <f>""</f>
        <v/>
      </c>
      <c r="BN340" t="str">
        <f>""</f>
        <v/>
      </c>
      <c r="BO340" t="str">
        <f>""</f>
        <v/>
      </c>
      <c r="BP340" t="str">
        <f>""</f>
        <v/>
      </c>
      <c r="BQ340" t="str">
        <f>""</f>
        <v/>
      </c>
      <c r="BR340" t="str">
        <f>""</f>
        <v/>
      </c>
      <c r="BS340" t="str">
        <f>""</f>
        <v/>
      </c>
      <c r="BT340" t="str">
        <f>""</f>
        <v/>
      </c>
      <c r="BU340" t="str">
        <f>""</f>
        <v/>
      </c>
      <c r="BV340" t="str">
        <f>""</f>
        <v/>
      </c>
      <c r="BW340" t="str">
        <f>""</f>
        <v/>
      </c>
      <c r="BX340" t="str">
        <f>""</f>
        <v/>
      </c>
      <c r="BY340" t="str">
        <f>""</f>
        <v/>
      </c>
      <c r="BZ340" t="str">
        <f>""</f>
        <v/>
      </c>
      <c r="CA340" t="str">
        <f>""</f>
        <v/>
      </c>
      <c r="CB340" t="str">
        <f>""</f>
        <v/>
      </c>
      <c r="CC340" t="str">
        <f>""</f>
        <v/>
      </c>
      <c r="CD340" t="str">
        <f>""</f>
        <v/>
      </c>
      <c r="CE340" t="str">
        <f>""</f>
        <v/>
      </c>
      <c r="CF340" t="str">
        <f>""</f>
        <v/>
      </c>
      <c r="CG340" t="str">
        <f>""</f>
        <v/>
      </c>
      <c r="CH340" t="str">
        <f>""</f>
        <v/>
      </c>
      <c r="CI340" t="str">
        <f>""</f>
        <v/>
      </c>
      <c r="CJ340" t="str">
        <f>""</f>
        <v/>
      </c>
      <c r="CK340" t="str">
        <f>""</f>
        <v/>
      </c>
      <c r="CL340" t="str">
        <f>""</f>
        <v/>
      </c>
      <c r="CM340" t="str">
        <f>""</f>
        <v/>
      </c>
      <c r="CN340" t="str">
        <f>""</f>
        <v/>
      </c>
      <c r="CO340" t="str">
        <f>""</f>
        <v/>
      </c>
      <c r="CP340" t="str">
        <f>""</f>
        <v/>
      </c>
      <c r="CQ340" t="str">
        <f>""</f>
        <v/>
      </c>
      <c r="CR340" t="str">
        <f>""</f>
        <v/>
      </c>
      <c r="CS340" t="str">
        <f>""</f>
        <v/>
      </c>
      <c r="CT340" t="str">
        <f>""</f>
        <v/>
      </c>
      <c r="CU340" t="str">
        <f>""</f>
        <v/>
      </c>
      <c r="CV340" t="str">
        <f>""</f>
        <v/>
      </c>
      <c r="CW340" t="str">
        <f>""</f>
        <v/>
      </c>
      <c r="CX340" t="str">
        <f>""</f>
        <v/>
      </c>
      <c r="CY340" t="str">
        <f>""</f>
        <v/>
      </c>
      <c r="CZ340" t="str">
        <f>""</f>
        <v/>
      </c>
      <c r="DA340" t="str">
        <f>""</f>
        <v/>
      </c>
      <c r="DB340" t="str">
        <f>""</f>
        <v/>
      </c>
      <c r="DC340" t="str">
        <f>""</f>
        <v/>
      </c>
      <c r="DD340" t="str">
        <f>""</f>
        <v/>
      </c>
      <c r="DE340" t="str">
        <f>""</f>
        <v/>
      </c>
      <c r="DF340" t="str">
        <f>""</f>
        <v/>
      </c>
      <c r="DG340" t="str">
        <f>""</f>
        <v/>
      </c>
      <c r="DH340" t="str">
        <f>""</f>
        <v/>
      </c>
      <c r="DI340" t="str">
        <f>""</f>
        <v/>
      </c>
      <c r="DJ340" t="str">
        <f>""</f>
        <v/>
      </c>
      <c r="DK340" t="str">
        <f>""</f>
        <v/>
      </c>
      <c r="DL340" t="str">
        <f>""</f>
        <v/>
      </c>
      <c r="DM340" t="str">
        <f>""</f>
        <v/>
      </c>
      <c r="DN340" t="str">
        <f>""</f>
        <v/>
      </c>
      <c r="DO340" t="str">
        <f>""</f>
        <v/>
      </c>
      <c r="DP340" t="str">
        <f>""</f>
        <v/>
      </c>
      <c r="DQ340" t="str">
        <f>""</f>
        <v/>
      </c>
      <c r="DR340" t="str">
        <f>""</f>
        <v/>
      </c>
      <c r="DS340" t="str">
        <f>""</f>
        <v/>
      </c>
      <c r="DT340" t="str">
        <f>""</f>
        <v/>
      </c>
      <c r="DU340" t="str">
        <f>""</f>
        <v/>
      </c>
      <c r="DV340" t="str">
        <f>""</f>
        <v/>
      </c>
      <c r="DW340" t="str">
        <f>""</f>
        <v/>
      </c>
      <c r="DX340" t="str">
        <f>""</f>
        <v/>
      </c>
      <c r="DY340" t="str">
        <f>""</f>
        <v/>
      </c>
      <c r="DZ340" t="str">
        <f>""</f>
        <v/>
      </c>
      <c r="EA340" t="str">
        <f>""</f>
        <v/>
      </c>
      <c r="EB340" t="str">
        <f>""</f>
        <v/>
      </c>
      <c r="EC340" t="str">
        <f>""</f>
        <v/>
      </c>
      <c r="ED340" t="str">
        <f>""</f>
        <v/>
      </c>
      <c r="EE340" t="str">
        <f>""</f>
        <v/>
      </c>
      <c r="EF340" t="str">
        <f>""</f>
        <v/>
      </c>
      <c r="EG340" t="str">
        <f>""</f>
        <v/>
      </c>
      <c r="EH340" t="str">
        <f>""</f>
        <v/>
      </c>
      <c r="EI340" t="str">
        <f>""</f>
        <v/>
      </c>
      <c r="EJ340" t="str">
        <f>""</f>
        <v/>
      </c>
      <c r="EK340" t="str">
        <f>""</f>
        <v/>
      </c>
      <c r="EL340" t="str">
        <f>""</f>
        <v/>
      </c>
      <c r="EM340" t="str">
        <f>""</f>
        <v/>
      </c>
      <c r="EN340" t="str">
        <f>""</f>
        <v/>
      </c>
      <c r="EO340" t="str">
        <f>""</f>
        <v/>
      </c>
      <c r="EP340" t="str">
        <f>""</f>
        <v/>
      </c>
      <c r="EQ340" t="str">
        <f>""</f>
        <v/>
      </c>
      <c r="ER340" t="str">
        <f>""</f>
        <v/>
      </c>
      <c r="ES340" t="str">
        <f>""</f>
        <v/>
      </c>
      <c r="ET340" t="str">
        <f>""</f>
        <v/>
      </c>
      <c r="EU340" t="str">
        <f>""</f>
        <v/>
      </c>
      <c r="EV340" t="str">
        <f>""</f>
        <v/>
      </c>
      <c r="EW340" t="str">
        <f>""</f>
        <v/>
      </c>
      <c r="EX340" t="str">
        <f>""</f>
        <v/>
      </c>
      <c r="EY340" t="str">
        <f>""</f>
        <v/>
      </c>
      <c r="EZ340" t="str">
        <f>""</f>
        <v/>
      </c>
      <c r="FA340" t="str">
        <f>""</f>
        <v/>
      </c>
      <c r="FB340" t="str">
        <f>""</f>
        <v/>
      </c>
      <c r="FC340" t="str">
        <f>""</f>
        <v/>
      </c>
      <c r="FD340" t="str">
        <f>""</f>
        <v/>
      </c>
      <c r="FE340" t="str">
        <f>""</f>
        <v/>
      </c>
      <c r="FF340" t="str">
        <f>""</f>
        <v/>
      </c>
      <c r="FG340" t="str">
        <f>""</f>
        <v/>
      </c>
      <c r="FH340" t="str">
        <f>""</f>
        <v/>
      </c>
      <c r="FI340" t="str">
        <f>""</f>
        <v/>
      </c>
      <c r="FJ340" t="str">
        <f>""</f>
        <v/>
      </c>
      <c r="FK340" t="str">
        <f>""</f>
        <v/>
      </c>
      <c r="FL340" t="str">
        <f>""</f>
        <v/>
      </c>
      <c r="FM340" t="str">
        <f>""</f>
        <v/>
      </c>
      <c r="FN340" t="str">
        <f>""</f>
        <v/>
      </c>
      <c r="FO340" t="str">
        <f>""</f>
        <v/>
      </c>
      <c r="FP340" t="str">
        <f>""</f>
        <v/>
      </c>
      <c r="FQ340" t="str">
        <f>""</f>
        <v/>
      </c>
      <c r="FR340" t="str">
        <f>""</f>
        <v/>
      </c>
      <c r="FS340" t="str">
        <f>""</f>
        <v/>
      </c>
      <c r="FT340" t="str">
        <f>""</f>
        <v/>
      </c>
      <c r="FU340" t="str">
        <f>""</f>
        <v/>
      </c>
      <c r="FV340" t="str">
        <f>""</f>
        <v/>
      </c>
      <c r="FW340" t="str">
        <f>""</f>
        <v/>
      </c>
      <c r="FX340" t="str">
        <f>""</f>
        <v/>
      </c>
      <c r="FY340" t="str">
        <f>""</f>
        <v/>
      </c>
      <c r="FZ340" t="str">
        <f>""</f>
        <v/>
      </c>
      <c r="GA340" t="str">
        <f>""</f>
        <v/>
      </c>
      <c r="GB340" t="str">
        <f>""</f>
        <v/>
      </c>
      <c r="GC340" t="str">
        <f>""</f>
        <v/>
      </c>
      <c r="GD340" t="str">
        <f>""</f>
        <v/>
      </c>
      <c r="GE340" t="str">
        <f>""</f>
        <v/>
      </c>
      <c r="GF340" t="str">
        <f>""</f>
        <v/>
      </c>
      <c r="GG340" t="str">
        <f>""</f>
        <v/>
      </c>
      <c r="GH340" t="str">
        <f>""</f>
        <v/>
      </c>
      <c r="GI340" t="str">
        <f>""</f>
        <v/>
      </c>
      <c r="GJ340" t="str">
        <f>""</f>
        <v/>
      </c>
      <c r="GK340" t="str">
        <f>""</f>
        <v/>
      </c>
      <c r="GL340" t="str">
        <f>""</f>
        <v/>
      </c>
      <c r="GM340" t="str">
        <f>""</f>
        <v/>
      </c>
      <c r="GN340" t="str">
        <f>""</f>
        <v/>
      </c>
      <c r="GO340" t="str">
        <f>""</f>
        <v/>
      </c>
      <c r="GP340" t="str">
        <f>""</f>
        <v/>
      </c>
      <c r="GQ340" t="str">
        <f>""</f>
        <v/>
      </c>
      <c r="GR340" t="str">
        <f>""</f>
        <v/>
      </c>
      <c r="GS340" t="str">
        <f>""</f>
        <v/>
      </c>
      <c r="GT340" t="str">
        <f>""</f>
        <v/>
      </c>
      <c r="GU340" t="str">
        <f>""</f>
        <v/>
      </c>
      <c r="GV340" t="str">
        <f>""</f>
        <v/>
      </c>
      <c r="GW340" t="str">
        <f>""</f>
        <v/>
      </c>
      <c r="GX340" t="str">
        <f>""</f>
        <v/>
      </c>
      <c r="GY340" t="str">
        <f>""</f>
        <v/>
      </c>
      <c r="GZ340" t="str">
        <f>""</f>
        <v/>
      </c>
      <c r="HA340" t="str">
        <f>""</f>
        <v/>
      </c>
      <c r="HB340" t="str">
        <f>""</f>
        <v/>
      </c>
      <c r="HC340" t="str">
        <f>""</f>
        <v/>
      </c>
      <c r="HD340" t="str">
        <f>""</f>
        <v/>
      </c>
      <c r="HE340" t="str">
        <f>""</f>
        <v/>
      </c>
      <c r="HF340" t="str">
        <f>""</f>
        <v/>
      </c>
      <c r="HG340" t="str">
        <f>""</f>
        <v/>
      </c>
      <c r="HH340" t="str">
        <f>""</f>
        <v/>
      </c>
      <c r="HI340" t="str">
        <f>""</f>
        <v/>
      </c>
      <c r="HJ340" t="str">
        <f>""</f>
        <v/>
      </c>
      <c r="HK340" t="str">
        <f>""</f>
        <v/>
      </c>
      <c r="HL340" t="str">
        <f>""</f>
        <v/>
      </c>
      <c r="HM340" t="str">
        <f>""</f>
        <v/>
      </c>
      <c r="HN340" t="str">
        <f>""</f>
        <v/>
      </c>
      <c r="HO340" t="str">
        <f>""</f>
        <v/>
      </c>
      <c r="HP340" t="str">
        <f>""</f>
        <v/>
      </c>
      <c r="HQ340" t="str">
        <f>""</f>
        <v/>
      </c>
      <c r="HR340" t="str">
        <f>""</f>
        <v/>
      </c>
      <c r="HS340" t="str">
        <f>""</f>
        <v/>
      </c>
      <c r="HT340" t="str">
        <f>""</f>
        <v/>
      </c>
      <c r="HU340" t="str">
        <f>""</f>
        <v/>
      </c>
      <c r="HV340" t="str">
        <f>""</f>
        <v/>
      </c>
      <c r="HW340" t="str">
        <f>""</f>
        <v/>
      </c>
      <c r="HX340" t="str">
        <f>""</f>
        <v/>
      </c>
      <c r="HY340" t="str">
        <f>""</f>
        <v/>
      </c>
      <c r="HZ340" t="str">
        <f>""</f>
        <v/>
      </c>
      <c r="IA340" t="str">
        <f>""</f>
        <v/>
      </c>
      <c r="IB340" t="str">
        <f>""</f>
        <v/>
      </c>
      <c r="IC340" t="str">
        <f>""</f>
        <v/>
      </c>
      <c r="ID340" t="str">
        <f>""</f>
        <v/>
      </c>
      <c r="IE340" t="str">
        <f>""</f>
        <v/>
      </c>
      <c r="IF340" t="str">
        <f>""</f>
        <v/>
      </c>
      <c r="IG340" t="str">
        <f>""</f>
        <v/>
      </c>
      <c r="IH340" t="str">
        <f>""</f>
        <v/>
      </c>
      <c r="II340" t="str">
        <f>""</f>
        <v/>
      </c>
      <c r="IJ340" t="str">
        <f>""</f>
        <v/>
      </c>
      <c r="IK340" t="str">
        <f>"(0.104)"</f>
        <v>(0.104)</v>
      </c>
      <c r="IL340" t="str">
        <f>"(0.0827)"</f>
        <v>(0.0827)</v>
      </c>
      <c r="IM340" t="str">
        <f>"(0.0456)"</f>
        <v>(0.0456)</v>
      </c>
      <c r="IN340" t="str">
        <f>""</f>
        <v/>
      </c>
      <c r="IO340" t="str">
        <f>""</f>
        <v/>
      </c>
      <c r="IP340" t="str">
        <f>""</f>
        <v/>
      </c>
      <c r="IQ340" t="str">
        <f>""</f>
        <v/>
      </c>
      <c r="IR340" t="str">
        <f>""</f>
        <v/>
      </c>
      <c r="IS340" t="str">
        <f>""</f>
        <v/>
      </c>
      <c r="IT340" t="str">
        <f>""</f>
        <v/>
      </c>
      <c r="IU340" t="str">
        <f>""</f>
        <v/>
      </c>
      <c r="IV340" t="str">
        <f>""</f>
        <v/>
      </c>
      <c r="IW340" t="str">
        <f>""</f>
        <v/>
      </c>
      <c r="IX340" t="str">
        <f>""</f>
        <v/>
      </c>
      <c r="IY340" t="str">
        <f>""</f>
        <v/>
      </c>
      <c r="IZ340" t="str">
        <f>""</f>
        <v/>
      </c>
      <c r="JA340" t="str">
        <f>""</f>
        <v/>
      </c>
      <c r="JB340" t="str">
        <f>""</f>
        <v/>
      </c>
      <c r="JC340" t="str">
        <f>""</f>
        <v/>
      </c>
      <c r="JD340" t="str">
        <f>""</f>
        <v/>
      </c>
      <c r="JE340" t="str">
        <f>""</f>
        <v/>
      </c>
      <c r="JF340" t="str">
        <f>""</f>
        <v/>
      </c>
      <c r="JG340" t="str">
        <f>""</f>
        <v/>
      </c>
      <c r="JH340" t="str">
        <f>""</f>
        <v/>
      </c>
      <c r="JI340" t="str">
        <f>""</f>
        <v/>
      </c>
      <c r="JJ340" t="str">
        <f>""</f>
        <v/>
      </c>
      <c r="JK340" t="str">
        <f>""</f>
        <v/>
      </c>
    </row>
    <row r="342" spans="1:271" x14ac:dyDescent="0.3">
      <c r="A342" t="str">
        <f>"c.zMETAB8#c.PM6"</f>
        <v>c.zMETAB8#c.PM6</v>
      </c>
      <c r="B342" t="str">
        <f>""</f>
        <v/>
      </c>
      <c r="C342" t="str">
        <f>""</f>
        <v/>
      </c>
      <c r="D342" t="str">
        <f>""</f>
        <v/>
      </c>
      <c r="E342" t="str">
        <f>""</f>
        <v/>
      </c>
      <c r="F342" t="str">
        <f>""</f>
        <v/>
      </c>
      <c r="G342" t="str">
        <f>""</f>
        <v/>
      </c>
      <c r="H342" t="str">
        <f>""</f>
        <v/>
      </c>
      <c r="I342" t="str">
        <f>""</f>
        <v/>
      </c>
      <c r="J342" t="str">
        <f>""</f>
        <v/>
      </c>
      <c r="K342" t="str">
        <f>""</f>
        <v/>
      </c>
      <c r="L342" t="str">
        <f>""</f>
        <v/>
      </c>
      <c r="M342" t="str">
        <f>""</f>
        <v/>
      </c>
      <c r="N342" t="str">
        <f>""</f>
        <v/>
      </c>
      <c r="O342" t="str">
        <f>""</f>
        <v/>
      </c>
      <c r="P342" t="str">
        <f>""</f>
        <v/>
      </c>
      <c r="Q342" t="str">
        <f>""</f>
        <v/>
      </c>
      <c r="R342" t="str">
        <f>""</f>
        <v/>
      </c>
      <c r="S342" t="str">
        <f>""</f>
        <v/>
      </c>
      <c r="T342" t="str">
        <f>""</f>
        <v/>
      </c>
      <c r="U342" t="str">
        <f>""</f>
        <v/>
      </c>
      <c r="V342" t="str">
        <f>""</f>
        <v/>
      </c>
      <c r="W342" t="str">
        <f>""</f>
        <v/>
      </c>
      <c r="X342" t="str">
        <f>""</f>
        <v/>
      </c>
      <c r="Y342" t="str">
        <f>""</f>
        <v/>
      </c>
      <c r="Z342" t="str">
        <f>""</f>
        <v/>
      </c>
      <c r="AA342" t="str">
        <f>""</f>
        <v/>
      </c>
      <c r="AB342" t="str">
        <f>""</f>
        <v/>
      </c>
      <c r="AC342" t="str">
        <f>""</f>
        <v/>
      </c>
      <c r="AD342" t="str">
        <f>""</f>
        <v/>
      </c>
      <c r="AE342" t="str">
        <f>""</f>
        <v/>
      </c>
      <c r="AF342" t="str">
        <f>""</f>
        <v/>
      </c>
      <c r="AG342" t="str">
        <f>""</f>
        <v/>
      </c>
      <c r="AH342" t="str">
        <f>""</f>
        <v/>
      </c>
      <c r="AI342" t="str">
        <f>""</f>
        <v/>
      </c>
      <c r="AJ342" t="str">
        <f>""</f>
        <v/>
      </c>
      <c r="AK342" t="str">
        <f>""</f>
        <v/>
      </c>
      <c r="AL342" t="str">
        <f>""</f>
        <v/>
      </c>
      <c r="AM342" t="str">
        <f>""</f>
        <v/>
      </c>
      <c r="AN342" t="str">
        <f>""</f>
        <v/>
      </c>
      <c r="AO342" t="str">
        <f>""</f>
        <v/>
      </c>
      <c r="AP342" t="str">
        <f>""</f>
        <v/>
      </c>
      <c r="AQ342" t="str">
        <f>""</f>
        <v/>
      </c>
      <c r="AR342" t="str">
        <f>""</f>
        <v/>
      </c>
      <c r="AS342" t="str">
        <f>""</f>
        <v/>
      </c>
      <c r="AT342" t="str">
        <f>""</f>
        <v/>
      </c>
      <c r="AU342" t="str">
        <f>""</f>
        <v/>
      </c>
      <c r="AV342" t="str">
        <f>""</f>
        <v/>
      </c>
      <c r="AW342" t="str">
        <f>""</f>
        <v/>
      </c>
      <c r="AX342" t="str">
        <f>""</f>
        <v/>
      </c>
      <c r="AY342" t="str">
        <f>""</f>
        <v/>
      </c>
      <c r="AZ342" t="str">
        <f>""</f>
        <v/>
      </c>
      <c r="BA342" t="str">
        <f>""</f>
        <v/>
      </c>
      <c r="BB342" t="str">
        <f>""</f>
        <v/>
      </c>
      <c r="BC342" t="str">
        <f>""</f>
        <v/>
      </c>
      <c r="BD342" t="str">
        <f>""</f>
        <v/>
      </c>
      <c r="BE342" t="str">
        <f>""</f>
        <v/>
      </c>
      <c r="BF342" t="str">
        <f>""</f>
        <v/>
      </c>
      <c r="BG342" t="str">
        <f>""</f>
        <v/>
      </c>
      <c r="BH342" t="str">
        <f>""</f>
        <v/>
      </c>
      <c r="BI342" t="str">
        <f>""</f>
        <v/>
      </c>
      <c r="BJ342" t="str">
        <f>""</f>
        <v/>
      </c>
      <c r="BK342" t="str">
        <f>""</f>
        <v/>
      </c>
      <c r="BL342" t="str">
        <f>""</f>
        <v/>
      </c>
      <c r="BM342" t="str">
        <f>""</f>
        <v/>
      </c>
      <c r="BN342" t="str">
        <f>""</f>
        <v/>
      </c>
      <c r="BO342" t="str">
        <f>""</f>
        <v/>
      </c>
      <c r="BP342" t="str">
        <f>""</f>
        <v/>
      </c>
      <c r="BQ342" t="str">
        <f>""</f>
        <v/>
      </c>
      <c r="BR342" t="str">
        <f>""</f>
        <v/>
      </c>
      <c r="BS342" t="str">
        <f>""</f>
        <v/>
      </c>
      <c r="BT342" t="str">
        <f>""</f>
        <v/>
      </c>
      <c r="BU342" t="str">
        <f>""</f>
        <v/>
      </c>
      <c r="BV342" t="str">
        <f>""</f>
        <v/>
      </c>
      <c r="BW342" t="str">
        <f>""</f>
        <v/>
      </c>
      <c r="BX342" t="str">
        <f>""</f>
        <v/>
      </c>
      <c r="BY342" t="str">
        <f>""</f>
        <v/>
      </c>
      <c r="BZ342" t="str">
        <f>""</f>
        <v/>
      </c>
      <c r="CA342" t="str">
        <f>""</f>
        <v/>
      </c>
      <c r="CB342" t="str">
        <f>""</f>
        <v/>
      </c>
      <c r="CC342" t="str">
        <f>""</f>
        <v/>
      </c>
      <c r="CD342" t="str">
        <f>""</f>
        <v/>
      </c>
      <c r="CE342" t="str">
        <f>""</f>
        <v/>
      </c>
      <c r="CF342" t="str">
        <f>""</f>
        <v/>
      </c>
      <c r="CG342" t="str">
        <f>""</f>
        <v/>
      </c>
      <c r="CH342" t="str">
        <f>""</f>
        <v/>
      </c>
      <c r="CI342" t="str">
        <f>""</f>
        <v/>
      </c>
      <c r="CJ342" t="str">
        <f>""</f>
        <v/>
      </c>
      <c r="CK342" t="str">
        <f>""</f>
        <v/>
      </c>
      <c r="CL342" t="str">
        <f>""</f>
        <v/>
      </c>
      <c r="CM342" t="str">
        <f>""</f>
        <v/>
      </c>
      <c r="CN342" t="str">
        <f>""</f>
        <v/>
      </c>
      <c r="CO342" t="str">
        <f>""</f>
        <v/>
      </c>
      <c r="CP342" t="str">
        <f>""</f>
        <v/>
      </c>
      <c r="CQ342" t="str">
        <f>""</f>
        <v/>
      </c>
      <c r="CR342" t="str">
        <f>""</f>
        <v/>
      </c>
      <c r="CS342" t="str">
        <f>""</f>
        <v/>
      </c>
      <c r="CT342" t="str">
        <f>""</f>
        <v/>
      </c>
      <c r="CU342" t="str">
        <f>""</f>
        <v/>
      </c>
      <c r="CV342" t="str">
        <f>""</f>
        <v/>
      </c>
      <c r="CW342" t="str">
        <f>""</f>
        <v/>
      </c>
      <c r="CX342" t="str">
        <f>""</f>
        <v/>
      </c>
      <c r="CY342" t="str">
        <f>""</f>
        <v/>
      </c>
      <c r="CZ342" t="str">
        <f>""</f>
        <v/>
      </c>
      <c r="DA342" t="str">
        <f>""</f>
        <v/>
      </c>
      <c r="DB342" t="str">
        <f>""</f>
        <v/>
      </c>
      <c r="DC342" t="str">
        <f>""</f>
        <v/>
      </c>
      <c r="DD342" t="str">
        <f>""</f>
        <v/>
      </c>
      <c r="DE342" t="str">
        <f>""</f>
        <v/>
      </c>
      <c r="DF342" t="str">
        <f>""</f>
        <v/>
      </c>
      <c r="DG342" t="str">
        <f>""</f>
        <v/>
      </c>
      <c r="DH342" t="str">
        <f>""</f>
        <v/>
      </c>
      <c r="DI342" t="str">
        <f>""</f>
        <v/>
      </c>
      <c r="DJ342" t="str">
        <f>""</f>
        <v/>
      </c>
      <c r="DK342" t="str">
        <f>""</f>
        <v/>
      </c>
      <c r="DL342" t="str">
        <f>""</f>
        <v/>
      </c>
      <c r="DM342" t="str">
        <f>""</f>
        <v/>
      </c>
      <c r="DN342" t="str">
        <f>""</f>
        <v/>
      </c>
      <c r="DO342" t="str">
        <f>""</f>
        <v/>
      </c>
      <c r="DP342" t="str">
        <f>""</f>
        <v/>
      </c>
      <c r="DQ342" t="str">
        <f>""</f>
        <v/>
      </c>
      <c r="DR342" t="str">
        <f>""</f>
        <v/>
      </c>
      <c r="DS342" t="str">
        <f>""</f>
        <v/>
      </c>
      <c r="DT342" t="str">
        <f>""</f>
        <v/>
      </c>
      <c r="DU342" t="str">
        <f>""</f>
        <v/>
      </c>
      <c r="DV342" t="str">
        <f>""</f>
        <v/>
      </c>
      <c r="DW342" t="str">
        <f>""</f>
        <v/>
      </c>
      <c r="DX342" t="str">
        <f>""</f>
        <v/>
      </c>
      <c r="DY342" t="str">
        <f>""</f>
        <v/>
      </c>
      <c r="DZ342" t="str">
        <f>""</f>
        <v/>
      </c>
      <c r="EA342" t="str">
        <f>""</f>
        <v/>
      </c>
      <c r="EB342" t="str">
        <f>""</f>
        <v/>
      </c>
      <c r="EC342" t="str">
        <f>""</f>
        <v/>
      </c>
      <c r="ED342" t="str">
        <f>""</f>
        <v/>
      </c>
      <c r="EE342" t="str">
        <f>""</f>
        <v/>
      </c>
      <c r="EF342" t="str">
        <f>""</f>
        <v/>
      </c>
      <c r="EG342" t="str">
        <f>""</f>
        <v/>
      </c>
      <c r="EH342" t="str">
        <f>""</f>
        <v/>
      </c>
      <c r="EI342" t="str">
        <f>""</f>
        <v/>
      </c>
      <c r="EJ342" t="str">
        <f>""</f>
        <v/>
      </c>
      <c r="EK342" t="str">
        <f>""</f>
        <v/>
      </c>
      <c r="EL342" t="str">
        <f>""</f>
        <v/>
      </c>
      <c r="EM342" t="str">
        <f>""</f>
        <v/>
      </c>
      <c r="EN342" t="str">
        <f>""</f>
        <v/>
      </c>
      <c r="EO342" t="str">
        <f>""</f>
        <v/>
      </c>
      <c r="EP342" t="str">
        <f>""</f>
        <v/>
      </c>
      <c r="EQ342" t="str">
        <f>""</f>
        <v/>
      </c>
      <c r="ER342" t="str">
        <f>""</f>
        <v/>
      </c>
      <c r="ES342" t="str">
        <f>""</f>
        <v/>
      </c>
      <c r="ET342" t="str">
        <f>""</f>
        <v/>
      </c>
      <c r="EU342" t="str">
        <f>""</f>
        <v/>
      </c>
      <c r="EV342" t="str">
        <f>""</f>
        <v/>
      </c>
      <c r="EW342" t="str">
        <f>""</f>
        <v/>
      </c>
      <c r="EX342" t="str">
        <f>""</f>
        <v/>
      </c>
      <c r="EY342" t="str">
        <f>""</f>
        <v/>
      </c>
      <c r="EZ342" t="str">
        <f>""</f>
        <v/>
      </c>
      <c r="FA342" t="str">
        <f>""</f>
        <v/>
      </c>
      <c r="FB342" t="str">
        <f>""</f>
        <v/>
      </c>
      <c r="FC342" t="str">
        <f>""</f>
        <v/>
      </c>
      <c r="FD342" t="str">
        <f>""</f>
        <v/>
      </c>
      <c r="FE342" t="str">
        <f>""</f>
        <v/>
      </c>
      <c r="FF342" t="str">
        <f>""</f>
        <v/>
      </c>
      <c r="FG342" t="str">
        <f>""</f>
        <v/>
      </c>
      <c r="FH342" t="str">
        <f>""</f>
        <v/>
      </c>
      <c r="FI342" t="str">
        <f>""</f>
        <v/>
      </c>
      <c r="FJ342" t="str">
        <f>""</f>
        <v/>
      </c>
      <c r="FK342" t="str">
        <f>""</f>
        <v/>
      </c>
      <c r="FL342" t="str">
        <f>""</f>
        <v/>
      </c>
      <c r="FM342" t="str">
        <f>""</f>
        <v/>
      </c>
      <c r="FN342" t="str">
        <f>""</f>
        <v/>
      </c>
      <c r="FO342" t="str">
        <f>""</f>
        <v/>
      </c>
      <c r="FP342" t="str">
        <f>""</f>
        <v/>
      </c>
      <c r="FQ342" t="str">
        <f>""</f>
        <v/>
      </c>
      <c r="FR342" t="str">
        <f>""</f>
        <v/>
      </c>
      <c r="FS342" t="str">
        <f>""</f>
        <v/>
      </c>
      <c r="FT342" t="str">
        <f>""</f>
        <v/>
      </c>
      <c r="FU342" t="str">
        <f>""</f>
        <v/>
      </c>
      <c r="FV342" t="str">
        <f>""</f>
        <v/>
      </c>
      <c r="FW342" t="str">
        <f>""</f>
        <v/>
      </c>
      <c r="FX342" t="str">
        <f>""</f>
        <v/>
      </c>
      <c r="FY342" t="str">
        <f>""</f>
        <v/>
      </c>
      <c r="FZ342" t="str">
        <f>""</f>
        <v/>
      </c>
      <c r="GA342" t="str">
        <f>""</f>
        <v/>
      </c>
      <c r="GB342" t="str">
        <f>""</f>
        <v/>
      </c>
      <c r="GC342" t="str">
        <f>""</f>
        <v/>
      </c>
      <c r="GD342" t="str">
        <f>""</f>
        <v/>
      </c>
      <c r="GE342" t="str">
        <f>""</f>
        <v/>
      </c>
      <c r="GF342" t="str">
        <f>""</f>
        <v/>
      </c>
      <c r="GG342" t="str">
        <f>""</f>
        <v/>
      </c>
      <c r="GH342" t="str">
        <f>""</f>
        <v/>
      </c>
      <c r="GI342" t="str">
        <f>""</f>
        <v/>
      </c>
      <c r="GJ342" t="str">
        <f>""</f>
        <v/>
      </c>
      <c r="GK342" t="str">
        <f>""</f>
        <v/>
      </c>
      <c r="GL342" t="str">
        <f>""</f>
        <v/>
      </c>
      <c r="GM342" t="str">
        <f>""</f>
        <v/>
      </c>
      <c r="GN342" t="str">
        <f>""</f>
        <v/>
      </c>
      <c r="GO342" t="str">
        <f>""</f>
        <v/>
      </c>
      <c r="GP342" t="str">
        <f>""</f>
        <v/>
      </c>
      <c r="GQ342" t="str">
        <f>""</f>
        <v/>
      </c>
      <c r="GR342" t="str">
        <f>""</f>
        <v/>
      </c>
      <c r="GS342" t="str">
        <f>""</f>
        <v/>
      </c>
      <c r="GT342" t="str">
        <f>""</f>
        <v/>
      </c>
      <c r="GU342" t="str">
        <f>""</f>
        <v/>
      </c>
      <c r="GV342" t="str">
        <f>""</f>
        <v/>
      </c>
      <c r="GW342" t="str">
        <f>""</f>
        <v/>
      </c>
      <c r="GX342" t="str">
        <f>""</f>
        <v/>
      </c>
      <c r="GY342" t="str">
        <f>""</f>
        <v/>
      </c>
      <c r="GZ342" t="str">
        <f>""</f>
        <v/>
      </c>
      <c r="HA342" t="str">
        <f>""</f>
        <v/>
      </c>
      <c r="HB342" t="str">
        <f>""</f>
        <v/>
      </c>
      <c r="HC342" t="str">
        <f>""</f>
        <v/>
      </c>
      <c r="HD342" t="str">
        <f>""</f>
        <v/>
      </c>
      <c r="HE342" t="str">
        <f>""</f>
        <v/>
      </c>
      <c r="HF342" t="str">
        <f>""</f>
        <v/>
      </c>
      <c r="HG342" t="str">
        <f>""</f>
        <v/>
      </c>
      <c r="HH342" t="str">
        <f>""</f>
        <v/>
      </c>
      <c r="HI342" t="str">
        <f>""</f>
        <v/>
      </c>
      <c r="HJ342" t="str">
        <f>""</f>
        <v/>
      </c>
      <c r="HK342" t="str">
        <f>""</f>
        <v/>
      </c>
      <c r="HL342" t="str">
        <f>""</f>
        <v/>
      </c>
      <c r="HM342" t="str">
        <f>""</f>
        <v/>
      </c>
      <c r="HN342" t="str">
        <f>""</f>
        <v/>
      </c>
      <c r="HO342" t="str">
        <f>""</f>
        <v/>
      </c>
      <c r="HP342" t="str">
        <f>""</f>
        <v/>
      </c>
      <c r="HQ342" t="str">
        <f>""</f>
        <v/>
      </c>
      <c r="HR342" t="str">
        <f>""</f>
        <v/>
      </c>
      <c r="HS342" t="str">
        <f>""</f>
        <v/>
      </c>
      <c r="HT342" t="str">
        <f>""</f>
        <v/>
      </c>
      <c r="HU342" t="str">
        <f>""</f>
        <v/>
      </c>
      <c r="HV342" t="str">
        <f>""</f>
        <v/>
      </c>
      <c r="HW342" t="str">
        <f>""</f>
        <v/>
      </c>
      <c r="HX342" t="str">
        <f>""</f>
        <v/>
      </c>
      <c r="HY342" t="str">
        <f>""</f>
        <v/>
      </c>
      <c r="HZ342" t="str">
        <f>""</f>
        <v/>
      </c>
      <c r="IA342" t="str">
        <f>""</f>
        <v/>
      </c>
      <c r="IB342" t="str">
        <f>""</f>
        <v/>
      </c>
      <c r="IC342" t="str">
        <f>""</f>
        <v/>
      </c>
      <c r="ID342" t="str">
        <f>""</f>
        <v/>
      </c>
      <c r="IE342" t="str">
        <f>""</f>
        <v/>
      </c>
      <c r="IF342" t="str">
        <f>""</f>
        <v/>
      </c>
      <c r="IG342" t="str">
        <f>""</f>
        <v/>
      </c>
      <c r="IH342" t="str">
        <f>""</f>
        <v/>
      </c>
      <c r="II342" t="str">
        <f>""</f>
        <v/>
      </c>
      <c r="IJ342" t="str">
        <f>""</f>
        <v/>
      </c>
      <c r="IK342" t="str">
        <f>""</f>
        <v/>
      </c>
      <c r="IL342" t="str">
        <f>""</f>
        <v/>
      </c>
      <c r="IM342" t="str">
        <f>""</f>
        <v/>
      </c>
      <c r="IN342" t="str">
        <f>"0.0287"</f>
        <v>0.0287</v>
      </c>
      <c r="IO342" t="str">
        <f>"0.132"</f>
        <v>0.132</v>
      </c>
      <c r="IP342" t="str">
        <f>"0.00232"</f>
        <v>0.00232</v>
      </c>
      <c r="IQ342" t="str">
        <f>""</f>
        <v/>
      </c>
      <c r="IR342" t="str">
        <f>""</f>
        <v/>
      </c>
      <c r="IS342" t="str">
        <f>""</f>
        <v/>
      </c>
      <c r="IT342" t="str">
        <f>""</f>
        <v/>
      </c>
      <c r="IU342" t="str">
        <f>""</f>
        <v/>
      </c>
      <c r="IV342" t="str">
        <f>""</f>
        <v/>
      </c>
      <c r="IW342" t="str">
        <f>""</f>
        <v/>
      </c>
      <c r="IX342" t="str">
        <f>""</f>
        <v/>
      </c>
      <c r="IY342" t="str">
        <f>""</f>
        <v/>
      </c>
      <c r="IZ342" t="str">
        <f>""</f>
        <v/>
      </c>
      <c r="JA342" t="str">
        <f>""</f>
        <v/>
      </c>
      <c r="JB342" t="str">
        <f>""</f>
        <v/>
      </c>
      <c r="JC342" t="str">
        <f>""</f>
        <v/>
      </c>
      <c r="JD342" t="str">
        <f>""</f>
        <v/>
      </c>
      <c r="JE342" t="str">
        <f>""</f>
        <v/>
      </c>
      <c r="JF342" t="str">
        <f>""</f>
        <v/>
      </c>
      <c r="JG342" t="str">
        <f>""</f>
        <v/>
      </c>
      <c r="JH342" t="str">
        <f>""</f>
        <v/>
      </c>
      <c r="JI342" t="str">
        <f>""</f>
        <v/>
      </c>
      <c r="JJ342" t="str">
        <f>""</f>
        <v/>
      </c>
      <c r="JK342" t="str">
        <f>""</f>
        <v/>
      </c>
    </row>
    <row r="343" spans="1:271" x14ac:dyDescent="0.3">
      <c r="A343" t="str">
        <f>""</f>
        <v/>
      </c>
      <c r="B343" t="str">
        <f>""</f>
        <v/>
      </c>
      <c r="C343" t="str">
        <f>""</f>
        <v/>
      </c>
      <c r="D343" t="str">
        <f>""</f>
        <v/>
      </c>
      <c r="E343" t="str">
        <f>""</f>
        <v/>
      </c>
      <c r="F343" t="str">
        <f>""</f>
        <v/>
      </c>
      <c r="G343" t="str">
        <f>""</f>
        <v/>
      </c>
      <c r="H343" t="str">
        <f>""</f>
        <v/>
      </c>
      <c r="I343" t="str">
        <f>""</f>
        <v/>
      </c>
      <c r="J343" t="str">
        <f>""</f>
        <v/>
      </c>
      <c r="K343" t="str">
        <f>""</f>
        <v/>
      </c>
      <c r="L343" t="str">
        <f>""</f>
        <v/>
      </c>
      <c r="M343" t="str">
        <f>""</f>
        <v/>
      </c>
      <c r="N343" t="str">
        <f>""</f>
        <v/>
      </c>
      <c r="O343" t="str">
        <f>""</f>
        <v/>
      </c>
      <c r="P343" t="str">
        <f>""</f>
        <v/>
      </c>
      <c r="Q343" t="str">
        <f>""</f>
        <v/>
      </c>
      <c r="R343" t="str">
        <f>""</f>
        <v/>
      </c>
      <c r="S343" t="str">
        <f>""</f>
        <v/>
      </c>
      <c r="T343" t="str">
        <f>""</f>
        <v/>
      </c>
      <c r="U343" t="str">
        <f>""</f>
        <v/>
      </c>
      <c r="V343" t="str">
        <f>""</f>
        <v/>
      </c>
      <c r="W343" t="str">
        <f>""</f>
        <v/>
      </c>
      <c r="X343" t="str">
        <f>""</f>
        <v/>
      </c>
      <c r="Y343" t="str">
        <f>""</f>
        <v/>
      </c>
      <c r="Z343" t="str">
        <f>""</f>
        <v/>
      </c>
      <c r="AA343" t="str">
        <f>""</f>
        <v/>
      </c>
      <c r="AB343" t="str">
        <f>""</f>
        <v/>
      </c>
      <c r="AC343" t="str">
        <f>""</f>
        <v/>
      </c>
      <c r="AD343" t="str">
        <f>""</f>
        <v/>
      </c>
      <c r="AE343" t="str">
        <f>""</f>
        <v/>
      </c>
      <c r="AF343" t="str">
        <f>""</f>
        <v/>
      </c>
      <c r="AG343" t="str">
        <f>""</f>
        <v/>
      </c>
      <c r="AH343" t="str">
        <f>""</f>
        <v/>
      </c>
      <c r="AI343" t="str">
        <f>""</f>
        <v/>
      </c>
      <c r="AJ343" t="str">
        <f>""</f>
        <v/>
      </c>
      <c r="AK343" t="str">
        <f>""</f>
        <v/>
      </c>
      <c r="AL343" t="str">
        <f>""</f>
        <v/>
      </c>
      <c r="AM343" t="str">
        <f>""</f>
        <v/>
      </c>
      <c r="AN343" t="str">
        <f>""</f>
        <v/>
      </c>
      <c r="AO343" t="str">
        <f>""</f>
        <v/>
      </c>
      <c r="AP343" t="str">
        <f>""</f>
        <v/>
      </c>
      <c r="AQ343" t="str">
        <f>""</f>
        <v/>
      </c>
      <c r="AR343" t="str">
        <f>""</f>
        <v/>
      </c>
      <c r="AS343" t="str">
        <f>""</f>
        <v/>
      </c>
      <c r="AT343" t="str">
        <f>""</f>
        <v/>
      </c>
      <c r="AU343" t="str">
        <f>""</f>
        <v/>
      </c>
      <c r="AV343" t="str">
        <f>""</f>
        <v/>
      </c>
      <c r="AW343" t="str">
        <f>""</f>
        <v/>
      </c>
      <c r="AX343" t="str">
        <f>""</f>
        <v/>
      </c>
      <c r="AY343" t="str">
        <f>""</f>
        <v/>
      </c>
      <c r="AZ343" t="str">
        <f>""</f>
        <v/>
      </c>
      <c r="BA343" t="str">
        <f>""</f>
        <v/>
      </c>
      <c r="BB343" t="str">
        <f>""</f>
        <v/>
      </c>
      <c r="BC343" t="str">
        <f>""</f>
        <v/>
      </c>
      <c r="BD343" t="str">
        <f>""</f>
        <v/>
      </c>
      <c r="BE343" t="str">
        <f>""</f>
        <v/>
      </c>
      <c r="BF343" t="str">
        <f>""</f>
        <v/>
      </c>
      <c r="BG343" t="str">
        <f>""</f>
        <v/>
      </c>
      <c r="BH343" t="str">
        <f>""</f>
        <v/>
      </c>
      <c r="BI343" t="str">
        <f>""</f>
        <v/>
      </c>
      <c r="BJ343" t="str">
        <f>""</f>
        <v/>
      </c>
      <c r="BK343" t="str">
        <f>""</f>
        <v/>
      </c>
      <c r="BL343" t="str">
        <f>""</f>
        <v/>
      </c>
      <c r="BM343" t="str">
        <f>""</f>
        <v/>
      </c>
      <c r="BN343" t="str">
        <f>""</f>
        <v/>
      </c>
      <c r="BO343" t="str">
        <f>""</f>
        <v/>
      </c>
      <c r="BP343" t="str">
        <f>""</f>
        <v/>
      </c>
      <c r="BQ343" t="str">
        <f>""</f>
        <v/>
      </c>
      <c r="BR343" t="str">
        <f>""</f>
        <v/>
      </c>
      <c r="BS343" t="str">
        <f>""</f>
        <v/>
      </c>
      <c r="BT343" t="str">
        <f>""</f>
        <v/>
      </c>
      <c r="BU343" t="str">
        <f>""</f>
        <v/>
      </c>
      <c r="BV343" t="str">
        <f>""</f>
        <v/>
      </c>
      <c r="BW343" t="str">
        <f>""</f>
        <v/>
      </c>
      <c r="BX343" t="str">
        <f>""</f>
        <v/>
      </c>
      <c r="BY343" t="str">
        <f>""</f>
        <v/>
      </c>
      <c r="BZ343" t="str">
        <f>""</f>
        <v/>
      </c>
      <c r="CA343" t="str">
        <f>""</f>
        <v/>
      </c>
      <c r="CB343" t="str">
        <f>""</f>
        <v/>
      </c>
      <c r="CC343" t="str">
        <f>""</f>
        <v/>
      </c>
      <c r="CD343" t="str">
        <f>""</f>
        <v/>
      </c>
      <c r="CE343" t="str">
        <f>""</f>
        <v/>
      </c>
      <c r="CF343" t="str">
        <f>""</f>
        <v/>
      </c>
      <c r="CG343" t="str">
        <f>""</f>
        <v/>
      </c>
      <c r="CH343" t="str">
        <f>""</f>
        <v/>
      </c>
      <c r="CI343" t="str">
        <f>""</f>
        <v/>
      </c>
      <c r="CJ343" t="str">
        <f>""</f>
        <v/>
      </c>
      <c r="CK343" t="str">
        <f>""</f>
        <v/>
      </c>
      <c r="CL343" t="str">
        <f>""</f>
        <v/>
      </c>
      <c r="CM343" t="str">
        <f>""</f>
        <v/>
      </c>
      <c r="CN343" t="str">
        <f>""</f>
        <v/>
      </c>
      <c r="CO343" t="str">
        <f>""</f>
        <v/>
      </c>
      <c r="CP343" t="str">
        <f>""</f>
        <v/>
      </c>
      <c r="CQ343" t="str">
        <f>""</f>
        <v/>
      </c>
      <c r="CR343" t="str">
        <f>""</f>
        <v/>
      </c>
      <c r="CS343" t="str">
        <f>""</f>
        <v/>
      </c>
      <c r="CT343" t="str">
        <f>""</f>
        <v/>
      </c>
      <c r="CU343" t="str">
        <f>""</f>
        <v/>
      </c>
      <c r="CV343" t="str">
        <f>""</f>
        <v/>
      </c>
      <c r="CW343" t="str">
        <f>""</f>
        <v/>
      </c>
      <c r="CX343" t="str">
        <f>""</f>
        <v/>
      </c>
      <c r="CY343" t="str">
        <f>""</f>
        <v/>
      </c>
      <c r="CZ343" t="str">
        <f>""</f>
        <v/>
      </c>
      <c r="DA343" t="str">
        <f>""</f>
        <v/>
      </c>
      <c r="DB343" t="str">
        <f>""</f>
        <v/>
      </c>
      <c r="DC343" t="str">
        <f>""</f>
        <v/>
      </c>
      <c r="DD343" t="str">
        <f>""</f>
        <v/>
      </c>
      <c r="DE343" t="str">
        <f>""</f>
        <v/>
      </c>
      <c r="DF343" t="str">
        <f>""</f>
        <v/>
      </c>
      <c r="DG343" t="str">
        <f>""</f>
        <v/>
      </c>
      <c r="DH343" t="str">
        <f>""</f>
        <v/>
      </c>
      <c r="DI343" t="str">
        <f>""</f>
        <v/>
      </c>
      <c r="DJ343" t="str">
        <f>""</f>
        <v/>
      </c>
      <c r="DK343" t="str">
        <f>""</f>
        <v/>
      </c>
      <c r="DL343" t="str">
        <f>""</f>
        <v/>
      </c>
      <c r="DM343" t="str">
        <f>""</f>
        <v/>
      </c>
      <c r="DN343" t="str">
        <f>""</f>
        <v/>
      </c>
      <c r="DO343" t="str">
        <f>""</f>
        <v/>
      </c>
      <c r="DP343" t="str">
        <f>""</f>
        <v/>
      </c>
      <c r="DQ343" t="str">
        <f>""</f>
        <v/>
      </c>
      <c r="DR343" t="str">
        <f>""</f>
        <v/>
      </c>
      <c r="DS343" t="str">
        <f>""</f>
        <v/>
      </c>
      <c r="DT343" t="str">
        <f>""</f>
        <v/>
      </c>
      <c r="DU343" t="str">
        <f>""</f>
        <v/>
      </c>
      <c r="DV343" t="str">
        <f>""</f>
        <v/>
      </c>
      <c r="DW343" t="str">
        <f>""</f>
        <v/>
      </c>
      <c r="DX343" t="str">
        <f>""</f>
        <v/>
      </c>
      <c r="DY343" t="str">
        <f>""</f>
        <v/>
      </c>
      <c r="DZ343" t="str">
        <f>""</f>
        <v/>
      </c>
      <c r="EA343" t="str">
        <f>""</f>
        <v/>
      </c>
      <c r="EB343" t="str">
        <f>""</f>
        <v/>
      </c>
      <c r="EC343" t="str">
        <f>""</f>
        <v/>
      </c>
      <c r="ED343" t="str">
        <f>""</f>
        <v/>
      </c>
      <c r="EE343" t="str">
        <f>""</f>
        <v/>
      </c>
      <c r="EF343" t="str">
        <f>""</f>
        <v/>
      </c>
      <c r="EG343" t="str">
        <f>""</f>
        <v/>
      </c>
      <c r="EH343" t="str">
        <f>""</f>
        <v/>
      </c>
      <c r="EI343" t="str">
        <f>""</f>
        <v/>
      </c>
      <c r="EJ343" t="str">
        <f>""</f>
        <v/>
      </c>
      <c r="EK343" t="str">
        <f>""</f>
        <v/>
      </c>
      <c r="EL343" t="str">
        <f>""</f>
        <v/>
      </c>
      <c r="EM343" t="str">
        <f>""</f>
        <v/>
      </c>
      <c r="EN343" t="str">
        <f>""</f>
        <v/>
      </c>
      <c r="EO343" t="str">
        <f>""</f>
        <v/>
      </c>
      <c r="EP343" t="str">
        <f>""</f>
        <v/>
      </c>
      <c r="EQ343" t="str">
        <f>""</f>
        <v/>
      </c>
      <c r="ER343" t="str">
        <f>""</f>
        <v/>
      </c>
      <c r="ES343" t="str">
        <f>""</f>
        <v/>
      </c>
      <c r="ET343" t="str">
        <f>""</f>
        <v/>
      </c>
      <c r="EU343" t="str">
        <f>""</f>
        <v/>
      </c>
      <c r="EV343" t="str">
        <f>""</f>
        <v/>
      </c>
      <c r="EW343" t="str">
        <f>""</f>
        <v/>
      </c>
      <c r="EX343" t="str">
        <f>""</f>
        <v/>
      </c>
      <c r="EY343" t="str">
        <f>""</f>
        <v/>
      </c>
      <c r="EZ343" t="str">
        <f>""</f>
        <v/>
      </c>
      <c r="FA343" t="str">
        <f>""</f>
        <v/>
      </c>
      <c r="FB343" t="str">
        <f>""</f>
        <v/>
      </c>
      <c r="FC343" t="str">
        <f>""</f>
        <v/>
      </c>
      <c r="FD343" t="str">
        <f>""</f>
        <v/>
      </c>
      <c r="FE343" t="str">
        <f>""</f>
        <v/>
      </c>
      <c r="FF343" t="str">
        <f>""</f>
        <v/>
      </c>
      <c r="FG343" t="str">
        <f>""</f>
        <v/>
      </c>
      <c r="FH343" t="str">
        <f>""</f>
        <v/>
      </c>
      <c r="FI343" t="str">
        <f>""</f>
        <v/>
      </c>
      <c r="FJ343" t="str">
        <f>""</f>
        <v/>
      </c>
      <c r="FK343" t="str">
        <f>""</f>
        <v/>
      </c>
      <c r="FL343" t="str">
        <f>""</f>
        <v/>
      </c>
      <c r="FM343" t="str">
        <f>""</f>
        <v/>
      </c>
      <c r="FN343" t="str">
        <f>""</f>
        <v/>
      </c>
      <c r="FO343" t="str">
        <f>""</f>
        <v/>
      </c>
      <c r="FP343" t="str">
        <f>""</f>
        <v/>
      </c>
      <c r="FQ343" t="str">
        <f>""</f>
        <v/>
      </c>
      <c r="FR343" t="str">
        <f>""</f>
        <v/>
      </c>
      <c r="FS343" t="str">
        <f>""</f>
        <v/>
      </c>
      <c r="FT343" t="str">
        <f>""</f>
        <v/>
      </c>
      <c r="FU343" t="str">
        <f>""</f>
        <v/>
      </c>
      <c r="FV343" t="str">
        <f>""</f>
        <v/>
      </c>
      <c r="FW343" t="str">
        <f>""</f>
        <v/>
      </c>
      <c r="FX343" t="str">
        <f>""</f>
        <v/>
      </c>
      <c r="FY343" t="str">
        <f>""</f>
        <v/>
      </c>
      <c r="FZ343" t="str">
        <f>""</f>
        <v/>
      </c>
      <c r="GA343" t="str">
        <f>""</f>
        <v/>
      </c>
      <c r="GB343" t="str">
        <f>""</f>
        <v/>
      </c>
      <c r="GC343" t="str">
        <f>""</f>
        <v/>
      </c>
      <c r="GD343" t="str">
        <f>""</f>
        <v/>
      </c>
      <c r="GE343" t="str">
        <f>""</f>
        <v/>
      </c>
      <c r="GF343" t="str">
        <f>""</f>
        <v/>
      </c>
      <c r="GG343" t="str">
        <f>""</f>
        <v/>
      </c>
      <c r="GH343" t="str">
        <f>""</f>
        <v/>
      </c>
      <c r="GI343" t="str">
        <f>""</f>
        <v/>
      </c>
      <c r="GJ343" t="str">
        <f>""</f>
        <v/>
      </c>
      <c r="GK343" t="str">
        <f>""</f>
        <v/>
      </c>
      <c r="GL343" t="str">
        <f>""</f>
        <v/>
      </c>
      <c r="GM343" t="str">
        <f>""</f>
        <v/>
      </c>
      <c r="GN343" t="str">
        <f>""</f>
        <v/>
      </c>
      <c r="GO343" t="str">
        <f>""</f>
        <v/>
      </c>
      <c r="GP343" t="str">
        <f>""</f>
        <v/>
      </c>
      <c r="GQ343" t="str">
        <f>""</f>
        <v/>
      </c>
      <c r="GR343" t="str">
        <f>""</f>
        <v/>
      </c>
      <c r="GS343" t="str">
        <f>""</f>
        <v/>
      </c>
      <c r="GT343" t="str">
        <f>""</f>
        <v/>
      </c>
      <c r="GU343" t="str">
        <f>""</f>
        <v/>
      </c>
      <c r="GV343" t="str">
        <f>""</f>
        <v/>
      </c>
      <c r="GW343" t="str">
        <f>""</f>
        <v/>
      </c>
      <c r="GX343" t="str">
        <f>""</f>
        <v/>
      </c>
      <c r="GY343" t="str">
        <f>""</f>
        <v/>
      </c>
      <c r="GZ343" t="str">
        <f>""</f>
        <v/>
      </c>
      <c r="HA343" t="str">
        <f>""</f>
        <v/>
      </c>
      <c r="HB343" t="str">
        <f>""</f>
        <v/>
      </c>
      <c r="HC343" t="str">
        <f>""</f>
        <v/>
      </c>
      <c r="HD343" t="str">
        <f>""</f>
        <v/>
      </c>
      <c r="HE343" t="str">
        <f>""</f>
        <v/>
      </c>
      <c r="HF343" t="str">
        <f>""</f>
        <v/>
      </c>
      <c r="HG343" t="str">
        <f>""</f>
        <v/>
      </c>
      <c r="HH343" t="str">
        <f>""</f>
        <v/>
      </c>
      <c r="HI343" t="str">
        <f>""</f>
        <v/>
      </c>
      <c r="HJ343" t="str">
        <f>""</f>
        <v/>
      </c>
      <c r="HK343" t="str">
        <f>""</f>
        <v/>
      </c>
      <c r="HL343" t="str">
        <f>""</f>
        <v/>
      </c>
      <c r="HM343" t="str">
        <f>""</f>
        <v/>
      </c>
      <c r="HN343" t="str">
        <f>""</f>
        <v/>
      </c>
      <c r="HO343" t="str">
        <f>""</f>
        <v/>
      </c>
      <c r="HP343" t="str">
        <f>""</f>
        <v/>
      </c>
      <c r="HQ343" t="str">
        <f>""</f>
        <v/>
      </c>
      <c r="HR343" t="str">
        <f>""</f>
        <v/>
      </c>
      <c r="HS343" t="str">
        <f>""</f>
        <v/>
      </c>
      <c r="HT343" t="str">
        <f>""</f>
        <v/>
      </c>
      <c r="HU343" t="str">
        <f>""</f>
        <v/>
      </c>
      <c r="HV343" t="str">
        <f>""</f>
        <v/>
      </c>
      <c r="HW343" t="str">
        <f>""</f>
        <v/>
      </c>
      <c r="HX343" t="str">
        <f>""</f>
        <v/>
      </c>
      <c r="HY343" t="str">
        <f>""</f>
        <v/>
      </c>
      <c r="HZ343" t="str">
        <f>""</f>
        <v/>
      </c>
      <c r="IA343" t="str">
        <f>""</f>
        <v/>
      </c>
      <c r="IB343" t="str">
        <f>""</f>
        <v/>
      </c>
      <c r="IC343" t="str">
        <f>""</f>
        <v/>
      </c>
      <c r="ID343" t="str">
        <f>""</f>
        <v/>
      </c>
      <c r="IE343" t="str">
        <f>""</f>
        <v/>
      </c>
      <c r="IF343" t="str">
        <f>""</f>
        <v/>
      </c>
      <c r="IG343" t="str">
        <f>""</f>
        <v/>
      </c>
      <c r="IH343" t="str">
        <f>""</f>
        <v/>
      </c>
      <c r="II343" t="str">
        <f>""</f>
        <v/>
      </c>
      <c r="IJ343" t="str">
        <f>""</f>
        <v/>
      </c>
      <c r="IK343" t="str">
        <f>""</f>
        <v/>
      </c>
      <c r="IL343" t="str">
        <f>""</f>
        <v/>
      </c>
      <c r="IM343" t="str">
        <f>""</f>
        <v/>
      </c>
      <c r="IN343" t="str">
        <f>"(0.108)"</f>
        <v>(0.108)</v>
      </c>
      <c r="IO343" t="str">
        <f>"(0.0864)"</f>
        <v>(0.0864)</v>
      </c>
      <c r="IP343" t="str">
        <f>"(0.0455)"</f>
        <v>(0.0455)</v>
      </c>
      <c r="IQ343" t="str">
        <f>""</f>
        <v/>
      </c>
      <c r="IR343" t="str">
        <f>""</f>
        <v/>
      </c>
      <c r="IS343" t="str">
        <f>""</f>
        <v/>
      </c>
      <c r="IT343" t="str">
        <f>""</f>
        <v/>
      </c>
      <c r="IU343" t="str">
        <f>""</f>
        <v/>
      </c>
      <c r="IV343" t="str">
        <f>""</f>
        <v/>
      </c>
      <c r="IW343" t="str">
        <f>""</f>
        <v/>
      </c>
      <c r="IX343" t="str">
        <f>""</f>
        <v/>
      </c>
      <c r="IY343" t="str">
        <f>""</f>
        <v/>
      </c>
      <c r="IZ343" t="str">
        <f>""</f>
        <v/>
      </c>
      <c r="JA343" t="str">
        <f>""</f>
        <v/>
      </c>
      <c r="JB343" t="str">
        <f>""</f>
        <v/>
      </c>
      <c r="JC343" t="str">
        <f>""</f>
        <v/>
      </c>
      <c r="JD343" t="str">
        <f>""</f>
        <v/>
      </c>
      <c r="JE343" t="str">
        <f>""</f>
        <v/>
      </c>
      <c r="JF343" t="str">
        <f>""</f>
        <v/>
      </c>
      <c r="JG343" t="str">
        <f>""</f>
        <v/>
      </c>
      <c r="JH343" t="str">
        <f>""</f>
        <v/>
      </c>
      <c r="JI343" t="str">
        <f>""</f>
        <v/>
      </c>
      <c r="JJ343" t="str">
        <f>""</f>
        <v/>
      </c>
      <c r="JK343" t="str">
        <f>""</f>
        <v/>
      </c>
    </row>
    <row r="345" spans="1:271" x14ac:dyDescent="0.3">
      <c r="A345" t="str">
        <f>"c.zMETAB9#c.PM6"</f>
        <v>c.zMETAB9#c.PM6</v>
      </c>
      <c r="B345" t="str">
        <f>""</f>
        <v/>
      </c>
      <c r="C345" t="str">
        <f>""</f>
        <v/>
      </c>
      <c r="D345" t="str">
        <f>""</f>
        <v/>
      </c>
      <c r="E345" t="str">
        <f>""</f>
        <v/>
      </c>
      <c r="F345" t="str">
        <f>""</f>
        <v/>
      </c>
      <c r="G345" t="str">
        <f>""</f>
        <v/>
      </c>
      <c r="H345" t="str">
        <f>""</f>
        <v/>
      </c>
      <c r="I345" t="str">
        <f>""</f>
        <v/>
      </c>
      <c r="J345" t="str">
        <f>""</f>
        <v/>
      </c>
      <c r="K345" t="str">
        <f>""</f>
        <v/>
      </c>
      <c r="L345" t="str">
        <f>""</f>
        <v/>
      </c>
      <c r="M345" t="str">
        <f>""</f>
        <v/>
      </c>
      <c r="N345" t="str">
        <f>""</f>
        <v/>
      </c>
      <c r="O345" t="str">
        <f>""</f>
        <v/>
      </c>
      <c r="P345" t="str">
        <f>""</f>
        <v/>
      </c>
      <c r="Q345" t="str">
        <f>""</f>
        <v/>
      </c>
      <c r="R345" t="str">
        <f>""</f>
        <v/>
      </c>
      <c r="S345" t="str">
        <f>""</f>
        <v/>
      </c>
      <c r="T345" t="str">
        <f>""</f>
        <v/>
      </c>
      <c r="U345" t="str">
        <f>""</f>
        <v/>
      </c>
      <c r="V345" t="str">
        <f>""</f>
        <v/>
      </c>
      <c r="W345" t="str">
        <f>""</f>
        <v/>
      </c>
      <c r="X345" t="str">
        <f>""</f>
        <v/>
      </c>
      <c r="Y345" t="str">
        <f>""</f>
        <v/>
      </c>
      <c r="Z345" t="str">
        <f>""</f>
        <v/>
      </c>
      <c r="AA345" t="str">
        <f>""</f>
        <v/>
      </c>
      <c r="AB345" t="str">
        <f>""</f>
        <v/>
      </c>
      <c r="AC345" t="str">
        <f>""</f>
        <v/>
      </c>
      <c r="AD345" t="str">
        <f>""</f>
        <v/>
      </c>
      <c r="AE345" t="str">
        <f>""</f>
        <v/>
      </c>
      <c r="AF345" t="str">
        <f>""</f>
        <v/>
      </c>
      <c r="AG345" t="str">
        <f>""</f>
        <v/>
      </c>
      <c r="AH345" t="str">
        <f>""</f>
        <v/>
      </c>
      <c r="AI345" t="str">
        <f>""</f>
        <v/>
      </c>
      <c r="AJ345" t="str">
        <f>""</f>
        <v/>
      </c>
      <c r="AK345" t="str">
        <f>""</f>
        <v/>
      </c>
      <c r="AL345" t="str">
        <f>""</f>
        <v/>
      </c>
      <c r="AM345" t="str">
        <f>""</f>
        <v/>
      </c>
      <c r="AN345" t="str">
        <f>""</f>
        <v/>
      </c>
      <c r="AO345" t="str">
        <f>""</f>
        <v/>
      </c>
      <c r="AP345" t="str">
        <f>""</f>
        <v/>
      </c>
      <c r="AQ345" t="str">
        <f>""</f>
        <v/>
      </c>
      <c r="AR345" t="str">
        <f>""</f>
        <v/>
      </c>
      <c r="AS345" t="str">
        <f>""</f>
        <v/>
      </c>
      <c r="AT345" t="str">
        <f>""</f>
        <v/>
      </c>
      <c r="AU345" t="str">
        <f>""</f>
        <v/>
      </c>
      <c r="AV345" t="str">
        <f>""</f>
        <v/>
      </c>
      <c r="AW345" t="str">
        <f>""</f>
        <v/>
      </c>
      <c r="AX345" t="str">
        <f>""</f>
        <v/>
      </c>
      <c r="AY345" t="str">
        <f>""</f>
        <v/>
      </c>
      <c r="AZ345" t="str">
        <f>""</f>
        <v/>
      </c>
      <c r="BA345" t="str">
        <f>""</f>
        <v/>
      </c>
      <c r="BB345" t="str">
        <f>""</f>
        <v/>
      </c>
      <c r="BC345" t="str">
        <f>""</f>
        <v/>
      </c>
      <c r="BD345" t="str">
        <f>""</f>
        <v/>
      </c>
      <c r="BE345" t="str">
        <f>""</f>
        <v/>
      </c>
      <c r="BF345" t="str">
        <f>""</f>
        <v/>
      </c>
      <c r="BG345" t="str">
        <f>""</f>
        <v/>
      </c>
      <c r="BH345" t="str">
        <f>""</f>
        <v/>
      </c>
      <c r="BI345" t="str">
        <f>""</f>
        <v/>
      </c>
      <c r="BJ345" t="str">
        <f>""</f>
        <v/>
      </c>
      <c r="BK345" t="str">
        <f>""</f>
        <v/>
      </c>
      <c r="BL345" t="str">
        <f>""</f>
        <v/>
      </c>
      <c r="BM345" t="str">
        <f>""</f>
        <v/>
      </c>
      <c r="BN345" t="str">
        <f>""</f>
        <v/>
      </c>
      <c r="BO345" t="str">
        <f>""</f>
        <v/>
      </c>
      <c r="BP345" t="str">
        <f>""</f>
        <v/>
      </c>
      <c r="BQ345" t="str">
        <f>""</f>
        <v/>
      </c>
      <c r="BR345" t="str">
        <f>""</f>
        <v/>
      </c>
      <c r="BS345" t="str">
        <f>""</f>
        <v/>
      </c>
      <c r="BT345" t="str">
        <f>""</f>
        <v/>
      </c>
      <c r="BU345" t="str">
        <f>""</f>
        <v/>
      </c>
      <c r="BV345" t="str">
        <f>""</f>
        <v/>
      </c>
      <c r="BW345" t="str">
        <f>""</f>
        <v/>
      </c>
      <c r="BX345" t="str">
        <f>""</f>
        <v/>
      </c>
      <c r="BY345" t="str">
        <f>""</f>
        <v/>
      </c>
      <c r="BZ345" t="str">
        <f>""</f>
        <v/>
      </c>
      <c r="CA345" t="str">
        <f>""</f>
        <v/>
      </c>
      <c r="CB345" t="str">
        <f>""</f>
        <v/>
      </c>
      <c r="CC345" t="str">
        <f>""</f>
        <v/>
      </c>
      <c r="CD345" t="str">
        <f>""</f>
        <v/>
      </c>
      <c r="CE345" t="str">
        <f>""</f>
        <v/>
      </c>
      <c r="CF345" t="str">
        <f>""</f>
        <v/>
      </c>
      <c r="CG345" t="str">
        <f>""</f>
        <v/>
      </c>
      <c r="CH345" t="str">
        <f>""</f>
        <v/>
      </c>
      <c r="CI345" t="str">
        <f>""</f>
        <v/>
      </c>
      <c r="CJ345" t="str">
        <f>""</f>
        <v/>
      </c>
      <c r="CK345" t="str">
        <f>""</f>
        <v/>
      </c>
      <c r="CL345" t="str">
        <f>""</f>
        <v/>
      </c>
      <c r="CM345" t="str">
        <f>""</f>
        <v/>
      </c>
      <c r="CN345" t="str">
        <f>""</f>
        <v/>
      </c>
      <c r="CO345" t="str">
        <f>""</f>
        <v/>
      </c>
      <c r="CP345" t="str">
        <f>""</f>
        <v/>
      </c>
      <c r="CQ345" t="str">
        <f>""</f>
        <v/>
      </c>
      <c r="CR345" t="str">
        <f>""</f>
        <v/>
      </c>
      <c r="CS345" t="str">
        <f>""</f>
        <v/>
      </c>
      <c r="CT345" t="str">
        <f>""</f>
        <v/>
      </c>
      <c r="CU345" t="str">
        <f>""</f>
        <v/>
      </c>
      <c r="CV345" t="str">
        <f>""</f>
        <v/>
      </c>
      <c r="CW345" t="str">
        <f>""</f>
        <v/>
      </c>
      <c r="CX345" t="str">
        <f>""</f>
        <v/>
      </c>
      <c r="CY345" t="str">
        <f>""</f>
        <v/>
      </c>
      <c r="CZ345" t="str">
        <f>""</f>
        <v/>
      </c>
      <c r="DA345" t="str">
        <f>""</f>
        <v/>
      </c>
      <c r="DB345" t="str">
        <f>""</f>
        <v/>
      </c>
      <c r="DC345" t="str">
        <f>""</f>
        <v/>
      </c>
      <c r="DD345" t="str">
        <f>""</f>
        <v/>
      </c>
      <c r="DE345" t="str">
        <f>""</f>
        <v/>
      </c>
      <c r="DF345" t="str">
        <f>""</f>
        <v/>
      </c>
      <c r="DG345" t="str">
        <f>""</f>
        <v/>
      </c>
      <c r="DH345" t="str">
        <f>""</f>
        <v/>
      </c>
      <c r="DI345" t="str">
        <f>""</f>
        <v/>
      </c>
      <c r="DJ345" t="str">
        <f>""</f>
        <v/>
      </c>
      <c r="DK345" t="str">
        <f>""</f>
        <v/>
      </c>
      <c r="DL345" t="str">
        <f>""</f>
        <v/>
      </c>
      <c r="DM345" t="str">
        <f>""</f>
        <v/>
      </c>
      <c r="DN345" t="str">
        <f>""</f>
        <v/>
      </c>
      <c r="DO345" t="str">
        <f>""</f>
        <v/>
      </c>
      <c r="DP345" t="str">
        <f>""</f>
        <v/>
      </c>
      <c r="DQ345" t="str">
        <f>""</f>
        <v/>
      </c>
      <c r="DR345" t="str">
        <f>""</f>
        <v/>
      </c>
      <c r="DS345" t="str">
        <f>""</f>
        <v/>
      </c>
      <c r="DT345" t="str">
        <f>""</f>
        <v/>
      </c>
      <c r="DU345" t="str">
        <f>""</f>
        <v/>
      </c>
      <c r="DV345" t="str">
        <f>""</f>
        <v/>
      </c>
      <c r="DW345" t="str">
        <f>""</f>
        <v/>
      </c>
      <c r="DX345" t="str">
        <f>""</f>
        <v/>
      </c>
      <c r="DY345" t="str">
        <f>""</f>
        <v/>
      </c>
      <c r="DZ345" t="str">
        <f>""</f>
        <v/>
      </c>
      <c r="EA345" t="str">
        <f>""</f>
        <v/>
      </c>
      <c r="EB345" t="str">
        <f>""</f>
        <v/>
      </c>
      <c r="EC345" t="str">
        <f>""</f>
        <v/>
      </c>
      <c r="ED345" t="str">
        <f>""</f>
        <v/>
      </c>
      <c r="EE345" t="str">
        <f>""</f>
        <v/>
      </c>
      <c r="EF345" t="str">
        <f>""</f>
        <v/>
      </c>
      <c r="EG345" t="str">
        <f>""</f>
        <v/>
      </c>
      <c r="EH345" t="str">
        <f>""</f>
        <v/>
      </c>
      <c r="EI345" t="str">
        <f>""</f>
        <v/>
      </c>
      <c r="EJ345" t="str">
        <f>""</f>
        <v/>
      </c>
      <c r="EK345" t="str">
        <f>""</f>
        <v/>
      </c>
      <c r="EL345" t="str">
        <f>""</f>
        <v/>
      </c>
      <c r="EM345" t="str">
        <f>""</f>
        <v/>
      </c>
      <c r="EN345" t="str">
        <f>""</f>
        <v/>
      </c>
      <c r="EO345" t="str">
        <f>""</f>
        <v/>
      </c>
      <c r="EP345" t="str">
        <f>""</f>
        <v/>
      </c>
      <c r="EQ345" t="str">
        <f>""</f>
        <v/>
      </c>
      <c r="ER345" t="str">
        <f>""</f>
        <v/>
      </c>
      <c r="ES345" t="str">
        <f>""</f>
        <v/>
      </c>
      <c r="ET345" t="str">
        <f>""</f>
        <v/>
      </c>
      <c r="EU345" t="str">
        <f>""</f>
        <v/>
      </c>
      <c r="EV345" t="str">
        <f>""</f>
        <v/>
      </c>
      <c r="EW345" t="str">
        <f>""</f>
        <v/>
      </c>
      <c r="EX345" t="str">
        <f>""</f>
        <v/>
      </c>
      <c r="EY345" t="str">
        <f>""</f>
        <v/>
      </c>
      <c r="EZ345" t="str">
        <f>""</f>
        <v/>
      </c>
      <c r="FA345" t="str">
        <f>""</f>
        <v/>
      </c>
      <c r="FB345" t="str">
        <f>""</f>
        <v/>
      </c>
      <c r="FC345" t="str">
        <f>""</f>
        <v/>
      </c>
      <c r="FD345" t="str">
        <f>""</f>
        <v/>
      </c>
      <c r="FE345" t="str">
        <f>""</f>
        <v/>
      </c>
      <c r="FF345" t="str">
        <f>""</f>
        <v/>
      </c>
      <c r="FG345" t="str">
        <f>""</f>
        <v/>
      </c>
      <c r="FH345" t="str">
        <f>""</f>
        <v/>
      </c>
      <c r="FI345" t="str">
        <f>""</f>
        <v/>
      </c>
      <c r="FJ345" t="str">
        <f>""</f>
        <v/>
      </c>
      <c r="FK345" t="str">
        <f>""</f>
        <v/>
      </c>
      <c r="FL345" t="str">
        <f>""</f>
        <v/>
      </c>
      <c r="FM345" t="str">
        <f>""</f>
        <v/>
      </c>
      <c r="FN345" t="str">
        <f>""</f>
        <v/>
      </c>
      <c r="FO345" t="str">
        <f>""</f>
        <v/>
      </c>
      <c r="FP345" t="str">
        <f>""</f>
        <v/>
      </c>
      <c r="FQ345" t="str">
        <f>""</f>
        <v/>
      </c>
      <c r="FR345" t="str">
        <f>""</f>
        <v/>
      </c>
      <c r="FS345" t="str">
        <f>""</f>
        <v/>
      </c>
      <c r="FT345" t="str">
        <f>""</f>
        <v/>
      </c>
      <c r="FU345" t="str">
        <f>""</f>
        <v/>
      </c>
      <c r="FV345" t="str">
        <f>""</f>
        <v/>
      </c>
      <c r="FW345" t="str">
        <f>""</f>
        <v/>
      </c>
      <c r="FX345" t="str">
        <f>""</f>
        <v/>
      </c>
      <c r="FY345" t="str">
        <f>""</f>
        <v/>
      </c>
      <c r="FZ345" t="str">
        <f>""</f>
        <v/>
      </c>
      <c r="GA345" t="str">
        <f>""</f>
        <v/>
      </c>
      <c r="GB345" t="str">
        <f>""</f>
        <v/>
      </c>
      <c r="GC345" t="str">
        <f>""</f>
        <v/>
      </c>
      <c r="GD345" t="str">
        <f>""</f>
        <v/>
      </c>
      <c r="GE345" t="str">
        <f>""</f>
        <v/>
      </c>
      <c r="GF345" t="str">
        <f>""</f>
        <v/>
      </c>
      <c r="GG345" t="str">
        <f>""</f>
        <v/>
      </c>
      <c r="GH345" t="str">
        <f>""</f>
        <v/>
      </c>
      <c r="GI345" t="str">
        <f>""</f>
        <v/>
      </c>
      <c r="GJ345" t="str">
        <f>""</f>
        <v/>
      </c>
      <c r="GK345" t="str">
        <f>""</f>
        <v/>
      </c>
      <c r="GL345" t="str">
        <f>""</f>
        <v/>
      </c>
      <c r="GM345" t="str">
        <f>""</f>
        <v/>
      </c>
      <c r="GN345" t="str">
        <f>""</f>
        <v/>
      </c>
      <c r="GO345" t="str">
        <f>""</f>
        <v/>
      </c>
      <c r="GP345" t="str">
        <f>""</f>
        <v/>
      </c>
      <c r="GQ345" t="str">
        <f>""</f>
        <v/>
      </c>
      <c r="GR345" t="str">
        <f>""</f>
        <v/>
      </c>
      <c r="GS345" t="str">
        <f>""</f>
        <v/>
      </c>
      <c r="GT345" t="str">
        <f>""</f>
        <v/>
      </c>
      <c r="GU345" t="str">
        <f>""</f>
        <v/>
      </c>
      <c r="GV345" t="str">
        <f>""</f>
        <v/>
      </c>
      <c r="GW345" t="str">
        <f>""</f>
        <v/>
      </c>
      <c r="GX345" t="str">
        <f>""</f>
        <v/>
      </c>
      <c r="GY345" t="str">
        <f>""</f>
        <v/>
      </c>
      <c r="GZ345" t="str">
        <f>""</f>
        <v/>
      </c>
      <c r="HA345" t="str">
        <f>""</f>
        <v/>
      </c>
      <c r="HB345" t="str">
        <f>""</f>
        <v/>
      </c>
      <c r="HC345" t="str">
        <f>""</f>
        <v/>
      </c>
      <c r="HD345" t="str">
        <f>""</f>
        <v/>
      </c>
      <c r="HE345" t="str">
        <f>""</f>
        <v/>
      </c>
      <c r="HF345" t="str">
        <f>""</f>
        <v/>
      </c>
      <c r="HG345" t="str">
        <f>""</f>
        <v/>
      </c>
      <c r="HH345" t="str">
        <f>""</f>
        <v/>
      </c>
      <c r="HI345" t="str">
        <f>""</f>
        <v/>
      </c>
      <c r="HJ345" t="str">
        <f>""</f>
        <v/>
      </c>
      <c r="HK345" t="str">
        <f>""</f>
        <v/>
      </c>
      <c r="HL345" t="str">
        <f>""</f>
        <v/>
      </c>
      <c r="HM345" t="str">
        <f>""</f>
        <v/>
      </c>
      <c r="HN345" t="str">
        <f>""</f>
        <v/>
      </c>
      <c r="HO345" t="str">
        <f>""</f>
        <v/>
      </c>
      <c r="HP345" t="str">
        <f>""</f>
        <v/>
      </c>
      <c r="HQ345" t="str">
        <f>""</f>
        <v/>
      </c>
      <c r="HR345" t="str">
        <f>""</f>
        <v/>
      </c>
      <c r="HS345" t="str">
        <f>""</f>
        <v/>
      </c>
      <c r="HT345" t="str">
        <f>""</f>
        <v/>
      </c>
      <c r="HU345" t="str">
        <f>""</f>
        <v/>
      </c>
      <c r="HV345" t="str">
        <f>""</f>
        <v/>
      </c>
      <c r="HW345" t="str">
        <f>""</f>
        <v/>
      </c>
      <c r="HX345" t="str">
        <f>""</f>
        <v/>
      </c>
      <c r="HY345" t="str">
        <f>""</f>
        <v/>
      </c>
      <c r="HZ345" t="str">
        <f>""</f>
        <v/>
      </c>
      <c r="IA345" t="str">
        <f>""</f>
        <v/>
      </c>
      <c r="IB345" t="str">
        <f>""</f>
        <v/>
      </c>
      <c r="IC345" t="str">
        <f>""</f>
        <v/>
      </c>
      <c r="ID345" t="str">
        <f>""</f>
        <v/>
      </c>
      <c r="IE345" t="str">
        <f>""</f>
        <v/>
      </c>
      <c r="IF345" t="str">
        <f>""</f>
        <v/>
      </c>
      <c r="IG345" t="str">
        <f>""</f>
        <v/>
      </c>
      <c r="IH345" t="str">
        <f>""</f>
        <v/>
      </c>
      <c r="II345" t="str">
        <f>""</f>
        <v/>
      </c>
      <c r="IJ345" t="str">
        <f>""</f>
        <v/>
      </c>
      <c r="IK345" t="str">
        <f>""</f>
        <v/>
      </c>
      <c r="IL345" t="str">
        <f>""</f>
        <v/>
      </c>
      <c r="IM345" t="str">
        <f>""</f>
        <v/>
      </c>
      <c r="IN345" t="str">
        <f>""</f>
        <v/>
      </c>
      <c r="IO345" t="str">
        <f>""</f>
        <v/>
      </c>
      <c r="IP345" t="str">
        <f>""</f>
        <v/>
      </c>
      <c r="IQ345" t="str">
        <f>"0.000215"</f>
        <v>0.000215</v>
      </c>
      <c r="IR345" t="str">
        <f>"0.154"</f>
        <v>0.154</v>
      </c>
      <c r="IS345" t="str">
        <f>"-0.0128"</f>
        <v>-0.0128</v>
      </c>
      <c r="IT345" t="str">
        <f>""</f>
        <v/>
      </c>
      <c r="IU345" t="str">
        <f>""</f>
        <v/>
      </c>
      <c r="IV345" t="str">
        <f>""</f>
        <v/>
      </c>
      <c r="IW345" t="str">
        <f>""</f>
        <v/>
      </c>
      <c r="IX345" t="str">
        <f>""</f>
        <v/>
      </c>
      <c r="IY345" t="str">
        <f>""</f>
        <v/>
      </c>
      <c r="IZ345" t="str">
        <f>""</f>
        <v/>
      </c>
      <c r="JA345" t="str">
        <f>""</f>
        <v/>
      </c>
      <c r="JB345" t="str">
        <f>""</f>
        <v/>
      </c>
      <c r="JC345" t="str">
        <f>""</f>
        <v/>
      </c>
      <c r="JD345" t="str">
        <f>""</f>
        <v/>
      </c>
      <c r="JE345" t="str">
        <f>""</f>
        <v/>
      </c>
      <c r="JF345" t="str">
        <f>""</f>
        <v/>
      </c>
      <c r="JG345" t="str">
        <f>""</f>
        <v/>
      </c>
      <c r="JH345" t="str">
        <f>""</f>
        <v/>
      </c>
      <c r="JI345" t="str">
        <f>""</f>
        <v/>
      </c>
      <c r="JJ345" t="str">
        <f>""</f>
        <v/>
      </c>
      <c r="JK345" t="str">
        <f>""</f>
        <v/>
      </c>
    </row>
    <row r="346" spans="1:271" x14ac:dyDescent="0.3">
      <c r="A346" t="str">
        <f>""</f>
        <v/>
      </c>
      <c r="B346" t="str">
        <f>""</f>
        <v/>
      </c>
      <c r="C346" t="str">
        <f>""</f>
        <v/>
      </c>
      <c r="D346" t="str">
        <f>""</f>
        <v/>
      </c>
      <c r="E346" t="str">
        <f>""</f>
        <v/>
      </c>
      <c r="F346" t="str">
        <f>""</f>
        <v/>
      </c>
      <c r="G346" t="str">
        <f>""</f>
        <v/>
      </c>
      <c r="H346" t="str">
        <f>""</f>
        <v/>
      </c>
      <c r="I346" t="str">
        <f>""</f>
        <v/>
      </c>
      <c r="J346" t="str">
        <f>""</f>
        <v/>
      </c>
      <c r="K346" t="str">
        <f>""</f>
        <v/>
      </c>
      <c r="L346" t="str">
        <f>""</f>
        <v/>
      </c>
      <c r="M346" t="str">
        <f>""</f>
        <v/>
      </c>
      <c r="N346" t="str">
        <f>""</f>
        <v/>
      </c>
      <c r="O346" t="str">
        <f>""</f>
        <v/>
      </c>
      <c r="P346" t="str">
        <f>""</f>
        <v/>
      </c>
      <c r="Q346" t="str">
        <f>""</f>
        <v/>
      </c>
      <c r="R346" t="str">
        <f>""</f>
        <v/>
      </c>
      <c r="S346" t="str">
        <f>""</f>
        <v/>
      </c>
      <c r="T346" t="str">
        <f>""</f>
        <v/>
      </c>
      <c r="U346" t="str">
        <f>""</f>
        <v/>
      </c>
      <c r="V346" t="str">
        <f>""</f>
        <v/>
      </c>
      <c r="W346" t="str">
        <f>""</f>
        <v/>
      </c>
      <c r="X346" t="str">
        <f>""</f>
        <v/>
      </c>
      <c r="Y346" t="str">
        <f>""</f>
        <v/>
      </c>
      <c r="Z346" t="str">
        <f>""</f>
        <v/>
      </c>
      <c r="AA346" t="str">
        <f>""</f>
        <v/>
      </c>
      <c r="AB346" t="str">
        <f>""</f>
        <v/>
      </c>
      <c r="AC346" t="str">
        <f>""</f>
        <v/>
      </c>
      <c r="AD346" t="str">
        <f>""</f>
        <v/>
      </c>
      <c r="AE346" t="str">
        <f>""</f>
        <v/>
      </c>
      <c r="AF346" t="str">
        <f>""</f>
        <v/>
      </c>
      <c r="AG346" t="str">
        <f>""</f>
        <v/>
      </c>
      <c r="AH346" t="str">
        <f>""</f>
        <v/>
      </c>
      <c r="AI346" t="str">
        <f>""</f>
        <v/>
      </c>
      <c r="AJ346" t="str">
        <f>""</f>
        <v/>
      </c>
      <c r="AK346" t="str">
        <f>""</f>
        <v/>
      </c>
      <c r="AL346" t="str">
        <f>""</f>
        <v/>
      </c>
      <c r="AM346" t="str">
        <f>""</f>
        <v/>
      </c>
      <c r="AN346" t="str">
        <f>""</f>
        <v/>
      </c>
      <c r="AO346" t="str">
        <f>""</f>
        <v/>
      </c>
      <c r="AP346" t="str">
        <f>""</f>
        <v/>
      </c>
      <c r="AQ346" t="str">
        <f>""</f>
        <v/>
      </c>
      <c r="AR346" t="str">
        <f>""</f>
        <v/>
      </c>
      <c r="AS346" t="str">
        <f>""</f>
        <v/>
      </c>
      <c r="AT346" t="str">
        <f>""</f>
        <v/>
      </c>
      <c r="AU346" t="str">
        <f>""</f>
        <v/>
      </c>
      <c r="AV346" t="str">
        <f>""</f>
        <v/>
      </c>
      <c r="AW346" t="str">
        <f>""</f>
        <v/>
      </c>
      <c r="AX346" t="str">
        <f>""</f>
        <v/>
      </c>
      <c r="AY346" t="str">
        <f>""</f>
        <v/>
      </c>
      <c r="AZ346" t="str">
        <f>""</f>
        <v/>
      </c>
      <c r="BA346" t="str">
        <f>""</f>
        <v/>
      </c>
      <c r="BB346" t="str">
        <f>""</f>
        <v/>
      </c>
      <c r="BC346" t="str">
        <f>""</f>
        <v/>
      </c>
      <c r="BD346" t="str">
        <f>""</f>
        <v/>
      </c>
      <c r="BE346" t="str">
        <f>""</f>
        <v/>
      </c>
      <c r="BF346" t="str">
        <f>""</f>
        <v/>
      </c>
      <c r="BG346" t="str">
        <f>""</f>
        <v/>
      </c>
      <c r="BH346" t="str">
        <f>""</f>
        <v/>
      </c>
      <c r="BI346" t="str">
        <f>""</f>
        <v/>
      </c>
      <c r="BJ346" t="str">
        <f>""</f>
        <v/>
      </c>
      <c r="BK346" t="str">
        <f>""</f>
        <v/>
      </c>
      <c r="BL346" t="str">
        <f>""</f>
        <v/>
      </c>
      <c r="BM346" t="str">
        <f>""</f>
        <v/>
      </c>
      <c r="BN346" t="str">
        <f>""</f>
        <v/>
      </c>
      <c r="BO346" t="str">
        <f>""</f>
        <v/>
      </c>
      <c r="BP346" t="str">
        <f>""</f>
        <v/>
      </c>
      <c r="BQ346" t="str">
        <f>""</f>
        <v/>
      </c>
      <c r="BR346" t="str">
        <f>""</f>
        <v/>
      </c>
      <c r="BS346" t="str">
        <f>""</f>
        <v/>
      </c>
      <c r="BT346" t="str">
        <f>""</f>
        <v/>
      </c>
      <c r="BU346" t="str">
        <f>""</f>
        <v/>
      </c>
      <c r="BV346" t="str">
        <f>""</f>
        <v/>
      </c>
      <c r="BW346" t="str">
        <f>""</f>
        <v/>
      </c>
      <c r="BX346" t="str">
        <f>""</f>
        <v/>
      </c>
      <c r="BY346" t="str">
        <f>""</f>
        <v/>
      </c>
      <c r="BZ346" t="str">
        <f>""</f>
        <v/>
      </c>
      <c r="CA346" t="str">
        <f>""</f>
        <v/>
      </c>
      <c r="CB346" t="str">
        <f>""</f>
        <v/>
      </c>
      <c r="CC346" t="str">
        <f>""</f>
        <v/>
      </c>
      <c r="CD346" t="str">
        <f>""</f>
        <v/>
      </c>
      <c r="CE346" t="str">
        <f>""</f>
        <v/>
      </c>
      <c r="CF346" t="str">
        <f>""</f>
        <v/>
      </c>
      <c r="CG346" t="str">
        <f>""</f>
        <v/>
      </c>
      <c r="CH346" t="str">
        <f>""</f>
        <v/>
      </c>
      <c r="CI346" t="str">
        <f>""</f>
        <v/>
      </c>
      <c r="CJ346" t="str">
        <f>""</f>
        <v/>
      </c>
      <c r="CK346" t="str">
        <f>""</f>
        <v/>
      </c>
      <c r="CL346" t="str">
        <f>""</f>
        <v/>
      </c>
      <c r="CM346" t="str">
        <f>""</f>
        <v/>
      </c>
      <c r="CN346" t="str">
        <f>""</f>
        <v/>
      </c>
      <c r="CO346" t="str">
        <f>""</f>
        <v/>
      </c>
      <c r="CP346" t="str">
        <f>""</f>
        <v/>
      </c>
      <c r="CQ346" t="str">
        <f>""</f>
        <v/>
      </c>
      <c r="CR346" t="str">
        <f>""</f>
        <v/>
      </c>
      <c r="CS346" t="str">
        <f>""</f>
        <v/>
      </c>
      <c r="CT346" t="str">
        <f>""</f>
        <v/>
      </c>
      <c r="CU346" t="str">
        <f>""</f>
        <v/>
      </c>
      <c r="CV346" t="str">
        <f>""</f>
        <v/>
      </c>
      <c r="CW346" t="str">
        <f>""</f>
        <v/>
      </c>
      <c r="CX346" t="str">
        <f>""</f>
        <v/>
      </c>
      <c r="CY346" t="str">
        <f>""</f>
        <v/>
      </c>
      <c r="CZ346" t="str">
        <f>""</f>
        <v/>
      </c>
      <c r="DA346" t="str">
        <f>""</f>
        <v/>
      </c>
      <c r="DB346" t="str">
        <f>""</f>
        <v/>
      </c>
      <c r="DC346" t="str">
        <f>""</f>
        <v/>
      </c>
      <c r="DD346" t="str">
        <f>""</f>
        <v/>
      </c>
      <c r="DE346" t="str">
        <f>""</f>
        <v/>
      </c>
      <c r="DF346" t="str">
        <f>""</f>
        <v/>
      </c>
      <c r="DG346" t="str">
        <f>""</f>
        <v/>
      </c>
      <c r="DH346" t="str">
        <f>""</f>
        <v/>
      </c>
      <c r="DI346" t="str">
        <f>""</f>
        <v/>
      </c>
      <c r="DJ346" t="str">
        <f>""</f>
        <v/>
      </c>
      <c r="DK346" t="str">
        <f>""</f>
        <v/>
      </c>
      <c r="DL346" t="str">
        <f>""</f>
        <v/>
      </c>
      <c r="DM346" t="str">
        <f>""</f>
        <v/>
      </c>
      <c r="DN346" t="str">
        <f>""</f>
        <v/>
      </c>
      <c r="DO346" t="str">
        <f>""</f>
        <v/>
      </c>
      <c r="DP346" t="str">
        <f>""</f>
        <v/>
      </c>
      <c r="DQ346" t="str">
        <f>""</f>
        <v/>
      </c>
      <c r="DR346" t="str">
        <f>""</f>
        <v/>
      </c>
      <c r="DS346" t="str">
        <f>""</f>
        <v/>
      </c>
      <c r="DT346" t="str">
        <f>""</f>
        <v/>
      </c>
      <c r="DU346" t="str">
        <f>""</f>
        <v/>
      </c>
      <c r="DV346" t="str">
        <f>""</f>
        <v/>
      </c>
      <c r="DW346" t="str">
        <f>""</f>
        <v/>
      </c>
      <c r="DX346" t="str">
        <f>""</f>
        <v/>
      </c>
      <c r="DY346" t="str">
        <f>""</f>
        <v/>
      </c>
      <c r="DZ346" t="str">
        <f>""</f>
        <v/>
      </c>
      <c r="EA346" t="str">
        <f>""</f>
        <v/>
      </c>
      <c r="EB346" t="str">
        <f>""</f>
        <v/>
      </c>
      <c r="EC346" t="str">
        <f>""</f>
        <v/>
      </c>
      <c r="ED346" t="str">
        <f>""</f>
        <v/>
      </c>
      <c r="EE346" t="str">
        <f>""</f>
        <v/>
      </c>
      <c r="EF346" t="str">
        <f>""</f>
        <v/>
      </c>
      <c r="EG346" t="str">
        <f>""</f>
        <v/>
      </c>
      <c r="EH346" t="str">
        <f>""</f>
        <v/>
      </c>
      <c r="EI346" t="str">
        <f>""</f>
        <v/>
      </c>
      <c r="EJ346" t="str">
        <f>""</f>
        <v/>
      </c>
      <c r="EK346" t="str">
        <f>""</f>
        <v/>
      </c>
      <c r="EL346" t="str">
        <f>""</f>
        <v/>
      </c>
      <c r="EM346" t="str">
        <f>""</f>
        <v/>
      </c>
      <c r="EN346" t="str">
        <f>""</f>
        <v/>
      </c>
      <c r="EO346" t="str">
        <f>""</f>
        <v/>
      </c>
      <c r="EP346" t="str">
        <f>""</f>
        <v/>
      </c>
      <c r="EQ346" t="str">
        <f>""</f>
        <v/>
      </c>
      <c r="ER346" t="str">
        <f>""</f>
        <v/>
      </c>
      <c r="ES346" t="str">
        <f>""</f>
        <v/>
      </c>
      <c r="ET346" t="str">
        <f>""</f>
        <v/>
      </c>
      <c r="EU346" t="str">
        <f>""</f>
        <v/>
      </c>
      <c r="EV346" t="str">
        <f>""</f>
        <v/>
      </c>
      <c r="EW346" t="str">
        <f>""</f>
        <v/>
      </c>
      <c r="EX346" t="str">
        <f>""</f>
        <v/>
      </c>
      <c r="EY346" t="str">
        <f>""</f>
        <v/>
      </c>
      <c r="EZ346" t="str">
        <f>""</f>
        <v/>
      </c>
      <c r="FA346" t="str">
        <f>""</f>
        <v/>
      </c>
      <c r="FB346" t="str">
        <f>""</f>
        <v/>
      </c>
      <c r="FC346" t="str">
        <f>""</f>
        <v/>
      </c>
      <c r="FD346" t="str">
        <f>""</f>
        <v/>
      </c>
      <c r="FE346" t="str">
        <f>""</f>
        <v/>
      </c>
      <c r="FF346" t="str">
        <f>""</f>
        <v/>
      </c>
      <c r="FG346" t="str">
        <f>""</f>
        <v/>
      </c>
      <c r="FH346" t="str">
        <f>""</f>
        <v/>
      </c>
      <c r="FI346" t="str">
        <f>""</f>
        <v/>
      </c>
      <c r="FJ346" t="str">
        <f>""</f>
        <v/>
      </c>
      <c r="FK346" t="str">
        <f>""</f>
        <v/>
      </c>
      <c r="FL346" t="str">
        <f>""</f>
        <v/>
      </c>
      <c r="FM346" t="str">
        <f>""</f>
        <v/>
      </c>
      <c r="FN346" t="str">
        <f>""</f>
        <v/>
      </c>
      <c r="FO346" t="str">
        <f>""</f>
        <v/>
      </c>
      <c r="FP346" t="str">
        <f>""</f>
        <v/>
      </c>
      <c r="FQ346" t="str">
        <f>""</f>
        <v/>
      </c>
      <c r="FR346" t="str">
        <f>""</f>
        <v/>
      </c>
      <c r="FS346" t="str">
        <f>""</f>
        <v/>
      </c>
      <c r="FT346" t="str">
        <f>""</f>
        <v/>
      </c>
      <c r="FU346" t="str">
        <f>""</f>
        <v/>
      </c>
      <c r="FV346" t="str">
        <f>""</f>
        <v/>
      </c>
      <c r="FW346" t="str">
        <f>""</f>
        <v/>
      </c>
      <c r="FX346" t="str">
        <f>""</f>
        <v/>
      </c>
      <c r="FY346" t="str">
        <f>""</f>
        <v/>
      </c>
      <c r="FZ346" t="str">
        <f>""</f>
        <v/>
      </c>
      <c r="GA346" t="str">
        <f>""</f>
        <v/>
      </c>
      <c r="GB346" t="str">
        <f>""</f>
        <v/>
      </c>
      <c r="GC346" t="str">
        <f>""</f>
        <v/>
      </c>
      <c r="GD346" t="str">
        <f>""</f>
        <v/>
      </c>
      <c r="GE346" t="str">
        <f>""</f>
        <v/>
      </c>
      <c r="GF346" t="str">
        <f>""</f>
        <v/>
      </c>
      <c r="GG346" t="str">
        <f>""</f>
        <v/>
      </c>
      <c r="GH346" t="str">
        <f>""</f>
        <v/>
      </c>
      <c r="GI346" t="str">
        <f>""</f>
        <v/>
      </c>
      <c r="GJ346" t="str">
        <f>""</f>
        <v/>
      </c>
      <c r="GK346" t="str">
        <f>""</f>
        <v/>
      </c>
      <c r="GL346" t="str">
        <f>""</f>
        <v/>
      </c>
      <c r="GM346" t="str">
        <f>""</f>
        <v/>
      </c>
      <c r="GN346" t="str">
        <f>""</f>
        <v/>
      </c>
      <c r="GO346" t="str">
        <f>""</f>
        <v/>
      </c>
      <c r="GP346" t="str">
        <f>""</f>
        <v/>
      </c>
      <c r="GQ346" t="str">
        <f>""</f>
        <v/>
      </c>
      <c r="GR346" t="str">
        <f>""</f>
        <v/>
      </c>
      <c r="GS346" t="str">
        <f>""</f>
        <v/>
      </c>
      <c r="GT346" t="str">
        <f>""</f>
        <v/>
      </c>
      <c r="GU346" t="str">
        <f>""</f>
        <v/>
      </c>
      <c r="GV346" t="str">
        <f>""</f>
        <v/>
      </c>
      <c r="GW346" t="str">
        <f>""</f>
        <v/>
      </c>
      <c r="GX346" t="str">
        <f>""</f>
        <v/>
      </c>
      <c r="GY346" t="str">
        <f>""</f>
        <v/>
      </c>
      <c r="GZ346" t="str">
        <f>""</f>
        <v/>
      </c>
      <c r="HA346" t="str">
        <f>""</f>
        <v/>
      </c>
      <c r="HB346" t="str">
        <f>""</f>
        <v/>
      </c>
      <c r="HC346" t="str">
        <f>""</f>
        <v/>
      </c>
      <c r="HD346" t="str">
        <f>""</f>
        <v/>
      </c>
      <c r="HE346" t="str">
        <f>""</f>
        <v/>
      </c>
      <c r="HF346" t="str">
        <f>""</f>
        <v/>
      </c>
      <c r="HG346" t="str">
        <f>""</f>
        <v/>
      </c>
      <c r="HH346" t="str">
        <f>""</f>
        <v/>
      </c>
      <c r="HI346" t="str">
        <f>""</f>
        <v/>
      </c>
      <c r="HJ346" t="str">
        <f>""</f>
        <v/>
      </c>
      <c r="HK346" t="str">
        <f>""</f>
        <v/>
      </c>
      <c r="HL346" t="str">
        <f>""</f>
        <v/>
      </c>
      <c r="HM346" t="str">
        <f>""</f>
        <v/>
      </c>
      <c r="HN346" t="str">
        <f>""</f>
        <v/>
      </c>
      <c r="HO346" t="str">
        <f>""</f>
        <v/>
      </c>
      <c r="HP346" t="str">
        <f>""</f>
        <v/>
      </c>
      <c r="HQ346" t="str">
        <f>""</f>
        <v/>
      </c>
      <c r="HR346" t="str">
        <f>""</f>
        <v/>
      </c>
      <c r="HS346" t="str">
        <f>""</f>
        <v/>
      </c>
      <c r="HT346" t="str">
        <f>""</f>
        <v/>
      </c>
      <c r="HU346" t="str">
        <f>""</f>
        <v/>
      </c>
      <c r="HV346" t="str">
        <f>""</f>
        <v/>
      </c>
      <c r="HW346" t="str">
        <f>""</f>
        <v/>
      </c>
      <c r="HX346" t="str">
        <f>""</f>
        <v/>
      </c>
      <c r="HY346" t="str">
        <f>""</f>
        <v/>
      </c>
      <c r="HZ346" t="str">
        <f>""</f>
        <v/>
      </c>
      <c r="IA346" t="str">
        <f>""</f>
        <v/>
      </c>
      <c r="IB346" t="str">
        <f>""</f>
        <v/>
      </c>
      <c r="IC346" t="str">
        <f>""</f>
        <v/>
      </c>
      <c r="ID346" t="str">
        <f>""</f>
        <v/>
      </c>
      <c r="IE346" t="str">
        <f>""</f>
        <v/>
      </c>
      <c r="IF346" t="str">
        <f>""</f>
        <v/>
      </c>
      <c r="IG346" t="str">
        <f>""</f>
        <v/>
      </c>
      <c r="IH346" t="str">
        <f>""</f>
        <v/>
      </c>
      <c r="II346" t="str">
        <f>""</f>
        <v/>
      </c>
      <c r="IJ346" t="str">
        <f>""</f>
        <v/>
      </c>
      <c r="IK346" t="str">
        <f>""</f>
        <v/>
      </c>
      <c r="IL346" t="str">
        <f>""</f>
        <v/>
      </c>
      <c r="IM346" t="str">
        <f>""</f>
        <v/>
      </c>
      <c r="IN346" t="str">
        <f>""</f>
        <v/>
      </c>
      <c r="IO346" t="str">
        <f>""</f>
        <v/>
      </c>
      <c r="IP346" t="str">
        <f>""</f>
        <v/>
      </c>
      <c r="IQ346" t="str">
        <f>"(0.106)"</f>
        <v>(0.106)</v>
      </c>
      <c r="IR346" t="str">
        <f>"(0.0828)"</f>
        <v>(0.0828)</v>
      </c>
      <c r="IS346" t="str">
        <f>"(0.0457)"</f>
        <v>(0.0457)</v>
      </c>
      <c r="IT346" t="str">
        <f>""</f>
        <v/>
      </c>
      <c r="IU346" t="str">
        <f>""</f>
        <v/>
      </c>
      <c r="IV346" t="str">
        <f>""</f>
        <v/>
      </c>
      <c r="IW346" t="str">
        <f>""</f>
        <v/>
      </c>
      <c r="IX346" t="str">
        <f>""</f>
        <v/>
      </c>
      <c r="IY346" t="str">
        <f>""</f>
        <v/>
      </c>
      <c r="IZ346" t="str">
        <f>""</f>
        <v/>
      </c>
      <c r="JA346" t="str">
        <f>""</f>
        <v/>
      </c>
      <c r="JB346" t="str">
        <f>""</f>
        <v/>
      </c>
      <c r="JC346" t="str">
        <f>""</f>
        <v/>
      </c>
      <c r="JD346" t="str">
        <f>""</f>
        <v/>
      </c>
      <c r="JE346" t="str">
        <f>""</f>
        <v/>
      </c>
      <c r="JF346" t="str">
        <f>""</f>
        <v/>
      </c>
      <c r="JG346" t="str">
        <f>""</f>
        <v/>
      </c>
      <c r="JH346" t="str">
        <f>""</f>
        <v/>
      </c>
      <c r="JI346" t="str">
        <f>""</f>
        <v/>
      </c>
      <c r="JJ346" t="str">
        <f>""</f>
        <v/>
      </c>
      <c r="JK346" t="str">
        <f>""</f>
        <v/>
      </c>
    </row>
    <row r="348" spans="1:271" x14ac:dyDescent="0.3">
      <c r="A348" t="str">
        <f>"c.zMETAB10#c.PM6"</f>
        <v>c.zMETAB10#c.PM6</v>
      </c>
      <c r="B348" t="str">
        <f>""</f>
        <v/>
      </c>
      <c r="C348" t="str">
        <f>""</f>
        <v/>
      </c>
      <c r="D348" t="str">
        <f>""</f>
        <v/>
      </c>
      <c r="E348" t="str">
        <f>""</f>
        <v/>
      </c>
      <c r="F348" t="str">
        <f>""</f>
        <v/>
      </c>
      <c r="G348" t="str">
        <f>""</f>
        <v/>
      </c>
      <c r="H348" t="str">
        <f>""</f>
        <v/>
      </c>
      <c r="I348" t="str">
        <f>""</f>
        <v/>
      </c>
      <c r="J348" t="str">
        <f>""</f>
        <v/>
      </c>
      <c r="K348" t="str">
        <f>""</f>
        <v/>
      </c>
      <c r="L348" t="str">
        <f>""</f>
        <v/>
      </c>
      <c r="M348" t="str">
        <f>""</f>
        <v/>
      </c>
      <c r="N348" t="str">
        <f>""</f>
        <v/>
      </c>
      <c r="O348" t="str">
        <f>""</f>
        <v/>
      </c>
      <c r="P348" t="str">
        <f>""</f>
        <v/>
      </c>
      <c r="Q348" t="str">
        <f>""</f>
        <v/>
      </c>
      <c r="R348" t="str">
        <f>""</f>
        <v/>
      </c>
      <c r="S348" t="str">
        <f>""</f>
        <v/>
      </c>
      <c r="T348" t="str">
        <f>""</f>
        <v/>
      </c>
      <c r="U348" t="str">
        <f>""</f>
        <v/>
      </c>
      <c r="V348" t="str">
        <f>""</f>
        <v/>
      </c>
      <c r="W348" t="str">
        <f>""</f>
        <v/>
      </c>
      <c r="X348" t="str">
        <f>""</f>
        <v/>
      </c>
      <c r="Y348" t="str">
        <f>""</f>
        <v/>
      </c>
      <c r="Z348" t="str">
        <f>""</f>
        <v/>
      </c>
      <c r="AA348" t="str">
        <f>""</f>
        <v/>
      </c>
      <c r="AB348" t="str">
        <f>""</f>
        <v/>
      </c>
      <c r="AC348" t="str">
        <f>""</f>
        <v/>
      </c>
      <c r="AD348" t="str">
        <f>""</f>
        <v/>
      </c>
      <c r="AE348" t="str">
        <f>""</f>
        <v/>
      </c>
      <c r="AF348" t="str">
        <f>""</f>
        <v/>
      </c>
      <c r="AG348" t="str">
        <f>""</f>
        <v/>
      </c>
      <c r="AH348" t="str">
        <f>""</f>
        <v/>
      </c>
      <c r="AI348" t="str">
        <f>""</f>
        <v/>
      </c>
      <c r="AJ348" t="str">
        <f>""</f>
        <v/>
      </c>
      <c r="AK348" t="str">
        <f>""</f>
        <v/>
      </c>
      <c r="AL348" t="str">
        <f>""</f>
        <v/>
      </c>
      <c r="AM348" t="str">
        <f>""</f>
        <v/>
      </c>
      <c r="AN348" t="str">
        <f>""</f>
        <v/>
      </c>
      <c r="AO348" t="str">
        <f>""</f>
        <v/>
      </c>
      <c r="AP348" t="str">
        <f>""</f>
        <v/>
      </c>
      <c r="AQ348" t="str">
        <f>""</f>
        <v/>
      </c>
      <c r="AR348" t="str">
        <f>""</f>
        <v/>
      </c>
      <c r="AS348" t="str">
        <f>""</f>
        <v/>
      </c>
      <c r="AT348" t="str">
        <f>""</f>
        <v/>
      </c>
      <c r="AU348" t="str">
        <f>""</f>
        <v/>
      </c>
      <c r="AV348" t="str">
        <f>""</f>
        <v/>
      </c>
      <c r="AW348" t="str">
        <f>""</f>
        <v/>
      </c>
      <c r="AX348" t="str">
        <f>""</f>
        <v/>
      </c>
      <c r="AY348" t="str">
        <f>""</f>
        <v/>
      </c>
      <c r="AZ348" t="str">
        <f>""</f>
        <v/>
      </c>
      <c r="BA348" t="str">
        <f>""</f>
        <v/>
      </c>
      <c r="BB348" t="str">
        <f>""</f>
        <v/>
      </c>
      <c r="BC348" t="str">
        <f>""</f>
        <v/>
      </c>
      <c r="BD348" t="str">
        <f>""</f>
        <v/>
      </c>
      <c r="BE348" t="str">
        <f>""</f>
        <v/>
      </c>
      <c r="BF348" t="str">
        <f>""</f>
        <v/>
      </c>
      <c r="BG348" t="str">
        <f>""</f>
        <v/>
      </c>
      <c r="BH348" t="str">
        <f>""</f>
        <v/>
      </c>
      <c r="BI348" t="str">
        <f>""</f>
        <v/>
      </c>
      <c r="BJ348" t="str">
        <f>""</f>
        <v/>
      </c>
      <c r="BK348" t="str">
        <f>""</f>
        <v/>
      </c>
      <c r="BL348" t="str">
        <f>""</f>
        <v/>
      </c>
      <c r="BM348" t="str">
        <f>""</f>
        <v/>
      </c>
      <c r="BN348" t="str">
        <f>""</f>
        <v/>
      </c>
      <c r="BO348" t="str">
        <f>""</f>
        <v/>
      </c>
      <c r="BP348" t="str">
        <f>""</f>
        <v/>
      </c>
      <c r="BQ348" t="str">
        <f>""</f>
        <v/>
      </c>
      <c r="BR348" t="str">
        <f>""</f>
        <v/>
      </c>
      <c r="BS348" t="str">
        <f>""</f>
        <v/>
      </c>
      <c r="BT348" t="str">
        <f>""</f>
        <v/>
      </c>
      <c r="BU348" t="str">
        <f>""</f>
        <v/>
      </c>
      <c r="BV348" t="str">
        <f>""</f>
        <v/>
      </c>
      <c r="BW348" t="str">
        <f>""</f>
        <v/>
      </c>
      <c r="BX348" t="str">
        <f>""</f>
        <v/>
      </c>
      <c r="BY348" t="str">
        <f>""</f>
        <v/>
      </c>
      <c r="BZ348" t="str">
        <f>""</f>
        <v/>
      </c>
      <c r="CA348" t="str">
        <f>""</f>
        <v/>
      </c>
      <c r="CB348" t="str">
        <f>""</f>
        <v/>
      </c>
      <c r="CC348" t="str">
        <f>""</f>
        <v/>
      </c>
      <c r="CD348" t="str">
        <f>""</f>
        <v/>
      </c>
      <c r="CE348" t="str">
        <f>""</f>
        <v/>
      </c>
      <c r="CF348" t="str">
        <f>""</f>
        <v/>
      </c>
      <c r="CG348" t="str">
        <f>""</f>
        <v/>
      </c>
      <c r="CH348" t="str">
        <f>""</f>
        <v/>
      </c>
      <c r="CI348" t="str">
        <f>""</f>
        <v/>
      </c>
      <c r="CJ348" t="str">
        <f>""</f>
        <v/>
      </c>
      <c r="CK348" t="str">
        <f>""</f>
        <v/>
      </c>
      <c r="CL348" t="str">
        <f>""</f>
        <v/>
      </c>
      <c r="CM348" t="str">
        <f>""</f>
        <v/>
      </c>
      <c r="CN348" t="str">
        <f>""</f>
        <v/>
      </c>
      <c r="CO348" t="str">
        <f>""</f>
        <v/>
      </c>
      <c r="CP348" t="str">
        <f>""</f>
        <v/>
      </c>
      <c r="CQ348" t="str">
        <f>""</f>
        <v/>
      </c>
      <c r="CR348" t="str">
        <f>""</f>
        <v/>
      </c>
      <c r="CS348" t="str">
        <f>""</f>
        <v/>
      </c>
      <c r="CT348" t="str">
        <f>""</f>
        <v/>
      </c>
      <c r="CU348" t="str">
        <f>""</f>
        <v/>
      </c>
      <c r="CV348" t="str">
        <f>""</f>
        <v/>
      </c>
      <c r="CW348" t="str">
        <f>""</f>
        <v/>
      </c>
      <c r="CX348" t="str">
        <f>""</f>
        <v/>
      </c>
      <c r="CY348" t="str">
        <f>""</f>
        <v/>
      </c>
      <c r="CZ348" t="str">
        <f>""</f>
        <v/>
      </c>
      <c r="DA348" t="str">
        <f>""</f>
        <v/>
      </c>
      <c r="DB348" t="str">
        <f>""</f>
        <v/>
      </c>
      <c r="DC348" t="str">
        <f>""</f>
        <v/>
      </c>
      <c r="DD348" t="str">
        <f>""</f>
        <v/>
      </c>
      <c r="DE348" t="str">
        <f>""</f>
        <v/>
      </c>
      <c r="DF348" t="str">
        <f>""</f>
        <v/>
      </c>
      <c r="DG348" t="str">
        <f>""</f>
        <v/>
      </c>
      <c r="DH348" t="str">
        <f>""</f>
        <v/>
      </c>
      <c r="DI348" t="str">
        <f>""</f>
        <v/>
      </c>
      <c r="DJ348" t="str">
        <f>""</f>
        <v/>
      </c>
      <c r="DK348" t="str">
        <f>""</f>
        <v/>
      </c>
      <c r="DL348" t="str">
        <f>""</f>
        <v/>
      </c>
      <c r="DM348" t="str">
        <f>""</f>
        <v/>
      </c>
      <c r="DN348" t="str">
        <f>""</f>
        <v/>
      </c>
      <c r="DO348" t="str">
        <f>""</f>
        <v/>
      </c>
      <c r="DP348" t="str">
        <f>""</f>
        <v/>
      </c>
      <c r="DQ348" t="str">
        <f>""</f>
        <v/>
      </c>
      <c r="DR348" t="str">
        <f>""</f>
        <v/>
      </c>
      <c r="DS348" t="str">
        <f>""</f>
        <v/>
      </c>
      <c r="DT348" t="str">
        <f>""</f>
        <v/>
      </c>
      <c r="DU348" t="str">
        <f>""</f>
        <v/>
      </c>
      <c r="DV348" t="str">
        <f>""</f>
        <v/>
      </c>
      <c r="DW348" t="str">
        <f>""</f>
        <v/>
      </c>
      <c r="DX348" t="str">
        <f>""</f>
        <v/>
      </c>
      <c r="DY348" t="str">
        <f>""</f>
        <v/>
      </c>
      <c r="DZ348" t="str">
        <f>""</f>
        <v/>
      </c>
      <c r="EA348" t="str">
        <f>""</f>
        <v/>
      </c>
      <c r="EB348" t="str">
        <f>""</f>
        <v/>
      </c>
      <c r="EC348" t="str">
        <f>""</f>
        <v/>
      </c>
      <c r="ED348" t="str">
        <f>""</f>
        <v/>
      </c>
      <c r="EE348" t="str">
        <f>""</f>
        <v/>
      </c>
      <c r="EF348" t="str">
        <f>""</f>
        <v/>
      </c>
      <c r="EG348" t="str">
        <f>""</f>
        <v/>
      </c>
      <c r="EH348" t="str">
        <f>""</f>
        <v/>
      </c>
      <c r="EI348" t="str">
        <f>""</f>
        <v/>
      </c>
      <c r="EJ348" t="str">
        <f>""</f>
        <v/>
      </c>
      <c r="EK348" t="str">
        <f>""</f>
        <v/>
      </c>
      <c r="EL348" t="str">
        <f>""</f>
        <v/>
      </c>
      <c r="EM348" t="str">
        <f>""</f>
        <v/>
      </c>
      <c r="EN348" t="str">
        <f>""</f>
        <v/>
      </c>
      <c r="EO348" t="str">
        <f>""</f>
        <v/>
      </c>
      <c r="EP348" t="str">
        <f>""</f>
        <v/>
      </c>
      <c r="EQ348" t="str">
        <f>""</f>
        <v/>
      </c>
      <c r="ER348" t="str">
        <f>""</f>
        <v/>
      </c>
      <c r="ES348" t="str">
        <f>""</f>
        <v/>
      </c>
      <c r="ET348" t="str">
        <f>""</f>
        <v/>
      </c>
      <c r="EU348" t="str">
        <f>""</f>
        <v/>
      </c>
      <c r="EV348" t="str">
        <f>""</f>
        <v/>
      </c>
      <c r="EW348" t="str">
        <f>""</f>
        <v/>
      </c>
      <c r="EX348" t="str">
        <f>""</f>
        <v/>
      </c>
      <c r="EY348" t="str">
        <f>""</f>
        <v/>
      </c>
      <c r="EZ348" t="str">
        <f>""</f>
        <v/>
      </c>
      <c r="FA348" t="str">
        <f>""</f>
        <v/>
      </c>
      <c r="FB348" t="str">
        <f>""</f>
        <v/>
      </c>
      <c r="FC348" t="str">
        <f>""</f>
        <v/>
      </c>
      <c r="FD348" t="str">
        <f>""</f>
        <v/>
      </c>
      <c r="FE348" t="str">
        <f>""</f>
        <v/>
      </c>
      <c r="FF348" t="str">
        <f>""</f>
        <v/>
      </c>
      <c r="FG348" t="str">
        <f>""</f>
        <v/>
      </c>
      <c r="FH348" t="str">
        <f>""</f>
        <v/>
      </c>
      <c r="FI348" t="str">
        <f>""</f>
        <v/>
      </c>
      <c r="FJ348" t="str">
        <f>""</f>
        <v/>
      </c>
      <c r="FK348" t="str">
        <f>""</f>
        <v/>
      </c>
      <c r="FL348" t="str">
        <f>""</f>
        <v/>
      </c>
      <c r="FM348" t="str">
        <f>""</f>
        <v/>
      </c>
      <c r="FN348" t="str">
        <f>""</f>
        <v/>
      </c>
      <c r="FO348" t="str">
        <f>""</f>
        <v/>
      </c>
      <c r="FP348" t="str">
        <f>""</f>
        <v/>
      </c>
      <c r="FQ348" t="str">
        <f>""</f>
        <v/>
      </c>
      <c r="FR348" t="str">
        <f>""</f>
        <v/>
      </c>
      <c r="FS348" t="str">
        <f>""</f>
        <v/>
      </c>
      <c r="FT348" t="str">
        <f>""</f>
        <v/>
      </c>
      <c r="FU348" t="str">
        <f>""</f>
        <v/>
      </c>
      <c r="FV348" t="str">
        <f>""</f>
        <v/>
      </c>
      <c r="FW348" t="str">
        <f>""</f>
        <v/>
      </c>
      <c r="FX348" t="str">
        <f>""</f>
        <v/>
      </c>
      <c r="FY348" t="str">
        <f>""</f>
        <v/>
      </c>
      <c r="FZ348" t="str">
        <f>""</f>
        <v/>
      </c>
      <c r="GA348" t="str">
        <f>""</f>
        <v/>
      </c>
      <c r="GB348" t="str">
        <f>""</f>
        <v/>
      </c>
      <c r="GC348" t="str">
        <f>""</f>
        <v/>
      </c>
      <c r="GD348" t="str">
        <f>""</f>
        <v/>
      </c>
      <c r="GE348" t="str">
        <f>""</f>
        <v/>
      </c>
      <c r="GF348" t="str">
        <f>""</f>
        <v/>
      </c>
      <c r="GG348" t="str">
        <f>""</f>
        <v/>
      </c>
      <c r="GH348" t="str">
        <f>""</f>
        <v/>
      </c>
      <c r="GI348" t="str">
        <f>""</f>
        <v/>
      </c>
      <c r="GJ348" t="str">
        <f>""</f>
        <v/>
      </c>
      <c r="GK348" t="str">
        <f>""</f>
        <v/>
      </c>
      <c r="GL348" t="str">
        <f>""</f>
        <v/>
      </c>
      <c r="GM348" t="str">
        <f>""</f>
        <v/>
      </c>
      <c r="GN348" t="str">
        <f>""</f>
        <v/>
      </c>
      <c r="GO348" t="str">
        <f>""</f>
        <v/>
      </c>
      <c r="GP348" t="str">
        <f>""</f>
        <v/>
      </c>
      <c r="GQ348" t="str">
        <f>""</f>
        <v/>
      </c>
      <c r="GR348" t="str">
        <f>""</f>
        <v/>
      </c>
      <c r="GS348" t="str">
        <f>""</f>
        <v/>
      </c>
      <c r="GT348" t="str">
        <f>""</f>
        <v/>
      </c>
      <c r="GU348" t="str">
        <f>""</f>
        <v/>
      </c>
      <c r="GV348" t="str">
        <f>""</f>
        <v/>
      </c>
      <c r="GW348" t="str">
        <f>""</f>
        <v/>
      </c>
      <c r="GX348" t="str">
        <f>""</f>
        <v/>
      </c>
      <c r="GY348" t="str">
        <f>""</f>
        <v/>
      </c>
      <c r="GZ348" t="str">
        <f>""</f>
        <v/>
      </c>
      <c r="HA348" t="str">
        <f>""</f>
        <v/>
      </c>
      <c r="HB348" t="str">
        <f>""</f>
        <v/>
      </c>
      <c r="HC348" t="str">
        <f>""</f>
        <v/>
      </c>
      <c r="HD348" t="str">
        <f>""</f>
        <v/>
      </c>
      <c r="HE348" t="str">
        <f>""</f>
        <v/>
      </c>
      <c r="HF348" t="str">
        <f>""</f>
        <v/>
      </c>
      <c r="HG348" t="str">
        <f>""</f>
        <v/>
      </c>
      <c r="HH348" t="str">
        <f>""</f>
        <v/>
      </c>
      <c r="HI348" t="str">
        <f>""</f>
        <v/>
      </c>
      <c r="HJ348" t="str">
        <f>""</f>
        <v/>
      </c>
      <c r="HK348" t="str">
        <f>""</f>
        <v/>
      </c>
      <c r="HL348" t="str">
        <f>""</f>
        <v/>
      </c>
      <c r="HM348" t="str">
        <f>""</f>
        <v/>
      </c>
      <c r="HN348" t="str">
        <f>""</f>
        <v/>
      </c>
      <c r="HO348" t="str">
        <f>""</f>
        <v/>
      </c>
      <c r="HP348" t="str">
        <f>""</f>
        <v/>
      </c>
      <c r="HQ348" t="str">
        <f>""</f>
        <v/>
      </c>
      <c r="HR348" t="str">
        <f>""</f>
        <v/>
      </c>
      <c r="HS348" t="str">
        <f>""</f>
        <v/>
      </c>
      <c r="HT348" t="str">
        <f>""</f>
        <v/>
      </c>
      <c r="HU348" t="str">
        <f>""</f>
        <v/>
      </c>
      <c r="HV348" t="str">
        <f>""</f>
        <v/>
      </c>
      <c r="HW348" t="str">
        <f>""</f>
        <v/>
      </c>
      <c r="HX348" t="str">
        <f>""</f>
        <v/>
      </c>
      <c r="HY348" t="str">
        <f>""</f>
        <v/>
      </c>
      <c r="HZ348" t="str">
        <f>""</f>
        <v/>
      </c>
      <c r="IA348" t="str">
        <f>""</f>
        <v/>
      </c>
      <c r="IB348" t="str">
        <f>""</f>
        <v/>
      </c>
      <c r="IC348" t="str">
        <f>""</f>
        <v/>
      </c>
      <c r="ID348" t="str">
        <f>""</f>
        <v/>
      </c>
      <c r="IE348" t="str">
        <f>""</f>
        <v/>
      </c>
      <c r="IF348" t="str">
        <f>""</f>
        <v/>
      </c>
      <c r="IG348" t="str">
        <f>""</f>
        <v/>
      </c>
      <c r="IH348" t="str">
        <f>""</f>
        <v/>
      </c>
      <c r="II348" t="str">
        <f>""</f>
        <v/>
      </c>
      <c r="IJ348" t="str">
        <f>""</f>
        <v/>
      </c>
      <c r="IK348" t="str">
        <f>""</f>
        <v/>
      </c>
      <c r="IL348" t="str">
        <f>""</f>
        <v/>
      </c>
      <c r="IM348" t="str">
        <f>""</f>
        <v/>
      </c>
      <c r="IN348" t="str">
        <f>""</f>
        <v/>
      </c>
      <c r="IO348" t="str">
        <f>""</f>
        <v/>
      </c>
      <c r="IP348" t="str">
        <f>""</f>
        <v/>
      </c>
      <c r="IQ348" t="str">
        <f>""</f>
        <v/>
      </c>
      <c r="IR348" t="str">
        <f>""</f>
        <v/>
      </c>
      <c r="IS348" t="str">
        <f>""</f>
        <v/>
      </c>
      <c r="IT348" t="str">
        <f>"0.172"</f>
        <v>0.172</v>
      </c>
      <c r="IU348" t="str">
        <f>"0.0252"</f>
        <v>0.0252</v>
      </c>
      <c r="IV348" t="str">
        <f>"0.0249"</f>
        <v>0.0249</v>
      </c>
      <c r="IW348" t="str">
        <f>""</f>
        <v/>
      </c>
      <c r="IX348" t="str">
        <f>""</f>
        <v/>
      </c>
      <c r="IY348" t="str">
        <f>""</f>
        <v/>
      </c>
      <c r="IZ348" t="str">
        <f>""</f>
        <v/>
      </c>
      <c r="JA348" t="str">
        <f>""</f>
        <v/>
      </c>
      <c r="JB348" t="str">
        <f>""</f>
        <v/>
      </c>
      <c r="JC348" t="str">
        <f>""</f>
        <v/>
      </c>
      <c r="JD348" t="str">
        <f>""</f>
        <v/>
      </c>
      <c r="JE348" t="str">
        <f>""</f>
        <v/>
      </c>
      <c r="JF348" t="str">
        <f>""</f>
        <v/>
      </c>
      <c r="JG348" t="str">
        <f>""</f>
        <v/>
      </c>
      <c r="JH348" t="str">
        <f>""</f>
        <v/>
      </c>
      <c r="JI348" t="str">
        <f>""</f>
        <v/>
      </c>
      <c r="JJ348" t="str">
        <f>""</f>
        <v/>
      </c>
      <c r="JK348" t="str">
        <f>""</f>
        <v/>
      </c>
    </row>
    <row r="349" spans="1:271" x14ac:dyDescent="0.3">
      <c r="A349" t="str">
        <f>""</f>
        <v/>
      </c>
      <c r="B349" t="str">
        <f>""</f>
        <v/>
      </c>
      <c r="C349" t="str">
        <f>""</f>
        <v/>
      </c>
      <c r="D349" t="str">
        <f>""</f>
        <v/>
      </c>
      <c r="E349" t="str">
        <f>""</f>
        <v/>
      </c>
      <c r="F349" t="str">
        <f>""</f>
        <v/>
      </c>
      <c r="G349" t="str">
        <f>""</f>
        <v/>
      </c>
      <c r="H349" t="str">
        <f>""</f>
        <v/>
      </c>
      <c r="I349" t="str">
        <f>""</f>
        <v/>
      </c>
      <c r="J349" t="str">
        <f>""</f>
        <v/>
      </c>
      <c r="K349" t="str">
        <f>""</f>
        <v/>
      </c>
      <c r="L349" t="str">
        <f>""</f>
        <v/>
      </c>
      <c r="M349" t="str">
        <f>""</f>
        <v/>
      </c>
      <c r="N349" t="str">
        <f>""</f>
        <v/>
      </c>
      <c r="O349" t="str">
        <f>""</f>
        <v/>
      </c>
      <c r="P349" t="str">
        <f>""</f>
        <v/>
      </c>
      <c r="Q349" t="str">
        <f>""</f>
        <v/>
      </c>
      <c r="R349" t="str">
        <f>""</f>
        <v/>
      </c>
      <c r="S349" t="str">
        <f>""</f>
        <v/>
      </c>
      <c r="T349" t="str">
        <f>""</f>
        <v/>
      </c>
      <c r="U349" t="str">
        <f>""</f>
        <v/>
      </c>
      <c r="V349" t="str">
        <f>""</f>
        <v/>
      </c>
      <c r="W349" t="str">
        <f>""</f>
        <v/>
      </c>
      <c r="X349" t="str">
        <f>""</f>
        <v/>
      </c>
      <c r="Y349" t="str">
        <f>""</f>
        <v/>
      </c>
      <c r="Z349" t="str">
        <f>""</f>
        <v/>
      </c>
      <c r="AA349" t="str">
        <f>""</f>
        <v/>
      </c>
      <c r="AB349" t="str">
        <f>""</f>
        <v/>
      </c>
      <c r="AC349" t="str">
        <f>""</f>
        <v/>
      </c>
      <c r="AD349" t="str">
        <f>""</f>
        <v/>
      </c>
      <c r="AE349" t="str">
        <f>""</f>
        <v/>
      </c>
      <c r="AF349" t="str">
        <f>""</f>
        <v/>
      </c>
      <c r="AG349" t="str">
        <f>""</f>
        <v/>
      </c>
      <c r="AH349" t="str">
        <f>""</f>
        <v/>
      </c>
      <c r="AI349" t="str">
        <f>""</f>
        <v/>
      </c>
      <c r="AJ349" t="str">
        <f>""</f>
        <v/>
      </c>
      <c r="AK349" t="str">
        <f>""</f>
        <v/>
      </c>
      <c r="AL349" t="str">
        <f>""</f>
        <v/>
      </c>
      <c r="AM349" t="str">
        <f>""</f>
        <v/>
      </c>
      <c r="AN349" t="str">
        <f>""</f>
        <v/>
      </c>
      <c r="AO349" t="str">
        <f>""</f>
        <v/>
      </c>
      <c r="AP349" t="str">
        <f>""</f>
        <v/>
      </c>
      <c r="AQ349" t="str">
        <f>""</f>
        <v/>
      </c>
      <c r="AR349" t="str">
        <f>""</f>
        <v/>
      </c>
      <c r="AS349" t="str">
        <f>""</f>
        <v/>
      </c>
      <c r="AT349" t="str">
        <f>""</f>
        <v/>
      </c>
      <c r="AU349" t="str">
        <f>""</f>
        <v/>
      </c>
      <c r="AV349" t="str">
        <f>""</f>
        <v/>
      </c>
      <c r="AW349" t="str">
        <f>""</f>
        <v/>
      </c>
      <c r="AX349" t="str">
        <f>""</f>
        <v/>
      </c>
      <c r="AY349" t="str">
        <f>""</f>
        <v/>
      </c>
      <c r="AZ349" t="str">
        <f>""</f>
        <v/>
      </c>
      <c r="BA349" t="str">
        <f>""</f>
        <v/>
      </c>
      <c r="BB349" t="str">
        <f>""</f>
        <v/>
      </c>
      <c r="BC349" t="str">
        <f>""</f>
        <v/>
      </c>
      <c r="BD349" t="str">
        <f>""</f>
        <v/>
      </c>
      <c r="BE349" t="str">
        <f>""</f>
        <v/>
      </c>
      <c r="BF349" t="str">
        <f>""</f>
        <v/>
      </c>
      <c r="BG349" t="str">
        <f>""</f>
        <v/>
      </c>
      <c r="BH349" t="str">
        <f>""</f>
        <v/>
      </c>
      <c r="BI349" t="str">
        <f>""</f>
        <v/>
      </c>
      <c r="BJ349" t="str">
        <f>""</f>
        <v/>
      </c>
      <c r="BK349" t="str">
        <f>""</f>
        <v/>
      </c>
      <c r="BL349" t="str">
        <f>""</f>
        <v/>
      </c>
      <c r="BM349" t="str">
        <f>""</f>
        <v/>
      </c>
      <c r="BN349" t="str">
        <f>""</f>
        <v/>
      </c>
      <c r="BO349" t="str">
        <f>""</f>
        <v/>
      </c>
      <c r="BP349" t="str">
        <f>""</f>
        <v/>
      </c>
      <c r="BQ349" t="str">
        <f>""</f>
        <v/>
      </c>
      <c r="BR349" t="str">
        <f>""</f>
        <v/>
      </c>
      <c r="BS349" t="str">
        <f>""</f>
        <v/>
      </c>
      <c r="BT349" t="str">
        <f>""</f>
        <v/>
      </c>
      <c r="BU349" t="str">
        <f>""</f>
        <v/>
      </c>
      <c r="BV349" t="str">
        <f>""</f>
        <v/>
      </c>
      <c r="BW349" t="str">
        <f>""</f>
        <v/>
      </c>
      <c r="BX349" t="str">
        <f>""</f>
        <v/>
      </c>
      <c r="BY349" t="str">
        <f>""</f>
        <v/>
      </c>
      <c r="BZ349" t="str">
        <f>""</f>
        <v/>
      </c>
      <c r="CA349" t="str">
        <f>""</f>
        <v/>
      </c>
      <c r="CB349" t="str">
        <f>""</f>
        <v/>
      </c>
      <c r="CC349" t="str">
        <f>""</f>
        <v/>
      </c>
      <c r="CD349" t="str">
        <f>""</f>
        <v/>
      </c>
      <c r="CE349" t="str">
        <f>""</f>
        <v/>
      </c>
      <c r="CF349" t="str">
        <f>""</f>
        <v/>
      </c>
      <c r="CG349" t="str">
        <f>""</f>
        <v/>
      </c>
      <c r="CH349" t="str">
        <f>""</f>
        <v/>
      </c>
      <c r="CI349" t="str">
        <f>""</f>
        <v/>
      </c>
      <c r="CJ349" t="str">
        <f>""</f>
        <v/>
      </c>
      <c r="CK349" t="str">
        <f>""</f>
        <v/>
      </c>
      <c r="CL349" t="str">
        <f>""</f>
        <v/>
      </c>
      <c r="CM349" t="str">
        <f>""</f>
        <v/>
      </c>
      <c r="CN349" t="str">
        <f>""</f>
        <v/>
      </c>
      <c r="CO349" t="str">
        <f>""</f>
        <v/>
      </c>
      <c r="CP349" t="str">
        <f>""</f>
        <v/>
      </c>
      <c r="CQ349" t="str">
        <f>""</f>
        <v/>
      </c>
      <c r="CR349" t="str">
        <f>""</f>
        <v/>
      </c>
      <c r="CS349" t="str">
        <f>""</f>
        <v/>
      </c>
      <c r="CT349" t="str">
        <f>""</f>
        <v/>
      </c>
      <c r="CU349" t="str">
        <f>""</f>
        <v/>
      </c>
      <c r="CV349" t="str">
        <f>""</f>
        <v/>
      </c>
      <c r="CW349" t="str">
        <f>""</f>
        <v/>
      </c>
      <c r="CX349" t="str">
        <f>""</f>
        <v/>
      </c>
      <c r="CY349" t="str">
        <f>""</f>
        <v/>
      </c>
      <c r="CZ349" t="str">
        <f>""</f>
        <v/>
      </c>
      <c r="DA349" t="str">
        <f>""</f>
        <v/>
      </c>
      <c r="DB349" t="str">
        <f>""</f>
        <v/>
      </c>
      <c r="DC349" t="str">
        <f>""</f>
        <v/>
      </c>
      <c r="DD349" t="str">
        <f>""</f>
        <v/>
      </c>
      <c r="DE349" t="str">
        <f>""</f>
        <v/>
      </c>
      <c r="DF349" t="str">
        <f>""</f>
        <v/>
      </c>
      <c r="DG349" t="str">
        <f>""</f>
        <v/>
      </c>
      <c r="DH349" t="str">
        <f>""</f>
        <v/>
      </c>
      <c r="DI349" t="str">
        <f>""</f>
        <v/>
      </c>
      <c r="DJ349" t="str">
        <f>""</f>
        <v/>
      </c>
      <c r="DK349" t="str">
        <f>""</f>
        <v/>
      </c>
      <c r="DL349" t="str">
        <f>""</f>
        <v/>
      </c>
      <c r="DM349" t="str">
        <f>""</f>
        <v/>
      </c>
      <c r="DN349" t="str">
        <f>""</f>
        <v/>
      </c>
      <c r="DO349" t="str">
        <f>""</f>
        <v/>
      </c>
      <c r="DP349" t="str">
        <f>""</f>
        <v/>
      </c>
      <c r="DQ349" t="str">
        <f>""</f>
        <v/>
      </c>
      <c r="DR349" t="str">
        <f>""</f>
        <v/>
      </c>
      <c r="DS349" t="str">
        <f>""</f>
        <v/>
      </c>
      <c r="DT349" t="str">
        <f>""</f>
        <v/>
      </c>
      <c r="DU349" t="str">
        <f>""</f>
        <v/>
      </c>
      <c r="DV349" t="str">
        <f>""</f>
        <v/>
      </c>
      <c r="DW349" t="str">
        <f>""</f>
        <v/>
      </c>
      <c r="DX349" t="str">
        <f>""</f>
        <v/>
      </c>
      <c r="DY349" t="str">
        <f>""</f>
        <v/>
      </c>
      <c r="DZ349" t="str">
        <f>""</f>
        <v/>
      </c>
      <c r="EA349" t="str">
        <f>""</f>
        <v/>
      </c>
      <c r="EB349" t="str">
        <f>""</f>
        <v/>
      </c>
      <c r="EC349" t="str">
        <f>""</f>
        <v/>
      </c>
      <c r="ED349" t="str">
        <f>""</f>
        <v/>
      </c>
      <c r="EE349" t="str">
        <f>""</f>
        <v/>
      </c>
      <c r="EF349" t="str">
        <f>""</f>
        <v/>
      </c>
      <c r="EG349" t="str">
        <f>""</f>
        <v/>
      </c>
      <c r="EH349" t="str">
        <f>""</f>
        <v/>
      </c>
      <c r="EI349" t="str">
        <f>""</f>
        <v/>
      </c>
      <c r="EJ349" t="str">
        <f>""</f>
        <v/>
      </c>
      <c r="EK349" t="str">
        <f>""</f>
        <v/>
      </c>
      <c r="EL349" t="str">
        <f>""</f>
        <v/>
      </c>
      <c r="EM349" t="str">
        <f>""</f>
        <v/>
      </c>
      <c r="EN349" t="str">
        <f>""</f>
        <v/>
      </c>
      <c r="EO349" t="str">
        <f>""</f>
        <v/>
      </c>
      <c r="EP349" t="str">
        <f>""</f>
        <v/>
      </c>
      <c r="EQ349" t="str">
        <f>""</f>
        <v/>
      </c>
      <c r="ER349" t="str">
        <f>""</f>
        <v/>
      </c>
      <c r="ES349" t="str">
        <f>""</f>
        <v/>
      </c>
      <c r="ET349" t="str">
        <f>""</f>
        <v/>
      </c>
      <c r="EU349" t="str">
        <f>""</f>
        <v/>
      </c>
      <c r="EV349" t="str">
        <f>""</f>
        <v/>
      </c>
      <c r="EW349" t="str">
        <f>""</f>
        <v/>
      </c>
      <c r="EX349" t="str">
        <f>""</f>
        <v/>
      </c>
      <c r="EY349" t="str">
        <f>""</f>
        <v/>
      </c>
      <c r="EZ349" t="str">
        <f>""</f>
        <v/>
      </c>
      <c r="FA349" t="str">
        <f>""</f>
        <v/>
      </c>
      <c r="FB349" t="str">
        <f>""</f>
        <v/>
      </c>
      <c r="FC349" t="str">
        <f>""</f>
        <v/>
      </c>
      <c r="FD349" t="str">
        <f>""</f>
        <v/>
      </c>
      <c r="FE349" t="str">
        <f>""</f>
        <v/>
      </c>
      <c r="FF349" t="str">
        <f>""</f>
        <v/>
      </c>
      <c r="FG349" t="str">
        <f>""</f>
        <v/>
      </c>
      <c r="FH349" t="str">
        <f>""</f>
        <v/>
      </c>
      <c r="FI349" t="str">
        <f>""</f>
        <v/>
      </c>
      <c r="FJ349" t="str">
        <f>""</f>
        <v/>
      </c>
      <c r="FK349" t="str">
        <f>""</f>
        <v/>
      </c>
      <c r="FL349" t="str">
        <f>""</f>
        <v/>
      </c>
      <c r="FM349" t="str">
        <f>""</f>
        <v/>
      </c>
      <c r="FN349" t="str">
        <f>""</f>
        <v/>
      </c>
      <c r="FO349" t="str">
        <f>""</f>
        <v/>
      </c>
      <c r="FP349" t="str">
        <f>""</f>
        <v/>
      </c>
      <c r="FQ349" t="str">
        <f>""</f>
        <v/>
      </c>
      <c r="FR349" t="str">
        <f>""</f>
        <v/>
      </c>
      <c r="FS349" t="str">
        <f>""</f>
        <v/>
      </c>
      <c r="FT349" t="str">
        <f>""</f>
        <v/>
      </c>
      <c r="FU349" t="str">
        <f>""</f>
        <v/>
      </c>
      <c r="FV349" t="str">
        <f>""</f>
        <v/>
      </c>
      <c r="FW349" t="str">
        <f>""</f>
        <v/>
      </c>
      <c r="FX349" t="str">
        <f>""</f>
        <v/>
      </c>
      <c r="FY349" t="str">
        <f>""</f>
        <v/>
      </c>
      <c r="FZ349" t="str">
        <f>""</f>
        <v/>
      </c>
      <c r="GA349" t="str">
        <f>""</f>
        <v/>
      </c>
      <c r="GB349" t="str">
        <f>""</f>
        <v/>
      </c>
      <c r="GC349" t="str">
        <f>""</f>
        <v/>
      </c>
      <c r="GD349" t="str">
        <f>""</f>
        <v/>
      </c>
      <c r="GE349" t="str">
        <f>""</f>
        <v/>
      </c>
      <c r="GF349" t="str">
        <f>""</f>
        <v/>
      </c>
      <c r="GG349" t="str">
        <f>""</f>
        <v/>
      </c>
      <c r="GH349" t="str">
        <f>""</f>
        <v/>
      </c>
      <c r="GI349" t="str">
        <f>""</f>
        <v/>
      </c>
      <c r="GJ349" t="str">
        <f>""</f>
        <v/>
      </c>
      <c r="GK349" t="str">
        <f>""</f>
        <v/>
      </c>
      <c r="GL349" t="str">
        <f>""</f>
        <v/>
      </c>
      <c r="GM349" t="str">
        <f>""</f>
        <v/>
      </c>
      <c r="GN349" t="str">
        <f>""</f>
        <v/>
      </c>
      <c r="GO349" t="str">
        <f>""</f>
        <v/>
      </c>
      <c r="GP349" t="str">
        <f>""</f>
        <v/>
      </c>
      <c r="GQ349" t="str">
        <f>""</f>
        <v/>
      </c>
      <c r="GR349" t="str">
        <f>""</f>
        <v/>
      </c>
      <c r="GS349" t="str">
        <f>""</f>
        <v/>
      </c>
      <c r="GT349" t="str">
        <f>""</f>
        <v/>
      </c>
      <c r="GU349" t="str">
        <f>""</f>
        <v/>
      </c>
      <c r="GV349" t="str">
        <f>""</f>
        <v/>
      </c>
      <c r="GW349" t="str">
        <f>""</f>
        <v/>
      </c>
      <c r="GX349" t="str">
        <f>""</f>
        <v/>
      </c>
      <c r="GY349" t="str">
        <f>""</f>
        <v/>
      </c>
      <c r="GZ349" t="str">
        <f>""</f>
        <v/>
      </c>
      <c r="HA349" t="str">
        <f>""</f>
        <v/>
      </c>
      <c r="HB349" t="str">
        <f>""</f>
        <v/>
      </c>
      <c r="HC349" t="str">
        <f>""</f>
        <v/>
      </c>
      <c r="HD349" t="str">
        <f>""</f>
        <v/>
      </c>
      <c r="HE349" t="str">
        <f>""</f>
        <v/>
      </c>
      <c r="HF349" t="str">
        <f>""</f>
        <v/>
      </c>
      <c r="HG349" t="str">
        <f>""</f>
        <v/>
      </c>
      <c r="HH349" t="str">
        <f>""</f>
        <v/>
      </c>
      <c r="HI349" t="str">
        <f>""</f>
        <v/>
      </c>
      <c r="HJ349" t="str">
        <f>""</f>
        <v/>
      </c>
      <c r="HK349" t="str">
        <f>""</f>
        <v/>
      </c>
      <c r="HL349" t="str">
        <f>""</f>
        <v/>
      </c>
      <c r="HM349" t="str">
        <f>""</f>
        <v/>
      </c>
      <c r="HN349" t="str">
        <f>""</f>
        <v/>
      </c>
      <c r="HO349" t="str">
        <f>""</f>
        <v/>
      </c>
      <c r="HP349" t="str">
        <f>""</f>
        <v/>
      </c>
      <c r="HQ349" t="str">
        <f>""</f>
        <v/>
      </c>
      <c r="HR349" t="str">
        <f>""</f>
        <v/>
      </c>
      <c r="HS349" t="str">
        <f>""</f>
        <v/>
      </c>
      <c r="HT349" t="str">
        <f>""</f>
        <v/>
      </c>
      <c r="HU349" t="str">
        <f>""</f>
        <v/>
      </c>
      <c r="HV349" t="str">
        <f>""</f>
        <v/>
      </c>
      <c r="HW349" t="str">
        <f>""</f>
        <v/>
      </c>
      <c r="HX349" t="str">
        <f>""</f>
        <v/>
      </c>
      <c r="HY349" t="str">
        <f>""</f>
        <v/>
      </c>
      <c r="HZ349" t="str">
        <f>""</f>
        <v/>
      </c>
      <c r="IA349" t="str">
        <f>""</f>
        <v/>
      </c>
      <c r="IB349" t="str">
        <f>""</f>
        <v/>
      </c>
      <c r="IC349" t="str">
        <f>""</f>
        <v/>
      </c>
      <c r="ID349" t="str">
        <f>""</f>
        <v/>
      </c>
      <c r="IE349" t="str">
        <f>""</f>
        <v/>
      </c>
      <c r="IF349" t="str">
        <f>""</f>
        <v/>
      </c>
      <c r="IG349" t="str">
        <f>""</f>
        <v/>
      </c>
      <c r="IH349" t="str">
        <f>""</f>
        <v/>
      </c>
      <c r="II349" t="str">
        <f>""</f>
        <v/>
      </c>
      <c r="IJ349" t="str">
        <f>""</f>
        <v/>
      </c>
      <c r="IK349" t="str">
        <f>""</f>
        <v/>
      </c>
      <c r="IL349" t="str">
        <f>""</f>
        <v/>
      </c>
      <c r="IM349" t="str">
        <f>""</f>
        <v/>
      </c>
      <c r="IN349" t="str">
        <f>""</f>
        <v/>
      </c>
      <c r="IO349" t="str">
        <f>""</f>
        <v/>
      </c>
      <c r="IP349" t="str">
        <f>""</f>
        <v/>
      </c>
      <c r="IQ349" t="str">
        <f>""</f>
        <v/>
      </c>
      <c r="IR349" t="str">
        <f>""</f>
        <v/>
      </c>
      <c r="IS349" t="str">
        <f>""</f>
        <v/>
      </c>
      <c r="IT349" t="str">
        <f>"(0.102)"</f>
        <v>(0.102)</v>
      </c>
      <c r="IU349" t="str">
        <f>"(0.0825)"</f>
        <v>(0.0825)</v>
      </c>
      <c r="IV349" t="str">
        <f>"(0.0438)"</f>
        <v>(0.0438)</v>
      </c>
      <c r="IW349" t="str">
        <f>""</f>
        <v/>
      </c>
      <c r="IX349" t="str">
        <f>""</f>
        <v/>
      </c>
      <c r="IY349" t="str">
        <f>""</f>
        <v/>
      </c>
      <c r="IZ349" t="str">
        <f>""</f>
        <v/>
      </c>
      <c r="JA349" t="str">
        <f>""</f>
        <v/>
      </c>
      <c r="JB349" t="str">
        <f>""</f>
        <v/>
      </c>
      <c r="JC349" t="str">
        <f>""</f>
        <v/>
      </c>
      <c r="JD349" t="str">
        <f>""</f>
        <v/>
      </c>
      <c r="JE349" t="str">
        <f>""</f>
        <v/>
      </c>
      <c r="JF349" t="str">
        <f>""</f>
        <v/>
      </c>
      <c r="JG349" t="str">
        <f>""</f>
        <v/>
      </c>
      <c r="JH349" t="str">
        <f>""</f>
        <v/>
      </c>
      <c r="JI349" t="str">
        <f>""</f>
        <v/>
      </c>
      <c r="JJ349" t="str">
        <f>""</f>
        <v/>
      </c>
      <c r="JK349" t="str">
        <f>""</f>
        <v/>
      </c>
    </row>
    <row r="351" spans="1:271" x14ac:dyDescent="0.3">
      <c r="A351" t="str">
        <f>"c.zMETAB11#c.PM6"</f>
        <v>c.zMETAB11#c.PM6</v>
      </c>
      <c r="B351" t="str">
        <f>""</f>
        <v/>
      </c>
      <c r="C351" t="str">
        <f>""</f>
        <v/>
      </c>
      <c r="D351" t="str">
        <f>""</f>
        <v/>
      </c>
      <c r="E351" t="str">
        <f>""</f>
        <v/>
      </c>
      <c r="F351" t="str">
        <f>""</f>
        <v/>
      </c>
      <c r="G351" t="str">
        <f>""</f>
        <v/>
      </c>
      <c r="H351" t="str">
        <f>""</f>
        <v/>
      </c>
      <c r="I351" t="str">
        <f>""</f>
        <v/>
      </c>
      <c r="J351" t="str">
        <f>""</f>
        <v/>
      </c>
      <c r="K351" t="str">
        <f>""</f>
        <v/>
      </c>
      <c r="L351" t="str">
        <f>""</f>
        <v/>
      </c>
      <c r="M351" t="str">
        <f>""</f>
        <v/>
      </c>
      <c r="N351" t="str">
        <f>""</f>
        <v/>
      </c>
      <c r="O351" t="str">
        <f>""</f>
        <v/>
      </c>
      <c r="P351" t="str">
        <f>""</f>
        <v/>
      </c>
      <c r="Q351" t="str">
        <f>""</f>
        <v/>
      </c>
      <c r="R351" t="str">
        <f>""</f>
        <v/>
      </c>
      <c r="S351" t="str">
        <f>""</f>
        <v/>
      </c>
      <c r="T351" t="str">
        <f>""</f>
        <v/>
      </c>
      <c r="U351" t="str">
        <f>""</f>
        <v/>
      </c>
      <c r="V351" t="str">
        <f>""</f>
        <v/>
      </c>
      <c r="W351" t="str">
        <f>""</f>
        <v/>
      </c>
      <c r="X351" t="str">
        <f>""</f>
        <v/>
      </c>
      <c r="Y351" t="str">
        <f>""</f>
        <v/>
      </c>
      <c r="Z351" t="str">
        <f>""</f>
        <v/>
      </c>
      <c r="AA351" t="str">
        <f>""</f>
        <v/>
      </c>
      <c r="AB351" t="str">
        <f>""</f>
        <v/>
      </c>
      <c r="AC351" t="str">
        <f>""</f>
        <v/>
      </c>
      <c r="AD351" t="str">
        <f>""</f>
        <v/>
      </c>
      <c r="AE351" t="str">
        <f>""</f>
        <v/>
      </c>
      <c r="AF351" t="str">
        <f>""</f>
        <v/>
      </c>
      <c r="AG351" t="str">
        <f>""</f>
        <v/>
      </c>
      <c r="AH351" t="str">
        <f>""</f>
        <v/>
      </c>
      <c r="AI351" t="str">
        <f>""</f>
        <v/>
      </c>
      <c r="AJ351" t="str">
        <f>""</f>
        <v/>
      </c>
      <c r="AK351" t="str">
        <f>""</f>
        <v/>
      </c>
      <c r="AL351" t="str">
        <f>""</f>
        <v/>
      </c>
      <c r="AM351" t="str">
        <f>""</f>
        <v/>
      </c>
      <c r="AN351" t="str">
        <f>""</f>
        <v/>
      </c>
      <c r="AO351" t="str">
        <f>""</f>
        <v/>
      </c>
      <c r="AP351" t="str">
        <f>""</f>
        <v/>
      </c>
      <c r="AQ351" t="str">
        <f>""</f>
        <v/>
      </c>
      <c r="AR351" t="str">
        <f>""</f>
        <v/>
      </c>
      <c r="AS351" t="str">
        <f>""</f>
        <v/>
      </c>
      <c r="AT351" t="str">
        <f>""</f>
        <v/>
      </c>
      <c r="AU351" t="str">
        <f>""</f>
        <v/>
      </c>
      <c r="AV351" t="str">
        <f>""</f>
        <v/>
      </c>
      <c r="AW351" t="str">
        <f>""</f>
        <v/>
      </c>
      <c r="AX351" t="str">
        <f>""</f>
        <v/>
      </c>
      <c r="AY351" t="str">
        <f>""</f>
        <v/>
      </c>
      <c r="AZ351" t="str">
        <f>""</f>
        <v/>
      </c>
      <c r="BA351" t="str">
        <f>""</f>
        <v/>
      </c>
      <c r="BB351" t="str">
        <f>""</f>
        <v/>
      </c>
      <c r="BC351" t="str">
        <f>""</f>
        <v/>
      </c>
      <c r="BD351" t="str">
        <f>""</f>
        <v/>
      </c>
      <c r="BE351" t="str">
        <f>""</f>
        <v/>
      </c>
      <c r="BF351" t="str">
        <f>""</f>
        <v/>
      </c>
      <c r="BG351" t="str">
        <f>""</f>
        <v/>
      </c>
      <c r="BH351" t="str">
        <f>""</f>
        <v/>
      </c>
      <c r="BI351" t="str">
        <f>""</f>
        <v/>
      </c>
      <c r="BJ351" t="str">
        <f>""</f>
        <v/>
      </c>
      <c r="BK351" t="str">
        <f>""</f>
        <v/>
      </c>
      <c r="BL351" t="str">
        <f>""</f>
        <v/>
      </c>
      <c r="BM351" t="str">
        <f>""</f>
        <v/>
      </c>
      <c r="BN351" t="str">
        <f>""</f>
        <v/>
      </c>
      <c r="BO351" t="str">
        <f>""</f>
        <v/>
      </c>
      <c r="BP351" t="str">
        <f>""</f>
        <v/>
      </c>
      <c r="BQ351" t="str">
        <f>""</f>
        <v/>
      </c>
      <c r="BR351" t="str">
        <f>""</f>
        <v/>
      </c>
      <c r="BS351" t="str">
        <f>""</f>
        <v/>
      </c>
      <c r="BT351" t="str">
        <f>""</f>
        <v/>
      </c>
      <c r="BU351" t="str">
        <f>""</f>
        <v/>
      </c>
      <c r="BV351" t="str">
        <f>""</f>
        <v/>
      </c>
      <c r="BW351" t="str">
        <f>""</f>
        <v/>
      </c>
      <c r="BX351" t="str">
        <f>""</f>
        <v/>
      </c>
      <c r="BY351" t="str">
        <f>""</f>
        <v/>
      </c>
      <c r="BZ351" t="str">
        <f>""</f>
        <v/>
      </c>
      <c r="CA351" t="str">
        <f>""</f>
        <v/>
      </c>
      <c r="CB351" t="str">
        <f>""</f>
        <v/>
      </c>
      <c r="CC351" t="str">
        <f>""</f>
        <v/>
      </c>
      <c r="CD351" t="str">
        <f>""</f>
        <v/>
      </c>
      <c r="CE351" t="str">
        <f>""</f>
        <v/>
      </c>
      <c r="CF351" t="str">
        <f>""</f>
        <v/>
      </c>
      <c r="CG351" t="str">
        <f>""</f>
        <v/>
      </c>
      <c r="CH351" t="str">
        <f>""</f>
        <v/>
      </c>
      <c r="CI351" t="str">
        <f>""</f>
        <v/>
      </c>
      <c r="CJ351" t="str">
        <f>""</f>
        <v/>
      </c>
      <c r="CK351" t="str">
        <f>""</f>
        <v/>
      </c>
      <c r="CL351" t="str">
        <f>""</f>
        <v/>
      </c>
      <c r="CM351" t="str">
        <f>""</f>
        <v/>
      </c>
      <c r="CN351" t="str">
        <f>""</f>
        <v/>
      </c>
      <c r="CO351" t="str">
        <f>""</f>
        <v/>
      </c>
      <c r="CP351" t="str">
        <f>""</f>
        <v/>
      </c>
      <c r="CQ351" t="str">
        <f>""</f>
        <v/>
      </c>
      <c r="CR351" t="str">
        <f>""</f>
        <v/>
      </c>
      <c r="CS351" t="str">
        <f>""</f>
        <v/>
      </c>
      <c r="CT351" t="str">
        <f>""</f>
        <v/>
      </c>
      <c r="CU351" t="str">
        <f>""</f>
        <v/>
      </c>
      <c r="CV351" t="str">
        <f>""</f>
        <v/>
      </c>
      <c r="CW351" t="str">
        <f>""</f>
        <v/>
      </c>
      <c r="CX351" t="str">
        <f>""</f>
        <v/>
      </c>
      <c r="CY351" t="str">
        <f>""</f>
        <v/>
      </c>
      <c r="CZ351" t="str">
        <f>""</f>
        <v/>
      </c>
      <c r="DA351" t="str">
        <f>""</f>
        <v/>
      </c>
      <c r="DB351" t="str">
        <f>""</f>
        <v/>
      </c>
      <c r="DC351" t="str">
        <f>""</f>
        <v/>
      </c>
      <c r="DD351" t="str">
        <f>""</f>
        <v/>
      </c>
      <c r="DE351" t="str">
        <f>""</f>
        <v/>
      </c>
      <c r="DF351" t="str">
        <f>""</f>
        <v/>
      </c>
      <c r="DG351" t="str">
        <f>""</f>
        <v/>
      </c>
      <c r="DH351" t="str">
        <f>""</f>
        <v/>
      </c>
      <c r="DI351" t="str">
        <f>""</f>
        <v/>
      </c>
      <c r="DJ351" t="str">
        <f>""</f>
        <v/>
      </c>
      <c r="DK351" t="str">
        <f>""</f>
        <v/>
      </c>
      <c r="DL351" t="str">
        <f>""</f>
        <v/>
      </c>
      <c r="DM351" t="str">
        <f>""</f>
        <v/>
      </c>
      <c r="DN351" t="str">
        <f>""</f>
        <v/>
      </c>
      <c r="DO351" t="str">
        <f>""</f>
        <v/>
      </c>
      <c r="DP351" t="str">
        <f>""</f>
        <v/>
      </c>
      <c r="DQ351" t="str">
        <f>""</f>
        <v/>
      </c>
      <c r="DR351" t="str">
        <f>""</f>
        <v/>
      </c>
      <c r="DS351" t="str">
        <f>""</f>
        <v/>
      </c>
      <c r="DT351" t="str">
        <f>""</f>
        <v/>
      </c>
      <c r="DU351" t="str">
        <f>""</f>
        <v/>
      </c>
      <c r="DV351" t="str">
        <f>""</f>
        <v/>
      </c>
      <c r="DW351" t="str">
        <f>""</f>
        <v/>
      </c>
      <c r="DX351" t="str">
        <f>""</f>
        <v/>
      </c>
      <c r="DY351" t="str">
        <f>""</f>
        <v/>
      </c>
      <c r="DZ351" t="str">
        <f>""</f>
        <v/>
      </c>
      <c r="EA351" t="str">
        <f>""</f>
        <v/>
      </c>
      <c r="EB351" t="str">
        <f>""</f>
        <v/>
      </c>
      <c r="EC351" t="str">
        <f>""</f>
        <v/>
      </c>
      <c r="ED351" t="str">
        <f>""</f>
        <v/>
      </c>
      <c r="EE351" t="str">
        <f>""</f>
        <v/>
      </c>
      <c r="EF351" t="str">
        <f>""</f>
        <v/>
      </c>
      <c r="EG351" t="str">
        <f>""</f>
        <v/>
      </c>
      <c r="EH351" t="str">
        <f>""</f>
        <v/>
      </c>
      <c r="EI351" t="str">
        <f>""</f>
        <v/>
      </c>
      <c r="EJ351" t="str">
        <f>""</f>
        <v/>
      </c>
      <c r="EK351" t="str">
        <f>""</f>
        <v/>
      </c>
      <c r="EL351" t="str">
        <f>""</f>
        <v/>
      </c>
      <c r="EM351" t="str">
        <f>""</f>
        <v/>
      </c>
      <c r="EN351" t="str">
        <f>""</f>
        <v/>
      </c>
      <c r="EO351" t="str">
        <f>""</f>
        <v/>
      </c>
      <c r="EP351" t="str">
        <f>""</f>
        <v/>
      </c>
      <c r="EQ351" t="str">
        <f>""</f>
        <v/>
      </c>
      <c r="ER351" t="str">
        <f>""</f>
        <v/>
      </c>
      <c r="ES351" t="str">
        <f>""</f>
        <v/>
      </c>
      <c r="ET351" t="str">
        <f>""</f>
        <v/>
      </c>
      <c r="EU351" t="str">
        <f>""</f>
        <v/>
      </c>
      <c r="EV351" t="str">
        <f>""</f>
        <v/>
      </c>
      <c r="EW351" t="str">
        <f>""</f>
        <v/>
      </c>
      <c r="EX351" t="str">
        <f>""</f>
        <v/>
      </c>
      <c r="EY351" t="str">
        <f>""</f>
        <v/>
      </c>
      <c r="EZ351" t="str">
        <f>""</f>
        <v/>
      </c>
      <c r="FA351" t="str">
        <f>""</f>
        <v/>
      </c>
      <c r="FB351" t="str">
        <f>""</f>
        <v/>
      </c>
      <c r="FC351" t="str">
        <f>""</f>
        <v/>
      </c>
      <c r="FD351" t="str">
        <f>""</f>
        <v/>
      </c>
      <c r="FE351" t="str">
        <f>""</f>
        <v/>
      </c>
      <c r="FF351" t="str">
        <f>""</f>
        <v/>
      </c>
      <c r="FG351" t="str">
        <f>""</f>
        <v/>
      </c>
      <c r="FH351" t="str">
        <f>""</f>
        <v/>
      </c>
      <c r="FI351" t="str">
        <f>""</f>
        <v/>
      </c>
      <c r="FJ351" t="str">
        <f>""</f>
        <v/>
      </c>
      <c r="FK351" t="str">
        <f>""</f>
        <v/>
      </c>
      <c r="FL351" t="str">
        <f>""</f>
        <v/>
      </c>
      <c r="FM351" t="str">
        <f>""</f>
        <v/>
      </c>
      <c r="FN351" t="str">
        <f>""</f>
        <v/>
      </c>
      <c r="FO351" t="str">
        <f>""</f>
        <v/>
      </c>
      <c r="FP351" t="str">
        <f>""</f>
        <v/>
      </c>
      <c r="FQ351" t="str">
        <f>""</f>
        <v/>
      </c>
      <c r="FR351" t="str">
        <f>""</f>
        <v/>
      </c>
      <c r="FS351" t="str">
        <f>""</f>
        <v/>
      </c>
      <c r="FT351" t="str">
        <f>""</f>
        <v/>
      </c>
      <c r="FU351" t="str">
        <f>""</f>
        <v/>
      </c>
      <c r="FV351" t="str">
        <f>""</f>
        <v/>
      </c>
      <c r="FW351" t="str">
        <f>""</f>
        <v/>
      </c>
      <c r="FX351" t="str">
        <f>""</f>
        <v/>
      </c>
      <c r="FY351" t="str">
        <f>""</f>
        <v/>
      </c>
      <c r="FZ351" t="str">
        <f>""</f>
        <v/>
      </c>
      <c r="GA351" t="str">
        <f>""</f>
        <v/>
      </c>
      <c r="GB351" t="str">
        <f>""</f>
        <v/>
      </c>
      <c r="GC351" t="str">
        <f>""</f>
        <v/>
      </c>
      <c r="GD351" t="str">
        <f>""</f>
        <v/>
      </c>
      <c r="GE351" t="str">
        <f>""</f>
        <v/>
      </c>
      <c r="GF351" t="str">
        <f>""</f>
        <v/>
      </c>
      <c r="GG351" t="str">
        <f>""</f>
        <v/>
      </c>
      <c r="GH351" t="str">
        <f>""</f>
        <v/>
      </c>
      <c r="GI351" t="str">
        <f>""</f>
        <v/>
      </c>
      <c r="GJ351" t="str">
        <f>""</f>
        <v/>
      </c>
      <c r="GK351" t="str">
        <f>""</f>
        <v/>
      </c>
      <c r="GL351" t="str">
        <f>""</f>
        <v/>
      </c>
      <c r="GM351" t="str">
        <f>""</f>
        <v/>
      </c>
      <c r="GN351" t="str">
        <f>""</f>
        <v/>
      </c>
      <c r="GO351" t="str">
        <f>""</f>
        <v/>
      </c>
      <c r="GP351" t="str">
        <f>""</f>
        <v/>
      </c>
      <c r="GQ351" t="str">
        <f>""</f>
        <v/>
      </c>
      <c r="GR351" t="str">
        <f>""</f>
        <v/>
      </c>
      <c r="GS351" t="str">
        <f>""</f>
        <v/>
      </c>
      <c r="GT351" t="str">
        <f>""</f>
        <v/>
      </c>
      <c r="GU351" t="str">
        <f>""</f>
        <v/>
      </c>
      <c r="GV351" t="str">
        <f>""</f>
        <v/>
      </c>
      <c r="GW351" t="str">
        <f>""</f>
        <v/>
      </c>
      <c r="GX351" t="str">
        <f>""</f>
        <v/>
      </c>
      <c r="GY351" t="str">
        <f>""</f>
        <v/>
      </c>
      <c r="GZ351" t="str">
        <f>""</f>
        <v/>
      </c>
      <c r="HA351" t="str">
        <f>""</f>
        <v/>
      </c>
      <c r="HB351" t="str">
        <f>""</f>
        <v/>
      </c>
      <c r="HC351" t="str">
        <f>""</f>
        <v/>
      </c>
      <c r="HD351" t="str">
        <f>""</f>
        <v/>
      </c>
      <c r="HE351" t="str">
        <f>""</f>
        <v/>
      </c>
      <c r="HF351" t="str">
        <f>""</f>
        <v/>
      </c>
      <c r="HG351" t="str">
        <f>""</f>
        <v/>
      </c>
      <c r="HH351" t="str">
        <f>""</f>
        <v/>
      </c>
      <c r="HI351" t="str">
        <f>""</f>
        <v/>
      </c>
      <c r="HJ351" t="str">
        <f>""</f>
        <v/>
      </c>
      <c r="HK351" t="str">
        <f>""</f>
        <v/>
      </c>
      <c r="HL351" t="str">
        <f>""</f>
        <v/>
      </c>
      <c r="HM351" t="str">
        <f>""</f>
        <v/>
      </c>
      <c r="HN351" t="str">
        <f>""</f>
        <v/>
      </c>
      <c r="HO351" t="str">
        <f>""</f>
        <v/>
      </c>
      <c r="HP351" t="str">
        <f>""</f>
        <v/>
      </c>
      <c r="HQ351" t="str">
        <f>""</f>
        <v/>
      </c>
      <c r="HR351" t="str">
        <f>""</f>
        <v/>
      </c>
      <c r="HS351" t="str">
        <f>""</f>
        <v/>
      </c>
      <c r="HT351" t="str">
        <f>""</f>
        <v/>
      </c>
      <c r="HU351" t="str">
        <f>""</f>
        <v/>
      </c>
      <c r="HV351" t="str">
        <f>""</f>
        <v/>
      </c>
      <c r="HW351" t="str">
        <f>""</f>
        <v/>
      </c>
      <c r="HX351" t="str">
        <f>""</f>
        <v/>
      </c>
      <c r="HY351" t="str">
        <f>""</f>
        <v/>
      </c>
      <c r="HZ351" t="str">
        <f>""</f>
        <v/>
      </c>
      <c r="IA351" t="str">
        <f>""</f>
        <v/>
      </c>
      <c r="IB351" t="str">
        <f>""</f>
        <v/>
      </c>
      <c r="IC351" t="str">
        <f>""</f>
        <v/>
      </c>
      <c r="ID351" t="str">
        <f>""</f>
        <v/>
      </c>
      <c r="IE351" t="str">
        <f>""</f>
        <v/>
      </c>
      <c r="IF351" t="str">
        <f>""</f>
        <v/>
      </c>
      <c r="IG351" t="str">
        <f>""</f>
        <v/>
      </c>
      <c r="IH351" t="str">
        <f>""</f>
        <v/>
      </c>
      <c r="II351" t="str">
        <f>""</f>
        <v/>
      </c>
      <c r="IJ351" t="str">
        <f>""</f>
        <v/>
      </c>
      <c r="IK351" t="str">
        <f>""</f>
        <v/>
      </c>
      <c r="IL351" t="str">
        <f>""</f>
        <v/>
      </c>
      <c r="IM351" t="str">
        <f>""</f>
        <v/>
      </c>
      <c r="IN351" t="str">
        <f>""</f>
        <v/>
      </c>
      <c r="IO351" t="str">
        <f>""</f>
        <v/>
      </c>
      <c r="IP351" t="str">
        <f>""</f>
        <v/>
      </c>
      <c r="IQ351" t="str">
        <f>""</f>
        <v/>
      </c>
      <c r="IR351" t="str">
        <f>""</f>
        <v/>
      </c>
      <c r="IS351" t="str">
        <f>""</f>
        <v/>
      </c>
      <c r="IT351" t="str">
        <f>""</f>
        <v/>
      </c>
      <c r="IU351" t="str">
        <f>""</f>
        <v/>
      </c>
      <c r="IV351" t="str">
        <f>""</f>
        <v/>
      </c>
      <c r="IW351" t="str">
        <f>"0.0293"</f>
        <v>0.0293</v>
      </c>
      <c r="IX351" t="str">
        <f>"0.00784"</f>
        <v>0.00784</v>
      </c>
      <c r="IY351" t="str">
        <f>"0.0514"</f>
        <v>0.0514</v>
      </c>
      <c r="IZ351" t="str">
        <f>""</f>
        <v/>
      </c>
      <c r="JA351" t="str">
        <f>""</f>
        <v/>
      </c>
      <c r="JB351" t="str">
        <f>""</f>
        <v/>
      </c>
      <c r="JC351" t="str">
        <f>""</f>
        <v/>
      </c>
      <c r="JD351" t="str">
        <f>""</f>
        <v/>
      </c>
      <c r="JE351" t="str">
        <f>""</f>
        <v/>
      </c>
      <c r="JF351" t="str">
        <f>""</f>
        <v/>
      </c>
      <c r="JG351" t="str">
        <f>""</f>
        <v/>
      </c>
      <c r="JH351" t="str">
        <f>""</f>
        <v/>
      </c>
      <c r="JI351" t="str">
        <f>""</f>
        <v/>
      </c>
      <c r="JJ351" t="str">
        <f>""</f>
        <v/>
      </c>
      <c r="JK351" t="str">
        <f>""</f>
        <v/>
      </c>
    </row>
    <row r="352" spans="1:271" x14ac:dyDescent="0.3">
      <c r="A352" t="str">
        <f>""</f>
        <v/>
      </c>
      <c r="B352" t="str">
        <f>""</f>
        <v/>
      </c>
      <c r="C352" t="str">
        <f>""</f>
        <v/>
      </c>
      <c r="D352" t="str">
        <f>""</f>
        <v/>
      </c>
      <c r="E352" t="str">
        <f>""</f>
        <v/>
      </c>
      <c r="F352" t="str">
        <f>""</f>
        <v/>
      </c>
      <c r="G352" t="str">
        <f>""</f>
        <v/>
      </c>
      <c r="H352" t="str">
        <f>""</f>
        <v/>
      </c>
      <c r="I352" t="str">
        <f>""</f>
        <v/>
      </c>
      <c r="J352" t="str">
        <f>""</f>
        <v/>
      </c>
      <c r="K352" t="str">
        <f>""</f>
        <v/>
      </c>
      <c r="L352" t="str">
        <f>""</f>
        <v/>
      </c>
      <c r="M352" t="str">
        <f>""</f>
        <v/>
      </c>
      <c r="N352" t="str">
        <f>""</f>
        <v/>
      </c>
      <c r="O352" t="str">
        <f>""</f>
        <v/>
      </c>
      <c r="P352" t="str">
        <f>""</f>
        <v/>
      </c>
      <c r="Q352" t="str">
        <f>""</f>
        <v/>
      </c>
      <c r="R352" t="str">
        <f>""</f>
        <v/>
      </c>
      <c r="S352" t="str">
        <f>""</f>
        <v/>
      </c>
      <c r="T352" t="str">
        <f>""</f>
        <v/>
      </c>
      <c r="U352" t="str">
        <f>""</f>
        <v/>
      </c>
      <c r="V352" t="str">
        <f>""</f>
        <v/>
      </c>
      <c r="W352" t="str">
        <f>""</f>
        <v/>
      </c>
      <c r="X352" t="str">
        <f>""</f>
        <v/>
      </c>
      <c r="Y352" t="str">
        <f>""</f>
        <v/>
      </c>
      <c r="Z352" t="str">
        <f>""</f>
        <v/>
      </c>
      <c r="AA352" t="str">
        <f>""</f>
        <v/>
      </c>
      <c r="AB352" t="str">
        <f>""</f>
        <v/>
      </c>
      <c r="AC352" t="str">
        <f>""</f>
        <v/>
      </c>
      <c r="AD352" t="str">
        <f>""</f>
        <v/>
      </c>
      <c r="AE352" t="str">
        <f>""</f>
        <v/>
      </c>
      <c r="AF352" t="str">
        <f>""</f>
        <v/>
      </c>
      <c r="AG352" t="str">
        <f>""</f>
        <v/>
      </c>
      <c r="AH352" t="str">
        <f>""</f>
        <v/>
      </c>
      <c r="AI352" t="str">
        <f>""</f>
        <v/>
      </c>
      <c r="AJ352" t="str">
        <f>""</f>
        <v/>
      </c>
      <c r="AK352" t="str">
        <f>""</f>
        <v/>
      </c>
      <c r="AL352" t="str">
        <f>""</f>
        <v/>
      </c>
      <c r="AM352" t="str">
        <f>""</f>
        <v/>
      </c>
      <c r="AN352" t="str">
        <f>""</f>
        <v/>
      </c>
      <c r="AO352" t="str">
        <f>""</f>
        <v/>
      </c>
      <c r="AP352" t="str">
        <f>""</f>
        <v/>
      </c>
      <c r="AQ352" t="str">
        <f>""</f>
        <v/>
      </c>
      <c r="AR352" t="str">
        <f>""</f>
        <v/>
      </c>
      <c r="AS352" t="str">
        <f>""</f>
        <v/>
      </c>
      <c r="AT352" t="str">
        <f>""</f>
        <v/>
      </c>
      <c r="AU352" t="str">
        <f>""</f>
        <v/>
      </c>
      <c r="AV352" t="str">
        <f>""</f>
        <v/>
      </c>
      <c r="AW352" t="str">
        <f>""</f>
        <v/>
      </c>
      <c r="AX352" t="str">
        <f>""</f>
        <v/>
      </c>
      <c r="AY352" t="str">
        <f>""</f>
        <v/>
      </c>
      <c r="AZ352" t="str">
        <f>""</f>
        <v/>
      </c>
      <c r="BA352" t="str">
        <f>""</f>
        <v/>
      </c>
      <c r="BB352" t="str">
        <f>""</f>
        <v/>
      </c>
      <c r="BC352" t="str">
        <f>""</f>
        <v/>
      </c>
      <c r="BD352" t="str">
        <f>""</f>
        <v/>
      </c>
      <c r="BE352" t="str">
        <f>""</f>
        <v/>
      </c>
      <c r="BF352" t="str">
        <f>""</f>
        <v/>
      </c>
      <c r="BG352" t="str">
        <f>""</f>
        <v/>
      </c>
      <c r="BH352" t="str">
        <f>""</f>
        <v/>
      </c>
      <c r="BI352" t="str">
        <f>""</f>
        <v/>
      </c>
      <c r="BJ352" t="str">
        <f>""</f>
        <v/>
      </c>
      <c r="BK352" t="str">
        <f>""</f>
        <v/>
      </c>
      <c r="BL352" t="str">
        <f>""</f>
        <v/>
      </c>
      <c r="BM352" t="str">
        <f>""</f>
        <v/>
      </c>
      <c r="BN352" t="str">
        <f>""</f>
        <v/>
      </c>
      <c r="BO352" t="str">
        <f>""</f>
        <v/>
      </c>
      <c r="BP352" t="str">
        <f>""</f>
        <v/>
      </c>
      <c r="BQ352" t="str">
        <f>""</f>
        <v/>
      </c>
      <c r="BR352" t="str">
        <f>""</f>
        <v/>
      </c>
      <c r="BS352" t="str">
        <f>""</f>
        <v/>
      </c>
      <c r="BT352" t="str">
        <f>""</f>
        <v/>
      </c>
      <c r="BU352" t="str">
        <f>""</f>
        <v/>
      </c>
      <c r="BV352" t="str">
        <f>""</f>
        <v/>
      </c>
      <c r="BW352" t="str">
        <f>""</f>
        <v/>
      </c>
      <c r="BX352" t="str">
        <f>""</f>
        <v/>
      </c>
      <c r="BY352" t="str">
        <f>""</f>
        <v/>
      </c>
      <c r="BZ352" t="str">
        <f>""</f>
        <v/>
      </c>
      <c r="CA352" t="str">
        <f>""</f>
        <v/>
      </c>
      <c r="CB352" t="str">
        <f>""</f>
        <v/>
      </c>
      <c r="CC352" t="str">
        <f>""</f>
        <v/>
      </c>
      <c r="CD352" t="str">
        <f>""</f>
        <v/>
      </c>
      <c r="CE352" t="str">
        <f>""</f>
        <v/>
      </c>
      <c r="CF352" t="str">
        <f>""</f>
        <v/>
      </c>
      <c r="CG352" t="str">
        <f>""</f>
        <v/>
      </c>
      <c r="CH352" t="str">
        <f>""</f>
        <v/>
      </c>
      <c r="CI352" t="str">
        <f>""</f>
        <v/>
      </c>
      <c r="CJ352" t="str">
        <f>""</f>
        <v/>
      </c>
      <c r="CK352" t="str">
        <f>""</f>
        <v/>
      </c>
      <c r="CL352" t="str">
        <f>""</f>
        <v/>
      </c>
      <c r="CM352" t="str">
        <f>""</f>
        <v/>
      </c>
      <c r="CN352" t="str">
        <f>""</f>
        <v/>
      </c>
      <c r="CO352" t="str">
        <f>""</f>
        <v/>
      </c>
      <c r="CP352" t="str">
        <f>""</f>
        <v/>
      </c>
      <c r="CQ352" t="str">
        <f>""</f>
        <v/>
      </c>
      <c r="CR352" t="str">
        <f>""</f>
        <v/>
      </c>
      <c r="CS352" t="str">
        <f>""</f>
        <v/>
      </c>
      <c r="CT352" t="str">
        <f>""</f>
        <v/>
      </c>
      <c r="CU352" t="str">
        <f>""</f>
        <v/>
      </c>
      <c r="CV352" t="str">
        <f>""</f>
        <v/>
      </c>
      <c r="CW352" t="str">
        <f>""</f>
        <v/>
      </c>
      <c r="CX352" t="str">
        <f>""</f>
        <v/>
      </c>
      <c r="CY352" t="str">
        <f>""</f>
        <v/>
      </c>
      <c r="CZ352" t="str">
        <f>""</f>
        <v/>
      </c>
      <c r="DA352" t="str">
        <f>""</f>
        <v/>
      </c>
      <c r="DB352" t="str">
        <f>""</f>
        <v/>
      </c>
      <c r="DC352" t="str">
        <f>""</f>
        <v/>
      </c>
      <c r="DD352" t="str">
        <f>""</f>
        <v/>
      </c>
      <c r="DE352" t="str">
        <f>""</f>
        <v/>
      </c>
      <c r="DF352" t="str">
        <f>""</f>
        <v/>
      </c>
      <c r="DG352" t="str">
        <f>""</f>
        <v/>
      </c>
      <c r="DH352" t="str">
        <f>""</f>
        <v/>
      </c>
      <c r="DI352" t="str">
        <f>""</f>
        <v/>
      </c>
      <c r="DJ352" t="str">
        <f>""</f>
        <v/>
      </c>
      <c r="DK352" t="str">
        <f>""</f>
        <v/>
      </c>
      <c r="DL352" t="str">
        <f>""</f>
        <v/>
      </c>
      <c r="DM352" t="str">
        <f>""</f>
        <v/>
      </c>
      <c r="DN352" t="str">
        <f>""</f>
        <v/>
      </c>
      <c r="DO352" t="str">
        <f>""</f>
        <v/>
      </c>
      <c r="DP352" t="str">
        <f>""</f>
        <v/>
      </c>
      <c r="DQ352" t="str">
        <f>""</f>
        <v/>
      </c>
      <c r="DR352" t="str">
        <f>""</f>
        <v/>
      </c>
      <c r="DS352" t="str">
        <f>""</f>
        <v/>
      </c>
      <c r="DT352" t="str">
        <f>""</f>
        <v/>
      </c>
      <c r="DU352" t="str">
        <f>""</f>
        <v/>
      </c>
      <c r="DV352" t="str">
        <f>""</f>
        <v/>
      </c>
      <c r="DW352" t="str">
        <f>""</f>
        <v/>
      </c>
      <c r="DX352" t="str">
        <f>""</f>
        <v/>
      </c>
      <c r="DY352" t="str">
        <f>""</f>
        <v/>
      </c>
      <c r="DZ352" t="str">
        <f>""</f>
        <v/>
      </c>
      <c r="EA352" t="str">
        <f>""</f>
        <v/>
      </c>
      <c r="EB352" t="str">
        <f>""</f>
        <v/>
      </c>
      <c r="EC352" t="str">
        <f>""</f>
        <v/>
      </c>
      <c r="ED352" t="str">
        <f>""</f>
        <v/>
      </c>
      <c r="EE352" t="str">
        <f>""</f>
        <v/>
      </c>
      <c r="EF352" t="str">
        <f>""</f>
        <v/>
      </c>
      <c r="EG352" t="str">
        <f>""</f>
        <v/>
      </c>
      <c r="EH352" t="str">
        <f>""</f>
        <v/>
      </c>
      <c r="EI352" t="str">
        <f>""</f>
        <v/>
      </c>
      <c r="EJ352" t="str">
        <f>""</f>
        <v/>
      </c>
      <c r="EK352" t="str">
        <f>""</f>
        <v/>
      </c>
      <c r="EL352" t="str">
        <f>""</f>
        <v/>
      </c>
      <c r="EM352" t="str">
        <f>""</f>
        <v/>
      </c>
      <c r="EN352" t="str">
        <f>""</f>
        <v/>
      </c>
      <c r="EO352" t="str">
        <f>""</f>
        <v/>
      </c>
      <c r="EP352" t="str">
        <f>""</f>
        <v/>
      </c>
      <c r="EQ352" t="str">
        <f>""</f>
        <v/>
      </c>
      <c r="ER352" t="str">
        <f>""</f>
        <v/>
      </c>
      <c r="ES352" t="str">
        <f>""</f>
        <v/>
      </c>
      <c r="ET352" t="str">
        <f>""</f>
        <v/>
      </c>
      <c r="EU352" t="str">
        <f>""</f>
        <v/>
      </c>
      <c r="EV352" t="str">
        <f>""</f>
        <v/>
      </c>
      <c r="EW352" t="str">
        <f>""</f>
        <v/>
      </c>
      <c r="EX352" t="str">
        <f>""</f>
        <v/>
      </c>
      <c r="EY352" t="str">
        <f>""</f>
        <v/>
      </c>
      <c r="EZ352" t="str">
        <f>""</f>
        <v/>
      </c>
      <c r="FA352" t="str">
        <f>""</f>
        <v/>
      </c>
      <c r="FB352" t="str">
        <f>""</f>
        <v/>
      </c>
      <c r="FC352" t="str">
        <f>""</f>
        <v/>
      </c>
      <c r="FD352" t="str">
        <f>""</f>
        <v/>
      </c>
      <c r="FE352" t="str">
        <f>""</f>
        <v/>
      </c>
      <c r="FF352" t="str">
        <f>""</f>
        <v/>
      </c>
      <c r="FG352" t="str">
        <f>""</f>
        <v/>
      </c>
      <c r="FH352" t="str">
        <f>""</f>
        <v/>
      </c>
      <c r="FI352" t="str">
        <f>""</f>
        <v/>
      </c>
      <c r="FJ352" t="str">
        <f>""</f>
        <v/>
      </c>
      <c r="FK352" t="str">
        <f>""</f>
        <v/>
      </c>
      <c r="FL352" t="str">
        <f>""</f>
        <v/>
      </c>
      <c r="FM352" t="str">
        <f>""</f>
        <v/>
      </c>
      <c r="FN352" t="str">
        <f>""</f>
        <v/>
      </c>
      <c r="FO352" t="str">
        <f>""</f>
        <v/>
      </c>
      <c r="FP352" t="str">
        <f>""</f>
        <v/>
      </c>
      <c r="FQ352" t="str">
        <f>""</f>
        <v/>
      </c>
      <c r="FR352" t="str">
        <f>""</f>
        <v/>
      </c>
      <c r="FS352" t="str">
        <f>""</f>
        <v/>
      </c>
      <c r="FT352" t="str">
        <f>""</f>
        <v/>
      </c>
      <c r="FU352" t="str">
        <f>""</f>
        <v/>
      </c>
      <c r="FV352" t="str">
        <f>""</f>
        <v/>
      </c>
      <c r="FW352" t="str">
        <f>""</f>
        <v/>
      </c>
      <c r="FX352" t="str">
        <f>""</f>
        <v/>
      </c>
      <c r="FY352" t="str">
        <f>""</f>
        <v/>
      </c>
      <c r="FZ352" t="str">
        <f>""</f>
        <v/>
      </c>
      <c r="GA352" t="str">
        <f>""</f>
        <v/>
      </c>
      <c r="GB352" t="str">
        <f>""</f>
        <v/>
      </c>
      <c r="GC352" t="str">
        <f>""</f>
        <v/>
      </c>
      <c r="GD352" t="str">
        <f>""</f>
        <v/>
      </c>
      <c r="GE352" t="str">
        <f>""</f>
        <v/>
      </c>
      <c r="GF352" t="str">
        <f>""</f>
        <v/>
      </c>
      <c r="GG352" t="str">
        <f>""</f>
        <v/>
      </c>
      <c r="GH352" t="str">
        <f>""</f>
        <v/>
      </c>
      <c r="GI352" t="str">
        <f>""</f>
        <v/>
      </c>
      <c r="GJ352" t="str">
        <f>""</f>
        <v/>
      </c>
      <c r="GK352" t="str">
        <f>""</f>
        <v/>
      </c>
      <c r="GL352" t="str">
        <f>""</f>
        <v/>
      </c>
      <c r="GM352" t="str">
        <f>""</f>
        <v/>
      </c>
      <c r="GN352" t="str">
        <f>""</f>
        <v/>
      </c>
      <c r="GO352" t="str">
        <f>""</f>
        <v/>
      </c>
      <c r="GP352" t="str">
        <f>""</f>
        <v/>
      </c>
      <c r="GQ352" t="str">
        <f>""</f>
        <v/>
      </c>
      <c r="GR352" t="str">
        <f>""</f>
        <v/>
      </c>
      <c r="GS352" t="str">
        <f>""</f>
        <v/>
      </c>
      <c r="GT352" t="str">
        <f>""</f>
        <v/>
      </c>
      <c r="GU352" t="str">
        <f>""</f>
        <v/>
      </c>
      <c r="GV352" t="str">
        <f>""</f>
        <v/>
      </c>
      <c r="GW352" t="str">
        <f>""</f>
        <v/>
      </c>
      <c r="GX352" t="str">
        <f>""</f>
        <v/>
      </c>
      <c r="GY352" t="str">
        <f>""</f>
        <v/>
      </c>
      <c r="GZ352" t="str">
        <f>""</f>
        <v/>
      </c>
      <c r="HA352" t="str">
        <f>""</f>
        <v/>
      </c>
      <c r="HB352" t="str">
        <f>""</f>
        <v/>
      </c>
      <c r="HC352" t="str">
        <f>""</f>
        <v/>
      </c>
      <c r="HD352" t="str">
        <f>""</f>
        <v/>
      </c>
      <c r="HE352" t="str">
        <f>""</f>
        <v/>
      </c>
      <c r="HF352" t="str">
        <f>""</f>
        <v/>
      </c>
      <c r="HG352" t="str">
        <f>""</f>
        <v/>
      </c>
      <c r="HH352" t="str">
        <f>""</f>
        <v/>
      </c>
      <c r="HI352" t="str">
        <f>""</f>
        <v/>
      </c>
      <c r="HJ352" t="str">
        <f>""</f>
        <v/>
      </c>
      <c r="HK352" t="str">
        <f>""</f>
        <v/>
      </c>
      <c r="HL352" t="str">
        <f>""</f>
        <v/>
      </c>
      <c r="HM352" t="str">
        <f>""</f>
        <v/>
      </c>
      <c r="HN352" t="str">
        <f>""</f>
        <v/>
      </c>
      <c r="HO352" t="str">
        <f>""</f>
        <v/>
      </c>
      <c r="HP352" t="str">
        <f>""</f>
        <v/>
      </c>
      <c r="HQ352" t="str">
        <f>""</f>
        <v/>
      </c>
      <c r="HR352" t="str">
        <f>""</f>
        <v/>
      </c>
      <c r="HS352" t="str">
        <f>""</f>
        <v/>
      </c>
      <c r="HT352" t="str">
        <f>""</f>
        <v/>
      </c>
      <c r="HU352" t="str">
        <f>""</f>
        <v/>
      </c>
      <c r="HV352" t="str">
        <f>""</f>
        <v/>
      </c>
      <c r="HW352" t="str">
        <f>""</f>
        <v/>
      </c>
      <c r="HX352" t="str">
        <f>""</f>
        <v/>
      </c>
      <c r="HY352" t="str">
        <f>""</f>
        <v/>
      </c>
      <c r="HZ352" t="str">
        <f>""</f>
        <v/>
      </c>
      <c r="IA352" t="str">
        <f>""</f>
        <v/>
      </c>
      <c r="IB352" t="str">
        <f>""</f>
        <v/>
      </c>
      <c r="IC352" t="str">
        <f>""</f>
        <v/>
      </c>
      <c r="ID352" t="str">
        <f>""</f>
        <v/>
      </c>
      <c r="IE352" t="str">
        <f>""</f>
        <v/>
      </c>
      <c r="IF352" t="str">
        <f>""</f>
        <v/>
      </c>
      <c r="IG352" t="str">
        <f>""</f>
        <v/>
      </c>
      <c r="IH352" t="str">
        <f>""</f>
        <v/>
      </c>
      <c r="II352" t="str">
        <f>""</f>
        <v/>
      </c>
      <c r="IJ352" t="str">
        <f>""</f>
        <v/>
      </c>
      <c r="IK352" t="str">
        <f>""</f>
        <v/>
      </c>
      <c r="IL352" t="str">
        <f>""</f>
        <v/>
      </c>
      <c r="IM352" t="str">
        <f>""</f>
        <v/>
      </c>
      <c r="IN352" t="str">
        <f>""</f>
        <v/>
      </c>
      <c r="IO352" t="str">
        <f>""</f>
        <v/>
      </c>
      <c r="IP352" t="str">
        <f>""</f>
        <v/>
      </c>
      <c r="IQ352" t="str">
        <f>""</f>
        <v/>
      </c>
      <c r="IR352" t="str">
        <f>""</f>
        <v/>
      </c>
      <c r="IS352" t="str">
        <f>""</f>
        <v/>
      </c>
      <c r="IT352" t="str">
        <f>""</f>
        <v/>
      </c>
      <c r="IU352" t="str">
        <f>""</f>
        <v/>
      </c>
      <c r="IV352" t="str">
        <f>""</f>
        <v/>
      </c>
      <c r="IW352" t="str">
        <f>"(0.101)"</f>
        <v>(0.101)</v>
      </c>
      <c r="IX352" t="str">
        <f>"(0.0806)"</f>
        <v>(0.0806)</v>
      </c>
      <c r="IY352" t="str">
        <f>"(0.0412)"</f>
        <v>(0.0412)</v>
      </c>
      <c r="IZ352" t="str">
        <f>""</f>
        <v/>
      </c>
      <c r="JA352" t="str">
        <f>""</f>
        <v/>
      </c>
      <c r="JB352" t="str">
        <f>""</f>
        <v/>
      </c>
      <c r="JC352" t="str">
        <f>""</f>
        <v/>
      </c>
      <c r="JD352" t="str">
        <f>""</f>
        <v/>
      </c>
      <c r="JE352" t="str">
        <f>""</f>
        <v/>
      </c>
      <c r="JF352" t="str">
        <f>""</f>
        <v/>
      </c>
      <c r="JG352" t="str">
        <f>""</f>
        <v/>
      </c>
      <c r="JH352" t="str">
        <f>""</f>
        <v/>
      </c>
      <c r="JI352" t="str">
        <f>""</f>
        <v/>
      </c>
      <c r="JJ352" t="str">
        <f>""</f>
        <v/>
      </c>
      <c r="JK352" t="str">
        <f>""</f>
        <v/>
      </c>
    </row>
    <row r="354" spans="1:271" x14ac:dyDescent="0.3">
      <c r="A354" t="str">
        <f>"c.zMETAB12#c.PM6"</f>
        <v>c.zMETAB12#c.PM6</v>
      </c>
      <c r="B354" t="str">
        <f>""</f>
        <v/>
      </c>
      <c r="C354" t="str">
        <f>""</f>
        <v/>
      </c>
      <c r="D354" t="str">
        <f>""</f>
        <v/>
      </c>
      <c r="E354" t="str">
        <f>""</f>
        <v/>
      </c>
      <c r="F354" t="str">
        <f>""</f>
        <v/>
      </c>
      <c r="G354" t="str">
        <f>""</f>
        <v/>
      </c>
      <c r="H354" t="str">
        <f>""</f>
        <v/>
      </c>
      <c r="I354" t="str">
        <f>""</f>
        <v/>
      </c>
      <c r="J354" t="str">
        <f>""</f>
        <v/>
      </c>
      <c r="K354" t="str">
        <f>""</f>
        <v/>
      </c>
      <c r="L354" t="str">
        <f>""</f>
        <v/>
      </c>
      <c r="M354" t="str">
        <f>""</f>
        <v/>
      </c>
      <c r="N354" t="str">
        <f>""</f>
        <v/>
      </c>
      <c r="O354" t="str">
        <f>""</f>
        <v/>
      </c>
      <c r="P354" t="str">
        <f>""</f>
        <v/>
      </c>
      <c r="Q354" t="str">
        <f>""</f>
        <v/>
      </c>
      <c r="R354" t="str">
        <f>""</f>
        <v/>
      </c>
      <c r="S354" t="str">
        <f>""</f>
        <v/>
      </c>
      <c r="T354" t="str">
        <f>""</f>
        <v/>
      </c>
      <c r="U354" t="str">
        <f>""</f>
        <v/>
      </c>
      <c r="V354" t="str">
        <f>""</f>
        <v/>
      </c>
      <c r="W354" t="str">
        <f>""</f>
        <v/>
      </c>
      <c r="X354" t="str">
        <f>""</f>
        <v/>
      </c>
      <c r="Y354" t="str">
        <f>""</f>
        <v/>
      </c>
      <c r="Z354" t="str">
        <f>""</f>
        <v/>
      </c>
      <c r="AA354" t="str">
        <f>""</f>
        <v/>
      </c>
      <c r="AB354" t="str">
        <f>""</f>
        <v/>
      </c>
      <c r="AC354" t="str">
        <f>""</f>
        <v/>
      </c>
      <c r="AD354" t="str">
        <f>""</f>
        <v/>
      </c>
      <c r="AE354" t="str">
        <f>""</f>
        <v/>
      </c>
      <c r="AF354" t="str">
        <f>""</f>
        <v/>
      </c>
      <c r="AG354" t="str">
        <f>""</f>
        <v/>
      </c>
      <c r="AH354" t="str">
        <f>""</f>
        <v/>
      </c>
      <c r="AI354" t="str">
        <f>""</f>
        <v/>
      </c>
      <c r="AJ354" t="str">
        <f>""</f>
        <v/>
      </c>
      <c r="AK354" t="str">
        <f>""</f>
        <v/>
      </c>
      <c r="AL354" t="str">
        <f>""</f>
        <v/>
      </c>
      <c r="AM354" t="str">
        <f>""</f>
        <v/>
      </c>
      <c r="AN354" t="str">
        <f>""</f>
        <v/>
      </c>
      <c r="AO354" t="str">
        <f>""</f>
        <v/>
      </c>
      <c r="AP354" t="str">
        <f>""</f>
        <v/>
      </c>
      <c r="AQ354" t="str">
        <f>""</f>
        <v/>
      </c>
      <c r="AR354" t="str">
        <f>""</f>
        <v/>
      </c>
      <c r="AS354" t="str">
        <f>""</f>
        <v/>
      </c>
      <c r="AT354" t="str">
        <f>""</f>
        <v/>
      </c>
      <c r="AU354" t="str">
        <f>""</f>
        <v/>
      </c>
      <c r="AV354" t="str">
        <f>""</f>
        <v/>
      </c>
      <c r="AW354" t="str">
        <f>""</f>
        <v/>
      </c>
      <c r="AX354" t="str">
        <f>""</f>
        <v/>
      </c>
      <c r="AY354" t="str">
        <f>""</f>
        <v/>
      </c>
      <c r="AZ354" t="str">
        <f>""</f>
        <v/>
      </c>
      <c r="BA354" t="str">
        <f>""</f>
        <v/>
      </c>
      <c r="BB354" t="str">
        <f>""</f>
        <v/>
      </c>
      <c r="BC354" t="str">
        <f>""</f>
        <v/>
      </c>
      <c r="BD354" t="str">
        <f>""</f>
        <v/>
      </c>
      <c r="BE354" t="str">
        <f>""</f>
        <v/>
      </c>
      <c r="BF354" t="str">
        <f>""</f>
        <v/>
      </c>
      <c r="BG354" t="str">
        <f>""</f>
        <v/>
      </c>
      <c r="BH354" t="str">
        <f>""</f>
        <v/>
      </c>
      <c r="BI354" t="str">
        <f>""</f>
        <v/>
      </c>
      <c r="BJ354" t="str">
        <f>""</f>
        <v/>
      </c>
      <c r="BK354" t="str">
        <f>""</f>
        <v/>
      </c>
      <c r="BL354" t="str">
        <f>""</f>
        <v/>
      </c>
      <c r="BM354" t="str">
        <f>""</f>
        <v/>
      </c>
      <c r="BN354" t="str">
        <f>""</f>
        <v/>
      </c>
      <c r="BO354" t="str">
        <f>""</f>
        <v/>
      </c>
      <c r="BP354" t="str">
        <f>""</f>
        <v/>
      </c>
      <c r="BQ354" t="str">
        <f>""</f>
        <v/>
      </c>
      <c r="BR354" t="str">
        <f>""</f>
        <v/>
      </c>
      <c r="BS354" t="str">
        <f>""</f>
        <v/>
      </c>
      <c r="BT354" t="str">
        <f>""</f>
        <v/>
      </c>
      <c r="BU354" t="str">
        <f>""</f>
        <v/>
      </c>
      <c r="BV354" t="str">
        <f>""</f>
        <v/>
      </c>
      <c r="BW354" t="str">
        <f>""</f>
        <v/>
      </c>
      <c r="BX354" t="str">
        <f>""</f>
        <v/>
      </c>
      <c r="BY354" t="str">
        <f>""</f>
        <v/>
      </c>
      <c r="BZ354" t="str">
        <f>""</f>
        <v/>
      </c>
      <c r="CA354" t="str">
        <f>""</f>
        <v/>
      </c>
      <c r="CB354" t="str">
        <f>""</f>
        <v/>
      </c>
      <c r="CC354" t="str">
        <f>""</f>
        <v/>
      </c>
      <c r="CD354" t="str">
        <f>""</f>
        <v/>
      </c>
      <c r="CE354" t="str">
        <f>""</f>
        <v/>
      </c>
      <c r="CF354" t="str">
        <f>""</f>
        <v/>
      </c>
      <c r="CG354" t="str">
        <f>""</f>
        <v/>
      </c>
      <c r="CH354" t="str">
        <f>""</f>
        <v/>
      </c>
      <c r="CI354" t="str">
        <f>""</f>
        <v/>
      </c>
      <c r="CJ354" t="str">
        <f>""</f>
        <v/>
      </c>
      <c r="CK354" t="str">
        <f>""</f>
        <v/>
      </c>
      <c r="CL354" t="str">
        <f>""</f>
        <v/>
      </c>
      <c r="CM354" t="str">
        <f>""</f>
        <v/>
      </c>
      <c r="CN354" t="str">
        <f>""</f>
        <v/>
      </c>
      <c r="CO354" t="str">
        <f>""</f>
        <v/>
      </c>
      <c r="CP354" t="str">
        <f>""</f>
        <v/>
      </c>
      <c r="CQ354" t="str">
        <f>""</f>
        <v/>
      </c>
      <c r="CR354" t="str">
        <f>""</f>
        <v/>
      </c>
      <c r="CS354" t="str">
        <f>""</f>
        <v/>
      </c>
      <c r="CT354" t="str">
        <f>""</f>
        <v/>
      </c>
      <c r="CU354" t="str">
        <f>""</f>
        <v/>
      </c>
      <c r="CV354" t="str">
        <f>""</f>
        <v/>
      </c>
      <c r="CW354" t="str">
        <f>""</f>
        <v/>
      </c>
      <c r="CX354" t="str">
        <f>""</f>
        <v/>
      </c>
      <c r="CY354" t="str">
        <f>""</f>
        <v/>
      </c>
      <c r="CZ354" t="str">
        <f>""</f>
        <v/>
      </c>
      <c r="DA354" t="str">
        <f>""</f>
        <v/>
      </c>
      <c r="DB354" t="str">
        <f>""</f>
        <v/>
      </c>
      <c r="DC354" t="str">
        <f>""</f>
        <v/>
      </c>
      <c r="DD354" t="str">
        <f>""</f>
        <v/>
      </c>
      <c r="DE354" t="str">
        <f>""</f>
        <v/>
      </c>
      <c r="DF354" t="str">
        <f>""</f>
        <v/>
      </c>
      <c r="DG354" t="str">
        <f>""</f>
        <v/>
      </c>
      <c r="DH354" t="str">
        <f>""</f>
        <v/>
      </c>
      <c r="DI354" t="str">
        <f>""</f>
        <v/>
      </c>
      <c r="DJ354" t="str">
        <f>""</f>
        <v/>
      </c>
      <c r="DK354" t="str">
        <f>""</f>
        <v/>
      </c>
      <c r="DL354" t="str">
        <f>""</f>
        <v/>
      </c>
      <c r="DM354" t="str">
        <f>""</f>
        <v/>
      </c>
      <c r="DN354" t="str">
        <f>""</f>
        <v/>
      </c>
      <c r="DO354" t="str">
        <f>""</f>
        <v/>
      </c>
      <c r="DP354" t="str">
        <f>""</f>
        <v/>
      </c>
      <c r="DQ354" t="str">
        <f>""</f>
        <v/>
      </c>
      <c r="DR354" t="str">
        <f>""</f>
        <v/>
      </c>
      <c r="DS354" t="str">
        <f>""</f>
        <v/>
      </c>
      <c r="DT354" t="str">
        <f>""</f>
        <v/>
      </c>
      <c r="DU354" t="str">
        <f>""</f>
        <v/>
      </c>
      <c r="DV354" t="str">
        <f>""</f>
        <v/>
      </c>
      <c r="DW354" t="str">
        <f>""</f>
        <v/>
      </c>
      <c r="DX354" t="str">
        <f>""</f>
        <v/>
      </c>
      <c r="DY354" t="str">
        <f>""</f>
        <v/>
      </c>
      <c r="DZ354" t="str">
        <f>""</f>
        <v/>
      </c>
      <c r="EA354" t="str">
        <f>""</f>
        <v/>
      </c>
      <c r="EB354" t="str">
        <f>""</f>
        <v/>
      </c>
      <c r="EC354" t="str">
        <f>""</f>
        <v/>
      </c>
      <c r="ED354" t="str">
        <f>""</f>
        <v/>
      </c>
      <c r="EE354" t="str">
        <f>""</f>
        <v/>
      </c>
      <c r="EF354" t="str">
        <f>""</f>
        <v/>
      </c>
      <c r="EG354" t="str">
        <f>""</f>
        <v/>
      </c>
      <c r="EH354" t="str">
        <f>""</f>
        <v/>
      </c>
      <c r="EI354" t="str">
        <f>""</f>
        <v/>
      </c>
      <c r="EJ354" t="str">
        <f>""</f>
        <v/>
      </c>
      <c r="EK354" t="str">
        <f>""</f>
        <v/>
      </c>
      <c r="EL354" t="str">
        <f>""</f>
        <v/>
      </c>
      <c r="EM354" t="str">
        <f>""</f>
        <v/>
      </c>
      <c r="EN354" t="str">
        <f>""</f>
        <v/>
      </c>
      <c r="EO354" t="str">
        <f>""</f>
        <v/>
      </c>
      <c r="EP354" t="str">
        <f>""</f>
        <v/>
      </c>
      <c r="EQ354" t="str">
        <f>""</f>
        <v/>
      </c>
      <c r="ER354" t="str">
        <f>""</f>
        <v/>
      </c>
      <c r="ES354" t="str">
        <f>""</f>
        <v/>
      </c>
      <c r="ET354" t="str">
        <f>""</f>
        <v/>
      </c>
      <c r="EU354" t="str">
        <f>""</f>
        <v/>
      </c>
      <c r="EV354" t="str">
        <f>""</f>
        <v/>
      </c>
      <c r="EW354" t="str">
        <f>""</f>
        <v/>
      </c>
      <c r="EX354" t="str">
        <f>""</f>
        <v/>
      </c>
      <c r="EY354" t="str">
        <f>""</f>
        <v/>
      </c>
      <c r="EZ354" t="str">
        <f>""</f>
        <v/>
      </c>
      <c r="FA354" t="str">
        <f>""</f>
        <v/>
      </c>
      <c r="FB354" t="str">
        <f>""</f>
        <v/>
      </c>
      <c r="FC354" t="str">
        <f>""</f>
        <v/>
      </c>
      <c r="FD354" t="str">
        <f>""</f>
        <v/>
      </c>
      <c r="FE354" t="str">
        <f>""</f>
        <v/>
      </c>
      <c r="FF354" t="str">
        <f>""</f>
        <v/>
      </c>
      <c r="FG354" t="str">
        <f>""</f>
        <v/>
      </c>
      <c r="FH354" t="str">
        <f>""</f>
        <v/>
      </c>
      <c r="FI354" t="str">
        <f>""</f>
        <v/>
      </c>
      <c r="FJ354" t="str">
        <f>""</f>
        <v/>
      </c>
      <c r="FK354" t="str">
        <f>""</f>
        <v/>
      </c>
      <c r="FL354" t="str">
        <f>""</f>
        <v/>
      </c>
      <c r="FM354" t="str">
        <f>""</f>
        <v/>
      </c>
      <c r="FN354" t="str">
        <f>""</f>
        <v/>
      </c>
      <c r="FO354" t="str">
        <f>""</f>
        <v/>
      </c>
      <c r="FP354" t="str">
        <f>""</f>
        <v/>
      </c>
      <c r="FQ354" t="str">
        <f>""</f>
        <v/>
      </c>
      <c r="FR354" t="str">
        <f>""</f>
        <v/>
      </c>
      <c r="FS354" t="str">
        <f>""</f>
        <v/>
      </c>
      <c r="FT354" t="str">
        <f>""</f>
        <v/>
      </c>
      <c r="FU354" t="str">
        <f>""</f>
        <v/>
      </c>
      <c r="FV354" t="str">
        <f>""</f>
        <v/>
      </c>
      <c r="FW354" t="str">
        <f>""</f>
        <v/>
      </c>
      <c r="FX354" t="str">
        <f>""</f>
        <v/>
      </c>
      <c r="FY354" t="str">
        <f>""</f>
        <v/>
      </c>
      <c r="FZ354" t="str">
        <f>""</f>
        <v/>
      </c>
      <c r="GA354" t="str">
        <f>""</f>
        <v/>
      </c>
      <c r="GB354" t="str">
        <f>""</f>
        <v/>
      </c>
      <c r="GC354" t="str">
        <f>""</f>
        <v/>
      </c>
      <c r="GD354" t="str">
        <f>""</f>
        <v/>
      </c>
      <c r="GE354" t="str">
        <f>""</f>
        <v/>
      </c>
      <c r="GF354" t="str">
        <f>""</f>
        <v/>
      </c>
      <c r="GG354" t="str">
        <f>""</f>
        <v/>
      </c>
      <c r="GH354" t="str">
        <f>""</f>
        <v/>
      </c>
      <c r="GI354" t="str">
        <f>""</f>
        <v/>
      </c>
      <c r="GJ354" t="str">
        <f>""</f>
        <v/>
      </c>
      <c r="GK354" t="str">
        <f>""</f>
        <v/>
      </c>
      <c r="GL354" t="str">
        <f>""</f>
        <v/>
      </c>
      <c r="GM354" t="str">
        <f>""</f>
        <v/>
      </c>
      <c r="GN354" t="str">
        <f>""</f>
        <v/>
      </c>
      <c r="GO354" t="str">
        <f>""</f>
        <v/>
      </c>
      <c r="GP354" t="str">
        <f>""</f>
        <v/>
      </c>
      <c r="GQ354" t="str">
        <f>""</f>
        <v/>
      </c>
      <c r="GR354" t="str">
        <f>""</f>
        <v/>
      </c>
      <c r="GS354" t="str">
        <f>""</f>
        <v/>
      </c>
      <c r="GT354" t="str">
        <f>""</f>
        <v/>
      </c>
      <c r="GU354" t="str">
        <f>""</f>
        <v/>
      </c>
      <c r="GV354" t="str">
        <f>""</f>
        <v/>
      </c>
      <c r="GW354" t="str">
        <f>""</f>
        <v/>
      </c>
      <c r="GX354" t="str">
        <f>""</f>
        <v/>
      </c>
      <c r="GY354" t="str">
        <f>""</f>
        <v/>
      </c>
      <c r="GZ354" t="str">
        <f>""</f>
        <v/>
      </c>
      <c r="HA354" t="str">
        <f>""</f>
        <v/>
      </c>
      <c r="HB354" t="str">
        <f>""</f>
        <v/>
      </c>
      <c r="HC354" t="str">
        <f>""</f>
        <v/>
      </c>
      <c r="HD354" t="str">
        <f>""</f>
        <v/>
      </c>
      <c r="HE354" t="str">
        <f>""</f>
        <v/>
      </c>
      <c r="HF354" t="str">
        <f>""</f>
        <v/>
      </c>
      <c r="HG354" t="str">
        <f>""</f>
        <v/>
      </c>
      <c r="HH354" t="str">
        <f>""</f>
        <v/>
      </c>
      <c r="HI354" t="str">
        <f>""</f>
        <v/>
      </c>
      <c r="HJ354" t="str">
        <f>""</f>
        <v/>
      </c>
      <c r="HK354" t="str">
        <f>""</f>
        <v/>
      </c>
      <c r="HL354" t="str">
        <f>""</f>
        <v/>
      </c>
      <c r="HM354" t="str">
        <f>""</f>
        <v/>
      </c>
      <c r="HN354" t="str">
        <f>""</f>
        <v/>
      </c>
      <c r="HO354" t="str">
        <f>""</f>
        <v/>
      </c>
      <c r="HP354" t="str">
        <f>""</f>
        <v/>
      </c>
      <c r="HQ354" t="str">
        <f>""</f>
        <v/>
      </c>
      <c r="HR354" t="str">
        <f>""</f>
        <v/>
      </c>
      <c r="HS354" t="str">
        <f>""</f>
        <v/>
      </c>
      <c r="HT354" t="str">
        <f>""</f>
        <v/>
      </c>
      <c r="HU354" t="str">
        <f>""</f>
        <v/>
      </c>
      <c r="HV354" t="str">
        <f>""</f>
        <v/>
      </c>
      <c r="HW354" t="str">
        <f>""</f>
        <v/>
      </c>
      <c r="HX354" t="str">
        <f>""</f>
        <v/>
      </c>
      <c r="HY354" t="str">
        <f>""</f>
        <v/>
      </c>
      <c r="HZ354" t="str">
        <f>""</f>
        <v/>
      </c>
      <c r="IA354" t="str">
        <f>""</f>
        <v/>
      </c>
      <c r="IB354" t="str">
        <f>""</f>
        <v/>
      </c>
      <c r="IC354" t="str">
        <f>""</f>
        <v/>
      </c>
      <c r="ID354" t="str">
        <f>""</f>
        <v/>
      </c>
      <c r="IE354" t="str">
        <f>""</f>
        <v/>
      </c>
      <c r="IF354" t="str">
        <f>""</f>
        <v/>
      </c>
      <c r="IG354" t="str">
        <f>""</f>
        <v/>
      </c>
      <c r="IH354" t="str">
        <f>""</f>
        <v/>
      </c>
      <c r="II354" t="str">
        <f>""</f>
        <v/>
      </c>
      <c r="IJ354" t="str">
        <f>""</f>
        <v/>
      </c>
      <c r="IK354" t="str">
        <f>""</f>
        <v/>
      </c>
      <c r="IL354" t="str">
        <f>""</f>
        <v/>
      </c>
      <c r="IM354" t="str">
        <f>""</f>
        <v/>
      </c>
      <c r="IN354" t="str">
        <f>""</f>
        <v/>
      </c>
      <c r="IO354" t="str">
        <f>""</f>
        <v/>
      </c>
      <c r="IP354" t="str">
        <f>""</f>
        <v/>
      </c>
      <c r="IQ354" t="str">
        <f>""</f>
        <v/>
      </c>
      <c r="IR354" t="str">
        <f>""</f>
        <v/>
      </c>
      <c r="IS354" t="str">
        <f>""</f>
        <v/>
      </c>
      <c r="IT354" t="str">
        <f>""</f>
        <v/>
      </c>
      <c r="IU354" t="str">
        <f>""</f>
        <v/>
      </c>
      <c r="IV354" t="str">
        <f>""</f>
        <v/>
      </c>
      <c r="IW354" t="str">
        <f>""</f>
        <v/>
      </c>
      <c r="IX354" t="str">
        <f>""</f>
        <v/>
      </c>
      <c r="IY354" t="str">
        <f>""</f>
        <v/>
      </c>
      <c r="IZ354" t="str">
        <f>"-0.0350"</f>
        <v>-0.0350</v>
      </c>
      <c r="JA354" t="str">
        <f>"0.112"</f>
        <v>0.112</v>
      </c>
      <c r="JB354" t="str">
        <f>"-0.0563"</f>
        <v>-0.0563</v>
      </c>
      <c r="JC354" t="str">
        <f>""</f>
        <v/>
      </c>
      <c r="JD354" t="str">
        <f>""</f>
        <v/>
      </c>
      <c r="JE354" t="str">
        <f>""</f>
        <v/>
      </c>
      <c r="JF354" t="str">
        <f>""</f>
        <v/>
      </c>
      <c r="JG354" t="str">
        <f>""</f>
        <v/>
      </c>
      <c r="JH354" t="str">
        <f>""</f>
        <v/>
      </c>
      <c r="JI354" t="str">
        <f>""</f>
        <v/>
      </c>
      <c r="JJ354" t="str">
        <f>""</f>
        <v/>
      </c>
      <c r="JK354" t="str">
        <f>""</f>
        <v/>
      </c>
    </row>
    <row r="355" spans="1:271" x14ac:dyDescent="0.3">
      <c r="A355" t="str">
        <f>""</f>
        <v/>
      </c>
      <c r="B355" t="str">
        <f>""</f>
        <v/>
      </c>
      <c r="C355" t="str">
        <f>""</f>
        <v/>
      </c>
      <c r="D355" t="str">
        <f>""</f>
        <v/>
      </c>
      <c r="E355" t="str">
        <f>""</f>
        <v/>
      </c>
      <c r="F355" t="str">
        <f>""</f>
        <v/>
      </c>
      <c r="G355" t="str">
        <f>""</f>
        <v/>
      </c>
      <c r="H355" t="str">
        <f>""</f>
        <v/>
      </c>
      <c r="I355" t="str">
        <f>""</f>
        <v/>
      </c>
      <c r="J355" t="str">
        <f>""</f>
        <v/>
      </c>
      <c r="K355" t="str">
        <f>""</f>
        <v/>
      </c>
      <c r="L355" t="str">
        <f>""</f>
        <v/>
      </c>
      <c r="M355" t="str">
        <f>""</f>
        <v/>
      </c>
      <c r="N355" t="str">
        <f>""</f>
        <v/>
      </c>
      <c r="O355" t="str">
        <f>""</f>
        <v/>
      </c>
      <c r="P355" t="str">
        <f>""</f>
        <v/>
      </c>
      <c r="Q355" t="str">
        <f>""</f>
        <v/>
      </c>
      <c r="R355" t="str">
        <f>""</f>
        <v/>
      </c>
      <c r="S355" t="str">
        <f>""</f>
        <v/>
      </c>
      <c r="T355" t="str">
        <f>""</f>
        <v/>
      </c>
      <c r="U355" t="str">
        <f>""</f>
        <v/>
      </c>
      <c r="V355" t="str">
        <f>""</f>
        <v/>
      </c>
      <c r="W355" t="str">
        <f>""</f>
        <v/>
      </c>
      <c r="X355" t="str">
        <f>""</f>
        <v/>
      </c>
      <c r="Y355" t="str">
        <f>""</f>
        <v/>
      </c>
      <c r="Z355" t="str">
        <f>""</f>
        <v/>
      </c>
      <c r="AA355" t="str">
        <f>""</f>
        <v/>
      </c>
      <c r="AB355" t="str">
        <f>""</f>
        <v/>
      </c>
      <c r="AC355" t="str">
        <f>""</f>
        <v/>
      </c>
      <c r="AD355" t="str">
        <f>""</f>
        <v/>
      </c>
      <c r="AE355" t="str">
        <f>""</f>
        <v/>
      </c>
      <c r="AF355" t="str">
        <f>""</f>
        <v/>
      </c>
      <c r="AG355" t="str">
        <f>""</f>
        <v/>
      </c>
      <c r="AH355" t="str">
        <f>""</f>
        <v/>
      </c>
      <c r="AI355" t="str">
        <f>""</f>
        <v/>
      </c>
      <c r="AJ355" t="str">
        <f>""</f>
        <v/>
      </c>
      <c r="AK355" t="str">
        <f>""</f>
        <v/>
      </c>
      <c r="AL355" t="str">
        <f>""</f>
        <v/>
      </c>
      <c r="AM355" t="str">
        <f>""</f>
        <v/>
      </c>
      <c r="AN355" t="str">
        <f>""</f>
        <v/>
      </c>
      <c r="AO355" t="str">
        <f>""</f>
        <v/>
      </c>
      <c r="AP355" t="str">
        <f>""</f>
        <v/>
      </c>
      <c r="AQ355" t="str">
        <f>""</f>
        <v/>
      </c>
      <c r="AR355" t="str">
        <f>""</f>
        <v/>
      </c>
      <c r="AS355" t="str">
        <f>""</f>
        <v/>
      </c>
      <c r="AT355" t="str">
        <f>""</f>
        <v/>
      </c>
      <c r="AU355" t="str">
        <f>""</f>
        <v/>
      </c>
      <c r="AV355" t="str">
        <f>""</f>
        <v/>
      </c>
      <c r="AW355" t="str">
        <f>""</f>
        <v/>
      </c>
      <c r="AX355" t="str">
        <f>""</f>
        <v/>
      </c>
      <c r="AY355" t="str">
        <f>""</f>
        <v/>
      </c>
      <c r="AZ355" t="str">
        <f>""</f>
        <v/>
      </c>
      <c r="BA355" t="str">
        <f>""</f>
        <v/>
      </c>
      <c r="BB355" t="str">
        <f>""</f>
        <v/>
      </c>
      <c r="BC355" t="str">
        <f>""</f>
        <v/>
      </c>
      <c r="BD355" t="str">
        <f>""</f>
        <v/>
      </c>
      <c r="BE355" t="str">
        <f>""</f>
        <v/>
      </c>
      <c r="BF355" t="str">
        <f>""</f>
        <v/>
      </c>
      <c r="BG355" t="str">
        <f>""</f>
        <v/>
      </c>
      <c r="BH355" t="str">
        <f>""</f>
        <v/>
      </c>
      <c r="BI355" t="str">
        <f>""</f>
        <v/>
      </c>
      <c r="BJ355" t="str">
        <f>""</f>
        <v/>
      </c>
      <c r="BK355" t="str">
        <f>""</f>
        <v/>
      </c>
      <c r="BL355" t="str">
        <f>""</f>
        <v/>
      </c>
      <c r="BM355" t="str">
        <f>""</f>
        <v/>
      </c>
      <c r="BN355" t="str">
        <f>""</f>
        <v/>
      </c>
      <c r="BO355" t="str">
        <f>""</f>
        <v/>
      </c>
      <c r="BP355" t="str">
        <f>""</f>
        <v/>
      </c>
      <c r="BQ355" t="str">
        <f>""</f>
        <v/>
      </c>
      <c r="BR355" t="str">
        <f>""</f>
        <v/>
      </c>
      <c r="BS355" t="str">
        <f>""</f>
        <v/>
      </c>
      <c r="BT355" t="str">
        <f>""</f>
        <v/>
      </c>
      <c r="BU355" t="str">
        <f>""</f>
        <v/>
      </c>
      <c r="BV355" t="str">
        <f>""</f>
        <v/>
      </c>
      <c r="BW355" t="str">
        <f>""</f>
        <v/>
      </c>
      <c r="BX355" t="str">
        <f>""</f>
        <v/>
      </c>
      <c r="BY355" t="str">
        <f>""</f>
        <v/>
      </c>
      <c r="BZ355" t="str">
        <f>""</f>
        <v/>
      </c>
      <c r="CA355" t="str">
        <f>""</f>
        <v/>
      </c>
      <c r="CB355" t="str">
        <f>""</f>
        <v/>
      </c>
      <c r="CC355" t="str">
        <f>""</f>
        <v/>
      </c>
      <c r="CD355" t="str">
        <f>""</f>
        <v/>
      </c>
      <c r="CE355" t="str">
        <f>""</f>
        <v/>
      </c>
      <c r="CF355" t="str">
        <f>""</f>
        <v/>
      </c>
      <c r="CG355" t="str">
        <f>""</f>
        <v/>
      </c>
      <c r="CH355" t="str">
        <f>""</f>
        <v/>
      </c>
      <c r="CI355" t="str">
        <f>""</f>
        <v/>
      </c>
      <c r="CJ355" t="str">
        <f>""</f>
        <v/>
      </c>
      <c r="CK355" t="str">
        <f>""</f>
        <v/>
      </c>
      <c r="CL355" t="str">
        <f>""</f>
        <v/>
      </c>
      <c r="CM355" t="str">
        <f>""</f>
        <v/>
      </c>
      <c r="CN355" t="str">
        <f>""</f>
        <v/>
      </c>
      <c r="CO355" t="str">
        <f>""</f>
        <v/>
      </c>
      <c r="CP355" t="str">
        <f>""</f>
        <v/>
      </c>
      <c r="CQ355" t="str">
        <f>""</f>
        <v/>
      </c>
      <c r="CR355" t="str">
        <f>""</f>
        <v/>
      </c>
      <c r="CS355" t="str">
        <f>""</f>
        <v/>
      </c>
      <c r="CT355" t="str">
        <f>""</f>
        <v/>
      </c>
      <c r="CU355" t="str">
        <f>""</f>
        <v/>
      </c>
      <c r="CV355" t="str">
        <f>""</f>
        <v/>
      </c>
      <c r="CW355" t="str">
        <f>""</f>
        <v/>
      </c>
      <c r="CX355" t="str">
        <f>""</f>
        <v/>
      </c>
      <c r="CY355" t="str">
        <f>""</f>
        <v/>
      </c>
      <c r="CZ355" t="str">
        <f>""</f>
        <v/>
      </c>
      <c r="DA355" t="str">
        <f>""</f>
        <v/>
      </c>
      <c r="DB355" t="str">
        <f>""</f>
        <v/>
      </c>
      <c r="DC355" t="str">
        <f>""</f>
        <v/>
      </c>
      <c r="DD355" t="str">
        <f>""</f>
        <v/>
      </c>
      <c r="DE355" t="str">
        <f>""</f>
        <v/>
      </c>
      <c r="DF355" t="str">
        <f>""</f>
        <v/>
      </c>
      <c r="DG355" t="str">
        <f>""</f>
        <v/>
      </c>
      <c r="DH355" t="str">
        <f>""</f>
        <v/>
      </c>
      <c r="DI355" t="str">
        <f>""</f>
        <v/>
      </c>
      <c r="DJ355" t="str">
        <f>""</f>
        <v/>
      </c>
      <c r="DK355" t="str">
        <f>""</f>
        <v/>
      </c>
      <c r="DL355" t="str">
        <f>""</f>
        <v/>
      </c>
      <c r="DM355" t="str">
        <f>""</f>
        <v/>
      </c>
      <c r="DN355" t="str">
        <f>""</f>
        <v/>
      </c>
      <c r="DO355" t="str">
        <f>""</f>
        <v/>
      </c>
      <c r="DP355" t="str">
        <f>""</f>
        <v/>
      </c>
      <c r="DQ355" t="str">
        <f>""</f>
        <v/>
      </c>
      <c r="DR355" t="str">
        <f>""</f>
        <v/>
      </c>
      <c r="DS355" t="str">
        <f>""</f>
        <v/>
      </c>
      <c r="DT355" t="str">
        <f>""</f>
        <v/>
      </c>
      <c r="DU355" t="str">
        <f>""</f>
        <v/>
      </c>
      <c r="DV355" t="str">
        <f>""</f>
        <v/>
      </c>
      <c r="DW355" t="str">
        <f>""</f>
        <v/>
      </c>
      <c r="DX355" t="str">
        <f>""</f>
        <v/>
      </c>
      <c r="DY355" t="str">
        <f>""</f>
        <v/>
      </c>
      <c r="DZ355" t="str">
        <f>""</f>
        <v/>
      </c>
      <c r="EA355" t="str">
        <f>""</f>
        <v/>
      </c>
      <c r="EB355" t="str">
        <f>""</f>
        <v/>
      </c>
      <c r="EC355" t="str">
        <f>""</f>
        <v/>
      </c>
      <c r="ED355" t="str">
        <f>""</f>
        <v/>
      </c>
      <c r="EE355" t="str">
        <f>""</f>
        <v/>
      </c>
      <c r="EF355" t="str">
        <f>""</f>
        <v/>
      </c>
      <c r="EG355" t="str">
        <f>""</f>
        <v/>
      </c>
      <c r="EH355" t="str">
        <f>""</f>
        <v/>
      </c>
      <c r="EI355" t="str">
        <f>""</f>
        <v/>
      </c>
      <c r="EJ355" t="str">
        <f>""</f>
        <v/>
      </c>
      <c r="EK355" t="str">
        <f>""</f>
        <v/>
      </c>
      <c r="EL355" t="str">
        <f>""</f>
        <v/>
      </c>
      <c r="EM355" t="str">
        <f>""</f>
        <v/>
      </c>
      <c r="EN355" t="str">
        <f>""</f>
        <v/>
      </c>
      <c r="EO355" t="str">
        <f>""</f>
        <v/>
      </c>
      <c r="EP355" t="str">
        <f>""</f>
        <v/>
      </c>
      <c r="EQ355" t="str">
        <f>""</f>
        <v/>
      </c>
      <c r="ER355" t="str">
        <f>""</f>
        <v/>
      </c>
      <c r="ES355" t="str">
        <f>""</f>
        <v/>
      </c>
      <c r="ET355" t="str">
        <f>""</f>
        <v/>
      </c>
      <c r="EU355" t="str">
        <f>""</f>
        <v/>
      </c>
      <c r="EV355" t="str">
        <f>""</f>
        <v/>
      </c>
      <c r="EW355" t="str">
        <f>""</f>
        <v/>
      </c>
      <c r="EX355" t="str">
        <f>""</f>
        <v/>
      </c>
      <c r="EY355" t="str">
        <f>""</f>
        <v/>
      </c>
      <c r="EZ355" t="str">
        <f>""</f>
        <v/>
      </c>
      <c r="FA355" t="str">
        <f>""</f>
        <v/>
      </c>
      <c r="FB355" t="str">
        <f>""</f>
        <v/>
      </c>
      <c r="FC355" t="str">
        <f>""</f>
        <v/>
      </c>
      <c r="FD355" t="str">
        <f>""</f>
        <v/>
      </c>
      <c r="FE355" t="str">
        <f>""</f>
        <v/>
      </c>
      <c r="FF355" t="str">
        <f>""</f>
        <v/>
      </c>
      <c r="FG355" t="str">
        <f>""</f>
        <v/>
      </c>
      <c r="FH355" t="str">
        <f>""</f>
        <v/>
      </c>
      <c r="FI355" t="str">
        <f>""</f>
        <v/>
      </c>
      <c r="FJ355" t="str">
        <f>""</f>
        <v/>
      </c>
      <c r="FK355" t="str">
        <f>""</f>
        <v/>
      </c>
      <c r="FL355" t="str">
        <f>""</f>
        <v/>
      </c>
      <c r="FM355" t="str">
        <f>""</f>
        <v/>
      </c>
      <c r="FN355" t="str">
        <f>""</f>
        <v/>
      </c>
      <c r="FO355" t="str">
        <f>""</f>
        <v/>
      </c>
      <c r="FP355" t="str">
        <f>""</f>
        <v/>
      </c>
      <c r="FQ355" t="str">
        <f>""</f>
        <v/>
      </c>
      <c r="FR355" t="str">
        <f>""</f>
        <v/>
      </c>
      <c r="FS355" t="str">
        <f>""</f>
        <v/>
      </c>
      <c r="FT355" t="str">
        <f>""</f>
        <v/>
      </c>
      <c r="FU355" t="str">
        <f>""</f>
        <v/>
      </c>
      <c r="FV355" t="str">
        <f>""</f>
        <v/>
      </c>
      <c r="FW355" t="str">
        <f>""</f>
        <v/>
      </c>
      <c r="FX355" t="str">
        <f>""</f>
        <v/>
      </c>
      <c r="FY355" t="str">
        <f>""</f>
        <v/>
      </c>
      <c r="FZ355" t="str">
        <f>""</f>
        <v/>
      </c>
      <c r="GA355" t="str">
        <f>""</f>
        <v/>
      </c>
      <c r="GB355" t="str">
        <f>""</f>
        <v/>
      </c>
      <c r="GC355" t="str">
        <f>""</f>
        <v/>
      </c>
      <c r="GD355" t="str">
        <f>""</f>
        <v/>
      </c>
      <c r="GE355" t="str">
        <f>""</f>
        <v/>
      </c>
      <c r="GF355" t="str">
        <f>""</f>
        <v/>
      </c>
      <c r="GG355" t="str">
        <f>""</f>
        <v/>
      </c>
      <c r="GH355" t="str">
        <f>""</f>
        <v/>
      </c>
      <c r="GI355" t="str">
        <f>""</f>
        <v/>
      </c>
      <c r="GJ355" t="str">
        <f>""</f>
        <v/>
      </c>
      <c r="GK355" t="str">
        <f>""</f>
        <v/>
      </c>
      <c r="GL355" t="str">
        <f>""</f>
        <v/>
      </c>
      <c r="GM355" t="str">
        <f>""</f>
        <v/>
      </c>
      <c r="GN355" t="str">
        <f>""</f>
        <v/>
      </c>
      <c r="GO355" t="str">
        <f>""</f>
        <v/>
      </c>
      <c r="GP355" t="str">
        <f>""</f>
        <v/>
      </c>
      <c r="GQ355" t="str">
        <f>""</f>
        <v/>
      </c>
      <c r="GR355" t="str">
        <f>""</f>
        <v/>
      </c>
      <c r="GS355" t="str">
        <f>""</f>
        <v/>
      </c>
      <c r="GT355" t="str">
        <f>""</f>
        <v/>
      </c>
      <c r="GU355" t="str">
        <f>""</f>
        <v/>
      </c>
      <c r="GV355" t="str">
        <f>""</f>
        <v/>
      </c>
      <c r="GW355" t="str">
        <f>""</f>
        <v/>
      </c>
      <c r="GX355" t="str">
        <f>""</f>
        <v/>
      </c>
      <c r="GY355" t="str">
        <f>""</f>
        <v/>
      </c>
      <c r="GZ355" t="str">
        <f>""</f>
        <v/>
      </c>
      <c r="HA355" t="str">
        <f>""</f>
        <v/>
      </c>
      <c r="HB355" t="str">
        <f>""</f>
        <v/>
      </c>
      <c r="HC355" t="str">
        <f>""</f>
        <v/>
      </c>
      <c r="HD355" t="str">
        <f>""</f>
        <v/>
      </c>
      <c r="HE355" t="str">
        <f>""</f>
        <v/>
      </c>
      <c r="HF355" t="str">
        <f>""</f>
        <v/>
      </c>
      <c r="HG355" t="str">
        <f>""</f>
        <v/>
      </c>
      <c r="HH355" t="str">
        <f>""</f>
        <v/>
      </c>
      <c r="HI355" t="str">
        <f>""</f>
        <v/>
      </c>
      <c r="HJ355" t="str">
        <f>""</f>
        <v/>
      </c>
      <c r="HK355" t="str">
        <f>""</f>
        <v/>
      </c>
      <c r="HL355" t="str">
        <f>""</f>
        <v/>
      </c>
      <c r="HM355" t="str">
        <f>""</f>
        <v/>
      </c>
      <c r="HN355" t="str">
        <f>""</f>
        <v/>
      </c>
      <c r="HO355" t="str">
        <f>""</f>
        <v/>
      </c>
      <c r="HP355" t="str">
        <f>""</f>
        <v/>
      </c>
      <c r="HQ355" t="str">
        <f>""</f>
        <v/>
      </c>
      <c r="HR355" t="str">
        <f>""</f>
        <v/>
      </c>
      <c r="HS355" t="str">
        <f>""</f>
        <v/>
      </c>
      <c r="HT355" t="str">
        <f>""</f>
        <v/>
      </c>
      <c r="HU355" t="str">
        <f>""</f>
        <v/>
      </c>
      <c r="HV355" t="str">
        <f>""</f>
        <v/>
      </c>
      <c r="HW355" t="str">
        <f>""</f>
        <v/>
      </c>
      <c r="HX355" t="str">
        <f>""</f>
        <v/>
      </c>
      <c r="HY355" t="str">
        <f>""</f>
        <v/>
      </c>
      <c r="HZ355" t="str">
        <f>""</f>
        <v/>
      </c>
      <c r="IA355" t="str">
        <f>""</f>
        <v/>
      </c>
      <c r="IB355" t="str">
        <f>""</f>
        <v/>
      </c>
      <c r="IC355" t="str">
        <f>""</f>
        <v/>
      </c>
      <c r="ID355" t="str">
        <f>""</f>
        <v/>
      </c>
      <c r="IE355" t="str">
        <f>""</f>
        <v/>
      </c>
      <c r="IF355" t="str">
        <f>""</f>
        <v/>
      </c>
      <c r="IG355" t="str">
        <f>""</f>
        <v/>
      </c>
      <c r="IH355" t="str">
        <f>""</f>
        <v/>
      </c>
      <c r="II355" t="str">
        <f>""</f>
        <v/>
      </c>
      <c r="IJ355" t="str">
        <f>""</f>
        <v/>
      </c>
      <c r="IK355" t="str">
        <f>""</f>
        <v/>
      </c>
      <c r="IL355" t="str">
        <f>""</f>
        <v/>
      </c>
      <c r="IM355" t="str">
        <f>""</f>
        <v/>
      </c>
      <c r="IN355" t="str">
        <f>""</f>
        <v/>
      </c>
      <c r="IO355" t="str">
        <f>""</f>
        <v/>
      </c>
      <c r="IP355" t="str">
        <f>""</f>
        <v/>
      </c>
      <c r="IQ355" t="str">
        <f>""</f>
        <v/>
      </c>
      <c r="IR355" t="str">
        <f>""</f>
        <v/>
      </c>
      <c r="IS355" t="str">
        <f>""</f>
        <v/>
      </c>
      <c r="IT355" t="str">
        <f>""</f>
        <v/>
      </c>
      <c r="IU355" t="str">
        <f>""</f>
        <v/>
      </c>
      <c r="IV355" t="str">
        <f>""</f>
        <v/>
      </c>
      <c r="IW355" t="str">
        <f>""</f>
        <v/>
      </c>
      <c r="IX355" t="str">
        <f>""</f>
        <v/>
      </c>
      <c r="IY355" t="str">
        <f>""</f>
        <v/>
      </c>
      <c r="IZ355" t="str">
        <f>"(0.102)"</f>
        <v>(0.102)</v>
      </c>
      <c r="JA355" t="str">
        <f>"(0.0799)"</f>
        <v>(0.0799)</v>
      </c>
      <c r="JB355" t="str">
        <f>"(0.0427)"</f>
        <v>(0.0427)</v>
      </c>
      <c r="JC355" t="str">
        <f>""</f>
        <v/>
      </c>
      <c r="JD355" t="str">
        <f>""</f>
        <v/>
      </c>
      <c r="JE355" t="str">
        <f>""</f>
        <v/>
      </c>
      <c r="JF355" t="str">
        <f>""</f>
        <v/>
      </c>
      <c r="JG355" t="str">
        <f>""</f>
        <v/>
      </c>
      <c r="JH355" t="str">
        <f>""</f>
        <v/>
      </c>
      <c r="JI355" t="str">
        <f>""</f>
        <v/>
      </c>
      <c r="JJ355" t="str">
        <f>""</f>
        <v/>
      </c>
      <c r="JK355" t="str">
        <f>""</f>
        <v/>
      </c>
    </row>
    <row r="357" spans="1:271" x14ac:dyDescent="0.3">
      <c r="A357" t="str">
        <f>"c.zMETAB13#c.PM6"</f>
        <v>c.zMETAB13#c.PM6</v>
      </c>
      <c r="B357" t="str">
        <f>""</f>
        <v/>
      </c>
      <c r="C357" t="str">
        <f>""</f>
        <v/>
      </c>
      <c r="D357" t="str">
        <f>""</f>
        <v/>
      </c>
      <c r="E357" t="str">
        <f>""</f>
        <v/>
      </c>
      <c r="F357" t="str">
        <f>""</f>
        <v/>
      </c>
      <c r="G357" t="str">
        <f>""</f>
        <v/>
      </c>
      <c r="H357" t="str">
        <f>""</f>
        <v/>
      </c>
      <c r="I357" t="str">
        <f>""</f>
        <v/>
      </c>
      <c r="J357" t="str">
        <f>""</f>
        <v/>
      </c>
      <c r="K357" t="str">
        <f>""</f>
        <v/>
      </c>
      <c r="L357" t="str">
        <f>""</f>
        <v/>
      </c>
      <c r="M357" t="str">
        <f>""</f>
        <v/>
      </c>
      <c r="N357" t="str">
        <f>""</f>
        <v/>
      </c>
      <c r="O357" t="str">
        <f>""</f>
        <v/>
      </c>
      <c r="P357" t="str">
        <f>""</f>
        <v/>
      </c>
      <c r="Q357" t="str">
        <f>""</f>
        <v/>
      </c>
      <c r="R357" t="str">
        <f>""</f>
        <v/>
      </c>
      <c r="S357" t="str">
        <f>""</f>
        <v/>
      </c>
      <c r="T357" t="str">
        <f>""</f>
        <v/>
      </c>
      <c r="U357" t="str">
        <f>""</f>
        <v/>
      </c>
      <c r="V357" t="str">
        <f>""</f>
        <v/>
      </c>
      <c r="W357" t="str">
        <f>""</f>
        <v/>
      </c>
      <c r="X357" t="str">
        <f>""</f>
        <v/>
      </c>
      <c r="Y357" t="str">
        <f>""</f>
        <v/>
      </c>
      <c r="Z357" t="str">
        <f>""</f>
        <v/>
      </c>
      <c r="AA357" t="str">
        <f>""</f>
        <v/>
      </c>
      <c r="AB357" t="str">
        <f>""</f>
        <v/>
      </c>
      <c r="AC357" t="str">
        <f>""</f>
        <v/>
      </c>
      <c r="AD357" t="str">
        <f>""</f>
        <v/>
      </c>
      <c r="AE357" t="str">
        <f>""</f>
        <v/>
      </c>
      <c r="AF357" t="str">
        <f>""</f>
        <v/>
      </c>
      <c r="AG357" t="str">
        <f>""</f>
        <v/>
      </c>
      <c r="AH357" t="str">
        <f>""</f>
        <v/>
      </c>
      <c r="AI357" t="str">
        <f>""</f>
        <v/>
      </c>
      <c r="AJ357" t="str">
        <f>""</f>
        <v/>
      </c>
      <c r="AK357" t="str">
        <f>""</f>
        <v/>
      </c>
      <c r="AL357" t="str">
        <f>""</f>
        <v/>
      </c>
      <c r="AM357" t="str">
        <f>""</f>
        <v/>
      </c>
      <c r="AN357" t="str">
        <f>""</f>
        <v/>
      </c>
      <c r="AO357" t="str">
        <f>""</f>
        <v/>
      </c>
      <c r="AP357" t="str">
        <f>""</f>
        <v/>
      </c>
      <c r="AQ357" t="str">
        <f>""</f>
        <v/>
      </c>
      <c r="AR357" t="str">
        <f>""</f>
        <v/>
      </c>
      <c r="AS357" t="str">
        <f>""</f>
        <v/>
      </c>
      <c r="AT357" t="str">
        <f>""</f>
        <v/>
      </c>
      <c r="AU357" t="str">
        <f>""</f>
        <v/>
      </c>
      <c r="AV357" t="str">
        <f>""</f>
        <v/>
      </c>
      <c r="AW357" t="str">
        <f>""</f>
        <v/>
      </c>
      <c r="AX357" t="str">
        <f>""</f>
        <v/>
      </c>
      <c r="AY357" t="str">
        <f>""</f>
        <v/>
      </c>
      <c r="AZ357" t="str">
        <f>""</f>
        <v/>
      </c>
      <c r="BA357" t="str">
        <f>""</f>
        <v/>
      </c>
      <c r="BB357" t="str">
        <f>""</f>
        <v/>
      </c>
      <c r="BC357" t="str">
        <f>""</f>
        <v/>
      </c>
      <c r="BD357" t="str">
        <f>""</f>
        <v/>
      </c>
      <c r="BE357" t="str">
        <f>""</f>
        <v/>
      </c>
      <c r="BF357" t="str">
        <f>""</f>
        <v/>
      </c>
      <c r="BG357" t="str">
        <f>""</f>
        <v/>
      </c>
      <c r="BH357" t="str">
        <f>""</f>
        <v/>
      </c>
      <c r="BI357" t="str">
        <f>""</f>
        <v/>
      </c>
      <c r="BJ357" t="str">
        <f>""</f>
        <v/>
      </c>
      <c r="BK357" t="str">
        <f>""</f>
        <v/>
      </c>
      <c r="BL357" t="str">
        <f>""</f>
        <v/>
      </c>
      <c r="BM357" t="str">
        <f>""</f>
        <v/>
      </c>
      <c r="BN357" t="str">
        <f>""</f>
        <v/>
      </c>
      <c r="BO357" t="str">
        <f>""</f>
        <v/>
      </c>
      <c r="BP357" t="str">
        <f>""</f>
        <v/>
      </c>
      <c r="BQ357" t="str">
        <f>""</f>
        <v/>
      </c>
      <c r="BR357" t="str">
        <f>""</f>
        <v/>
      </c>
      <c r="BS357" t="str">
        <f>""</f>
        <v/>
      </c>
      <c r="BT357" t="str">
        <f>""</f>
        <v/>
      </c>
      <c r="BU357" t="str">
        <f>""</f>
        <v/>
      </c>
      <c r="BV357" t="str">
        <f>""</f>
        <v/>
      </c>
      <c r="BW357" t="str">
        <f>""</f>
        <v/>
      </c>
      <c r="BX357" t="str">
        <f>""</f>
        <v/>
      </c>
      <c r="BY357" t="str">
        <f>""</f>
        <v/>
      </c>
      <c r="BZ357" t="str">
        <f>""</f>
        <v/>
      </c>
      <c r="CA357" t="str">
        <f>""</f>
        <v/>
      </c>
      <c r="CB357" t="str">
        <f>""</f>
        <v/>
      </c>
      <c r="CC357" t="str">
        <f>""</f>
        <v/>
      </c>
      <c r="CD357" t="str">
        <f>""</f>
        <v/>
      </c>
      <c r="CE357" t="str">
        <f>""</f>
        <v/>
      </c>
      <c r="CF357" t="str">
        <f>""</f>
        <v/>
      </c>
      <c r="CG357" t="str">
        <f>""</f>
        <v/>
      </c>
      <c r="CH357" t="str">
        <f>""</f>
        <v/>
      </c>
      <c r="CI357" t="str">
        <f>""</f>
        <v/>
      </c>
      <c r="CJ357" t="str">
        <f>""</f>
        <v/>
      </c>
      <c r="CK357" t="str">
        <f>""</f>
        <v/>
      </c>
      <c r="CL357" t="str">
        <f>""</f>
        <v/>
      </c>
      <c r="CM357" t="str">
        <f>""</f>
        <v/>
      </c>
      <c r="CN357" t="str">
        <f>""</f>
        <v/>
      </c>
      <c r="CO357" t="str">
        <f>""</f>
        <v/>
      </c>
      <c r="CP357" t="str">
        <f>""</f>
        <v/>
      </c>
      <c r="CQ357" t="str">
        <f>""</f>
        <v/>
      </c>
      <c r="CR357" t="str">
        <f>""</f>
        <v/>
      </c>
      <c r="CS357" t="str">
        <f>""</f>
        <v/>
      </c>
      <c r="CT357" t="str">
        <f>""</f>
        <v/>
      </c>
      <c r="CU357" t="str">
        <f>""</f>
        <v/>
      </c>
      <c r="CV357" t="str">
        <f>""</f>
        <v/>
      </c>
      <c r="CW357" t="str">
        <f>""</f>
        <v/>
      </c>
      <c r="CX357" t="str">
        <f>""</f>
        <v/>
      </c>
      <c r="CY357" t="str">
        <f>""</f>
        <v/>
      </c>
      <c r="CZ357" t="str">
        <f>""</f>
        <v/>
      </c>
      <c r="DA357" t="str">
        <f>""</f>
        <v/>
      </c>
      <c r="DB357" t="str">
        <f>""</f>
        <v/>
      </c>
      <c r="DC357" t="str">
        <f>""</f>
        <v/>
      </c>
      <c r="DD357" t="str">
        <f>""</f>
        <v/>
      </c>
      <c r="DE357" t="str">
        <f>""</f>
        <v/>
      </c>
      <c r="DF357" t="str">
        <f>""</f>
        <v/>
      </c>
      <c r="DG357" t="str">
        <f>""</f>
        <v/>
      </c>
      <c r="DH357" t="str">
        <f>""</f>
        <v/>
      </c>
      <c r="DI357" t="str">
        <f>""</f>
        <v/>
      </c>
      <c r="DJ357" t="str">
        <f>""</f>
        <v/>
      </c>
      <c r="DK357" t="str">
        <f>""</f>
        <v/>
      </c>
      <c r="DL357" t="str">
        <f>""</f>
        <v/>
      </c>
      <c r="DM357" t="str">
        <f>""</f>
        <v/>
      </c>
      <c r="DN357" t="str">
        <f>""</f>
        <v/>
      </c>
      <c r="DO357" t="str">
        <f>""</f>
        <v/>
      </c>
      <c r="DP357" t="str">
        <f>""</f>
        <v/>
      </c>
      <c r="DQ357" t="str">
        <f>""</f>
        <v/>
      </c>
      <c r="DR357" t="str">
        <f>""</f>
        <v/>
      </c>
      <c r="DS357" t="str">
        <f>""</f>
        <v/>
      </c>
      <c r="DT357" t="str">
        <f>""</f>
        <v/>
      </c>
      <c r="DU357" t="str">
        <f>""</f>
        <v/>
      </c>
      <c r="DV357" t="str">
        <f>""</f>
        <v/>
      </c>
      <c r="DW357" t="str">
        <f>""</f>
        <v/>
      </c>
      <c r="DX357" t="str">
        <f>""</f>
        <v/>
      </c>
      <c r="DY357" t="str">
        <f>""</f>
        <v/>
      </c>
      <c r="DZ357" t="str">
        <f>""</f>
        <v/>
      </c>
      <c r="EA357" t="str">
        <f>""</f>
        <v/>
      </c>
      <c r="EB357" t="str">
        <f>""</f>
        <v/>
      </c>
      <c r="EC357" t="str">
        <f>""</f>
        <v/>
      </c>
      <c r="ED357" t="str">
        <f>""</f>
        <v/>
      </c>
      <c r="EE357" t="str">
        <f>""</f>
        <v/>
      </c>
      <c r="EF357" t="str">
        <f>""</f>
        <v/>
      </c>
      <c r="EG357" t="str">
        <f>""</f>
        <v/>
      </c>
      <c r="EH357" t="str">
        <f>""</f>
        <v/>
      </c>
      <c r="EI357" t="str">
        <f>""</f>
        <v/>
      </c>
      <c r="EJ357" t="str">
        <f>""</f>
        <v/>
      </c>
      <c r="EK357" t="str">
        <f>""</f>
        <v/>
      </c>
      <c r="EL357" t="str">
        <f>""</f>
        <v/>
      </c>
      <c r="EM357" t="str">
        <f>""</f>
        <v/>
      </c>
      <c r="EN357" t="str">
        <f>""</f>
        <v/>
      </c>
      <c r="EO357" t="str">
        <f>""</f>
        <v/>
      </c>
      <c r="EP357" t="str">
        <f>""</f>
        <v/>
      </c>
      <c r="EQ357" t="str">
        <f>""</f>
        <v/>
      </c>
      <c r="ER357" t="str">
        <f>""</f>
        <v/>
      </c>
      <c r="ES357" t="str">
        <f>""</f>
        <v/>
      </c>
      <c r="ET357" t="str">
        <f>""</f>
        <v/>
      </c>
      <c r="EU357" t="str">
        <f>""</f>
        <v/>
      </c>
      <c r="EV357" t="str">
        <f>""</f>
        <v/>
      </c>
      <c r="EW357" t="str">
        <f>""</f>
        <v/>
      </c>
      <c r="EX357" t="str">
        <f>""</f>
        <v/>
      </c>
      <c r="EY357" t="str">
        <f>""</f>
        <v/>
      </c>
      <c r="EZ357" t="str">
        <f>""</f>
        <v/>
      </c>
      <c r="FA357" t="str">
        <f>""</f>
        <v/>
      </c>
      <c r="FB357" t="str">
        <f>""</f>
        <v/>
      </c>
      <c r="FC357" t="str">
        <f>""</f>
        <v/>
      </c>
      <c r="FD357" t="str">
        <f>""</f>
        <v/>
      </c>
      <c r="FE357" t="str">
        <f>""</f>
        <v/>
      </c>
      <c r="FF357" t="str">
        <f>""</f>
        <v/>
      </c>
      <c r="FG357" t="str">
        <f>""</f>
        <v/>
      </c>
      <c r="FH357" t="str">
        <f>""</f>
        <v/>
      </c>
      <c r="FI357" t="str">
        <f>""</f>
        <v/>
      </c>
      <c r="FJ357" t="str">
        <f>""</f>
        <v/>
      </c>
      <c r="FK357" t="str">
        <f>""</f>
        <v/>
      </c>
      <c r="FL357" t="str">
        <f>""</f>
        <v/>
      </c>
      <c r="FM357" t="str">
        <f>""</f>
        <v/>
      </c>
      <c r="FN357" t="str">
        <f>""</f>
        <v/>
      </c>
      <c r="FO357" t="str">
        <f>""</f>
        <v/>
      </c>
      <c r="FP357" t="str">
        <f>""</f>
        <v/>
      </c>
      <c r="FQ357" t="str">
        <f>""</f>
        <v/>
      </c>
      <c r="FR357" t="str">
        <f>""</f>
        <v/>
      </c>
      <c r="FS357" t="str">
        <f>""</f>
        <v/>
      </c>
      <c r="FT357" t="str">
        <f>""</f>
        <v/>
      </c>
      <c r="FU357" t="str">
        <f>""</f>
        <v/>
      </c>
      <c r="FV357" t="str">
        <f>""</f>
        <v/>
      </c>
      <c r="FW357" t="str">
        <f>""</f>
        <v/>
      </c>
      <c r="FX357" t="str">
        <f>""</f>
        <v/>
      </c>
      <c r="FY357" t="str">
        <f>""</f>
        <v/>
      </c>
      <c r="FZ357" t="str">
        <f>""</f>
        <v/>
      </c>
      <c r="GA357" t="str">
        <f>""</f>
        <v/>
      </c>
      <c r="GB357" t="str">
        <f>""</f>
        <v/>
      </c>
      <c r="GC357" t="str">
        <f>""</f>
        <v/>
      </c>
      <c r="GD357" t="str">
        <f>""</f>
        <v/>
      </c>
      <c r="GE357" t="str">
        <f>""</f>
        <v/>
      </c>
      <c r="GF357" t="str">
        <f>""</f>
        <v/>
      </c>
      <c r="GG357" t="str">
        <f>""</f>
        <v/>
      </c>
      <c r="GH357" t="str">
        <f>""</f>
        <v/>
      </c>
      <c r="GI357" t="str">
        <f>""</f>
        <v/>
      </c>
      <c r="GJ357" t="str">
        <f>""</f>
        <v/>
      </c>
      <c r="GK357" t="str">
        <f>""</f>
        <v/>
      </c>
      <c r="GL357" t="str">
        <f>""</f>
        <v/>
      </c>
      <c r="GM357" t="str">
        <f>""</f>
        <v/>
      </c>
      <c r="GN357" t="str">
        <f>""</f>
        <v/>
      </c>
      <c r="GO357" t="str">
        <f>""</f>
        <v/>
      </c>
      <c r="GP357" t="str">
        <f>""</f>
        <v/>
      </c>
      <c r="GQ357" t="str">
        <f>""</f>
        <v/>
      </c>
      <c r="GR357" t="str">
        <f>""</f>
        <v/>
      </c>
      <c r="GS357" t="str">
        <f>""</f>
        <v/>
      </c>
      <c r="GT357" t="str">
        <f>""</f>
        <v/>
      </c>
      <c r="GU357" t="str">
        <f>""</f>
        <v/>
      </c>
      <c r="GV357" t="str">
        <f>""</f>
        <v/>
      </c>
      <c r="GW357" t="str">
        <f>""</f>
        <v/>
      </c>
      <c r="GX357" t="str">
        <f>""</f>
        <v/>
      </c>
      <c r="GY357" t="str">
        <f>""</f>
        <v/>
      </c>
      <c r="GZ357" t="str">
        <f>""</f>
        <v/>
      </c>
      <c r="HA357" t="str">
        <f>""</f>
        <v/>
      </c>
      <c r="HB357" t="str">
        <f>""</f>
        <v/>
      </c>
      <c r="HC357" t="str">
        <f>""</f>
        <v/>
      </c>
      <c r="HD357" t="str">
        <f>""</f>
        <v/>
      </c>
      <c r="HE357" t="str">
        <f>""</f>
        <v/>
      </c>
      <c r="HF357" t="str">
        <f>""</f>
        <v/>
      </c>
      <c r="HG357" t="str">
        <f>""</f>
        <v/>
      </c>
      <c r="HH357" t="str">
        <f>""</f>
        <v/>
      </c>
      <c r="HI357" t="str">
        <f>""</f>
        <v/>
      </c>
      <c r="HJ357" t="str">
        <f>""</f>
        <v/>
      </c>
      <c r="HK357" t="str">
        <f>""</f>
        <v/>
      </c>
      <c r="HL357" t="str">
        <f>""</f>
        <v/>
      </c>
      <c r="HM357" t="str">
        <f>""</f>
        <v/>
      </c>
      <c r="HN357" t="str">
        <f>""</f>
        <v/>
      </c>
      <c r="HO357" t="str">
        <f>""</f>
        <v/>
      </c>
      <c r="HP357" t="str">
        <f>""</f>
        <v/>
      </c>
      <c r="HQ357" t="str">
        <f>""</f>
        <v/>
      </c>
      <c r="HR357" t="str">
        <f>""</f>
        <v/>
      </c>
      <c r="HS357" t="str">
        <f>""</f>
        <v/>
      </c>
      <c r="HT357" t="str">
        <f>""</f>
        <v/>
      </c>
      <c r="HU357" t="str">
        <f>""</f>
        <v/>
      </c>
      <c r="HV357" t="str">
        <f>""</f>
        <v/>
      </c>
      <c r="HW357" t="str">
        <f>""</f>
        <v/>
      </c>
      <c r="HX357" t="str">
        <f>""</f>
        <v/>
      </c>
      <c r="HY357" t="str">
        <f>""</f>
        <v/>
      </c>
      <c r="HZ357" t="str">
        <f>""</f>
        <v/>
      </c>
      <c r="IA357" t="str">
        <f>""</f>
        <v/>
      </c>
      <c r="IB357" t="str">
        <f>""</f>
        <v/>
      </c>
      <c r="IC357" t="str">
        <f>""</f>
        <v/>
      </c>
      <c r="ID357" t="str">
        <f>""</f>
        <v/>
      </c>
      <c r="IE357" t="str">
        <f>""</f>
        <v/>
      </c>
      <c r="IF357" t="str">
        <f>""</f>
        <v/>
      </c>
      <c r="IG357" t="str">
        <f>""</f>
        <v/>
      </c>
      <c r="IH357" t="str">
        <f>""</f>
        <v/>
      </c>
      <c r="II357" t="str">
        <f>""</f>
        <v/>
      </c>
      <c r="IJ357" t="str">
        <f>""</f>
        <v/>
      </c>
      <c r="IK357" t="str">
        <f>""</f>
        <v/>
      </c>
      <c r="IL357" t="str">
        <f>""</f>
        <v/>
      </c>
      <c r="IM357" t="str">
        <f>""</f>
        <v/>
      </c>
      <c r="IN357" t="str">
        <f>""</f>
        <v/>
      </c>
      <c r="IO357" t="str">
        <f>""</f>
        <v/>
      </c>
      <c r="IP357" t="str">
        <f>""</f>
        <v/>
      </c>
      <c r="IQ357" t="str">
        <f>""</f>
        <v/>
      </c>
      <c r="IR357" t="str">
        <f>""</f>
        <v/>
      </c>
      <c r="IS357" t="str">
        <f>""</f>
        <v/>
      </c>
      <c r="IT357" t="str">
        <f>""</f>
        <v/>
      </c>
      <c r="IU357" t="str">
        <f>""</f>
        <v/>
      </c>
      <c r="IV357" t="str">
        <f>""</f>
        <v/>
      </c>
      <c r="IW357" t="str">
        <f>""</f>
        <v/>
      </c>
      <c r="IX357" t="str">
        <f>""</f>
        <v/>
      </c>
      <c r="IY357" t="str">
        <f>""</f>
        <v/>
      </c>
      <c r="IZ357" t="str">
        <f>""</f>
        <v/>
      </c>
      <c r="JA357" t="str">
        <f>""</f>
        <v/>
      </c>
      <c r="JB357" t="str">
        <f>""</f>
        <v/>
      </c>
      <c r="JC357" t="str">
        <f>"0.198"</f>
        <v>0.198</v>
      </c>
      <c r="JD357" t="str">
        <f>"-0.101"</f>
        <v>-0.101</v>
      </c>
      <c r="JE357" t="str">
        <f>"-0.0120"</f>
        <v>-0.0120</v>
      </c>
      <c r="JF357" t="str">
        <f>""</f>
        <v/>
      </c>
      <c r="JG357" t="str">
        <f>""</f>
        <v/>
      </c>
      <c r="JH357" t="str">
        <f>""</f>
        <v/>
      </c>
      <c r="JI357" t="str">
        <f>""</f>
        <v/>
      </c>
      <c r="JJ357" t="str">
        <f>""</f>
        <v/>
      </c>
      <c r="JK357" t="str">
        <f>""</f>
        <v/>
      </c>
    </row>
    <row r="358" spans="1:271" x14ac:dyDescent="0.3">
      <c r="A358" t="str">
        <f>""</f>
        <v/>
      </c>
      <c r="B358" t="str">
        <f>""</f>
        <v/>
      </c>
      <c r="C358" t="str">
        <f>""</f>
        <v/>
      </c>
      <c r="D358" t="str">
        <f>""</f>
        <v/>
      </c>
      <c r="E358" t="str">
        <f>""</f>
        <v/>
      </c>
      <c r="F358" t="str">
        <f>""</f>
        <v/>
      </c>
      <c r="G358" t="str">
        <f>""</f>
        <v/>
      </c>
      <c r="H358" t="str">
        <f>""</f>
        <v/>
      </c>
      <c r="I358" t="str">
        <f>""</f>
        <v/>
      </c>
      <c r="J358" t="str">
        <f>""</f>
        <v/>
      </c>
      <c r="K358" t="str">
        <f>""</f>
        <v/>
      </c>
      <c r="L358" t="str">
        <f>""</f>
        <v/>
      </c>
      <c r="M358" t="str">
        <f>""</f>
        <v/>
      </c>
      <c r="N358" t="str">
        <f>""</f>
        <v/>
      </c>
      <c r="O358" t="str">
        <f>""</f>
        <v/>
      </c>
      <c r="P358" t="str">
        <f>""</f>
        <v/>
      </c>
      <c r="Q358" t="str">
        <f>""</f>
        <v/>
      </c>
      <c r="R358" t="str">
        <f>""</f>
        <v/>
      </c>
      <c r="S358" t="str">
        <f>""</f>
        <v/>
      </c>
      <c r="T358" t="str">
        <f>""</f>
        <v/>
      </c>
      <c r="U358" t="str">
        <f>""</f>
        <v/>
      </c>
      <c r="V358" t="str">
        <f>""</f>
        <v/>
      </c>
      <c r="W358" t="str">
        <f>""</f>
        <v/>
      </c>
      <c r="X358" t="str">
        <f>""</f>
        <v/>
      </c>
      <c r="Y358" t="str">
        <f>""</f>
        <v/>
      </c>
      <c r="Z358" t="str">
        <f>""</f>
        <v/>
      </c>
      <c r="AA358" t="str">
        <f>""</f>
        <v/>
      </c>
      <c r="AB358" t="str">
        <f>""</f>
        <v/>
      </c>
      <c r="AC358" t="str">
        <f>""</f>
        <v/>
      </c>
      <c r="AD358" t="str">
        <f>""</f>
        <v/>
      </c>
      <c r="AE358" t="str">
        <f>""</f>
        <v/>
      </c>
      <c r="AF358" t="str">
        <f>""</f>
        <v/>
      </c>
      <c r="AG358" t="str">
        <f>""</f>
        <v/>
      </c>
      <c r="AH358" t="str">
        <f>""</f>
        <v/>
      </c>
      <c r="AI358" t="str">
        <f>""</f>
        <v/>
      </c>
      <c r="AJ358" t="str">
        <f>""</f>
        <v/>
      </c>
      <c r="AK358" t="str">
        <f>""</f>
        <v/>
      </c>
      <c r="AL358" t="str">
        <f>""</f>
        <v/>
      </c>
      <c r="AM358" t="str">
        <f>""</f>
        <v/>
      </c>
      <c r="AN358" t="str">
        <f>""</f>
        <v/>
      </c>
      <c r="AO358" t="str">
        <f>""</f>
        <v/>
      </c>
      <c r="AP358" t="str">
        <f>""</f>
        <v/>
      </c>
      <c r="AQ358" t="str">
        <f>""</f>
        <v/>
      </c>
      <c r="AR358" t="str">
        <f>""</f>
        <v/>
      </c>
      <c r="AS358" t="str">
        <f>""</f>
        <v/>
      </c>
      <c r="AT358" t="str">
        <f>""</f>
        <v/>
      </c>
      <c r="AU358" t="str">
        <f>""</f>
        <v/>
      </c>
      <c r="AV358" t="str">
        <f>""</f>
        <v/>
      </c>
      <c r="AW358" t="str">
        <f>""</f>
        <v/>
      </c>
      <c r="AX358" t="str">
        <f>""</f>
        <v/>
      </c>
      <c r="AY358" t="str">
        <f>""</f>
        <v/>
      </c>
      <c r="AZ358" t="str">
        <f>""</f>
        <v/>
      </c>
      <c r="BA358" t="str">
        <f>""</f>
        <v/>
      </c>
      <c r="BB358" t="str">
        <f>""</f>
        <v/>
      </c>
      <c r="BC358" t="str">
        <f>""</f>
        <v/>
      </c>
      <c r="BD358" t="str">
        <f>""</f>
        <v/>
      </c>
      <c r="BE358" t="str">
        <f>""</f>
        <v/>
      </c>
      <c r="BF358" t="str">
        <f>""</f>
        <v/>
      </c>
      <c r="BG358" t="str">
        <f>""</f>
        <v/>
      </c>
      <c r="BH358" t="str">
        <f>""</f>
        <v/>
      </c>
      <c r="BI358" t="str">
        <f>""</f>
        <v/>
      </c>
      <c r="BJ358" t="str">
        <f>""</f>
        <v/>
      </c>
      <c r="BK358" t="str">
        <f>""</f>
        <v/>
      </c>
      <c r="BL358" t="str">
        <f>""</f>
        <v/>
      </c>
      <c r="BM358" t="str">
        <f>""</f>
        <v/>
      </c>
      <c r="BN358" t="str">
        <f>""</f>
        <v/>
      </c>
      <c r="BO358" t="str">
        <f>""</f>
        <v/>
      </c>
      <c r="BP358" t="str">
        <f>""</f>
        <v/>
      </c>
      <c r="BQ358" t="str">
        <f>""</f>
        <v/>
      </c>
      <c r="BR358" t="str">
        <f>""</f>
        <v/>
      </c>
      <c r="BS358" t="str">
        <f>""</f>
        <v/>
      </c>
      <c r="BT358" t="str">
        <f>""</f>
        <v/>
      </c>
      <c r="BU358" t="str">
        <f>""</f>
        <v/>
      </c>
      <c r="BV358" t="str">
        <f>""</f>
        <v/>
      </c>
      <c r="BW358" t="str">
        <f>""</f>
        <v/>
      </c>
      <c r="BX358" t="str">
        <f>""</f>
        <v/>
      </c>
      <c r="BY358" t="str">
        <f>""</f>
        <v/>
      </c>
      <c r="BZ358" t="str">
        <f>""</f>
        <v/>
      </c>
      <c r="CA358" t="str">
        <f>""</f>
        <v/>
      </c>
      <c r="CB358" t="str">
        <f>""</f>
        <v/>
      </c>
      <c r="CC358" t="str">
        <f>""</f>
        <v/>
      </c>
      <c r="CD358" t="str">
        <f>""</f>
        <v/>
      </c>
      <c r="CE358" t="str">
        <f>""</f>
        <v/>
      </c>
      <c r="CF358" t="str">
        <f>""</f>
        <v/>
      </c>
      <c r="CG358" t="str">
        <f>""</f>
        <v/>
      </c>
      <c r="CH358" t="str">
        <f>""</f>
        <v/>
      </c>
      <c r="CI358" t="str">
        <f>""</f>
        <v/>
      </c>
      <c r="CJ358" t="str">
        <f>""</f>
        <v/>
      </c>
      <c r="CK358" t="str">
        <f>""</f>
        <v/>
      </c>
      <c r="CL358" t="str">
        <f>""</f>
        <v/>
      </c>
      <c r="CM358" t="str">
        <f>""</f>
        <v/>
      </c>
      <c r="CN358" t="str">
        <f>""</f>
        <v/>
      </c>
      <c r="CO358" t="str">
        <f>""</f>
        <v/>
      </c>
      <c r="CP358" t="str">
        <f>""</f>
        <v/>
      </c>
      <c r="CQ358" t="str">
        <f>""</f>
        <v/>
      </c>
      <c r="CR358" t="str">
        <f>""</f>
        <v/>
      </c>
      <c r="CS358" t="str">
        <f>""</f>
        <v/>
      </c>
      <c r="CT358" t="str">
        <f>""</f>
        <v/>
      </c>
      <c r="CU358" t="str">
        <f>""</f>
        <v/>
      </c>
      <c r="CV358" t="str">
        <f>""</f>
        <v/>
      </c>
      <c r="CW358" t="str">
        <f>""</f>
        <v/>
      </c>
      <c r="CX358" t="str">
        <f>""</f>
        <v/>
      </c>
      <c r="CY358" t="str">
        <f>""</f>
        <v/>
      </c>
      <c r="CZ358" t="str">
        <f>""</f>
        <v/>
      </c>
      <c r="DA358" t="str">
        <f>""</f>
        <v/>
      </c>
      <c r="DB358" t="str">
        <f>""</f>
        <v/>
      </c>
      <c r="DC358" t="str">
        <f>""</f>
        <v/>
      </c>
      <c r="DD358" t="str">
        <f>""</f>
        <v/>
      </c>
      <c r="DE358" t="str">
        <f>""</f>
        <v/>
      </c>
      <c r="DF358" t="str">
        <f>""</f>
        <v/>
      </c>
      <c r="DG358" t="str">
        <f>""</f>
        <v/>
      </c>
      <c r="DH358" t="str">
        <f>""</f>
        <v/>
      </c>
      <c r="DI358" t="str">
        <f>""</f>
        <v/>
      </c>
      <c r="DJ358" t="str">
        <f>""</f>
        <v/>
      </c>
      <c r="DK358" t="str">
        <f>""</f>
        <v/>
      </c>
      <c r="DL358" t="str">
        <f>""</f>
        <v/>
      </c>
      <c r="DM358" t="str">
        <f>""</f>
        <v/>
      </c>
      <c r="DN358" t="str">
        <f>""</f>
        <v/>
      </c>
      <c r="DO358" t="str">
        <f>""</f>
        <v/>
      </c>
      <c r="DP358" t="str">
        <f>""</f>
        <v/>
      </c>
      <c r="DQ358" t="str">
        <f>""</f>
        <v/>
      </c>
      <c r="DR358" t="str">
        <f>""</f>
        <v/>
      </c>
      <c r="DS358" t="str">
        <f>""</f>
        <v/>
      </c>
      <c r="DT358" t="str">
        <f>""</f>
        <v/>
      </c>
      <c r="DU358" t="str">
        <f>""</f>
        <v/>
      </c>
      <c r="DV358" t="str">
        <f>""</f>
        <v/>
      </c>
      <c r="DW358" t="str">
        <f>""</f>
        <v/>
      </c>
      <c r="DX358" t="str">
        <f>""</f>
        <v/>
      </c>
      <c r="DY358" t="str">
        <f>""</f>
        <v/>
      </c>
      <c r="DZ358" t="str">
        <f>""</f>
        <v/>
      </c>
      <c r="EA358" t="str">
        <f>""</f>
        <v/>
      </c>
      <c r="EB358" t="str">
        <f>""</f>
        <v/>
      </c>
      <c r="EC358" t="str">
        <f>""</f>
        <v/>
      </c>
      <c r="ED358" t="str">
        <f>""</f>
        <v/>
      </c>
      <c r="EE358" t="str">
        <f>""</f>
        <v/>
      </c>
      <c r="EF358" t="str">
        <f>""</f>
        <v/>
      </c>
      <c r="EG358" t="str">
        <f>""</f>
        <v/>
      </c>
      <c r="EH358" t="str">
        <f>""</f>
        <v/>
      </c>
      <c r="EI358" t="str">
        <f>""</f>
        <v/>
      </c>
      <c r="EJ358" t="str">
        <f>""</f>
        <v/>
      </c>
      <c r="EK358" t="str">
        <f>""</f>
        <v/>
      </c>
      <c r="EL358" t="str">
        <f>""</f>
        <v/>
      </c>
      <c r="EM358" t="str">
        <f>""</f>
        <v/>
      </c>
      <c r="EN358" t="str">
        <f>""</f>
        <v/>
      </c>
      <c r="EO358" t="str">
        <f>""</f>
        <v/>
      </c>
      <c r="EP358" t="str">
        <f>""</f>
        <v/>
      </c>
      <c r="EQ358" t="str">
        <f>""</f>
        <v/>
      </c>
      <c r="ER358" t="str">
        <f>""</f>
        <v/>
      </c>
      <c r="ES358" t="str">
        <f>""</f>
        <v/>
      </c>
      <c r="ET358" t="str">
        <f>""</f>
        <v/>
      </c>
      <c r="EU358" t="str">
        <f>""</f>
        <v/>
      </c>
      <c r="EV358" t="str">
        <f>""</f>
        <v/>
      </c>
      <c r="EW358" t="str">
        <f>""</f>
        <v/>
      </c>
      <c r="EX358" t="str">
        <f>""</f>
        <v/>
      </c>
      <c r="EY358" t="str">
        <f>""</f>
        <v/>
      </c>
      <c r="EZ358" t="str">
        <f>""</f>
        <v/>
      </c>
      <c r="FA358" t="str">
        <f>""</f>
        <v/>
      </c>
      <c r="FB358" t="str">
        <f>""</f>
        <v/>
      </c>
      <c r="FC358" t="str">
        <f>""</f>
        <v/>
      </c>
      <c r="FD358" t="str">
        <f>""</f>
        <v/>
      </c>
      <c r="FE358" t="str">
        <f>""</f>
        <v/>
      </c>
      <c r="FF358" t="str">
        <f>""</f>
        <v/>
      </c>
      <c r="FG358" t="str">
        <f>""</f>
        <v/>
      </c>
      <c r="FH358" t="str">
        <f>""</f>
        <v/>
      </c>
      <c r="FI358" t="str">
        <f>""</f>
        <v/>
      </c>
      <c r="FJ358" t="str">
        <f>""</f>
        <v/>
      </c>
      <c r="FK358" t="str">
        <f>""</f>
        <v/>
      </c>
      <c r="FL358" t="str">
        <f>""</f>
        <v/>
      </c>
      <c r="FM358" t="str">
        <f>""</f>
        <v/>
      </c>
      <c r="FN358" t="str">
        <f>""</f>
        <v/>
      </c>
      <c r="FO358" t="str">
        <f>""</f>
        <v/>
      </c>
      <c r="FP358" t="str">
        <f>""</f>
        <v/>
      </c>
      <c r="FQ358" t="str">
        <f>""</f>
        <v/>
      </c>
      <c r="FR358" t="str">
        <f>""</f>
        <v/>
      </c>
      <c r="FS358" t="str">
        <f>""</f>
        <v/>
      </c>
      <c r="FT358" t="str">
        <f>""</f>
        <v/>
      </c>
      <c r="FU358" t="str">
        <f>""</f>
        <v/>
      </c>
      <c r="FV358" t="str">
        <f>""</f>
        <v/>
      </c>
      <c r="FW358" t="str">
        <f>""</f>
        <v/>
      </c>
      <c r="FX358" t="str">
        <f>""</f>
        <v/>
      </c>
      <c r="FY358" t="str">
        <f>""</f>
        <v/>
      </c>
      <c r="FZ358" t="str">
        <f>""</f>
        <v/>
      </c>
      <c r="GA358" t="str">
        <f>""</f>
        <v/>
      </c>
      <c r="GB358" t="str">
        <f>""</f>
        <v/>
      </c>
      <c r="GC358" t="str">
        <f>""</f>
        <v/>
      </c>
      <c r="GD358" t="str">
        <f>""</f>
        <v/>
      </c>
      <c r="GE358" t="str">
        <f>""</f>
        <v/>
      </c>
      <c r="GF358" t="str">
        <f>""</f>
        <v/>
      </c>
      <c r="GG358" t="str">
        <f>""</f>
        <v/>
      </c>
      <c r="GH358" t="str">
        <f>""</f>
        <v/>
      </c>
      <c r="GI358" t="str">
        <f>""</f>
        <v/>
      </c>
      <c r="GJ358" t="str">
        <f>""</f>
        <v/>
      </c>
      <c r="GK358" t="str">
        <f>""</f>
        <v/>
      </c>
      <c r="GL358" t="str">
        <f>""</f>
        <v/>
      </c>
      <c r="GM358" t="str">
        <f>""</f>
        <v/>
      </c>
      <c r="GN358" t="str">
        <f>""</f>
        <v/>
      </c>
      <c r="GO358" t="str">
        <f>""</f>
        <v/>
      </c>
      <c r="GP358" t="str">
        <f>""</f>
        <v/>
      </c>
      <c r="GQ358" t="str">
        <f>""</f>
        <v/>
      </c>
      <c r="GR358" t="str">
        <f>""</f>
        <v/>
      </c>
      <c r="GS358" t="str">
        <f>""</f>
        <v/>
      </c>
      <c r="GT358" t="str">
        <f>""</f>
        <v/>
      </c>
      <c r="GU358" t="str">
        <f>""</f>
        <v/>
      </c>
      <c r="GV358" t="str">
        <f>""</f>
        <v/>
      </c>
      <c r="GW358" t="str">
        <f>""</f>
        <v/>
      </c>
      <c r="GX358" t="str">
        <f>""</f>
        <v/>
      </c>
      <c r="GY358" t="str">
        <f>""</f>
        <v/>
      </c>
      <c r="GZ358" t="str">
        <f>""</f>
        <v/>
      </c>
      <c r="HA358" t="str">
        <f>""</f>
        <v/>
      </c>
      <c r="HB358" t="str">
        <f>""</f>
        <v/>
      </c>
      <c r="HC358" t="str">
        <f>""</f>
        <v/>
      </c>
      <c r="HD358" t="str">
        <f>""</f>
        <v/>
      </c>
      <c r="HE358" t="str">
        <f>""</f>
        <v/>
      </c>
      <c r="HF358" t="str">
        <f>""</f>
        <v/>
      </c>
      <c r="HG358" t="str">
        <f>""</f>
        <v/>
      </c>
      <c r="HH358" t="str">
        <f>""</f>
        <v/>
      </c>
      <c r="HI358" t="str">
        <f>""</f>
        <v/>
      </c>
      <c r="HJ358" t="str">
        <f>""</f>
        <v/>
      </c>
      <c r="HK358" t="str">
        <f>""</f>
        <v/>
      </c>
      <c r="HL358" t="str">
        <f>""</f>
        <v/>
      </c>
      <c r="HM358" t="str">
        <f>""</f>
        <v/>
      </c>
      <c r="HN358" t="str">
        <f>""</f>
        <v/>
      </c>
      <c r="HO358" t="str">
        <f>""</f>
        <v/>
      </c>
      <c r="HP358" t="str">
        <f>""</f>
        <v/>
      </c>
      <c r="HQ358" t="str">
        <f>""</f>
        <v/>
      </c>
      <c r="HR358" t="str">
        <f>""</f>
        <v/>
      </c>
      <c r="HS358" t="str">
        <f>""</f>
        <v/>
      </c>
      <c r="HT358" t="str">
        <f>""</f>
        <v/>
      </c>
      <c r="HU358" t="str">
        <f>""</f>
        <v/>
      </c>
      <c r="HV358" t="str">
        <f>""</f>
        <v/>
      </c>
      <c r="HW358" t="str">
        <f>""</f>
        <v/>
      </c>
      <c r="HX358" t="str">
        <f>""</f>
        <v/>
      </c>
      <c r="HY358" t="str">
        <f>""</f>
        <v/>
      </c>
      <c r="HZ358" t="str">
        <f>""</f>
        <v/>
      </c>
      <c r="IA358" t="str">
        <f>""</f>
        <v/>
      </c>
      <c r="IB358" t="str">
        <f>""</f>
        <v/>
      </c>
      <c r="IC358" t="str">
        <f>""</f>
        <v/>
      </c>
      <c r="ID358" t="str">
        <f>""</f>
        <v/>
      </c>
      <c r="IE358" t="str">
        <f>""</f>
        <v/>
      </c>
      <c r="IF358" t="str">
        <f>""</f>
        <v/>
      </c>
      <c r="IG358" t="str">
        <f>""</f>
        <v/>
      </c>
      <c r="IH358" t="str">
        <f>""</f>
        <v/>
      </c>
      <c r="II358" t="str">
        <f>""</f>
        <v/>
      </c>
      <c r="IJ358" t="str">
        <f>""</f>
        <v/>
      </c>
      <c r="IK358" t="str">
        <f>""</f>
        <v/>
      </c>
      <c r="IL358" t="str">
        <f>""</f>
        <v/>
      </c>
      <c r="IM358" t="str">
        <f>""</f>
        <v/>
      </c>
      <c r="IN358" t="str">
        <f>""</f>
        <v/>
      </c>
      <c r="IO358" t="str">
        <f>""</f>
        <v/>
      </c>
      <c r="IP358" t="str">
        <f>""</f>
        <v/>
      </c>
      <c r="IQ358" t="str">
        <f>""</f>
        <v/>
      </c>
      <c r="IR358" t="str">
        <f>""</f>
        <v/>
      </c>
      <c r="IS358" t="str">
        <f>""</f>
        <v/>
      </c>
      <c r="IT358" t="str">
        <f>""</f>
        <v/>
      </c>
      <c r="IU358" t="str">
        <f>""</f>
        <v/>
      </c>
      <c r="IV358" t="str">
        <f>""</f>
        <v/>
      </c>
      <c r="IW358" t="str">
        <f>""</f>
        <v/>
      </c>
      <c r="IX358" t="str">
        <f>""</f>
        <v/>
      </c>
      <c r="IY358" t="str">
        <f>""</f>
        <v/>
      </c>
      <c r="IZ358" t="str">
        <f>""</f>
        <v/>
      </c>
      <c r="JA358" t="str">
        <f>""</f>
        <v/>
      </c>
      <c r="JB358" t="str">
        <f>""</f>
        <v/>
      </c>
      <c r="JC358" t="str">
        <f>"(0.103)"</f>
        <v>(0.103)</v>
      </c>
      <c r="JD358" t="str">
        <f>"(0.0816)"</f>
        <v>(0.0816)</v>
      </c>
      <c r="JE358" t="str">
        <f>"(0.0438)"</f>
        <v>(0.0438)</v>
      </c>
      <c r="JF358" t="str">
        <f>""</f>
        <v/>
      </c>
      <c r="JG358" t="str">
        <f>""</f>
        <v/>
      </c>
      <c r="JH358" t="str">
        <f>""</f>
        <v/>
      </c>
      <c r="JI358" t="str">
        <f>""</f>
        <v/>
      </c>
      <c r="JJ358" t="str">
        <f>""</f>
        <v/>
      </c>
      <c r="JK358" t="str">
        <f>""</f>
        <v/>
      </c>
    </row>
    <row r="360" spans="1:271" x14ac:dyDescent="0.3">
      <c r="A360" t="str">
        <f>"c.zMETAB14#c.PM6"</f>
        <v>c.zMETAB14#c.PM6</v>
      </c>
      <c r="B360" t="str">
        <f>""</f>
        <v/>
      </c>
      <c r="C360" t="str">
        <f>""</f>
        <v/>
      </c>
      <c r="D360" t="str">
        <f>""</f>
        <v/>
      </c>
      <c r="E360" t="str">
        <f>""</f>
        <v/>
      </c>
      <c r="F360" t="str">
        <f>""</f>
        <v/>
      </c>
      <c r="G360" t="str">
        <f>""</f>
        <v/>
      </c>
      <c r="H360" t="str">
        <f>""</f>
        <v/>
      </c>
      <c r="I360" t="str">
        <f>""</f>
        <v/>
      </c>
      <c r="J360" t="str">
        <f>""</f>
        <v/>
      </c>
      <c r="K360" t="str">
        <f>""</f>
        <v/>
      </c>
      <c r="L360" t="str">
        <f>""</f>
        <v/>
      </c>
      <c r="M360" t="str">
        <f>""</f>
        <v/>
      </c>
      <c r="N360" t="str">
        <f>""</f>
        <v/>
      </c>
      <c r="O360" t="str">
        <f>""</f>
        <v/>
      </c>
      <c r="P360" t="str">
        <f>""</f>
        <v/>
      </c>
      <c r="Q360" t="str">
        <f>""</f>
        <v/>
      </c>
      <c r="R360" t="str">
        <f>""</f>
        <v/>
      </c>
      <c r="S360" t="str">
        <f>""</f>
        <v/>
      </c>
      <c r="T360" t="str">
        <f>""</f>
        <v/>
      </c>
      <c r="U360" t="str">
        <f>""</f>
        <v/>
      </c>
      <c r="V360" t="str">
        <f>""</f>
        <v/>
      </c>
      <c r="W360" t="str">
        <f>""</f>
        <v/>
      </c>
      <c r="X360" t="str">
        <f>""</f>
        <v/>
      </c>
      <c r="Y360" t="str">
        <f>""</f>
        <v/>
      </c>
      <c r="Z360" t="str">
        <f>""</f>
        <v/>
      </c>
      <c r="AA360" t="str">
        <f>""</f>
        <v/>
      </c>
      <c r="AB360" t="str">
        <f>""</f>
        <v/>
      </c>
      <c r="AC360" t="str">
        <f>""</f>
        <v/>
      </c>
      <c r="AD360" t="str">
        <f>""</f>
        <v/>
      </c>
      <c r="AE360" t="str">
        <f>""</f>
        <v/>
      </c>
      <c r="AF360" t="str">
        <f>""</f>
        <v/>
      </c>
      <c r="AG360" t="str">
        <f>""</f>
        <v/>
      </c>
      <c r="AH360" t="str">
        <f>""</f>
        <v/>
      </c>
      <c r="AI360" t="str">
        <f>""</f>
        <v/>
      </c>
      <c r="AJ360" t="str">
        <f>""</f>
        <v/>
      </c>
      <c r="AK360" t="str">
        <f>""</f>
        <v/>
      </c>
      <c r="AL360" t="str">
        <f>""</f>
        <v/>
      </c>
      <c r="AM360" t="str">
        <f>""</f>
        <v/>
      </c>
      <c r="AN360" t="str">
        <f>""</f>
        <v/>
      </c>
      <c r="AO360" t="str">
        <f>""</f>
        <v/>
      </c>
      <c r="AP360" t="str">
        <f>""</f>
        <v/>
      </c>
      <c r="AQ360" t="str">
        <f>""</f>
        <v/>
      </c>
      <c r="AR360" t="str">
        <f>""</f>
        <v/>
      </c>
      <c r="AS360" t="str">
        <f>""</f>
        <v/>
      </c>
      <c r="AT360" t="str">
        <f>""</f>
        <v/>
      </c>
      <c r="AU360" t="str">
        <f>""</f>
        <v/>
      </c>
      <c r="AV360" t="str">
        <f>""</f>
        <v/>
      </c>
      <c r="AW360" t="str">
        <f>""</f>
        <v/>
      </c>
      <c r="AX360" t="str">
        <f>""</f>
        <v/>
      </c>
      <c r="AY360" t="str">
        <f>""</f>
        <v/>
      </c>
      <c r="AZ360" t="str">
        <f>""</f>
        <v/>
      </c>
      <c r="BA360" t="str">
        <f>""</f>
        <v/>
      </c>
      <c r="BB360" t="str">
        <f>""</f>
        <v/>
      </c>
      <c r="BC360" t="str">
        <f>""</f>
        <v/>
      </c>
      <c r="BD360" t="str">
        <f>""</f>
        <v/>
      </c>
      <c r="BE360" t="str">
        <f>""</f>
        <v/>
      </c>
      <c r="BF360" t="str">
        <f>""</f>
        <v/>
      </c>
      <c r="BG360" t="str">
        <f>""</f>
        <v/>
      </c>
      <c r="BH360" t="str">
        <f>""</f>
        <v/>
      </c>
      <c r="BI360" t="str">
        <f>""</f>
        <v/>
      </c>
      <c r="BJ360" t="str">
        <f>""</f>
        <v/>
      </c>
      <c r="BK360" t="str">
        <f>""</f>
        <v/>
      </c>
      <c r="BL360" t="str">
        <f>""</f>
        <v/>
      </c>
      <c r="BM360" t="str">
        <f>""</f>
        <v/>
      </c>
      <c r="BN360" t="str">
        <f>""</f>
        <v/>
      </c>
      <c r="BO360" t="str">
        <f>""</f>
        <v/>
      </c>
      <c r="BP360" t="str">
        <f>""</f>
        <v/>
      </c>
      <c r="BQ360" t="str">
        <f>""</f>
        <v/>
      </c>
      <c r="BR360" t="str">
        <f>""</f>
        <v/>
      </c>
      <c r="BS360" t="str">
        <f>""</f>
        <v/>
      </c>
      <c r="BT360" t="str">
        <f>""</f>
        <v/>
      </c>
      <c r="BU360" t="str">
        <f>""</f>
        <v/>
      </c>
      <c r="BV360" t="str">
        <f>""</f>
        <v/>
      </c>
      <c r="BW360" t="str">
        <f>""</f>
        <v/>
      </c>
      <c r="BX360" t="str">
        <f>""</f>
        <v/>
      </c>
      <c r="BY360" t="str">
        <f>""</f>
        <v/>
      </c>
      <c r="BZ360" t="str">
        <f>""</f>
        <v/>
      </c>
      <c r="CA360" t="str">
        <f>""</f>
        <v/>
      </c>
      <c r="CB360" t="str">
        <f>""</f>
        <v/>
      </c>
      <c r="CC360" t="str">
        <f>""</f>
        <v/>
      </c>
      <c r="CD360" t="str">
        <f>""</f>
        <v/>
      </c>
      <c r="CE360" t="str">
        <f>""</f>
        <v/>
      </c>
      <c r="CF360" t="str">
        <f>""</f>
        <v/>
      </c>
      <c r="CG360" t="str">
        <f>""</f>
        <v/>
      </c>
      <c r="CH360" t="str">
        <f>""</f>
        <v/>
      </c>
      <c r="CI360" t="str">
        <f>""</f>
        <v/>
      </c>
      <c r="CJ360" t="str">
        <f>""</f>
        <v/>
      </c>
      <c r="CK360" t="str">
        <f>""</f>
        <v/>
      </c>
      <c r="CL360" t="str">
        <f>""</f>
        <v/>
      </c>
      <c r="CM360" t="str">
        <f>""</f>
        <v/>
      </c>
      <c r="CN360" t="str">
        <f>""</f>
        <v/>
      </c>
      <c r="CO360" t="str">
        <f>""</f>
        <v/>
      </c>
      <c r="CP360" t="str">
        <f>""</f>
        <v/>
      </c>
      <c r="CQ360" t="str">
        <f>""</f>
        <v/>
      </c>
      <c r="CR360" t="str">
        <f>""</f>
        <v/>
      </c>
      <c r="CS360" t="str">
        <f>""</f>
        <v/>
      </c>
      <c r="CT360" t="str">
        <f>""</f>
        <v/>
      </c>
      <c r="CU360" t="str">
        <f>""</f>
        <v/>
      </c>
      <c r="CV360" t="str">
        <f>""</f>
        <v/>
      </c>
      <c r="CW360" t="str">
        <f>""</f>
        <v/>
      </c>
      <c r="CX360" t="str">
        <f>""</f>
        <v/>
      </c>
      <c r="CY360" t="str">
        <f>""</f>
        <v/>
      </c>
      <c r="CZ360" t="str">
        <f>""</f>
        <v/>
      </c>
      <c r="DA360" t="str">
        <f>""</f>
        <v/>
      </c>
      <c r="DB360" t="str">
        <f>""</f>
        <v/>
      </c>
      <c r="DC360" t="str">
        <f>""</f>
        <v/>
      </c>
      <c r="DD360" t="str">
        <f>""</f>
        <v/>
      </c>
      <c r="DE360" t="str">
        <f>""</f>
        <v/>
      </c>
      <c r="DF360" t="str">
        <f>""</f>
        <v/>
      </c>
      <c r="DG360" t="str">
        <f>""</f>
        <v/>
      </c>
      <c r="DH360" t="str">
        <f>""</f>
        <v/>
      </c>
      <c r="DI360" t="str">
        <f>""</f>
        <v/>
      </c>
      <c r="DJ360" t="str">
        <f>""</f>
        <v/>
      </c>
      <c r="DK360" t="str">
        <f>""</f>
        <v/>
      </c>
      <c r="DL360" t="str">
        <f>""</f>
        <v/>
      </c>
      <c r="DM360" t="str">
        <f>""</f>
        <v/>
      </c>
      <c r="DN360" t="str">
        <f>""</f>
        <v/>
      </c>
      <c r="DO360" t="str">
        <f>""</f>
        <v/>
      </c>
      <c r="DP360" t="str">
        <f>""</f>
        <v/>
      </c>
      <c r="DQ360" t="str">
        <f>""</f>
        <v/>
      </c>
      <c r="DR360" t="str">
        <f>""</f>
        <v/>
      </c>
      <c r="DS360" t="str">
        <f>""</f>
        <v/>
      </c>
      <c r="DT360" t="str">
        <f>""</f>
        <v/>
      </c>
      <c r="DU360" t="str">
        <f>""</f>
        <v/>
      </c>
      <c r="DV360" t="str">
        <f>""</f>
        <v/>
      </c>
      <c r="DW360" t="str">
        <f>""</f>
        <v/>
      </c>
      <c r="DX360" t="str">
        <f>""</f>
        <v/>
      </c>
      <c r="DY360" t="str">
        <f>""</f>
        <v/>
      </c>
      <c r="DZ360" t="str">
        <f>""</f>
        <v/>
      </c>
      <c r="EA360" t="str">
        <f>""</f>
        <v/>
      </c>
      <c r="EB360" t="str">
        <f>""</f>
        <v/>
      </c>
      <c r="EC360" t="str">
        <f>""</f>
        <v/>
      </c>
      <c r="ED360" t="str">
        <f>""</f>
        <v/>
      </c>
      <c r="EE360" t="str">
        <f>""</f>
        <v/>
      </c>
      <c r="EF360" t="str">
        <f>""</f>
        <v/>
      </c>
      <c r="EG360" t="str">
        <f>""</f>
        <v/>
      </c>
      <c r="EH360" t="str">
        <f>""</f>
        <v/>
      </c>
      <c r="EI360" t="str">
        <f>""</f>
        <v/>
      </c>
      <c r="EJ360" t="str">
        <f>""</f>
        <v/>
      </c>
      <c r="EK360" t="str">
        <f>""</f>
        <v/>
      </c>
      <c r="EL360" t="str">
        <f>""</f>
        <v/>
      </c>
      <c r="EM360" t="str">
        <f>""</f>
        <v/>
      </c>
      <c r="EN360" t="str">
        <f>""</f>
        <v/>
      </c>
      <c r="EO360" t="str">
        <f>""</f>
        <v/>
      </c>
      <c r="EP360" t="str">
        <f>""</f>
        <v/>
      </c>
      <c r="EQ360" t="str">
        <f>""</f>
        <v/>
      </c>
      <c r="ER360" t="str">
        <f>""</f>
        <v/>
      </c>
      <c r="ES360" t="str">
        <f>""</f>
        <v/>
      </c>
      <c r="ET360" t="str">
        <f>""</f>
        <v/>
      </c>
      <c r="EU360" t="str">
        <f>""</f>
        <v/>
      </c>
      <c r="EV360" t="str">
        <f>""</f>
        <v/>
      </c>
      <c r="EW360" t="str">
        <f>""</f>
        <v/>
      </c>
      <c r="EX360" t="str">
        <f>""</f>
        <v/>
      </c>
      <c r="EY360" t="str">
        <f>""</f>
        <v/>
      </c>
      <c r="EZ360" t="str">
        <f>""</f>
        <v/>
      </c>
      <c r="FA360" t="str">
        <f>""</f>
        <v/>
      </c>
      <c r="FB360" t="str">
        <f>""</f>
        <v/>
      </c>
      <c r="FC360" t="str">
        <f>""</f>
        <v/>
      </c>
      <c r="FD360" t="str">
        <f>""</f>
        <v/>
      </c>
      <c r="FE360" t="str">
        <f>""</f>
        <v/>
      </c>
      <c r="FF360" t="str">
        <f>""</f>
        <v/>
      </c>
      <c r="FG360" t="str">
        <f>""</f>
        <v/>
      </c>
      <c r="FH360" t="str">
        <f>""</f>
        <v/>
      </c>
      <c r="FI360" t="str">
        <f>""</f>
        <v/>
      </c>
      <c r="FJ360" t="str">
        <f>""</f>
        <v/>
      </c>
      <c r="FK360" t="str">
        <f>""</f>
        <v/>
      </c>
      <c r="FL360" t="str">
        <f>""</f>
        <v/>
      </c>
      <c r="FM360" t="str">
        <f>""</f>
        <v/>
      </c>
      <c r="FN360" t="str">
        <f>""</f>
        <v/>
      </c>
      <c r="FO360" t="str">
        <f>""</f>
        <v/>
      </c>
      <c r="FP360" t="str">
        <f>""</f>
        <v/>
      </c>
      <c r="FQ360" t="str">
        <f>""</f>
        <v/>
      </c>
      <c r="FR360" t="str">
        <f>""</f>
        <v/>
      </c>
      <c r="FS360" t="str">
        <f>""</f>
        <v/>
      </c>
      <c r="FT360" t="str">
        <f>""</f>
        <v/>
      </c>
      <c r="FU360" t="str">
        <f>""</f>
        <v/>
      </c>
      <c r="FV360" t="str">
        <f>""</f>
        <v/>
      </c>
      <c r="FW360" t="str">
        <f>""</f>
        <v/>
      </c>
      <c r="FX360" t="str">
        <f>""</f>
        <v/>
      </c>
      <c r="FY360" t="str">
        <f>""</f>
        <v/>
      </c>
      <c r="FZ360" t="str">
        <f>""</f>
        <v/>
      </c>
      <c r="GA360" t="str">
        <f>""</f>
        <v/>
      </c>
      <c r="GB360" t="str">
        <f>""</f>
        <v/>
      </c>
      <c r="GC360" t="str">
        <f>""</f>
        <v/>
      </c>
      <c r="GD360" t="str">
        <f>""</f>
        <v/>
      </c>
      <c r="GE360" t="str">
        <f>""</f>
        <v/>
      </c>
      <c r="GF360" t="str">
        <f>""</f>
        <v/>
      </c>
      <c r="GG360" t="str">
        <f>""</f>
        <v/>
      </c>
      <c r="GH360" t="str">
        <f>""</f>
        <v/>
      </c>
      <c r="GI360" t="str">
        <f>""</f>
        <v/>
      </c>
      <c r="GJ360" t="str">
        <f>""</f>
        <v/>
      </c>
      <c r="GK360" t="str">
        <f>""</f>
        <v/>
      </c>
      <c r="GL360" t="str">
        <f>""</f>
        <v/>
      </c>
      <c r="GM360" t="str">
        <f>""</f>
        <v/>
      </c>
      <c r="GN360" t="str">
        <f>""</f>
        <v/>
      </c>
      <c r="GO360" t="str">
        <f>""</f>
        <v/>
      </c>
      <c r="GP360" t="str">
        <f>""</f>
        <v/>
      </c>
      <c r="GQ360" t="str">
        <f>""</f>
        <v/>
      </c>
      <c r="GR360" t="str">
        <f>""</f>
        <v/>
      </c>
      <c r="GS360" t="str">
        <f>""</f>
        <v/>
      </c>
      <c r="GT360" t="str">
        <f>""</f>
        <v/>
      </c>
      <c r="GU360" t="str">
        <f>""</f>
        <v/>
      </c>
      <c r="GV360" t="str">
        <f>""</f>
        <v/>
      </c>
      <c r="GW360" t="str">
        <f>""</f>
        <v/>
      </c>
      <c r="GX360" t="str">
        <f>""</f>
        <v/>
      </c>
      <c r="GY360" t="str">
        <f>""</f>
        <v/>
      </c>
      <c r="GZ360" t="str">
        <f>""</f>
        <v/>
      </c>
      <c r="HA360" t="str">
        <f>""</f>
        <v/>
      </c>
      <c r="HB360" t="str">
        <f>""</f>
        <v/>
      </c>
      <c r="HC360" t="str">
        <f>""</f>
        <v/>
      </c>
      <c r="HD360" t="str">
        <f>""</f>
        <v/>
      </c>
      <c r="HE360" t="str">
        <f>""</f>
        <v/>
      </c>
      <c r="HF360" t="str">
        <f>""</f>
        <v/>
      </c>
      <c r="HG360" t="str">
        <f>""</f>
        <v/>
      </c>
      <c r="HH360" t="str">
        <f>""</f>
        <v/>
      </c>
      <c r="HI360" t="str">
        <f>""</f>
        <v/>
      </c>
      <c r="HJ360" t="str">
        <f>""</f>
        <v/>
      </c>
      <c r="HK360" t="str">
        <f>""</f>
        <v/>
      </c>
      <c r="HL360" t="str">
        <f>""</f>
        <v/>
      </c>
      <c r="HM360" t="str">
        <f>""</f>
        <v/>
      </c>
      <c r="HN360" t="str">
        <f>""</f>
        <v/>
      </c>
      <c r="HO360" t="str">
        <f>""</f>
        <v/>
      </c>
      <c r="HP360" t="str">
        <f>""</f>
        <v/>
      </c>
      <c r="HQ360" t="str">
        <f>""</f>
        <v/>
      </c>
      <c r="HR360" t="str">
        <f>""</f>
        <v/>
      </c>
      <c r="HS360" t="str">
        <f>""</f>
        <v/>
      </c>
      <c r="HT360" t="str">
        <f>""</f>
        <v/>
      </c>
      <c r="HU360" t="str">
        <f>""</f>
        <v/>
      </c>
      <c r="HV360" t="str">
        <f>""</f>
        <v/>
      </c>
      <c r="HW360" t="str">
        <f>""</f>
        <v/>
      </c>
      <c r="HX360" t="str">
        <f>""</f>
        <v/>
      </c>
      <c r="HY360" t="str">
        <f>""</f>
        <v/>
      </c>
      <c r="HZ360" t="str">
        <f>""</f>
        <v/>
      </c>
      <c r="IA360" t="str">
        <f>""</f>
        <v/>
      </c>
      <c r="IB360" t="str">
        <f>""</f>
        <v/>
      </c>
      <c r="IC360" t="str">
        <f>""</f>
        <v/>
      </c>
      <c r="ID360" t="str">
        <f>""</f>
        <v/>
      </c>
      <c r="IE360" t="str">
        <f>""</f>
        <v/>
      </c>
      <c r="IF360" t="str">
        <f>""</f>
        <v/>
      </c>
      <c r="IG360" t="str">
        <f>""</f>
        <v/>
      </c>
      <c r="IH360" t="str">
        <f>""</f>
        <v/>
      </c>
      <c r="II360" t="str">
        <f>""</f>
        <v/>
      </c>
      <c r="IJ360" t="str">
        <f>""</f>
        <v/>
      </c>
      <c r="IK360" t="str">
        <f>""</f>
        <v/>
      </c>
      <c r="IL360" t="str">
        <f>""</f>
        <v/>
      </c>
      <c r="IM360" t="str">
        <f>""</f>
        <v/>
      </c>
      <c r="IN360" t="str">
        <f>""</f>
        <v/>
      </c>
      <c r="IO360" t="str">
        <f>""</f>
        <v/>
      </c>
      <c r="IP360" t="str">
        <f>""</f>
        <v/>
      </c>
      <c r="IQ360" t="str">
        <f>""</f>
        <v/>
      </c>
      <c r="IR360" t="str">
        <f>""</f>
        <v/>
      </c>
      <c r="IS360" t="str">
        <f>""</f>
        <v/>
      </c>
      <c r="IT360" t="str">
        <f>""</f>
        <v/>
      </c>
      <c r="IU360" t="str">
        <f>""</f>
        <v/>
      </c>
      <c r="IV360" t="str">
        <f>""</f>
        <v/>
      </c>
      <c r="IW360" t="str">
        <f>""</f>
        <v/>
      </c>
      <c r="IX360" t="str">
        <f>""</f>
        <v/>
      </c>
      <c r="IY360" t="str">
        <f>""</f>
        <v/>
      </c>
      <c r="IZ360" t="str">
        <f>""</f>
        <v/>
      </c>
      <c r="JA360" t="str">
        <f>""</f>
        <v/>
      </c>
      <c r="JB360" t="str">
        <f>""</f>
        <v/>
      </c>
      <c r="JC360" t="str">
        <f>""</f>
        <v/>
      </c>
      <c r="JD360" t="str">
        <f>""</f>
        <v/>
      </c>
      <c r="JE360" t="str">
        <f>""</f>
        <v/>
      </c>
      <c r="JF360" t="str">
        <f>"-0.0206"</f>
        <v>-0.0206</v>
      </c>
      <c r="JG360" t="str">
        <f>"0.0959"</f>
        <v>0.0959</v>
      </c>
      <c r="JH360" t="str">
        <f>"-0.00158"</f>
        <v>-0.00158</v>
      </c>
      <c r="JI360" t="str">
        <f>""</f>
        <v/>
      </c>
      <c r="JJ360" t="str">
        <f>""</f>
        <v/>
      </c>
      <c r="JK360" t="str">
        <f>""</f>
        <v/>
      </c>
    </row>
    <row r="361" spans="1:271" x14ac:dyDescent="0.3">
      <c r="A361" t="str">
        <f>""</f>
        <v/>
      </c>
      <c r="B361" t="str">
        <f>""</f>
        <v/>
      </c>
      <c r="C361" t="str">
        <f>""</f>
        <v/>
      </c>
      <c r="D361" t="str">
        <f>""</f>
        <v/>
      </c>
      <c r="E361" t="str">
        <f>""</f>
        <v/>
      </c>
      <c r="F361" t="str">
        <f>""</f>
        <v/>
      </c>
      <c r="G361" t="str">
        <f>""</f>
        <v/>
      </c>
      <c r="H361" t="str">
        <f>""</f>
        <v/>
      </c>
      <c r="I361" t="str">
        <f>""</f>
        <v/>
      </c>
      <c r="J361" t="str">
        <f>""</f>
        <v/>
      </c>
      <c r="K361" t="str">
        <f>""</f>
        <v/>
      </c>
      <c r="L361" t="str">
        <f>""</f>
        <v/>
      </c>
      <c r="M361" t="str">
        <f>""</f>
        <v/>
      </c>
      <c r="N361" t="str">
        <f>""</f>
        <v/>
      </c>
      <c r="O361" t="str">
        <f>""</f>
        <v/>
      </c>
      <c r="P361" t="str">
        <f>""</f>
        <v/>
      </c>
      <c r="Q361" t="str">
        <f>""</f>
        <v/>
      </c>
      <c r="R361" t="str">
        <f>""</f>
        <v/>
      </c>
      <c r="S361" t="str">
        <f>""</f>
        <v/>
      </c>
      <c r="T361" t="str">
        <f>""</f>
        <v/>
      </c>
      <c r="U361" t="str">
        <f>""</f>
        <v/>
      </c>
      <c r="V361" t="str">
        <f>""</f>
        <v/>
      </c>
      <c r="W361" t="str">
        <f>""</f>
        <v/>
      </c>
      <c r="X361" t="str">
        <f>""</f>
        <v/>
      </c>
      <c r="Y361" t="str">
        <f>""</f>
        <v/>
      </c>
      <c r="Z361" t="str">
        <f>""</f>
        <v/>
      </c>
      <c r="AA361" t="str">
        <f>""</f>
        <v/>
      </c>
      <c r="AB361" t="str">
        <f>""</f>
        <v/>
      </c>
      <c r="AC361" t="str">
        <f>""</f>
        <v/>
      </c>
      <c r="AD361" t="str">
        <f>""</f>
        <v/>
      </c>
      <c r="AE361" t="str">
        <f>""</f>
        <v/>
      </c>
      <c r="AF361" t="str">
        <f>""</f>
        <v/>
      </c>
      <c r="AG361" t="str">
        <f>""</f>
        <v/>
      </c>
      <c r="AH361" t="str">
        <f>""</f>
        <v/>
      </c>
      <c r="AI361" t="str">
        <f>""</f>
        <v/>
      </c>
      <c r="AJ361" t="str">
        <f>""</f>
        <v/>
      </c>
      <c r="AK361" t="str">
        <f>""</f>
        <v/>
      </c>
      <c r="AL361" t="str">
        <f>""</f>
        <v/>
      </c>
      <c r="AM361" t="str">
        <f>""</f>
        <v/>
      </c>
      <c r="AN361" t="str">
        <f>""</f>
        <v/>
      </c>
      <c r="AO361" t="str">
        <f>""</f>
        <v/>
      </c>
      <c r="AP361" t="str">
        <f>""</f>
        <v/>
      </c>
      <c r="AQ361" t="str">
        <f>""</f>
        <v/>
      </c>
      <c r="AR361" t="str">
        <f>""</f>
        <v/>
      </c>
      <c r="AS361" t="str">
        <f>""</f>
        <v/>
      </c>
      <c r="AT361" t="str">
        <f>""</f>
        <v/>
      </c>
      <c r="AU361" t="str">
        <f>""</f>
        <v/>
      </c>
      <c r="AV361" t="str">
        <f>""</f>
        <v/>
      </c>
      <c r="AW361" t="str">
        <f>""</f>
        <v/>
      </c>
      <c r="AX361" t="str">
        <f>""</f>
        <v/>
      </c>
      <c r="AY361" t="str">
        <f>""</f>
        <v/>
      </c>
      <c r="AZ361" t="str">
        <f>""</f>
        <v/>
      </c>
      <c r="BA361" t="str">
        <f>""</f>
        <v/>
      </c>
      <c r="BB361" t="str">
        <f>""</f>
        <v/>
      </c>
      <c r="BC361" t="str">
        <f>""</f>
        <v/>
      </c>
      <c r="BD361" t="str">
        <f>""</f>
        <v/>
      </c>
      <c r="BE361" t="str">
        <f>""</f>
        <v/>
      </c>
      <c r="BF361" t="str">
        <f>""</f>
        <v/>
      </c>
      <c r="BG361" t="str">
        <f>""</f>
        <v/>
      </c>
      <c r="BH361" t="str">
        <f>""</f>
        <v/>
      </c>
      <c r="BI361" t="str">
        <f>""</f>
        <v/>
      </c>
      <c r="BJ361" t="str">
        <f>""</f>
        <v/>
      </c>
      <c r="BK361" t="str">
        <f>""</f>
        <v/>
      </c>
      <c r="BL361" t="str">
        <f>""</f>
        <v/>
      </c>
      <c r="BM361" t="str">
        <f>""</f>
        <v/>
      </c>
      <c r="BN361" t="str">
        <f>""</f>
        <v/>
      </c>
      <c r="BO361" t="str">
        <f>""</f>
        <v/>
      </c>
      <c r="BP361" t="str">
        <f>""</f>
        <v/>
      </c>
      <c r="BQ361" t="str">
        <f>""</f>
        <v/>
      </c>
      <c r="BR361" t="str">
        <f>""</f>
        <v/>
      </c>
      <c r="BS361" t="str">
        <f>""</f>
        <v/>
      </c>
      <c r="BT361" t="str">
        <f>""</f>
        <v/>
      </c>
      <c r="BU361" t="str">
        <f>""</f>
        <v/>
      </c>
      <c r="BV361" t="str">
        <f>""</f>
        <v/>
      </c>
      <c r="BW361" t="str">
        <f>""</f>
        <v/>
      </c>
      <c r="BX361" t="str">
        <f>""</f>
        <v/>
      </c>
      <c r="BY361" t="str">
        <f>""</f>
        <v/>
      </c>
      <c r="BZ361" t="str">
        <f>""</f>
        <v/>
      </c>
      <c r="CA361" t="str">
        <f>""</f>
        <v/>
      </c>
      <c r="CB361" t="str">
        <f>""</f>
        <v/>
      </c>
      <c r="CC361" t="str">
        <f>""</f>
        <v/>
      </c>
      <c r="CD361" t="str">
        <f>""</f>
        <v/>
      </c>
      <c r="CE361" t="str">
        <f>""</f>
        <v/>
      </c>
      <c r="CF361" t="str">
        <f>""</f>
        <v/>
      </c>
      <c r="CG361" t="str">
        <f>""</f>
        <v/>
      </c>
      <c r="CH361" t="str">
        <f>""</f>
        <v/>
      </c>
      <c r="CI361" t="str">
        <f>""</f>
        <v/>
      </c>
      <c r="CJ361" t="str">
        <f>""</f>
        <v/>
      </c>
      <c r="CK361" t="str">
        <f>""</f>
        <v/>
      </c>
      <c r="CL361" t="str">
        <f>""</f>
        <v/>
      </c>
      <c r="CM361" t="str">
        <f>""</f>
        <v/>
      </c>
      <c r="CN361" t="str">
        <f>""</f>
        <v/>
      </c>
      <c r="CO361" t="str">
        <f>""</f>
        <v/>
      </c>
      <c r="CP361" t="str">
        <f>""</f>
        <v/>
      </c>
      <c r="CQ361" t="str">
        <f>""</f>
        <v/>
      </c>
      <c r="CR361" t="str">
        <f>""</f>
        <v/>
      </c>
      <c r="CS361" t="str">
        <f>""</f>
        <v/>
      </c>
      <c r="CT361" t="str">
        <f>""</f>
        <v/>
      </c>
      <c r="CU361" t="str">
        <f>""</f>
        <v/>
      </c>
      <c r="CV361" t="str">
        <f>""</f>
        <v/>
      </c>
      <c r="CW361" t="str">
        <f>""</f>
        <v/>
      </c>
      <c r="CX361" t="str">
        <f>""</f>
        <v/>
      </c>
      <c r="CY361" t="str">
        <f>""</f>
        <v/>
      </c>
      <c r="CZ361" t="str">
        <f>""</f>
        <v/>
      </c>
      <c r="DA361" t="str">
        <f>""</f>
        <v/>
      </c>
      <c r="DB361" t="str">
        <f>""</f>
        <v/>
      </c>
      <c r="DC361" t="str">
        <f>""</f>
        <v/>
      </c>
      <c r="DD361" t="str">
        <f>""</f>
        <v/>
      </c>
      <c r="DE361" t="str">
        <f>""</f>
        <v/>
      </c>
      <c r="DF361" t="str">
        <f>""</f>
        <v/>
      </c>
      <c r="DG361" t="str">
        <f>""</f>
        <v/>
      </c>
      <c r="DH361" t="str">
        <f>""</f>
        <v/>
      </c>
      <c r="DI361" t="str">
        <f>""</f>
        <v/>
      </c>
      <c r="DJ361" t="str">
        <f>""</f>
        <v/>
      </c>
      <c r="DK361" t="str">
        <f>""</f>
        <v/>
      </c>
      <c r="DL361" t="str">
        <f>""</f>
        <v/>
      </c>
      <c r="DM361" t="str">
        <f>""</f>
        <v/>
      </c>
      <c r="DN361" t="str">
        <f>""</f>
        <v/>
      </c>
      <c r="DO361" t="str">
        <f>""</f>
        <v/>
      </c>
      <c r="DP361" t="str">
        <f>""</f>
        <v/>
      </c>
      <c r="DQ361" t="str">
        <f>""</f>
        <v/>
      </c>
      <c r="DR361" t="str">
        <f>""</f>
        <v/>
      </c>
      <c r="DS361" t="str">
        <f>""</f>
        <v/>
      </c>
      <c r="DT361" t="str">
        <f>""</f>
        <v/>
      </c>
      <c r="DU361" t="str">
        <f>""</f>
        <v/>
      </c>
      <c r="DV361" t="str">
        <f>""</f>
        <v/>
      </c>
      <c r="DW361" t="str">
        <f>""</f>
        <v/>
      </c>
      <c r="DX361" t="str">
        <f>""</f>
        <v/>
      </c>
      <c r="DY361" t="str">
        <f>""</f>
        <v/>
      </c>
      <c r="DZ361" t="str">
        <f>""</f>
        <v/>
      </c>
      <c r="EA361" t="str">
        <f>""</f>
        <v/>
      </c>
      <c r="EB361" t="str">
        <f>""</f>
        <v/>
      </c>
      <c r="EC361" t="str">
        <f>""</f>
        <v/>
      </c>
      <c r="ED361" t="str">
        <f>""</f>
        <v/>
      </c>
      <c r="EE361" t="str">
        <f>""</f>
        <v/>
      </c>
      <c r="EF361" t="str">
        <f>""</f>
        <v/>
      </c>
      <c r="EG361" t="str">
        <f>""</f>
        <v/>
      </c>
      <c r="EH361" t="str">
        <f>""</f>
        <v/>
      </c>
      <c r="EI361" t="str">
        <f>""</f>
        <v/>
      </c>
      <c r="EJ361" t="str">
        <f>""</f>
        <v/>
      </c>
      <c r="EK361" t="str">
        <f>""</f>
        <v/>
      </c>
      <c r="EL361" t="str">
        <f>""</f>
        <v/>
      </c>
      <c r="EM361" t="str">
        <f>""</f>
        <v/>
      </c>
      <c r="EN361" t="str">
        <f>""</f>
        <v/>
      </c>
      <c r="EO361" t="str">
        <f>""</f>
        <v/>
      </c>
      <c r="EP361" t="str">
        <f>""</f>
        <v/>
      </c>
      <c r="EQ361" t="str">
        <f>""</f>
        <v/>
      </c>
      <c r="ER361" t="str">
        <f>""</f>
        <v/>
      </c>
      <c r="ES361" t="str">
        <f>""</f>
        <v/>
      </c>
      <c r="ET361" t="str">
        <f>""</f>
        <v/>
      </c>
      <c r="EU361" t="str">
        <f>""</f>
        <v/>
      </c>
      <c r="EV361" t="str">
        <f>""</f>
        <v/>
      </c>
      <c r="EW361" t="str">
        <f>""</f>
        <v/>
      </c>
      <c r="EX361" t="str">
        <f>""</f>
        <v/>
      </c>
      <c r="EY361" t="str">
        <f>""</f>
        <v/>
      </c>
      <c r="EZ361" t="str">
        <f>""</f>
        <v/>
      </c>
      <c r="FA361" t="str">
        <f>""</f>
        <v/>
      </c>
      <c r="FB361" t="str">
        <f>""</f>
        <v/>
      </c>
      <c r="FC361" t="str">
        <f>""</f>
        <v/>
      </c>
      <c r="FD361" t="str">
        <f>""</f>
        <v/>
      </c>
      <c r="FE361" t="str">
        <f>""</f>
        <v/>
      </c>
      <c r="FF361" t="str">
        <f>""</f>
        <v/>
      </c>
      <c r="FG361" t="str">
        <f>""</f>
        <v/>
      </c>
      <c r="FH361" t="str">
        <f>""</f>
        <v/>
      </c>
      <c r="FI361" t="str">
        <f>""</f>
        <v/>
      </c>
      <c r="FJ361" t="str">
        <f>""</f>
        <v/>
      </c>
      <c r="FK361" t="str">
        <f>""</f>
        <v/>
      </c>
      <c r="FL361" t="str">
        <f>""</f>
        <v/>
      </c>
      <c r="FM361" t="str">
        <f>""</f>
        <v/>
      </c>
      <c r="FN361" t="str">
        <f>""</f>
        <v/>
      </c>
      <c r="FO361" t="str">
        <f>""</f>
        <v/>
      </c>
      <c r="FP361" t="str">
        <f>""</f>
        <v/>
      </c>
      <c r="FQ361" t="str">
        <f>""</f>
        <v/>
      </c>
      <c r="FR361" t="str">
        <f>""</f>
        <v/>
      </c>
      <c r="FS361" t="str">
        <f>""</f>
        <v/>
      </c>
      <c r="FT361" t="str">
        <f>""</f>
        <v/>
      </c>
      <c r="FU361" t="str">
        <f>""</f>
        <v/>
      </c>
      <c r="FV361" t="str">
        <f>""</f>
        <v/>
      </c>
      <c r="FW361" t="str">
        <f>""</f>
        <v/>
      </c>
      <c r="FX361" t="str">
        <f>""</f>
        <v/>
      </c>
      <c r="FY361" t="str">
        <f>""</f>
        <v/>
      </c>
      <c r="FZ361" t="str">
        <f>""</f>
        <v/>
      </c>
      <c r="GA361" t="str">
        <f>""</f>
        <v/>
      </c>
      <c r="GB361" t="str">
        <f>""</f>
        <v/>
      </c>
      <c r="GC361" t="str">
        <f>""</f>
        <v/>
      </c>
      <c r="GD361" t="str">
        <f>""</f>
        <v/>
      </c>
      <c r="GE361" t="str">
        <f>""</f>
        <v/>
      </c>
      <c r="GF361" t="str">
        <f>""</f>
        <v/>
      </c>
      <c r="GG361" t="str">
        <f>""</f>
        <v/>
      </c>
      <c r="GH361" t="str">
        <f>""</f>
        <v/>
      </c>
      <c r="GI361" t="str">
        <f>""</f>
        <v/>
      </c>
      <c r="GJ361" t="str">
        <f>""</f>
        <v/>
      </c>
      <c r="GK361" t="str">
        <f>""</f>
        <v/>
      </c>
      <c r="GL361" t="str">
        <f>""</f>
        <v/>
      </c>
      <c r="GM361" t="str">
        <f>""</f>
        <v/>
      </c>
      <c r="GN361" t="str">
        <f>""</f>
        <v/>
      </c>
      <c r="GO361" t="str">
        <f>""</f>
        <v/>
      </c>
      <c r="GP361" t="str">
        <f>""</f>
        <v/>
      </c>
      <c r="GQ361" t="str">
        <f>""</f>
        <v/>
      </c>
      <c r="GR361" t="str">
        <f>""</f>
        <v/>
      </c>
      <c r="GS361" t="str">
        <f>""</f>
        <v/>
      </c>
      <c r="GT361" t="str">
        <f>""</f>
        <v/>
      </c>
      <c r="GU361" t="str">
        <f>""</f>
        <v/>
      </c>
      <c r="GV361" t="str">
        <f>""</f>
        <v/>
      </c>
      <c r="GW361" t="str">
        <f>""</f>
        <v/>
      </c>
      <c r="GX361" t="str">
        <f>""</f>
        <v/>
      </c>
      <c r="GY361" t="str">
        <f>""</f>
        <v/>
      </c>
      <c r="GZ361" t="str">
        <f>""</f>
        <v/>
      </c>
      <c r="HA361" t="str">
        <f>""</f>
        <v/>
      </c>
      <c r="HB361" t="str">
        <f>""</f>
        <v/>
      </c>
      <c r="HC361" t="str">
        <f>""</f>
        <v/>
      </c>
      <c r="HD361" t="str">
        <f>""</f>
        <v/>
      </c>
      <c r="HE361" t="str">
        <f>""</f>
        <v/>
      </c>
      <c r="HF361" t="str">
        <f>""</f>
        <v/>
      </c>
      <c r="HG361" t="str">
        <f>""</f>
        <v/>
      </c>
      <c r="HH361" t="str">
        <f>""</f>
        <v/>
      </c>
      <c r="HI361" t="str">
        <f>""</f>
        <v/>
      </c>
      <c r="HJ361" t="str">
        <f>""</f>
        <v/>
      </c>
      <c r="HK361" t="str">
        <f>""</f>
        <v/>
      </c>
      <c r="HL361" t="str">
        <f>""</f>
        <v/>
      </c>
      <c r="HM361" t="str">
        <f>""</f>
        <v/>
      </c>
      <c r="HN361" t="str">
        <f>""</f>
        <v/>
      </c>
      <c r="HO361" t="str">
        <f>""</f>
        <v/>
      </c>
      <c r="HP361" t="str">
        <f>""</f>
        <v/>
      </c>
      <c r="HQ361" t="str">
        <f>""</f>
        <v/>
      </c>
      <c r="HR361" t="str">
        <f>""</f>
        <v/>
      </c>
      <c r="HS361" t="str">
        <f>""</f>
        <v/>
      </c>
      <c r="HT361" t="str">
        <f>""</f>
        <v/>
      </c>
      <c r="HU361" t="str">
        <f>""</f>
        <v/>
      </c>
      <c r="HV361" t="str">
        <f>""</f>
        <v/>
      </c>
      <c r="HW361" t="str">
        <f>""</f>
        <v/>
      </c>
      <c r="HX361" t="str">
        <f>""</f>
        <v/>
      </c>
      <c r="HY361" t="str">
        <f>""</f>
        <v/>
      </c>
      <c r="HZ361" t="str">
        <f>""</f>
        <v/>
      </c>
      <c r="IA361" t="str">
        <f>""</f>
        <v/>
      </c>
      <c r="IB361" t="str">
        <f>""</f>
        <v/>
      </c>
      <c r="IC361" t="str">
        <f>""</f>
        <v/>
      </c>
      <c r="ID361" t="str">
        <f>""</f>
        <v/>
      </c>
      <c r="IE361" t="str">
        <f>""</f>
        <v/>
      </c>
      <c r="IF361" t="str">
        <f>""</f>
        <v/>
      </c>
      <c r="IG361" t="str">
        <f>""</f>
        <v/>
      </c>
      <c r="IH361" t="str">
        <f>""</f>
        <v/>
      </c>
      <c r="II361" t="str">
        <f>""</f>
        <v/>
      </c>
      <c r="IJ361" t="str">
        <f>""</f>
        <v/>
      </c>
      <c r="IK361" t="str">
        <f>""</f>
        <v/>
      </c>
      <c r="IL361" t="str">
        <f>""</f>
        <v/>
      </c>
      <c r="IM361" t="str">
        <f>""</f>
        <v/>
      </c>
      <c r="IN361" t="str">
        <f>""</f>
        <v/>
      </c>
      <c r="IO361" t="str">
        <f>""</f>
        <v/>
      </c>
      <c r="IP361" t="str">
        <f>""</f>
        <v/>
      </c>
      <c r="IQ361" t="str">
        <f>""</f>
        <v/>
      </c>
      <c r="IR361" t="str">
        <f>""</f>
        <v/>
      </c>
      <c r="IS361" t="str">
        <f>""</f>
        <v/>
      </c>
      <c r="IT361" t="str">
        <f>""</f>
        <v/>
      </c>
      <c r="IU361" t="str">
        <f>""</f>
        <v/>
      </c>
      <c r="IV361" t="str">
        <f>""</f>
        <v/>
      </c>
      <c r="IW361" t="str">
        <f>""</f>
        <v/>
      </c>
      <c r="IX361" t="str">
        <f>""</f>
        <v/>
      </c>
      <c r="IY361" t="str">
        <f>""</f>
        <v/>
      </c>
      <c r="IZ361" t="str">
        <f>""</f>
        <v/>
      </c>
      <c r="JA361" t="str">
        <f>""</f>
        <v/>
      </c>
      <c r="JB361" t="str">
        <f>""</f>
        <v/>
      </c>
      <c r="JC361" t="str">
        <f>""</f>
        <v/>
      </c>
      <c r="JD361" t="str">
        <f>""</f>
        <v/>
      </c>
      <c r="JE361" t="str">
        <f>""</f>
        <v/>
      </c>
      <c r="JF361" t="str">
        <f>"(0.104)"</f>
        <v>(0.104)</v>
      </c>
      <c r="JG361" t="str">
        <f>"(0.0830)"</f>
        <v>(0.0830)</v>
      </c>
      <c r="JH361" t="str">
        <f>"(0.0442)"</f>
        <v>(0.0442)</v>
      </c>
      <c r="JI361" t="str">
        <f>""</f>
        <v/>
      </c>
      <c r="JJ361" t="str">
        <f>""</f>
        <v/>
      </c>
      <c r="JK361" t="str">
        <f>""</f>
        <v/>
      </c>
    </row>
    <row r="363" spans="1:271" x14ac:dyDescent="0.3">
      <c r="A363" t="str">
        <f>"c.zMETAB15#c.PM6"</f>
        <v>c.zMETAB15#c.PM6</v>
      </c>
      <c r="B363" t="str">
        <f>""</f>
        <v/>
      </c>
      <c r="C363" t="str">
        <f>""</f>
        <v/>
      </c>
      <c r="D363" t="str">
        <f>""</f>
        <v/>
      </c>
      <c r="E363" t="str">
        <f>""</f>
        <v/>
      </c>
      <c r="F363" t="str">
        <f>""</f>
        <v/>
      </c>
      <c r="G363" t="str">
        <f>""</f>
        <v/>
      </c>
      <c r="H363" t="str">
        <f>""</f>
        <v/>
      </c>
      <c r="I363" t="str">
        <f>""</f>
        <v/>
      </c>
      <c r="J363" t="str">
        <f>""</f>
        <v/>
      </c>
      <c r="K363" t="str">
        <f>""</f>
        <v/>
      </c>
      <c r="L363" t="str">
        <f>""</f>
        <v/>
      </c>
      <c r="M363" t="str">
        <f>""</f>
        <v/>
      </c>
      <c r="N363" t="str">
        <f>""</f>
        <v/>
      </c>
      <c r="O363" t="str">
        <f>""</f>
        <v/>
      </c>
      <c r="P363" t="str">
        <f>""</f>
        <v/>
      </c>
      <c r="Q363" t="str">
        <f>""</f>
        <v/>
      </c>
      <c r="R363" t="str">
        <f>""</f>
        <v/>
      </c>
      <c r="S363" t="str">
        <f>""</f>
        <v/>
      </c>
      <c r="T363" t="str">
        <f>""</f>
        <v/>
      </c>
      <c r="U363" t="str">
        <f>""</f>
        <v/>
      </c>
      <c r="V363" t="str">
        <f>""</f>
        <v/>
      </c>
      <c r="W363" t="str">
        <f>""</f>
        <v/>
      </c>
      <c r="X363" t="str">
        <f>""</f>
        <v/>
      </c>
      <c r="Y363" t="str">
        <f>""</f>
        <v/>
      </c>
      <c r="Z363" t="str">
        <f>""</f>
        <v/>
      </c>
      <c r="AA363" t="str">
        <f>""</f>
        <v/>
      </c>
      <c r="AB363" t="str">
        <f>""</f>
        <v/>
      </c>
      <c r="AC363" t="str">
        <f>""</f>
        <v/>
      </c>
      <c r="AD363" t="str">
        <f>""</f>
        <v/>
      </c>
      <c r="AE363" t="str">
        <f>""</f>
        <v/>
      </c>
      <c r="AF363" t="str">
        <f>""</f>
        <v/>
      </c>
      <c r="AG363" t="str">
        <f>""</f>
        <v/>
      </c>
      <c r="AH363" t="str">
        <f>""</f>
        <v/>
      </c>
      <c r="AI363" t="str">
        <f>""</f>
        <v/>
      </c>
      <c r="AJ363" t="str">
        <f>""</f>
        <v/>
      </c>
      <c r="AK363" t="str">
        <f>""</f>
        <v/>
      </c>
      <c r="AL363" t="str">
        <f>""</f>
        <v/>
      </c>
      <c r="AM363" t="str">
        <f>""</f>
        <v/>
      </c>
      <c r="AN363" t="str">
        <f>""</f>
        <v/>
      </c>
      <c r="AO363" t="str">
        <f>""</f>
        <v/>
      </c>
      <c r="AP363" t="str">
        <f>""</f>
        <v/>
      </c>
      <c r="AQ363" t="str">
        <f>""</f>
        <v/>
      </c>
      <c r="AR363" t="str">
        <f>""</f>
        <v/>
      </c>
      <c r="AS363" t="str">
        <f>""</f>
        <v/>
      </c>
      <c r="AT363" t="str">
        <f>""</f>
        <v/>
      </c>
      <c r="AU363" t="str">
        <f>""</f>
        <v/>
      </c>
      <c r="AV363" t="str">
        <f>""</f>
        <v/>
      </c>
      <c r="AW363" t="str">
        <f>""</f>
        <v/>
      </c>
      <c r="AX363" t="str">
        <f>""</f>
        <v/>
      </c>
      <c r="AY363" t="str">
        <f>""</f>
        <v/>
      </c>
      <c r="AZ363" t="str">
        <f>""</f>
        <v/>
      </c>
      <c r="BA363" t="str">
        <f>""</f>
        <v/>
      </c>
      <c r="BB363" t="str">
        <f>""</f>
        <v/>
      </c>
      <c r="BC363" t="str">
        <f>""</f>
        <v/>
      </c>
      <c r="BD363" t="str">
        <f>""</f>
        <v/>
      </c>
      <c r="BE363" t="str">
        <f>""</f>
        <v/>
      </c>
      <c r="BF363" t="str">
        <f>""</f>
        <v/>
      </c>
      <c r="BG363" t="str">
        <f>""</f>
        <v/>
      </c>
      <c r="BH363" t="str">
        <f>""</f>
        <v/>
      </c>
      <c r="BI363" t="str">
        <f>""</f>
        <v/>
      </c>
      <c r="BJ363" t="str">
        <f>""</f>
        <v/>
      </c>
      <c r="BK363" t="str">
        <f>""</f>
        <v/>
      </c>
      <c r="BL363" t="str">
        <f>""</f>
        <v/>
      </c>
      <c r="BM363" t="str">
        <f>""</f>
        <v/>
      </c>
      <c r="BN363" t="str">
        <f>""</f>
        <v/>
      </c>
      <c r="BO363" t="str">
        <f>""</f>
        <v/>
      </c>
      <c r="BP363" t="str">
        <f>""</f>
        <v/>
      </c>
      <c r="BQ363" t="str">
        <f>""</f>
        <v/>
      </c>
      <c r="BR363" t="str">
        <f>""</f>
        <v/>
      </c>
      <c r="BS363" t="str">
        <f>""</f>
        <v/>
      </c>
      <c r="BT363" t="str">
        <f>""</f>
        <v/>
      </c>
      <c r="BU363" t="str">
        <f>""</f>
        <v/>
      </c>
      <c r="BV363" t="str">
        <f>""</f>
        <v/>
      </c>
      <c r="BW363" t="str">
        <f>""</f>
        <v/>
      </c>
      <c r="BX363" t="str">
        <f>""</f>
        <v/>
      </c>
      <c r="BY363" t="str">
        <f>""</f>
        <v/>
      </c>
      <c r="BZ363" t="str">
        <f>""</f>
        <v/>
      </c>
      <c r="CA363" t="str">
        <f>""</f>
        <v/>
      </c>
      <c r="CB363" t="str">
        <f>""</f>
        <v/>
      </c>
      <c r="CC363" t="str">
        <f>""</f>
        <v/>
      </c>
      <c r="CD363" t="str">
        <f>""</f>
        <v/>
      </c>
      <c r="CE363" t="str">
        <f>""</f>
        <v/>
      </c>
      <c r="CF363" t="str">
        <f>""</f>
        <v/>
      </c>
      <c r="CG363" t="str">
        <f>""</f>
        <v/>
      </c>
      <c r="CH363" t="str">
        <f>""</f>
        <v/>
      </c>
      <c r="CI363" t="str">
        <f>""</f>
        <v/>
      </c>
      <c r="CJ363" t="str">
        <f>""</f>
        <v/>
      </c>
      <c r="CK363" t="str">
        <f>""</f>
        <v/>
      </c>
      <c r="CL363" t="str">
        <f>""</f>
        <v/>
      </c>
      <c r="CM363" t="str">
        <f>""</f>
        <v/>
      </c>
      <c r="CN363" t="str">
        <f>""</f>
        <v/>
      </c>
      <c r="CO363" t="str">
        <f>""</f>
        <v/>
      </c>
      <c r="CP363" t="str">
        <f>""</f>
        <v/>
      </c>
      <c r="CQ363" t="str">
        <f>""</f>
        <v/>
      </c>
      <c r="CR363" t="str">
        <f>""</f>
        <v/>
      </c>
      <c r="CS363" t="str">
        <f>""</f>
        <v/>
      </c>
      <c r="CT363" t="str">
        <f>""</f>
        <v/>
      </c>
      <c r="CU363" t="str">
        <f>""</f>
        <v/>
      </c>
      <c r="CV363" t="str">
        <f>""</f>
        <v/>
      </c>
      <c r="CW363" t="str">
        <f>""</f>
        <v/>
      </c>
      <c r="CX363" t="str">
        <f>""</f>
        <v/>
      </c>
      <c r="CY363" t="str">
        <f>""</f>
        <v/>
      </c>
      <c r="CZ363" t="str">
        <f>""</f>
        <v/>
      </c>
      <c r="DA363" t="str">
        <f>""</f>
        <v/>
      </c>
      <c r="DB363" t="str">
        <f>""</f>
        <v/>
      </c>
      <c r="DC363" t="str">
        <f>""</f>
        <v/>
      </c>
      <c r="DD363" t="str">
        <f>""</f>
        <v/>
      </c>
      <c r="DE363" t="str">
        <f>""</f>
        <v/>
      </c>
      <c r="DF363" t="str">
        <f>""</f>
        <v/>
      </c>
      <c r="DG363" t="str">
        <f>""</f>
        <v/>
      </c>
      <c r="DH363" t="str">
        <f>""</f>
        <v/>
      </c>
      <c r="DI363" t="str">
        <f>""</f>
        <v/>
      </c>
      <c r="DJ363" t="str">
        <f>""</f>
        <v/>
      </c>
      <c r="DK363" t="str">
        <f>""</f>
        <v/>
      </c>
      <c r="DL363" t="str">
        <f>""</f>
        <v/>
      </c>
      <c r="DM363" t="str">
        <f>""</f>
        <v/>
      </c>
      <c r="DN363" t="str">
        <f>""</f>
        <v/>
      </c>
      <c r="DO363" t="str">
        <f>""</f>
        <v/>
      </c>
      <c r="DP363" t="str">
        <f>""</f>
        <v/>
      </c>
      <c r="DQ363" t="str">
        <f>""</f>
        <v/>
      </c>
      <c r="DR363" t="str">
        <f>""</f>
        <v/>
      </c>
      <c r="DS363" t="str">
        <f>""</f>
        <v/>
      </c>
      <c r="DT363" t="str">
        <f>""</f>
        <v/>
      </c>
      <c r="DU363" t="str">
        <f>""</f>
        <v/>
      </c>
      <c r="DV363" t="str">
        <f>""</f>
        <v/>
      </c>
      <c r="DW363" t="str">
        <f>""</f>
        <v/>
      </c>
      <c r="DX363" t="str">
        <f>""</f>
        <v/>
      </c>
      <c r="DY363" t="str">
        <f>""</f>
        <v/>
      </c>
      <c r="DZ363" t="str">
        <f>""</f>
        <v/>
      </c>
      <c r="EA363" t="str">
        <f>""</f>
        <v/>
      </c>
      <c r="EB363" t="str">
        <f>""</f>
        <v/>
      </c>
      <c r="EC363" t="str">
        <f>""</f>
        <v/>
      </c>
      <c r="ED363" t="str">
        <f>""</f>
        <v/>
      </c>
      <c r="EE363" t="str">
        <f>""</f>
        <v/>
      </c>
      <c r="EF363" t="str">
        <f>""</f>
        <v/>
      </c>
      <c r="EG363" t="str">
        <f>""</f>
        <v/>
      </c>
      <c r="EH363" t="str">
        <f>""</f>
        <v/>
      </c>
      <c r="EI363" t="str">
        <f>""</f>
        <v/>
      </c>
      <c r="EJ363" t="str">
        <f>""</f>
        <v/>
      </c>
      <c r="EK363" t="str">
        <f>""</f>
        <v/>
      </c>
      <c r="EL363" t="str">
        <f>""</f>
        <v/>
      </c>
      <c r="EM363" t="str">
        <f>""</f>
        <v/>
      </c>
      <c r="EN363" t="str">
        <f>""</f>
        <v/>
      </c>
      <c r="EO363" t="str">
        <f>""</f>
        <v/>
      </c>
      <c r="EP363" t="str">
        <f>""</f>
        <v/>
      </c>
      <c r="EQ363" t="str">
        <f>""</f>
        <v/>
      </c>
      <c r="ER363" t="str">
        <f>""</f>
        <v/>
      </c>
      <c r="ES363" t="str">
        <f>""</f>
        <v/>
      </c>
      <c r="ET363" t="str">
        <f>""</f>
        <v/>
      </c>
      <c r="EU363" t="str">
        <f>""</f>
        <v/>
      </c>
      <c r="EV363" t="str">
        <f>""</f>
        <v/>
      </c>
      <c r="EW363" t="str">
        <f>""</f>
        <v/>
      </c>
      <c r="EX363" t="str">
        <f>""</f>
        <v/>
      </c>
      <c r="EY363" t="str">
        <f>""</f>
        <v/>
      </c>
      <c r="EZ363" t="str">
        <f>""</f>
        <v/>
      </c>
      <c r="FA363" t="str">
        <f>""</f>
        <v/>
      </c>
      <c r="FB363" t="str">
        <f>""</f>
        <v/>
      </c>
      <c r="FC363" t="str">
        <f>""</f>
        <v/>
      </c>
      <c r="FD363" t="str">
        <f>""</f>
        <v/>
      </c>
      <c r="FE363" t="str">
        <f>""</f>
        <v/>
      </c>
      <c r="FF363" t="str">
        <f>""</f>
        <v/>
      </c>
      <c r="FG363" t="str">
        <f>""</f>
        <v/>
      </c>
      <c r="FH363" t="str">
        <f>""</f>
        <v/>
      </c>
      <c r="FI363" t="str">
        <f>""</f>
        <v/>
      </c>
      <c r="FJ363" t="str">
        <f>""</f>
        <v/>
      </c>
      <c r="FK363" t="str">
        <f>""</f>
        <v/>
      </c>
      <c r="FL363" t="str">
        <f>""</f>
        <v/>
      </c>
      <c r="FM363" t="str">
        <f>""</f>
        <v/>
      </c>
      <c r="FN363" t="str">
        <f>""</f>
        <v/>
      </c>
      <c r="FO363" t="str">
        <f>""</f>
        <v/>
      </c>
      <c r="FP363" t="str">
        <f>""</f>
        <v/>
      </c>
      <c r="FQ363" t="str">
        <f>""</f>
        <v/>
      </c>
      <c r="FR363" t="str">
        <f>""</f>
        <v/>
      </c>
      <c r="FS363" t="str">
        <f>""</f>
        <v/>
      </c>
      <c r="FT363" t="str">
        <f>""</f>
        <v/>
      </c>
      <c r="FU363" t="str">
        <f>""</f>
        <v/>
      </c>
      <c r="FV363" t="str">
        <f>""</f>
        <v/>
      </c>
      <c r="FW363" t="str">
        <f>""</f>
        <v/>
      </c>
      <c r="FX363" t="str">
        <f>""</f>
        <v/>
      </c>
      <c r="FY363" t="str">
        <f>""</f>
        <v/>
      </c>
      <c r="FZ363" t="str">
        <f>""</f>
        <v/>
      </c>
      <c r="GA363" t="str">
        <f>""</f>
        <v/>
      </c>
      <c r="GB363" t="str">
        <f>""</f>
        <v/>
      </c>
      <c r="GC363" t="str">
        <f>""</f>
        <v/>
      </c>
      <c r="GD363" t="str">
        <f>""</f>
        <v/>
      </c>
      <c r="GE363" t="str">
        <f>""</f>
        <v/>
      </c>
      <c r="GF363" t="str">
        <f>""</f>
        <v/>
      </c>
      <c r="GG363" t="str">
        <f>""</f>
        <v/>
      </c>
      <c r="GH363" t="str">
        <f>""</f>
        <v/>
      </c>
      <c r="GI363" t="str">
        <f>""</f>
        <v/>
      </c>
      <c r="GJ363" t="str">
        <f>""</f>
        <v/>
      </c>
      <c r="GK363" t="str">
        <f>""</f>
        <v/>
      </c>
      <c r="GL363" t="str">
        <f>""</f>
        <v/>
      </c>
      <c r="GM363" t="str">
        <f>""</f>
        <v/>
      </c>
      <c r="GN363" t="str">
        <f>""</f>
        <v/>
      </c>
      <c r="GO363" t="str">
        <f>""</f>
        <v/>
      </c>
      <c r="GP363" t="str">
        <f>""</f>
        <v/>
      </c>
      <c r="GQ363" t="str">
        <f>""</f>
        <v/>
      </c>
      <c r="GR363" t="str">
        <f>""</f>
        <v/>
      </c>
      <c r="GS363" t="str">
        <f>""</f>
        <v/>
      </c>
      <c r="GT363" t="str">
        <f>""</f>
        <v/>
      </c>
      <c r="GU363" t="str">
        <f>""</f>
        <v/>
      </c>
      <c r="GV363" t="str">
        <f>""</f>
        <v/>
      </c>
      <c r="GW363" t="str">
        <f>""</f>
        <v/>
      </c>
      <c r="GX363" t="str">
        <f>""</f>
        <v/>
      </c>
      <c r="GY363" t="str">
        <f>""</f>
        <v/>
      </c>
      <c r="GZ363" t="str">
        <f>""</f>
        <v/>
      </c>
      <c r="HA363" t="str">
        <f>""</f>
        <v/>
      </c>
      <c r="HB363" t="str">
        <f>""</f>
        <v/>
      </c>
      <c r="HC363" t="str">
        <f>""</f>
        <v/>
      </c>
      <c r="HD363" t="str">
        <f>""</f>
        <v/>
      </c>
      <c r="HE363" t="str">
        <f>""</f>
        <v/>
      </c>
      <c r="HF363" t="str">
        <f>""</f>
        <v/>
      </c>
      <c r="HG363" t="str">
        <f>""</f>
        <v/>
      </c>
      <c r="HH363" t="str">
        <f>""</f>
        <v/>
      </c>
      <c r="HI363" t="str">
        <f>""</f>
        <v/>
      </c>
      <c r="HJ363" t="str">
        <f>""</f>
        <v/>
      </c>
      <c r="HK363" t="str">
        <f>""</f>
        <v/>
      </c>
      <c r="HL363" t="str">
        <f>""</f>
        <v/>
      </c>
      <c r="HM363" t="str">
        <f>""</f>
        <v/>
      </c>
      <c r="HN363" t="str">
        <f>""</f>
        <v/>
      </c>
      <c r="HO363" t="str">
        <f>""</f>
        <v/>
      </c>
      <c r="HP363" t="str">
        <f>""</f>
        <v/>
      </c>
      <c r="HQ363" t="str">
        <f>""</f>
        <v/>
      </c>
      <c r="HR363" t="str">
        <f>""</f>
        <v/>
      </c>
      <c r="HS363" t="str">
        <f>""</f>
        <v/>
      </c>
      <c r="HT363" t="str">
        <f>""</f>
        <v/>
      </c>
      <c r="HU363" t="str">
        <f>""</f>
        <v/>
      </c>
      <c r="HV363" t="str">
        <f>""</f>
        <v/>
      </c>
      <c r="HW363" t="str">
        <f>""</f>
        <v/>
      </c>
      <c r="HX363" t="str">
        <f>""</f>
        <v/>
      </c>
      <c r="HY363" t="str">
        <f>""</f>
        <v/>
      </c>
      <c r="HZ363" t="str">
        <f>""</f>
        <v/>
      </c>
      <c r="IA363" t="str">
        <f>""</f>
        <v/>
      </c>
      <c r="IB363" t="str">
        <f>""</f>
        <v/>
      </c>
      <c r="IC363" t="str">
        <f>""</f>
        <v/>
      </c>
      <c r="ID363" t="str">
        <f>""</f>
        <v/>
      </c>
      <c r="IE363" t="str">
        <f>""</f>
        <v/>
      </c>
      <c r="IF363" t="str">
        <f>""</f>
        <v/>
      </c>
      <c r="IG363" t="str">
        <f>""</f>
        <v/>
      </c>
      <c r="IH363" t="str">
        <f>""</f>
        <v/>
      </c>
      <c r="II363" t="str">
        <f>""</f>
        <v/>
      </c>
      <c r="IJ363" t="str">
        <f>""</f>
        <v/>
      </c>
      <c r="IK363" t="str">
        <f>""</f>
        <v/>
      </c>
      <c r="IL363" t="str">
        <f>""</f>
        <v/>
      </c>
      <c r="IM363" t="str">
        <f>""</f>
        <v/>
      </c>
      <c r="IN363" t="str">
        <f>""</f>
        <v/>
      </c>
      <c r="IO363" t="str">
        <f>""</f>
        <v/>
      </c>
      <c r="IP363" t="str">
        <f>""</f>
        <v/>
      </c>
      <c r="IQ363" t="str">
        <f>""</f>
        <v/>
      </c>
      <c r="IR363" t="str">
        <f>""</f>
        <v/>
      </c>
      <c r="IS363" t="str">
        <f>""</f>
        <v/>
      </c>
      <c r="IT363" t="str">
        <f>""</f>
        <v/>
      </c>
      <c r="IU363" t="str">
        <f>""</f>
        <v/>
      </c>
      <c r="IV363" t="str">
        <f>""</f>
        <v/>
      </c>
      <c r="IW363" t="str">
        <f>""</f>
        <v/>
      </c>
      <c r="IX363" t="str">
        <f>""</f>
        <v/>
      </c>
      <c r="IY363" t="str">
        <f>""</f>
        <v/>
      </c>
      <c r="IZ363" t="str">
        <f>""</f>
        <v/>
      </c>
      <c r="JA363" t="str">
        <f>""</f>
        <v/>
      </c>
      <c r="JB363" t="str">
        <f>""</f>
        <v/>
      </c>
      <c r="JC363" t="str">
        <f>""</f>
        <v/>
      </c>
      <c r="JD363" t="str">
        <f>""</f>
        <v/>
      </c>
      <c r="JE363" t="str">
        <f>""</f>
        <v/>
      </c>
      <c r="JF363" t="str">
        <f>""</f>
        <v/>
      </c>
      <c r="JG363" t="str">
        <f>""</f>
        <v/>
      </c>
      <c r="JH363" t="str">
        <f>""</f>
        <v/>
      </c>
      <c r="JI363" t="str">
        <f>"0.113"</f>
        <v>0.113</v>
      </c>
      <c r="JJ363" t="str">
        <f>"0.0137"</f>
        <v>0.0137</v>
      </c>
      <c r="JK363" t="str">
        <f>"-0.0466"</f>
        <v>-0.0466</v>
      </c>
    </row>
    <row r="364" spans="1:271" x14ac:dyDescent="0.3">
      <c r="A364" t="str">
        <f>""</f>
        <v/>
      </c>
      <c r="B364" t="str">
        <f>""</f>
        <v/>
      </c>
      <c r="C364" t="str">
        <f>""</f>
        <v/>
      </c>
      <c r="D364" t="str">
        <f>""</f>
        <v/>
      </c>
      <c r="E364" t="str">
        <f>""</f>
        <v/>
      </c>
      <c r="F364" t="str">
        <f>""</f>
        <v/>
      </c>
      <c r="G364" t="str">
        <f>""</f>
        <v/>
      </c>
      <c r="H364" t="str">
        <f>""</f>
        <v/>
      </c>
      <c r="I364" t="str">
        <f>""</f>
        <v/>
      </c>
      <c r="J364" t="str">
        <f>""</f>
        <v/>
      </c>
      <c r="K364" t="str">
        <f>""</f>
        <v/>
      </c>
      <c r="L364" t="str">
        <f>""</f>
        <v/>
      </c>
      <c r="M364" t="str">
        <f>""</f>
        <v/>
      </c>
      <c r="N364" t="str">
        <f>""</f>
        <v/>
      </c>
      <c r="O364" t="str">
        <f>""</f>
        <v/>
      </c>
      <c r="P364" t="str">
        <f>""</f>
        <v/>
      </c>
      <c r="Q364" t="str">
        <f>""</f>
        <v/>
      </c>
      <c r="R364" t="str">
        <f>""</f>
        <v/>
      </c>
      <c r="S364" t="str">
        <f>""</f>
        <v/>
      </c>
      <c r="T364" t="str">
        <f>""</f>
        <v/>
      </c>
      <c r="U364" t="str">
        <f>""</f>
        <v/>
      </c>
      <c r="V364" t="str">
        <f>""</f>
        <v/>
      </c>
      <c r="W364" t="str">
        <f>""</f>
        <v/>
      </c>
      <c r="X364" t="str">
        <f>""</f>
        <v/>
      </c>
      <c r="Y364" t="str">
        <f>""</f>
        <v/>
      </c>
      <c r="Z364" t="str">
        <f>""</f>
        <v/>
      </c>
      <c r="AA364" t="str">
        <f>""</f>
        <v/>
      </c>
      <c r="AB364" t="str">
        <f>""</f>
        <v/>
      </c>
      <c r="AC364" t="str">
        <f>""</f>
        <v/>
      </c>
      <c r="AD364" t="str">
        <f>""</f>
        <v/>
      </c>
      <c r="AE364" t="str">
        <f>""</f>
        <v/>
      </c>
      <c r="AF364" t="str">
        <f>""</f>
        <v/>
      </c>
      <c r="AG364" t="str">
        <f>""</f>
        <v/>
      </c>
      <c r="AH364" t="str">
        <f>""</f>
        <v/>
      </c>
      <c r="AI364" t="str">
        <f>""</f>
        <v/>
      </c>
      <c r="AJ364" t="str">
        <f>""</f>
        <v/>
      </c>
      <c r="AK364" t="str">
        <f>""</f>
        <v/>
      </c>
      <c r="AL364" t="str">
        <f>""</f>
        <v/>
      </c>
      <c r="AM364" t="str">
        <f>""</f>
        <v/>
      </c>
      <c r="AN364" t="str">
        <f>""</f>
        <v/>
      </c>
      <c r="AO364" t="str">
        <f>""</f>
        <v/>
      </c>
      <c r="AP364" t="str">
        <f>""</f>
        <v/>
      </c>
      <c r="AQ364" t="str">
        <f>""</f>
        <v/>
      </c>
      <c r="AR364" t="str">
        <f>""</f>
        <v/>
      </c>
      <c r="AS364" t="str">
        <f>""</f>
        <v/>
      </c>
      <c r="AT364" t="str">
        <f>""</f>
        <v/>
      </c>
      <c r="AU364" t="str">
        <f>""</f>
        <v/>
      </c>
      <c r="AV364" t="str">
        <f>""</f>
        <v/>
      </c>
      <c r="AW364" t="str">
        <f>""</f>
        <v/>
      </c>
      <c r="AX364" t="str">
        <f>""</f>
        <v/>
      </c>
      <c r="AY364" t="str">
        <f>""</f>
        <v/>
      </c>
      <c r="AZ364" t="str">
        <f>""</f>
        <v/>
      </c>
      <c r="BA364" t="str">
        <f>""</f>
        <v/>
      </c>
      <c r="BB364" t="str">
        <f>""</f>
        <v/>
      </c>
      <c r="BC364" t="str">
        <f>""</f>
        <v/>
      </c>
      <c r="BD364" t="str">
        <f>""</f>
        <v/>
      </c>
      <c r="BE364" t="str">
        <f>""</f>
        <v/>
      </c>
      <c r="BF364" t="str">
        <f>""</f>
        <v/>
      </c>
      <c r="BG364" t="str">
        <f>""</f>
        <v/>
      </c>
      <c r="BH364" t="str">
        <f>""</f>
        <v/>
      </c>
      <c r="BI364" t="str">
        <f>""</f>
        <v/>
      </c>
      <c r="BJ364" t="str">
        <f>""</f>
        <v/>
      </c>
      <c r="BK364" t="str">
        <f>""</f>
        <v/>
      </c>
      <c r="BL364" t="str">
        <f>""</f>
        <v/>
      </c>
      <c r="BM364" t="str">
        <f>""</f>
        <v/>
      </c>
      <c r="BN364" t="str">
        <f>""</f>
        <v/>
      </c>
      <c r="BO364" t="str">
        <f>""</f>
        <v/>
      </c>
      <c r="BP364" t="str">
        <f>""</f>
        <v/>
      </c>
      <c r="BQ364" t="str">
        <f>""</f>
        <v/>
      </c>
      <c r="BR364" t="str">
        <f>""</f>
        <v/>
      </c>
      <c r="BS364" t="str">
        <f>""</f>
        <v/>
      </c>
      <c r="BT364" t="str">
        <f>""</f>
        <v/>
      </c>
      <c r="BU364" t="str">
        <f>""</f>
        <v/>
      </c>
      <c r="BV364" t="str">
        <f>""</f>
        <v/>
      </c>
      <c r="BW364" t="str">
        <f>""</f>
        <v/>
      </c>
      <c r="BX364" t="str">
        <f>""</f>
        <v/>
      </c>
      <c r="BY364" t="str">
        <f>""</f>
        <v/>
      </c>
      <c r="BZ364" t="str">
        <f>""</f>
        <v/>
      </c>
      <c r="CA364" t="str">
        <f>""</f>
        <v/>
      </c>
      <c r="CB364" t="str">
        <f>""</f>
        <v/>
      </c>
      <c r="CC364" t="str">
        <f>""</f>
        <v/>
      </c>
      <c r="CD364" t="str">
        <f>""</f>
        <v/>
      </c>
      <c r="CE364" t="str">
        <f>""</f>
        <v/>
      </c>
      <c r="CF364" t="str">
        <f>""</f>
        <v/>
      </c>
      <c r="CG364" t="str">
        <f>""</f>
        <v/>
      </c>
      <c r="CH364" t="str">
        <f>""</f>
        <v/>
      </c>
      <c r="CI364" t="str">
        <f>""</f>
        <v/>
      </c>
      <c r="CJ364" t="str">
        <f>""</f>
        <v/>
      </c>
      <c r="CK364" t="str">
        <f>""</f>
        <v/>
      </c>
      <c r="CL364" t="str">
        <f>""</f>
        <v/>
      </c>
      <c r="CM364" t="str">
        <f>""</f>
        <v/>
      </c>
      <c r="CN364" t="str">
        <f>""</f>
        <v/>
      </c>
      <c r="CO364" t="str">
        <f>""</f>
        <v/>
      </c>
      <c r="CP364" t="str">
        <f>""</f>
        <v/>
      </c>
      <c r="CQ364" t="str">
        <f>""</f>
        <v/>
      </c>
      <c r="CR364" t="str">
        <f>""</f>
        <v/>
      </c>
      <c r="CS364" t="str">
        <f>""</f>
        <v/>
      </c>
      <c r="CT364" t="str">
        <f>""</f>
        <v/>
      </c>
      <c r="CU364" t="str">
        <f>""</f>
        <v/>
      </c>
      <c r="CV364" t="str">
        <f>""</f>
        <v/>
      </c>
      <c r="CW364" t="str">
        <f>""</f>
        <v/>
      </c>
      <c r="CX364" t="str">
        <f>""</f>
        <v/>
      </c>
      <c r="CY364" t="str">
        <f>""</f>
        <v/>
      </c>
      <c r="CZ364" t="str">
        <f>""</f>
        <v/>
      </c>
      <c r="DA364" t="str">
        <f>""</f>
        <v/>
      </c>
      <c r="DB364" t="str">
        <f>""</f>
        <v/>
      </c>
      <c r="DC364" t="str">
        <f>""</f>
        <v/>
      </c>
      <c r="DD364" t="str">
        <f>""</f>
        <v/>
      </c>
      <c r="DE364" t="str">
        <f>""</f>
        <v/>
      </c>
      <c r="DF364" t="str">
        <f>""</f>
        <v/>
      </c>
      <c r="DG364" t="str">
        <f>""</f>
        <v/>
      </c>
      <c r="DH364" t="str">
        <f>""</f>
        <v/>
      </c>
      <c r="DI364" t="str">
        <f>""</f>
        <v/>
      </c>
      <c r="DJ364" t="str">
        <f>""</f>
        <v/>
      </c>
      <c r="DK364" t="str">
        <f>""</f>
        <v/>
      </c>
      <c r="DL364" t="str">
        <f>""</f>
        <v/>
      </c>
      <c r="DM364" t="str">
        <f>""</f>
        <v/>
      </c>
      <c r="DN364" t="str">
        <f>""</f>
        <v/>
      </c>
      <c r="DO364" t="str">
        <f>""</f>
        <v/>
      </c>
      <c r="DP364" t="str">
        <f>""</f>
        <v/>
      </c>
      <c r="DQ364" t="str">
        <f>""</f>
        <v/>
      </c>
      <c r="DR364" t="str">
        <f>""</f>
        <v/>
      </c>
      <c r="DS364" t="str">
        <f>""</f>
        <v/>
      </c>
      <c r="DT364" t="str">
        <f>""</f>
        <v/>
      </c>
      <c r="DU364" t="str">
        <f>""</f>
        <v/>
      </c>
      <c r="DV364" t="str">
        <f>""</f>
        <v/>
      </c>
      <c r="DW364" t="str">
        <f>""</f>
        <v/>
      </c>
      <c r="DX364" t="str">
        <f>""</f>
        <v/>
      </c>
      <c r="DY364" t="str">
        <f>""</f>
        <v/>
      </c>
      <c r="DZ364" t="str">
        <f>""</f>
        <v/>
      </c>
      <c r="EA364" t="str">
        <f>""</f>
        <v/>
      </c>
      <c r="EB364" t="str">
        <f>""</f>
        <v/>
      </c>
      <c r="EC364" t="str">
        <f>""</f>
        <v/>
      </c>
      <c r="ED364" t="str">
        <f>""</f>
        <v/>
      </c>
      <c r="EE364" t="str">
        <f>""</f>
        <v/>
      </c>
      <c r="EF364" t="str">
        <f>""</f>
        <v/>
      </c>
      <c r="EG364" t="str">
        <f>""</f>
        <v/>
      </c>
      <c r="EH364" t="str">
        <f>""</f>
        <v/>
      </c>
      <c r="EI364" t="str">
        <f>""</f>
        <v/>
      </c>
      <c r="EJ364" t="str">
        <f>""</f>
        <v/>
      </c>
      <c r="EK364" t="str">
        <f>""</f>
        <v/>
      </c>
      <c r="EL364" t="str">
        <f>""</f>
        <v/>
      </c>
      <c r="EM364" t="str">
        <f>""</f>
        <v/>
      </c>
      <c r="EN364" t="str">
        <f>""</f>
        <v/>
      </c>
      <c r="EO364" t="str">
        <f>""</f>
        <v/>
      </c>
      <c r="EP364" t="str">
        <f>""</f>
        <v/>
      </c>
      <c r="EQ364" t="str">
        <f>""</f>
        <v/>
      </c>
      <c r="ER364" t="str">
        <f>""</f>
        <v/>
      </c>
      <c r="ES364" t="str">
        <f>""</f>
        <v/>
      </c>
      <c r="ET364" t="str">
        <f>""</f>
        <v/>
      </c>
      <c r="EU364" t="str">
        <f>""</f>
        <v/>
      </c>
      <c r="EV364" t="str">
        <f>""</f>
        <v/>
      </c>
      <c r="EW364" t="str">
        <f>""</f>
        <v/>
      </c>
      <c r="EX364" t="str">
        <f>""</f>
        <v/>
      </c>
      <c r="EY364" t="str">
        <f>""</f>
        <v/>
      </c>
      <c r="EZ364" t="str">
        <f>""</f>
        <v/>
      </c>
      <c r="FA364" t="str">
        <f>""</f>
        <v/>
      </c>
      <c r="FB364" t="str">
        <f>""</f>
        <v/>
      </c>
      <c r="FC364" t="str">
        <f>""</f>
        <v/>
      </c>
      <c r="FD364" t="str">
        <f>""</f>
        <v/>
      </c>
      <c r="FE364" t="str">
        <f>""</f>
        <v/>
      </c>
      <c r="FF364" t="str">
        <f>""</f>
        <v/>
      </c>
      <c r="FG364" t="str">
        <f>""</f>
        <v/>
      </c>
      <c r="FH364" t="str">
        <f>""</f>
        <v/>
      </c>
      <c r="FI364" t="str">
        <f>""</f>
        <v/>
      </c>
      <c r="FJ364" t="str">
        <f>""</f>
        <v/>
      </c>
      <c r="FK364" t="str">
        <f>""</f>
        <v/>
      </c>
      <c r="FL364" t="str">
        <f>""</f>
        <v/>
      </c>
      <c r="FM364" t="str">
        <f>""</f>
        <v/>
      </c>
      <c r="FN364" t="str">
        <f>""</f>
        <v/>
      </c>
      <c r="FO364" t="str">
        <f>""</f>
        <v/>
      </c>
      <c r="FP364" t="str">
        <f>""</f>
        <v/>
      </c>
      <c r="FQ364" t="str">
        <f>""</f>
        <v/>
      </c>
      <c r="FR364" t="str">
        <f>""</f>
        <v/>
      </c>
      <c r="FS364" t="str">
        <f>""</f>
        <v/>
      </c>
      <c r="FT364" t="str">
        <f>""</f>
        <v/>
      </c>
      <c r="FU364" t="str">
        <f>""</f>
        <v/>
      </c>
      <c r="FV364" t="str">
        <f>""</f>
        <v/>
      </c>
      <c r="FW364" t="str">
        <f>""</f>
        <v/>
      </c>
      <c r="FX364" t="str">
        <f>""</f>
        <v/>
      </c>
      <c r="FY364" t="str">
        <f>""</f>
        <v/>
      </c>
      <c r="FZ364" t="str">
        <f>""</f>
        <v/>
      </c>
      <c r="GA364" t="str">
        <f>""</f>
        <v/>
      </c>
      <c r="GB364" t="str">
        <f>""</f>
        <v/>
      </c>
      <c r="GC364" t="str">
        <f>""</f>
        <v/>
      </c>
      <c r="GD364" t="str">
        <f>""</f>
        <v/>
      </c>
      <c r="GE364" t="str">
        <f>""</f>
        <v/>
      </c>
      <c r="GF364" t="str">
        <f>""</f>
        <v/>
      </c>
      <c r="GG364" t="str">
        <f>""</f>
        <v/>
      </c>
      <c r="GH364" t="str">
        <f>""</f>
        <v/>
      </c>
      <c r="GI364" t="str">
        <f>""</f>
        <v/>
      </c>
      <c r="GJ364" t="str">
        <f>""</f>
        <v/>
      </c>
      <c r="GK364" t="str">
        <f>""</f>
        <v/>
      </c>
      <c r="GL364" t="str">
        <f>""</f>
        <v/>
      </c>
      <c r="GM364" t="str">
        <f>""</f>
        <v/>
      </c>
      <c r="GN364" t="str">
        <f>""</f>
        <v/>
      </c>
      <c r="GO364" t="str">
        <f>""</f>
        <v/>
      </c>
      <c r="GP364" t="str">
        <f>""</f>
        <v/>
      </c>
      <c r="GQ364" t="str">
        <f>""</f>
        <v/>
      </c>
      <c r="GR364" t="str">
        <f>""</f>
        <v/>
      </c>
      <c r="GS364" t="str">
        <f>""</f>
        <v/>
      </c>
      <c r="GT364" t="str">
        <f>""</f>
        <v/>
      </c>
      <c r="GU364" t="str">
        <f>""</f>
        <v/>
      </c>
      <c r="GV364" t="str">
        <f>""</f>
        <v/>
      </c>
      <c r="GW364" t="str">
        <f>""</f>
        <v/>
      </c>
      <c r="GX364" t="str">
        <f>""</f>
        <v/>
      </c>
      <c r="GY364" t="str">
        <f>""</f>
        <v/>
      </c>
      <c r="GZ364" t="str">
        <f>""</f>
        <v/>
      </c>
      <c r="HA364" t="str">
        <f>""</f>
        <v/>
      </c>
      <c r="HB364" t="str">
        <f>""</f>
        <v/>
      </c>
      <c r="HC364" t="str">
        <f>""</f>
        <v/>
      </c>
      <c r="HD364" t="str">
        <f>""</f>
        <v/>
      </c>
      <c r="HE364" t="str">
        <f>""</f>
        <v/>
      </c>
      <c r="HF364" t="str">
        <f>""</f>
        <v/>
      </c>
      <c r="HG364" t="str">
        <f>""</f>
        <v/>
      </c>
      <c r="HH364" t="str">
        <f>""</f>
        <v/>
      </c>
      <c r="HI364" t="str">
        <f>""</f>
        <v/>
      </c>
      <c r="HJ364" t="str">
        <f>""</f>
        <v/>
      </c>
      <c r="HK364" t="str">
        <f>""</f>
        <v/>
      </c>
      <c r="HL364" t="str">
        <f>""</f>
        <v/>
      </c>
      <c r="HM364" t="str">
        <f>""</f>
        <v/>
      </c>
      <c r="HN364" t="str">
        <f>""</f>
        <v/>
      </c>
      <c r="HO364" t="str">
        <f>""</f>
        <v/>
      </c>
      <c r="HP364" t="str">
        <f>""</f>
        <v/>
      </c>
      <c r="HQ364" t="str">
        <f>""</f>
        <v/>
      </c>
      <c r="HR364" t="str">
        <f>""</f>
        <v/>
      </c>
      <c r="HS364" t="str">
        <f>""</f>
        <v/>
      </c>
      <c r="HT364" t="str">
        <f>""</f>
        <v/>
      </c>
      <c r="HU364" t="str">
        <f>""</f>
        <v/>
      </c>
      <c r="HV364" t="str">
        <f>""</f>
        <v/>
      </c>
      <c r="HW364" t="str">
        <f>""</f>
        <v/>
      </c>
      <c r="HX364" t="str">
        <f>""</f>
        <v/>
      </c>
      <c r="HY364" t="str">
        <f>""</f>
        <v/>
      </c>
      <c r="HZ364" t="str">
        <f>""</f>
        <v/>
      </c>
      <c r="IA364" t="str">
        <f>""</f>
        <v/>
      </c>
      <c r="IB364" t="str">
        <f>""</f>
        <v/>
      </c>
      <c r="IC364" t="str">
        <f>""</f>
        <v/>
      </c>
      <c r="ID364" t="str">
        <f>""</f>
        <v/>
      </c>
      <c r="IE364" t="str">
        <f>""</f>
        <v/>
      </c>
      <c r="IF364" t="str">
        <f>""</f>
        <v/>
      </c>
      <c r="IG364" t="str">
        <f>""</f>
        <v/>
      </c>
      <c r="IH364" t="str">
        <f>""</f>
        <v/>
      </c>
      <c r="II364" t="str">
        <f>""</f>
        <v/>
      </c>
      <c r="IJ364" t="str">
        <f>""</f>
        <v/>
      </c>
      <c r="IK364" t="str">
        <f>""</f>
        <v/>
      </c>
      <c r="IL364" t="str">
        <f>""</f>
        <v/>
      </c>
      <c r="IM364" t="str">
        <f>""</f>
        <v/>
      </c>
      <c r="IN364" t="str">
        <f>""</f>
        <v/>
      </c>
      <c r="IO364" t="str">
        <f>""</f>
        <v/>
      </c>
      <c r="IP364" t="str">
        <f>""</f>
        <v/>
      </c>
      <c r="IQ364" t="str">
        <f>""</f>
        <v/>
      </c>
      <c r="IR364" t="str">
        <f>""</f>
        <v/>
      </c>
      <c r="IS364" t="str">
        <f>""</f>
        <v/>
      </c>
      <c r="IT364" t="str">
        <f>""</f>
        <v/>
      </c>
      <c r="IU364" t="str">
        <f>""</f>
        <v/>
      </c>
      <c r="IV364" t="str">
        <f>""</f>
        <v/>
      </c>
      <c r="IW364" t="str">
        <f>""</f>
        <v/>
      </c>
      <c r="IX364" t="str">
        <f>""</f>
        <v/>
      </c>
      <c r="IY364" t="str">
        <f>""</f>
        <v/>
      </c>
      <c r="IZ364" t="str">
        <f>""</f>
        <v/>
      </c>
      <c r="JA364" t="str">
        <f>""</f>
        <v/>
      </c>
      <c r="JB364" t="str">
        <f>""</f>
        <v/>
      </c>
      <c r="JC364" t="str">
        <f>""</f>
        <v/>
      </c>
      <c r="JD364" t="str">
        <f>""</f>
        <v/>
      </c>
      <c r="JE364" t="str">
        <f>""</f>
        <v/>
      </c>
      <c r="JF364" t="str">
        <f>""</f>
        <v/>
      </c>
      <c r="JG364" t="str">
        <f>""</f>
        <v/>
      </c>
      <c r="JH364" t="str">
        <f>""</f>
        <v/>
      </c>
      <c r="JI364" t="str">
        <f>"(0.105)"</f>
        <v>(0.105)</v>
      </c>
      <c r="JJ364" t="str">
        <f>"(0.0841)"</f>
        <v>(0.0841)</v>
      </c>
      <c r="JK364" t="str">
        <f>"(0.0448)"</f>
        <v>(0.0448)</v>
      </c>
    </row>
    <row r="366" spans="1:271" x14ac:dyDescent="0.3">
      <c r="A366" t="str">
        <f>"_cons"</f>
        <v>_cons</v>
      </c>
      <c r="B366" t="str">
        <f>"-44.90***"</f>
        <v>-44.90***</v>
      </c>
      <c r="C366" t="str">
        <f>"-69.56***"</f>
        <v>-69.56***</v>
      </c>
      <c r="D366" t="str">
        <f>"-50.68***"</f>
        <v>-50.68***</v>
      </c>
      <c r="E366" t="str">
        <f>"-44.84***"</f>
        <v>-44.84***</v>
      </c>
      <c r="F366" t="str">
        <f>"-69.49***"</f>
        <v>-69.49***</v>
      </c>
      <c r="G366" t="str">
        <f>"-50.63***"</f>
        <v>-50.63***</v>
      </c>
      <c r="H366" t="str">
        <f>"-45.05***"</f>
        <v>-45.05***</v>
      </c>
      <c r="I366" t="str">
        <f>"-69.60***"</f>
        <v>-69.60***</v>
      </c>
      <c r="J366" t="str">
        <f>"-50.68***"</f>
        <v>-50.68***</v>
      </c>
      <c r="K366" t="str">
        <f>"-44.98***"</f>
        <v>-44.98***</v>
      </c>
      <c r="L366" t="str">
        <f>"-69.58***"</f>
        <v>-69.58***</v>
      </c>
      <c r="M366" t="str">
        <f>"-50.81***"</f>
        <v>-50.81***</v>
      </c>
      <c r="N366" t="str">
        <f>"-45.00***"</f>
        <v>-45.00***</v>
      </c>
      <c r="O366" t="str">
        <f>"-69.58***"</f>
        <v>-69.58***</v>
      </c>
      <c r="P366" t="str">
        <f>"-50.59***"</f>
        <v>-50.59***</v>
      </c>
      <c r="Q366" t="str">
        <f>"-44.94***"</f>
        <v>-44.94***</v>
      </c>
      <c r="R366" t="str">
        <f>"-69.54***"</f>
        <v>-69.54***</v>
      </c>
      <c r="S366" t="str">
        <f>"-50.70***"</f>
        <v>-50.70***</v>
      </c>
      <c r="T366" t="str">
        <f>"-44.92***"</f>
        <v>-44.92***</v>
      </c>
      <c r="U366" t="str">
        <f>"-69.79***"</f>
        <v>-69.79***</v>
      </c>
      <c r="V366" t="str">
        <f>"-51.12***"</f>
        <v>-51.12***</v>
      </c>
      <c r="W366" t="str">
        <f>"-44.91***"</f>
        <v>-44.91***</v>
      </c>
      <c r="X366" t="str">
        <f>"-69.53***"</f>
        <v>-69.53***</v>
      </c>
      <c r="Y366" t="str">
        <f>"-50.69***"</f>
        <v>-50.69***</v>
      </c>
      <c r="Z366" t="str">
        <f>"-44.90***"</f>
        <v>-44.90***</v>
      </c>
      <c r="AA366" t="str">
        <f>"-69.55***"</f>
        <v>-69.55***</v>
      </c>
      <c r="AB366" t="str">
        <f>"-50.68***"</f>
        <v>-50.68***</v>
      </c>
      <c r="AC366" t="str">
        <f>"-44.94***"</f>
        <v>-44.94***</v>
      </c>
      <c r="AD366" t="str">
        <f>"-69.54***"</f>
        <v>-69.54***</v>
      </c>
      <c r="AE366" t="str">
        <f>"-50.68***"</f>
        <v>-50.68***</v>
      </c>
      <c r="AF366" t="str">
        <f>"-44.94***"</f>
        <v>-44.94***</v>
      </c>
      <c r="AG366" t="str">
        <f>"-69.53***"</f>
        <v>-69.53***</v>
      </c>
      <c r="AH366" t="str">
        <f>"-50.71***"</f>
        <v>-50.71***</v>
      </c>
      <c r="AI366" t="str">
        <f>"-44.93***"</f>
        <v>-44.93***</v>
      </c>
      <c r="AJ366" t="str">
        <f>"-69.52***"</f>
        <v>-69.52***</v>
      </c>
      <c r="AK366" t="str">
        <f>"-50.70***"</f>
        <v>-50.70***</v>
      </c>
      <c r="AL366" t="str">
        <f>"-44.94***"</f>
        <v>-44.94***</v>
      </c>
      <c r="AM366" t="str">
        <f>"-69.54***"</f>
        <v>-69.54***</v>
      </c>
      <c r="AN366" t="str">
        <f>"-50.69***"</f>
        <v>-50.69***</v>
      </c>
      <c r="AO366" t="str">
        <f>"-44.93***"</f>
        <v>-44.93***</v>
      </c>
      <c r="AP366" t="str">
        <f>"-69.54***"</f>
        <v>-69.54***</v>
      </c>
      <c r="AQ366" t="str">
        <f>"-50.70***"</f>
        <v>-50.70***</v>
      </c>
      <c r="AR366" t="str">
        <f>"-44.91***"</f>
        <v>-44.91***</v>
      </c>
      <c r="AS366" t="str">
        <f>"-69.50***"</f>
        <v>-69.50***</v>
      </c>
      <c r="AT366" t="str">
        <f>"-50.76***"</f>
        <v>-50.76***</v>
      </c>
      <c r="AU366" t="str">
        <f>"-44.85***"</f>
        <v>-44.85***</v>
      </c>
      <c r="AV366" t="str">
        <f>"-69.51***"</f>
        <v>-69.51***</v>
      </c>
      <c r="AW366" t="str">
        <f>"-50.63***"</f>
        <v>-50.63***</v>
      </c>
      <c r="AX366" t="str">
        <f>"-44.78***"</f>
        <v>-44.78***</v>
      </c>
      <c r="AY366" t="str">
        <f>"-69.48***"</f>
        <v>-69.48***</v>
      </c>
      <c r="AZ366" t="str">
        <f>"-50.61***"</f>
        <v>-50.61***</v>
      </c>
      <c r="BA366" t="str">
        <f>"-45.00***"</f>
        <v>-45.00***</v>
      </c>
      <c r="BB366" t="str">
        <f>"-69.60***"</f>
        <v>-69.60***</v>
      </c>
      <c r="BC366" t="str">
        <f>"-50.63***"</f>
        <v>-50.63***</v>
      </c>
      <c r="BD366" t="str">
        <f>"-44.92***"</f>
        <v>-44.92***</v>
      </c>
      <c r="BE366" t="str">
        <f>"-69.57***"</f>
        <v>-69.57***</v>
      </c>
      <c r="BF366" t="str">
        <f>"-50.77***"</f>
        <v>-50.77***</v>
      </c>
      <c r="BG366" t="str">
        <f>"-44.95***"</f>
        <v>-44.95***</v>
      </c>
      <c r="BH366" t="str">
        <f>"-69.57***"</f>
        <v>-69.57***</v>
      </c>
      <c r="BI366" t="str">
        <f>"-50.55***"</f>
        <v>-50.55***</v>
      </c>
      <c r="BJ366" t="str">
        <f>"-44.90***"</f>
        <v>-44.90***</v>
      </c>
      <c r="BK366" t="str">
        <f>"-69.54***"</f>
        <v>-69.54***</v>
      </c>
      <c r="BL366" t="str">
        <f>"-50.65***"</f>
        <v>-50.65***</v>
      </c>
      <c r="BM366" t="str">
        <f>"-44.88***"</f>
        <v>-44.88***</v>
      </c>
      <c r="BN366" t="str">
        <f>"-69.77***"</f>
        <v>-69.77***</v>
      </c>
      <c r="BO366" t="str">
        <f>"-51.08***"</f>
        <v>-51.08***</v>
      </c>
      <c r="BP366" t="str">
        <f>"-44.88***"</f>
        <v>-44.88***</v>
      </c>
      <c r="BQ366" t="str">
        <f>"-69.54***"</f>
        <v>-69.54***</v>
      </c>
      <c r="BR366" t="str">
        <f>"-50.65***"</f>
        <v>-50.65***</v>
      </c>
      <c r="BS366" t="str">
        <f>"-44.87***"</f>
        <v>-44.87***</v>
      </c>
      <c r="BT366" t="str">
        <f>"-69.55***"</f>
        <v>-69.55***</v>
      </c>
      <c r="BU366" t="str">
        <f>"-50.63***"</f>
        <v>-50.63***</v>
      </c>
      <c r="BV366" t="str">
        <f>"-44.88***"</f>
        <v>-44.88***</v>
      </c>
      <c r="BW366" t="str">
        <f>"-69.54***"</f>
        <v>-69.54***</v>
      </c>
      <c r="BX366" t="str">
        <f>"-50.64***"</f>
        <v>-50.64***</v>
      </c>
      <c r="BY366" t="str">
        <f>"-44.91***"</f>
        <v>-44.91***</v>
      </c>
      <c r="BZ366" t="str">
        <f>"-69.53***"</f>
        <v>-69.53***</v>
      </c>
      <c r="CA366" t="str">
        <f>"-50.67***"</f>
        <v>-50.67***</v>
      </c>
      <c r="CB366" t="str">
        <f>"-44.88***"</f>
        <v>-44.88***</v>
      </c>
      <c r="CC366" t="str">
        <f>"-69.58***"</f>
        <v>-69.58***</v>
      </c>
      <c r="CD366" t="str">
        <f>"-50.66***"</f>
        <v>-50.66***</v>
      </c>
      <c r="CE366" t="str">
        <f>"-44.92***"</f>
        <v>-44.92***</v>
      </c>
      <c r="CF366" t="str">
        <f>"-69.53***"</f>
        <v>-69.53***</v>
      </c>
      <c r="CG366" t="str">
        <f>"-50.65***"</f>
        <v>-50.65***</v>
      </c>
      <c r="CH366" t="str">
        <f>"-44.92***"</f>
        <v>-44.92***</v>
      </c>
      <c r="CI366" t="str">
        <f>"-69.55***"</f>
        <v>-69.55***</v>
      </c>
      <c r="CJ366" t="str">
        <f>"-50.65***"</f>
        <v>-50.65***</v>
      </c>
      <c r="CK366" t="str">
        <f>"-44.87***"</f>
        <v>-44.87***</v>
      </c>
      <c r="CL366" t="str">
        <f>"-69.50***"</f>
        <v>-69.50***</v>
      </c>
      <c r="CM366" t="str">
        <f>"-50.72***"</f>
        <v>-50.72***</v>
      </c>
      <c r="CN366" t="str">
        <f>"-44.90***"</f>
        <v>-44.90***</v>
      </c>
      <c r="CO366" t="str">
        <f>"-69.41***"</f>
        <v>-69.41***</v>
      </c>
      <c r="CP366" t="str">
        <f>"-50.67***"</f>
        <v>-50.67***</v>
      </c>
      <c r="CQ366" t="str">
        <f>"-44.84***"</f>
        <v>-44.84***</v>
      </c>
      <c r="CR366" t="str">
        <f>"-69.39***"</f>
        <v>-69.39***</v>
      </c>
      <c r="CS366" t="str">
        <f>"-50.60***"</f>
        <v>-50.60***</v>
      </c>
      <c r="CT366" t="str">
        <f>"-45.05***"</f>
        <v>-45.05***</v>
      </c>
      <c r="CU366" t="str">
        <f>"-69.50***"</f>
        <v>-69.50***</v>
      </c>
      <c r="CV366" t="str">
        <f>"-50.65***"</f>
        <v>-50.65***</v>
      </c>
      <c r="CW366" t="str">
        <f>"-44.94***"</f>
        <v>-44.94***</v>
      </c>
      <c r="CX366" t="str">
        <f>"-69.46***"</f>
        <v>-69.46***</v>
      </c>
      <c r="CY366" t="str">
        <f>"-50.79***"</f>
        <v>-50.79***</v>
      </c>
      <c r="CZ366" t="str">
        <f>"-45.01***"</f>
        <v>-45.01***</v>
      </c>
      <c r="DA366" t="str">
        <f>"-69.48***"</f>
        <v>-69.48***</v>
      </c>
      <c r="DB366" t="str">
        <f>"-50.57***"</f>
        <v>-50.57***</v>
      </c>
      <c r="DC366" t="str">
        <f>"-44.94***"</f>
        <v>-44.94***</v>
      </c>
      <c r="DD366" t="str">
        <f>"-69.46***"</f>
        <v>-69.46***</v>
      </c>
      <c r="DE366" t="str">
        <f>"-50.68***"</f>
        <v>-50.68***</v>
      </c>
      <c r="DF366" t="str">
        <f>"-44.91***"</f>
        <v>-44.91***</v>
      </c>
      <c r="DG366" t="str">
        <f>"-69.67***"</f>
        <v>-69.67***</v>
      </c>
      <c r="DH366" t="str">
        <f>"-51.10***"</f>
        <v>-51.10***</v>
      </c>
      <c r="DI366" t="str">
        <f>"-44.92***"</f>
        <v>-44.92***</v>
      </c>
      <c r="DJ366" t="str">
        <f>"-69.46***"</f>
        <v>-69.46***</v>
      </c>
      <c r="DK366" t="str">
        <f>"-50.67***"</f>
        <v>-50.67***</v>
      </c>
      <c r="DL366" t="str">
        <f>"-44.92***"</f>
        <v>-44.92***</v>
      </c>
      <c r="DM366" t="str">
        <f>"-69.43***"</f>
        <v>-69.43***</v>
      </c>
      <c r="DN366" t="str">
        <f>"-50.66***"</f>
        <v>-50.66***</v>
      </c>
      <c r="DO366" t="str">
        <f>"-44.93***"</f>
        <v>-44.93***</v>
      </c>
      <c r="DP366" t="str">
        <f>"-69.44***"</f>
        <v>-69.44***</v>
      </c>
      <c r="DQ366" t="str">
        <f>"-50.66***"</f>
        <v>-50.66***</v>
      </c>
      <c r="DR366" t="str">
        <f>"-44.95***"</f>
        <v>-44.95***</v>
      </c>
      <c r="DS366" t="str">
        <f>"-69.43***"</f>
        <v>-69.43***</v>
      </c>
      <c r="DT366" t="str">
        <f>"-50.69***"</f>
        <v>-50.69***</v>
      </c>
      <c r="DU366" t="str">
        <f>"-44.90***"</f>
        <v>-44.90***</v>
      </c>
      <c r="DV366" t="str">
        <f>"-69.46***"</f>
        <v>-69.46***</v>
      </c>
      <c r="DW366" t="str">
        <f>"-50.69***"</f>
        <v>-50.69***</v>
      </c>
      <c r="DX366" t="str">
        <f>"-44.92***"</f>
        <v>-44.92***</v>
      </c>
      <c r="DY366" t="str">
        <f>"-69.43***"</f>
        <v>-69.43***</v>
      </c>
      <c r="DZ366" t="str">
        <f>"-50.67***"</f>
        <v>-50.67***</v>
      </c>
      <c r="EA366" t="str">
        <f>"-44.95***"</f>
        <v>-44.95***</v>
      </c>
      <c r="EB366" t="str">
        <f>"-69.45***"</f>
        <v>-69.45***</v>
      </c>
      <c r="EC366" t="str">
        <f>"-50.68***"</f>
        <v>-50.68***</v>
      </c>
      <c r="ED366" t="str">
        <f>"-44.92***"</f>
        <v>-44.92***</v>
      </c>
      <c r="EE366" t="str">
        <f>"-69.40***"</f>
        <v>-69.40***</v>
      </c>
      <c r="EF366" t="str">
        <f>"-50.74***"</f>
        <v>-50.74***</v>
      </c>
      <c r="EG366" t="str">
        <f>"-44.85***"</f>
        <v>-44.85***</v>
      </c>
      <c r="EH366" t="str">
        <f>"-69.54***"</f>
        <v>-69.54***</v>
      </c>
      <c r="EI366" t="str">
        <f>"-50.64***"</f>
        <v>-50.64***</v>
      </c>
      <c r="EJ366" t="str">
        <f>"-44.77***"</f>
        <v>-44.77***</v>
      </c>
      <c r="EK366" t="str">
        <f>"-69.50***"</f>
        <v>-69.50***</v>
      </c>
      <c r="EL366" t="str">
        <f>"-50.59***"</f>
        <v>-50.59***</v>
      </c>
      <c r="EM366" t="str">
        <f>"-44.98***"</f>
        <v>-44.98***</v>
      </c>
      <c r="EN366" t="str">
        <f>"-69.62***"</f>
        <v>-69.62***</v>
      </c>
      <c r="EO366" t="str">
        <f>"-50.64***"</f>
        <v>-50.64***</v>
      </c>
      <c r="EP366" t="str">
        <f>"-44.91***"</f>
        <v>-44.91***</v>
      </c>
      <c r="EQ366" t="str">
        <f>"-69.58***"</f>
        <v>-69.58***</v>
      </c>
      <c r="ER366" t="str">
        <f>"-50.76***"</f>
        <v>-50.76***</v>
      </c>
      <c r="ES366" t="str">
        <f>"-44.93***"</f>
        <v>-44.93***</v>
      </c>
      <c r="ET366" t="str">
        <f>"-69.59***"</f>
        <v>-69.59***</v>
      </c>
      <c r="EU366" t="str">
        <f>"-50.55***"</f>
        <v>-50.55***</v>
      </c>
      <c r="EV366" t="str">
        <f>"-44.88***"</f>
        <v>-44.88***</v>
      </c>
      <c r="EW366" t="str">
        <f>"-69.55***"</f>
        <v>-69.55***</v>
      </c>
      <c r="EX366" t="str">
        <f>"-50.66***"</f>
        <v>-50.66***</v>
      </c>
      <c r="EY366" t="str">
        <f>"-44.87***"</f>
        <v>-44.87***</v>
      </c>
      <c r="EZ366" t="str">
        <f>"-69.79***"</f>
        <v>-69.79***</v>
      </c>
      <c r="FA366" t="str">
        <f>"-51.08***"</f>
        <v>-51.08***</v>
      </c>
      <c r="FB366" t="str">
        <f>"-44.86***"</f>
        <v>-44.86***</v>
      </c>
      <c r="FC366" t="str">
        <f>"-69.56***"</f>
        <v>-69.56***</v>
      </c>
      <c r="FD366" t="str">
        <f>"-50.65***"</f>
        <v>-50.65***</v>
      </c>
      <c r="FE366" t="str">
        <f>"-44.85***"</f>
        <v>-44.85***</v>
      </c>
      <c r="FF366" t="str">
        <f>"-69.55***"</f>
        <v>-69.55***</v>
      </c>
      <c r="FG366" t="str">
        <f>"-50.64***"</f>
        <v>-50.64***</v>
      </c>
      <c r="FH366" t="str">
        <f>"-44.87***"</f>
        <v>-44.87***</v>
      </c>
      <c r="FI366" t="str">
        <f>"-69.55***"</f>
        <v>-69.55***</v>
      </c>
      <c r="FJ366" t="str">
        <f>"-50.65***"</f>
        <v>-50.65***</v>
      </c>
      <c r="FK366" t="str">
        <f>"-44.89***"</f>
        <v>-44.89***</v>
      </c>
      <c r="FL366" t="str">
        <f>"-69.55***"</f>
        <v>-69.55***</v>
      </c>
      <c r="FM366" t="str">
        <f>"-50.67***"</f>
        <v>-50.67***</v>
      </c>
      <c r="FN366" t="str">
        <f>"-44.87***"</f>
        <v>-44.87***</v>
      </c>
      <c r="FO366" t="str">
        <f>"-69.56***"</f>
        <v>-69.56***</v>
      </c>
      <c r="FP366" t="str">
        <f>"-50.66***"</f>
        <v>-50.66***</v>
      </c>
      <c r="FQ366" t="str">
        <f>"-44.87***"</f>
        <v>-44.87***</v>
      </c>
      <c r="FR366" t="str">
        <f>"-69.55***"</f>
        <v>-69.55***</v>
      </c>
      <c r="FS366" t="str">
        <f>"-50.65***"</f>
        <v>-50.65***</v>
      </c>
      <c r="FT366" t="str">
        <f>"-44.91***"</f>
        <v>-44.91***</v>
      </c>
      <c r="FU366" t="str">
        <f>"-69.57***"</f>
        <v>-69.57***</v>
      </c>
      <c r="FV366" t="str">
        <f>"-50.67***"</f>
        <v>-50.67***</v>
      </c>
      <c r="FW366" t="str">
        <f>"-44.86***"</f>
        <v>-44.86***</v>
      </c>
      <c r="FX366" t="str">
        <f>"-69.52***"</f>
        <v>-69.52***</v>
      </c>
      <c r="FY366" t="str">
        <f>"-50.73***"</f>
        <v>-50.73***</v>
      </c>
      <c r="FZ366" t="str">
        <f>"-44.86***"</f>
        <v>-44.86***</v>
      </c>
      <c r="GA366" t="str">
        <f>"-69.57***"</f>
        <v>-69.57***</v>
      </c>
      <c r="GB366" t="str">
        <f>"-50.64***"</f>
        <v>-50.64***</v>
      </c>
      <c r="GC366" t="str">
        <f>"-44.80***"</f>
        <v>-44.80***</v>
      </c>
      <c r="GD366" t="str">
        <f>"-69.52***"</f>
        <v>-69.52***</v>
      </c>
      <c r="GE366" t="str">
        <f>"-50.59***"</f>
        <v>-50.59***</v>
      </c>
      <c r="GF366" t="str">
        <f>"-45.01***"</f>
        <v>-45.01***</v>
      </c>
      <c r="GG366" t="str">
        <f>"-69.63***"</f>
        <v>-69.63***</v>
      </c>
      <c r="GH366" t="str">
        <f>"-50.65***"</f>
        <v>-50.65***</v>
      </c>
      <c r="GI366" t="str">
        <f>"-44.93***"</f>
        <v>-44.93***</v>
      </c>
      <c r="GJ366" t="str">
        <f>"-69.60***"</f>
        <v>-69.60***</v>
      </c>
      <c r="GK366" t="str">
        <f>"-50.76***"</f>
        <v>-50.76***</v>
      </c>
      <c r="GL366" t="str">
        <f>"-44.96***"</f>
        <v>-44.96***</v>
      </c>
      <c r="GM366" t="str">
        <f>"-69.61***"</f>
        <v>-69.61***</v>
      </c>
      <c r="GN366" t="str">
        <f>"-50.55***"</f>
        <v>-50.55***</v>
      </c>
      <c r="GO366" t="str">
        <f>"-44.90***"</f>
        <v>-44.90***</v>
      </c>
      <c r="GP366" t="str">
        <f>"-69.58***"</f>
        <v>-69.58***</v>
      </c>
      <c r="GQ366" t="str">
        <f>"-50.66***"</f>
        <v>-50.66***</v>
      </c>
      <c r="GR366" t="str">
        <f>"-44.88***"</f>
        <v>-44.88***</v>
      </c>
      <c r="GS366" t="str">
        <f>"-69.79***"</f>
        <v>-69.79***</v>
      </c>
      <c r="GT366" t="str">
        <f>"-51.08***"</f>
        <v>-51.08***</v>
      </c>
      <c r="GU366" t="str">
        <f>"-44.88***"</f>
        <v>-44.88***</v>
      </c>
      <c r="GV366" t="str">
        <f>"-69.57***"</f>
        <v>-69.57***</v>
      </c>
      <c r="GW366" t="str">
        <f>"-50.65***"</f>
        <v>-50.65***</v>
      </c>
      <c r="GX366" t="str">
        <f>"-44.86***"</f>
        <v>-44.86***</v>
      </c>
      <c r="GY366" t="str">
        <f>"-69.56***"</f>
        <v>-69.56***</v>
      </c>
      <c r="GZ366" t="str">
        <f>"-50.64***"</f>
        <v>-50.64***</v>
      </c>
      <c r="HA366" t="str">
        <f>"-44.91***"</f>
        <v>-44.91***</v>
      </c>
      <c r="HB366" t="str">
        <f>"-69.58***"</f>
        <v>-69.58***</v>
      </c>
      <c r="HC366" t="str">
        <f>"-50.65***"</f>
        <v>-50.65***</v>
      </c>
      <c r="HD366" t="str">
        <f>"-44.90***"</f>
        <v>-44.90***</v>
      </c>
      <c r="HE366" t="str">
        <f>"-69.57***"</f>
        <v>-69.57***</v>
      </c>
      <c r="HF366" t="str">
        <f>"-50.67***"</f>
        <v>-50.67***</v>
      </c>
      <c r="HG366" t="str">
        <f>"-44.89***"</f>
        <v>-44.89***</v>
      </c>
      <c r="HH366" t="str">
        <f>"-69.55***"</f>
        <v>-69.55***</v>
      </c>
      <c r="HI366" t="str">
        <f>"-50.67***"</f>
        <v>-50.67***</v>
      </c>
      <c r="HJ366" t="str">
        <f>"-44.89***"</f>
        <v>-44.89***</v>
      </c>
      <c r="HK366" t="str">
        <f>"-69.56***"</f>
        <v>-69.56***</v>
      </c>
      <c r="HL366" t="str">
        <f>"-50.65***"</f>
        <v>-50.65***</v>
      </c>
      <c r="HM366" t="str">
        <f>"-44.91***"</f>
        <v>-44.91***</v>
      </c>
      <c r="HN366" t="str">
        <f>"-69.58***"</f>
        <v>-69.58***</v>
      </c>
      <c r="HO366" t="str">
        <f>"-50.67***"</f>
        <v>-50.67***</v>
      </c>
      <c r="HP366" t="str">
        <f>"-44.88***"</f>
        <v>-44.88***</v>
      </c>
      <c r="HQ366" t="str">
        <f>"-69.53***"</f>
        <v>-69.53***</v>
      </c>
      <c r="HR366" t="str">
        <f>"-50.73***"</f>
        <v>-50.73***</v>
      </c>
      <c r="HS366" t="str">
        <f>"-44.87***"</f>
        <v>-44.87***</v>
      </c>
      <c r="HT366" t="str">
        <f>"-69.60***"</f>
        <v>-69.60***</v>
      </c>
      <c r="HU366" t="str">
        <f>"-50.67***"</f>
        <v>-50.67***</v>
      </c>
      <c r="HV366" t="str">
        <f>"-44.80***"</f>
        <v>-44.80***</v>
      </c>
      <c r="HW366" t="str">
        <f>"-69.52***"</f>
        <v>-69.52***</v>
      </c>
      <c r="HX366" t="str">
        <f>"-50.63***"</f>
        <v>-50.63***</v>
      </c>
      <c r="HY366" t="str">
        <f>"-45.02***"</f>
        <v>-45.02***</v>
      </c>
      <c r="HZ366" t="str">
        <f>"-69.64***"</f>
        <v>-69.64***</v>
      </c>
      <c r="IA366" t="str">
        <f>"-50.67***"</f>
        <v>-50.67***</v>
      </c>
      <c r="IB366" t="str">
        <f>"-44.94***"</f>
        <v>-44.94***</v>
      </c>
      <c r="IC366" t="str">
        <f>"-69.61***"</f>
        <v>-69.61***</v>
      </c>
      <c r="ID366" t="str">
        <f>"-50.79***"</f>
        <v>-50.79***</v>
      </c>
      <c r="IE366" t="str">
        <f>"-44.98***"</f>
        <v>-44.98***</v>
      </c>
      <c r="IF366" t="str">
        <f>"-69.61***"</f>
        <v>-69.61***</v>
      </c>
      <c r="IG366" t="str">
        <f>"-50.59***"</f>
        <v>-50.59***</v>
      </c>
      <c r="IH366" t="str">
        <f>"-44.91***"</f>
        <v>-44.91***</v>
      </c>
      <c r="II366" t="str">
        <f>"-69.58***"</f>
        <v>-69.58***</v>
      </c>
      <c r="IJ366" t="str">
        <f>"-50.70***"</f>
        <v>-50.70***</v>
      </c>
      <c r="IK366" t="str">
        <f>"-44.89***"</f>
        <v>-44.89***</v>
      </c>
      <c r="IL366" t="str">
        <f>"-69.81***"</f>
        <v>-69.81***</v>
      </c>
      <c r="IM366" t="str">
        <f>"-51.11***"</f>
        <v>-51.11***</v>
      </c>
      <c r="IN366" t="str">
        <f>"-44.88***"</f>
        <v>-44.88***</v>
      </c>
      <c r="IO366" t="str">
        <f>"-69.57***"</f>
        <v>-69.57***</v>
      </c>
      <c r="IP366" t="str">
        <f>"-50.68***"</f>
        <v>-50.68***</v>
      </c>
      <c r="IQ366" t="str">
        <f>"-44.87***"</f>
        <v>-44.87***</v>
      </c>
      <c r="IR366" t="str">
        <f>"-69.59***"</f>
        <v>-69.59***</v>
      </c>
      <c r="IS366" t="str">
        <f>"-50.67***"</f>
        <v>-50.67***</v>
      </c>
      <c r="IT366" t="str">
        <f>"-44.91***"</f>
        <v>-44.91***</v>
      </c>
      <c r="IU366" t="str">
        <f>"-69.58***"</f>
        <v>-69.58***</v>
      </c>
      <c r="IV366" t="str">
        <f>"-50.68***"</f>
        <v>-50.68***</v>
      </c>
      <c r="IW366" t="str">
        <f>"-44.92***"</f>
        <v>-44.92***</v>
      </c>
      <c r="IX366" t="str">
        <f>"-69.58***"</f>
        <v>-69.58***</v>
      </c>
      <c r="IY366" t="str">
        <f>"-50.71***"</f>
        <v>-50.71***</v>
      </c>
      <c r="IZ366" t="str">
        <f>"-44.90***"</f>
        <v>-44.90***</v>
      </c>
      <c r="JA366" t="str">
        <f>"-69.59***"</f>
        <v>-69.59***</v>
      </c>
      <c r="JB366" t="str">
        <f>"-50.69***"</f>
        <v>-50.69***</v>
      </c>
      <c r="JC366" t="str">
        <f>"-44.89***"</f>
        <v>-44.89***</v>
      </c>
      <c r="JD366" t="str">
        <f>"-69.58***"</f>
        <v>-69.58***</v>
      </c>
      <c r="JE366" t="str">
        <f>"-50.68***"</f>
        <v>-50.68***</v>
      </c>
      <c r="JF366" t="str">
        <f>"-44.91***"</f>
        <v>-44.91***</v>
      </c>
      <c r="JG366" t="str">
        <f>"-69.59***"</f>
        <v>-69.59***</v>
      </c>
      <c r="JH366" t="str">
        <f>"-50.69***"</f>
        <v>-50.69***</v>
      </c>
      <c r="JI366" t="str">
        <f>"-44.88***"</f>
        <v>-44.88***</v>
      </c>
      <c r="JJ366" t="str">
        <f>"-69.54***"</f>
        <v>-69.54***</v>
      </c>
      <c r="JK366" t="str">
        <f>"-50.76***"</f>
        <v>-50.76***</v>
      </c>
    </row>
    <row r="367" spans="1:271" x14ac:dyDescent="0.3">
      <c r="A367" t="str">
        <f>""</f>
        <v/>
      </c>
      <c r="B367" t="str">
        <f>"(1.917)"</f>
        <v>(1.917)</v>
      </c>
      <c r="C367" t="str">
        <f>"(2.146)"</f>
        <v>(2.146)</v>
      </c>
      <c r="D367" t="str">
        <f>"(0.973)"</f>
        <v>(0.973)</v>
      </c>
      <c r="E367" t="str">
        <f>"(1.918)"</f>
        <v>(1.918)</v>
      </c>
      <c r="F367" t="str">
        <f>"(2.145)"</f>
        <v>(2.145)</v>
      </c>
      <c r="G367" t="str">
        <f>"(0.973)"</f>
        <v>(0.973)</v>
      </c>
      <c r="H367" t="str">
        <f>"(1.917)"</f>
        <v>(1.917)</v>
      </c>
      <c r="I367" t="str">
        <f>"(2.145)"</f>
        <v>(2.145)</v>
      </c>
      <c r="J367" t="str">
        <f>"(0.973)"</f>
        <v>(0.973)</v>
      </c>
      <c r="K367" t="str">
        <f>"(1.916)"</f>
        <v>(1.916)</v>
      </c>
      <c r="L367" t="str">
        <f>"(2.144)"</f>
        <v>(2.144)</v>
      </c>
      <c r="M367" t="str">
        <f>"(0.973)"</f>
        <v>(0.973)</v>
      </c>
      <c r="N367" t="str">
        <f>"(1.917)"</f>
        <v>(1.917)</v>
      </c>
      <c r="O367" t="str">
        <f>"(2.145)"</f>
        <v>(2.145)</v>
      </c>
      <c r="P367" t="str">
        <f>"(0.973)"</f>
        <v>(0.973)</v>
      </c>
      <c r="Q367" t="str">
        <f>"(1.916)"</f>
        <v>(1.916)</v>
      </c>
      <c r="R367" t="str">
        <f>"(2.144)"</f>
        <v>(2.144)</v>
      </c>
      <c r="S367" t="str">
        <f>"(0.973)"</f>
        <v>(0.973)</v>
      </c>
      <c r="T367" t="str">
        <f>"(1.920)"</f>
        <v>(1.920)</v>
      </c>
      <c r="U367" t="str">
        <f>"(2.149)"</f>
        <v>(2.149)</v>
      </c>
      <c r="V367" t="str">
        <f>"(0.976)"</f>
        <v>(0.976)</v>
      </c>
      <c r="W367" t="str">
        <f>"(1.917)"</f>
        <v>(1.917)</v>
      </c>
      <c r="X367" t="str">
        <f>"(2.145)"</f>
        <v>(2.145)</v>
      </c>
      <c r="Y367" t="str">
        <f>"(0.973)"</f>
        <v>(0.973)</v>
      </c>
      <c r="Z367" t="str">
        <f>"(1.916)"</f>
        <v>(1.916)</v>
      </c>
      <c r="AA367" t="str">
        <f>"(2.145)"</f>
        <v>(2.145)</v>
      </c>
      <c r="AB367" t="str">
        <f>"(0.973)"</f>
        <v>(0.973)</v>
      </c>
      <c r="AC367" t="str">
        <f>"(1.917)"</f>
        <v>(1.917)</v>
      </c>
      <c r="AD367" t="str">
        <f>"(2.144)"</f>
        <v>(2.144)</v>
      </c>
      <c r="AE367" t="str">
        <f>"(0.973)"</f>
        <v>(0.973)</v>
      </c>
      <c r="AF367" t="str">
        <f>"(1.916)"</f>
        <v>(1.916)</v>
      </c>
      <c r="AG367" t="str">
        <f>"(2.144)"</f>
        <v>(2.144)</v>
      </c>
      <c r="AH367" t="str">
        <f>"(0.973)"</f>
        <v>(0.973)</v>
      </c>
      <c r="AI367" t="str">
        <f>"(1.916)"</f>
        <v>(1.916)</v>
      </c>
      <c r="AJ367" t="str">
        <f>"(2.144)"</f>
        <v>(2.144)</v>
      </c>
      <c r="AK367" t="str">
        <f>"(0.973)"</f>
        <v>(0.973)</v>
      </c>
      <c r="AL367" t="str">
        <f>"(1.917)"</f>
        <v>(1.917)</v>
      </c>
      <c r="AM367" t="str">
        <f>"(2.145)"</f>
        <v>(2.145)</v>
      </c>
      <c r="AN367" t="str">
        <f>"(0.973)"</f>
        <v>(0.973)</v>
      </c>
      <c r="AO367" t="str">
        <f>"(1.916)"</f>
        <v>(1.916)</v>
      </c>
      <c r="AP367" t="str">
        <f>"(2.145)"</f>
        <v>(2.145)</v>
      </c>
      <c r="AQ367" t="str">
        <f>"(0.972)"</f>
        <v>(0.972)</v>
      </c>
      <c r="AR367" t="str">
        <f>"(1.915)"</f>
        <v>(1.915)</v>
      </c>
      <c r="AS367" t="str">
        <f>"(2.143)"</f>
        <v>(2.143)</v>
      </c>
      <c r="AT367" t="str">
        <f>"(0.974)"</f>
        <v>(0.974)</v>
      </c>
      <c r="AU367" t="str">
        <f>"(1.917)"</f>
        <v>(1.917)</v>
      </c>
      <c r="AV367" t="str">
        <f>"(2.145)"</f>
        <v>(2.145)</v>
      </c>
      <c r="AW367" t="str">
        <f>"(0.974)"</f>
        <v>(0.974)</v>
      </c>
      <c r="AX367" t="str">
        <f>"(1.918)"</f>
        <v>(1.918)</v>
      </c>
      <c r="AY367" t="str">
        <f>"(2.145)"</f>
        <v>(2.145)</v>
      </c>
      <c r="AZ367" t="str">
        <f>"(0.974)"</f>
        <v>(0.974)</v>
      </c>
      <c r="BA367" t="str">
        <f>"(1.916)"</f>
        <v>(1.916)</v>
      </c>
      <c r="BB367" t="str">
        <f>"(2.145)"</f>
        <v>(2.145)</v>
      </c>
      <c r="BC367" t="str">
        <f>"(0.973)"</f>
        <v>(0.973)</v>
      </c>
      <c r="BD367" t="str">
        <f>"(1.916)"</f>
        <v>(1.916)</v>
      </c>
      <c r="BE367" t="str">
        <f>"(2.144)"</f>
        <v>(2.144)</v>
      </c>
      <c r="BF367" t="str">
        <f>"(0.974)"</f>
        <v>(0.974)</v>
      </c>
      <c r="BG367" t="str">
        <f>"(1.917)"</f>
        <v>(1.917)</v>
      </c>
      <c r="BH367" t="str">
        <f>"(2.144)"</f>
        <v>(2.144)</v>
      </c>
      <c r="BI367" t="str">
        <f>"(0.973)"</f>
        <v>(0.973)</v>
      </c>
      <c r="BJ367" t="str">
        <f>"(1.916)"</f>
        <v>(1.916)</v>
      </c>
      <c r="BK367" t="str">
        <f>"(2.144)"</f>
        <v>(2.144)</v>
      </c>
      <c r="BL367" t="str">
        <f>"(0.973)"</f>
        <v>(0.973)</v>
      </c>
      <c r="BM367" t="str">
        <f>"(1.920)"</f>
        <v>(1.920)</v>
      </c>
      <c r="BN367" t="str">
        <f>"(2.149)"</f>
        <v>(2.149)</v>
      </c>
      <c r="BO367" t="str">
        <f>"(0.976)"</f>
        <v>(0.976)</v>
      </c>
      <c r="BP367" t="str">
        <f>"(1.917)"</f>
        <v>(1.917)</v>
      </c>
      <c r="BQ367" t="str">
        <f>"(2.146)"</f>
        <v>(2.146)</v>
      </c>
      <c r="BR367" t="str">
        <f>"(0.973)"</f>
        <v>(0.973)</v>
      </c>
      <c r="BS367" t="str">
        <f>"(1.916)"</f>
        <v>(1.916)</v>
      </c>
      <c r="BT367" t="str">
        <f>"(2.145)"</f>
        <v>(2.145)</v>
      </c>
      <c r="BU367" t="str">
        <f>"(0.973)"</f>
        <v>(0.973)</v>
      </c>
      <c r="BV367" t="str">
        <f>"(1.917)"</f>
        <v>(1.917)</v>
      </c>
      <c r="BW367" t="str">
        <f>"(2.144)"</f>
        <v>(2.144)</v>
      </c>
      <c r="BX367" t="str">
        <f>"(0.973)"</f>
        <v>(0.973)</v>
      </c>
      <c r="BY367" t="str">
        <f>"(1.916)"</f>
        <v>(1.916)</v>
      </c>
      <c r="BZ367" t="str">
        <f>"(2.144)"</f>
        <v>(2.144)</v>
      </c>
      <c r="CA367" t="str">
        <f>"(0.973)"</f>
        <v>(0.973)</v>
      </c>
      <c r="CB367" t="str">
        <f>"(1.916)"</f>
        <v>(1.916)</v>
      </c>
      <c r="CC367" t="str">
        <f>"(2.145)"</f>
        <v>(2.145)</v>
      </c>
      <c r="CD367" t="str">
        <f>"(0.973)"</f>
        <v>(0.973)</v>
      </c>
      <c r="CE367" t="str">
        <f>"(1.917)"</f>
        <v>(1.917)</v>
      </c>
      <c r="CF367" t="str">
        <f>"(2.145)"</f>
        <v>(2.145)</v>
      </c>
      <c r="CG367" t="str">
        <f>"(0.974)"</f>
        <v>(0.974)</v>
      </c>
      <c r="CH367" t="str">
        <f>"(1.916)"</f>
        <v>(1.916)</v>
      </c>
      <c r="CI367" t="str">
        <f>"(2.145)"</f>
        <v>(2.145)</v>
      </c>
      <c r="CJ367" t="str">
        <f>"(0.973)"</f>
        <v>(0.973)</v>
      </c>
      <c r="CK367" t="str">
        <f>"(1.915)"</f>
        <v>(1.915)</v>
      </c>
      <c r="CL367" t="str">
        <f>"(2.144)"</f>
        <v>(2.144)</v>
      </c>
      <c r="CM367" t="str">
        <f>"(0.974)"</f>
        <v>(0.974)</v>
      </c>
      <c r="CN367" t="str">
        <f>"(1.917)"</f>
        <v>(1.917)</v>
      </c>
      <c r="CO367" t="str">
        <f>"(2.145)"</f>
        <v>(2.145)</v>
      </c>
      <c r="CP367" t="str">
        <f>"(0.974)"</f>
        <v>(0.974)</v>
      </c>
      <c r="CQ367" t="str">
        <f>"(1.918)"</f>
        <v>(1.918)</v>
      </c>
      <c r="CR367" t="str">
        <f>"(2.145)"</f>
        <v>(2.145)</v>
      </c>
      <c r="CS367" t="str">
        <f>"(0.973)"</f>
        <v>(0.973)</v>
      </c>
      <c r="CT367" t="str">
        <f>"(1.917)"</f>
        <v>(1.917)</v>
      </c>
      <c r="CU367" t="str">
        <f>"(2.144)"</f>
        <v>(2.144)</v>
      </c>
      <c r="CV367" t="str">
        <f>"(0.973)"</f>
        <v>(0.973)</v>
      </c>
      <c r="CW367" t="str">
        <f>"(1.916)"</f>
        <v>(1.916)</v>
      </c>
      <c r="CX367" t="str">
        <f>"(2.144)"</f>
        <v>(2.144)</v>
      </c>
      <c r="CY367" t="str">
        <f>"(0.974)"</f>
        <v>(0.974)</v>
      </c>
      <c r="CZ367" t="str">
        <f>"(1.917)"</f>
        <v>(1.917)</v>
      </c>
      <c r="DA367" t="str">
        <f>"(2.144)"</f>
        <v>(2.144)</v>
      </c>
      <c r="DB367" t="str">
        <f>"(0.973)"</f>
        <v>(0.973)</v>
      </c>
      <c r="DC367" t="str">
        <f>"(1.917)"</f>
        <v>(1.917)</v>
      </c>
      <c r="DD367" t="str">
        <f>"(2.145)"</f>
        <v>(2.145)</v>
      </c>
      <c r="DE367" t="str">
        <f>"(0.973)"</f>
        <v>(0.973)</v>
      </c>
      <c r="DF367" t="str">
        <f>"(1.920)"</f>
        <v>(1.920)</v>
      </c>
      <c r="DG367" t="str">
        <f>"(2.149)"</f>
        <v>(2.149)</v>
      </c>
      <c r="DH367" t="str">
        <f>"(0.976)"</f>
        <v>(0.976)</v>
      </c>
      <c r="DI367" t="str">
        <f>"(1.917)"</f>
        <v>(1.917)</v>
      </c>
      <c r="DJ367" t="str">
        <f>"(2.146)"</f>
        <v>(2.146)</v>
      </c>
      <c r="DK367" t="str">
        <f>"(0.973)"</f>
        <v>(0.973)</v>
      </c>
      <c r="DL367" t="str">
        <f>"(1.916)"</f>
        <v>(1.916)</v>
      </c>
      <c r="DM367" t="str">
        <f>"(2.144)"</f>
        <v>(2.144)</v>
      </c>
      <c r="DN367" t="str">
        <f>"(0.973)"</f>
        <v>(0.973)</v>
      </c>
      <c r="DO367" t="str">
        <f>"(1.917)"</f>
        <v>(1.917)</v>
      </c>
      <c r="DP367" t="str">
        <f>"(2.144)"</f>
        <v>(2.144)</v>
      </c>
      <c r="DQ367" t="str">
        <f>"(0.973)"</f>
        <v>(0.973)</v>
      </c>
      <c r="DR367" t="str">
        <f>"(1.916)"</f>
        <v>(1.916)</v>
      </c>
      <c r="DS367" t="str">
        <f>"(2.144)"</f>
        <v>(2.144)</v>
      </c>
      <c r="DT367" t="str">
        <f>"(0.973)"</f>
        <v>(0.973)</v>
      </c>
      <c r="DU367" t="str">
        <f>"(1.916)"</f>
        <v>(1.916)</v>
      </c>
      <c r="DV367" t="str">
        <f>"(2.144)"</f>
        <v>(2.144)</v>
      </c>
      <c r="DW367" t="str">
        <f>"(0.973)"</f>
        <v>(0.973)</v>
      </c>
      <c r="DX367" t="str">
        <f>"(1.917)"</f>
        <v>(1.917)</v>
      </c>
      <c r="DY367" t="str">
        <f>"(2.144)"</f>
        <v>(2.144)</v>
      </c>
      <c r="DZ367" t="str">
        <f>"(0.974)"</f>
        <v>(0.974)</v>
      </c>
      <c r="EA367" t="str">
        <f>"(1.917)"</f>
        <v>(1.917)</v>
      </c>
      <c r="EB367" t="str">
        <f>"(2.145)"</f>
        <v>(2.145)</v>
      </c>
      <c r="EC367" t="str">
        <f>"(0.973)"</f>
        <v>(0.973)</v>
      </c>
      <c r="ED367" t="str">
        <f>"(1.915)"</f>
        <v>(1.915)</v>
      </c>
      <c r="EE367" t="str">
        <f>"(2.143)"</f>
        <v>(2.143)</v>
      </c>
      <c r="EF367" t="str">
        <f>"(0.974)"</f>
        <v>(0.974)</v>
      </c>
      <c r="EG367" t="str">
        <f>"(1.917)"</f>
        <v>(1.917)</v>
      </c>
      <c r="EH367" t="str">
        <f>"(2.144)"</f>
        <v>(2.144)</v>
      </c>
      <c r="EI367" t="str">
        <f>"(0.974)"</f>
        <v>(0.974)</v>
      </c>
      <c r="EJ367" t="str">
        <f>"(1.918)"</f>
        <v>(1.918)</v>
      </c>
      <c r="EK367" t="str">
        <f>"(2.144)"</f>
        <v>(2.144)</v>
      </c>
      <c r="EL367" t="str">
        <f>"(0.973)"</f>
        <v>(0.973)</v>
      </c>
      <c r="EM367" t="str">
        <f>"(1.917)"</f>
        <v>(1.917)</v>
      </c>
      <c r="EN367" t="str">
        <f>"(2.144)"</f>
        <v>(2.144)</v>
      </c>
      <c r="EO367" t="str">
        <f>"(0.973)"</f>
        <v>(0.973)</v>
      </c>
      <c r="EP367" t="str">
        <f>"(1.917)"</f>
        <v>(1.917)</v>
      </c>
      <c r="EQ367" t="str">
        <f>"(2.143)"</f>
        <v>(2.143)</v>
      </c>
      <c r="ER367" t="str">
        <f>"(0.973)"</f>
        <v>(0.973)</v>
      </c>
      <c r="ES367" t="str">
        <f>"(1.917)"</f>
        <v>(1.917)</v>
      </c>
      <c r="ET367" t="str">
        <f>"(2.144)"</f>
        <v>(2.144)</v>
      </c>
      <c r="EU367" t="str">
        <f>"(0.973)"</f>
        <v>(0.973)</v>
      </c>
      <c r="EV367" t="str">
        <f>"(1.917)"</f>
        <v>(1.917)</v>
      </c>
      <c r="EW367" t="str">
        <f>"(2.143)"</f>
        <v>(2.143)</v>
      </c>
      <c r="EX367" t="str">
        <f>"(0.973)"</f>
        <v>(0.973)</v>
      </c>
      <c r="EY367" t="str">
        <f>"(1.920)"</f>
        <v>(1.920)</v>
      </c>
      <c r="EZ367" t="str">
        <f>"(2.148)"</f>
        <v>(2.148)</v>
      </c>
      <c r="FA367" t="str">
        <f>"(0.976)"</f>
        <v>(0.976)</v>
      </c>
      <c r="FB367" t="str">
        <f>"(1.917)"</f>
        <v>(1.917)</v>
      </c>
      <c r="FC367" t="str">
        <f>"(2.144)"</f>
        <v>(2.144)</v>
      </c>
      <c r="FD367" t="str">
        <f>"(0.973)"</f>
        <v>(0.973)</v>
      </c>
      <c r="FE367" t="str">
        <f>"(1.917)"</f>
        <v>(1.917)</v>
      </c>
      <c r="FF367" t="str">
        <f>"(2.144)"</f>
        <v>(2.144)</v>
      </c>
      <c r="FG367" t="str">
        <f>"(0.973)"</f>
        <v>(0.973)</v>
      </c>
      <c r="FH367" t="str">
        <f>"(1.917)"</f>
        <v>(1.917)</v>
      </c>
      <c r="FI367" t="str">
        <f>"(2.143)"</f>
        <v>(2.143)</v>
      </c>
      <c r="FJ367" t="str">
        <f>"(0.973)"</f>
        <v>(0.973)</v>
      </c>
      <c r="FK367" t="str">
        <f>"(1.916)"</f>
        <v>(1.916)</v>
      </c>
      <c r="FL367" t="str">
        <f>"(2.143)"</f>
        <v>(2.143)</v>
      </c>
      <c r="FM367" t="str">
        <f>"(0.973)"</f>
        <v>(0.973)</v>
      </c>
      <c r="FN367" t="str">
        <f>"(1.916)"</f>
        <v>(1.916)</v>
      </c>
      <c r="FO367" t="str">
        <f>"(2.144)"</f>
        <v>(2.144)</v>
      </c>
      <c r="FP367" t="str">
        <f>"(0.973)"</f>
        <v>(0.973)</v>
      </c>
      <c r="FQ367" t="str">
        <f>"(1.918)"</f>
        <v>(1.918)</v>
      </c>
      <c r="FR367" t="str">
        <f>"(2.144)"</f>
        <v>(2.144)</v>
      </c>
      <c r="FS367" t="str">
        <f>"(0.974)"</f>
        <v>(0.974)</v>
      </c>
      <c r="FT367" t="str">
        <f>"(1.917)"</f>
        <v>(1.917)</v>
      </c>
      <c r="FU367" t="str">
        <f>"(2.144)"</f>
        <v>(2.144)</v>
      </c>
      <c r="FV367" t="str">
        <f>"(0.973)"</f>
        <v>(0.973)</v>
      </c>
      <c r="FW367" t="str">
        <f>"(1.916)"</f>
        <v>(1.916)</v>
      </c>
      <c r="FX367" t="str">
        <f>"(2.143)"</f>
        <v>(2.143)</v>
      </c>
      <c r="FY367" t="str">
        <f>"(0.974)"</f>
        <v>(0.974)</v>
      </c>
      <c r="FZ367" t="str">
        <f>"(1.917)"</f>
        <v>(1.917)</v>
      </c>
      <c r="GA367" t="str">
        <f>"(2.145)"</f>
        <v>(2.145)</v>
      </c>
      <c r="GB367" t="str">
        <f>"(0.974)"</f>
        <v>(0.974)</v>
      </c>
      <c r="GC367" t="str">
        <f>"(1.918)"</f>
        <v>(1.918)</v>
      </c>
      <c r="GD367" t="str">
        <f>"(2.144)"</f>
        <v>(2.144)</v>
      </c>
      <c r="GE367" t="str">
        <f>"(0.973)"</f>
        <v>(0.973)</v>
      </c>
      <c r="GF367" t="str">
        <f>"(1.916)"</f>
        <v>(1.916)</v>
      </c>
      <c r="GG367" t="str">
        <f>"(2.144)"</f>
        <v>(2.144)</v>
      </c>
      <c r="GH367" t="str">
        <f>"(0.973)"</f>
        <v>(0.973)</v>
      </c>
      <c r="GI367" t="str">
        <f>"(1.916)"</f>
        <v>(1.916)</v>
      </c>
      <c r="GJ367" t="str">
        <f>"(2.143)"</f>
        <v>(2.143)</v>
      </c>
      <c r="GK367" t="str">
        <f>"(0.973)"</f>
        <v>(0.973)</v>
      </c>
      <c r="GL367" t="str">
        <f>"(1.917)"</f>
        <v>(1.917)</v>
      </c>
      <c r="GM367" t="str">
        <f>"(2.144)"</f>
        <v>(2.144)</v>
      </c>
      <c r="GN367" t="str">
        <f>"(0.973)"</f>
        <v>(0.973)</v>
      </c>
      <c r="GO367" t="str">
        <f>"(1.917)"</f>
        <v>(1.917)</v>
      </c>
      <c r="GP367" t="str">
        <f>"(2.143)"</f>
        <v>(2.143)</v>
      </c>
      <c r="GQ367" t="str">
        <f>"(0.973)"</f>
        <v>(0.973)</v>
      </c>
      <c r="GR367" t="str">
        <f>"(1.920)"</f>
        <v>(1.920)</v>
      </c>
      <c r="GS367" t="str">
        <f>"(2.148)"</f>
        <v>(2.148)</v>
      </c>
      <c r="GT367" t="str">
        <f>"(0.976)"</f>
        <v>(0.976)</v>
      </c>
      <c r="GU367" t="str">
        <f>"(1.917)"</f>
        <v>(1.917)</v>
      </c>
      <c r="GV367" t="str">
        <f>"(2.144)"</f>
        <v>(2.144)</v>
      </c>
      <c r="GW367" t="str">
        <f>"(0.973)"</f>
        <v>(0.973)</v>
      </c>
      <c r="GX367" t="str">
        <f>"(1.916)"</f>
        <v>(1.916)</v>
      </c>
      <c r="GY367" t="str">
        <f>"(2.144)"</f>
        <v>(2.144)</v>
      </c>
      <c r="GZ367" t="str">
        <f>"(0.973)"</f>
        <v>(0.973)</v>
      </c>
      <c r="HA367" t="str">
        <f>"(1.917)"</f>
        <v>(1.917)</v>
      </c>
      <c r="HB367" t="str">
        <f>"(2.143)"</f>
        <v>(2.143)</v>
      </c>
      <c r="HC367" t="str">
        <f>"(0.973)"</f>
        <v>(0.973)</v>
      </c>
      <c r="HD367" t="str">
        <f>"(1.916)"</f>
        <v>(1.916)</v>
      </c>
      <c r="HE367" t="str">
        <f>"(2.144)"</f>
        <v>(2.144)</v>
      </c>
      <c r="HF367" t="str">
        <f>"(0.973)"</f>
        <v>(0.973)</v>
      </c>
      <c r="HG367" t="str">
        <f>"(1.916)"</f>
        <v>(1.916)</v>
      </c>
      <c r="HH367" t="str">
        <f>"(2.143)"</f>
        <v>(2.143)</v>
      </c>
      <c r="HI367" t="str">
        <f>"(0.973)"</f>
        <v>(0.973)</v>
      </c>
      <c r="HJ367" t="str">
        <f>"(1.917)"</f>
        <v>(1.917)</v>
      </c>
      <c r="HK367" t="str">
        <f>"(2.144)"</f>
        <v>(2.144)</v>
      </c>
      <c r="HL367" t="str">
        <f>"(0.974)"</f>
        <v>(0.974)</v>
      </c>
      <c r="HM367" t="str">
        <f>"(1.917)"</f>
        <v>(1.917)</v>
      </c>
      <c r="HN367" t="str">
        <f>"(2.144)"</f>
        <v>(2.144)</v>
      </c>
      <c r="HO367" t="str">
        <f>"(0.973)"</f>
        <v>(0.973)</v>
      </c>
      <c r="HP367" t="str">
        <f>"(1.915)"</f>
        <v>(1.915)</v>
      </c>
      <c r="HQ367" t="str">
        <f>"(2.143)"</f>
        <v>(2.143)</v>
      </c>
      <c r="HR367" t="str">
        <f>"(0.974)"</f>
        <v>(0.974)</v>
      </c>
      <c r="HS367" t="str">
        <f>"(1.917)"</f>
        <v>(1.917)</v>
      </c>
      <c r="HT367" t="str">
        <f>"(2.145)"</f>
        <v>(2.145)</v>
      </c>
      <c r="HU367" t="str">
        <f>"(0.974)"</f>
        <v>(0.974)</v>
      </c>
      <c r="HV367" t="str">
        <f>"(1.918)"</f>
        <v>(1.918)</v>
      </c>
      <c r="HW367" t="str">
        <f>"(2.144)"</f>
        <v>(2.144)</v>
      </c>
      <c r="HX367" t="str">
        <f>"(0.973)"</f>
        <v>(0.973)</v>
      </c>
      <c r="HY367" t="str">
        <f>"(1.917)"</f>
        <v>(1.917)</v>
      </c>
      <c r="HZ367" t="str">
        <f>"(2.144)"</f>
        <v>(2.144)</v>
      </c>
      <c r="IA367" t="str">
        <f>"(0.973)"</f>
        <v>(0.973)</v>
      </c>
      <c r="IB367" t="str">
        <f>"(1.917)"</f>
        <v>(1.917)</v>
      </c>
      <c r="IC367" t="str">
        <f>"(2.143)"</f>
        <v>(2.143)</v>
      </c>
      <c r="ID367" t="str">
        <f>"(0.973)"</f>
        <v>(0.973)</v>
      </c>
      <c r="IE367" t="str">
        <f>"(1.918)"</f>
        <v>(1.918)</v>
      </c>
      <c r="IF367" t="str">
        <f>"(2.144)"</f>
        <v>(2.144)</v>
      </c>
      <c r="IG367" t="str">
        <f>"(0.973)"</f>
        <v>(0.973)</v>
      </c>
      <c r="IH367" t="str">
        <f>"(1.917)"</f>
        <v>(1.917)</v>
      </c>
      <c r="II367" t="str">
        <f>"(2.143)"</f>
        <v>(2.143)</v>
      </c>
      <c r="IJ367" t="str">
        <f>"(0.973)"</f>
        <v>(0.973)</v>
      </c>
      <c r="IK367" t="str">
        <f>"(1.920)"</f>
        <v>(1.920)</v>
      </c>
      <c r="IL367" t="str">
        <f>"(2.148)"</f>
        <v>(2.148)</v>
      </c>
      <c r="IM367" t="str">
        <f>"(0.976)"</f>
        <v>(0.976)</v>
      </c>
      <c r="IN367" t="str">
        <f>"(1.917)"</f>
        <v>(1.917)</v>
      </c>
      <c r="IO367" t="str">
        <f>"(2.145)"</f>
        <v>(2.145)</v>
      </c>
      <c r="IP367" t="str">
        <f>"(0.973)"</f>
        <v>(0.973)</v>
      </c>
      <c r="IQ367" t="str">
        <f>"(1.917)"</f>
        <v>(1.917)</v>
      </c>
      <c r="IR367" t="str">
        <f>"(2.144)"</f>
        <v>(2.144)</v>
      </c>
      <c r="IS367" t="str">
        <f>"(0.973)"</f>
        <v>(0.973)</v>
      </c>
      <c r="IT367" t="str">
        <f>"(1.917)"</f>
        <v>(1.917)</v>
      </c>
      <c r="IU367" t="str">
        <f>"(2.144)"</f>
        <v>(2.144)</v>
      </c>
      <c r="IV367" t="str">
        <f>"(0.973)"</f>
        <v>(0.973)</v>
      </c>
      <c r="IW367" t="str">
        <f>"(1.916)"</f>
        <v>(1.916)</v>
      </c>
      <c r="IX367" t="str">
        <f>"(2.144)"</f>
        <v>(2.144)</v>
      </c>
      <c r="IY367" t="str">
        <f>"(0.973)"</f>
        <v>(0.973)</v>
      </c>
      <c r="IZ367" t="str">
        <f>"(1.916)"</f>
        <v>(1.916)</v>
      </c>
      <c r="JA367" t="str">
        <f>"(2.144)"</f>
        <v>(2.144)</v>
      </c>
      <c r="JB367" t="str">
        <f>"(0.973)"</f>
        <v>(0.973)</v>
      </c>
      <c r="JC367" t="str">
        <f>"(1.917)"</f>
        <v>(1.917)</v>
      </c>
      <c r="JD367" t="str">
        <f>"(2.144)"</f>
        <v>(2.144)</v>
      </c>
      <c r="JE367" t="str">
        <f>"(0.974)"</f>
        <v>(0.974)</v>
      </c>
      <c r="JF367" t="str">
        <f>"(1.917)"</f>
        <v>(1.917)</v>
      </c>
      <c r="JG367" t="str">
        <f>"(2.144)"</f>
        <v>(2.144)</v>
      </c>
      <c r="JH367" t="str">
        <f>"(0.973)"</f>
        <v>(0.973)</v>
      </c>
      <c r="JI367" t="str">
        <f>"(1.915)"</f>
        <v>(1.915)</v>
      </c>
      <c r="JJ367" t="str">
        <f>"(2.143)"</f>
        <v>(2.143)</v>
      </c>
      <c r="JK367" t="str">
        <f>"(0.974)"</f>
        <v>(0.974)</v>
      </c>
    </row>
    <row r="369" spans="1:271" x14ac:dyDescent="0.3">
      <c r="A369" t="str">
        <f>"/"</f>
        <v>/</v>
      </c>
      <c r="B369" t="str">
        <f>""</f>
        <v/>
      </c>
      <c r="C369" t="str">
        <f>""</f>
        <v/>
      </c>
      <c r="D369" t="str">
        <f>""</f>
        <v/>
      </c>
      <c r="E369" t="str">
        <f>""</f>
        <v/>
      </c>
      <c r="F369" t="str">
        <f>""</f>
        <v/>
      </c>
      <c r="G369" t="str">
        <f>""</f>
        <v/>
      </c>
      <c r="H369" t="str">
        <f>""</f>
        <v/>
      </c>
      <c r="I369" t="str">
        <f>""</f>
        <v/>
      </c>
      <c r="J369" t="str">
        <f>""</f>
        <v/>
      </c>
      <c r="K369" t="str">
        <f>""</f>
        <v/>
      </c>
      <c r="L369" t="str">
        <f>""</f>
        <v/>
      </c>
      <c r="M369" t="str">
        <f>""</f>
        <v/>
      </c>
      <c r="N369" t="str">
        <f>""</f>
        <v/>
      </c>
      <c r="O369" t="str">
        <f>""</f>
        <v/>
      </c>
      <c r="P369" t="str">
        <f>""</f>
        <v/>
      </c>
      <c r="Q369" t="str">
        <f>""</f>
        <v/>
      </c>
      <c r="R369" t="str">
        <f>""</f>
        <v/>
      </c>
      <c r="S369" t="str">
        <f>""</f>
        <v/>
      </c>
      <c r="T369" t="str">
        <f>""</f>
        <v/>
      </c>
      <c r="U369" t="str">
        <f>""</f>
        <v/>
      </c>
      <c r="V369" t="str">
        <f>""</f>
        <v/>
      </c>
      <c r="W369" t="str">
        <f>""</f>
        <v/>
      </c>
      <c r="X369" t="str">
        <f>""</f>
        <v/>
      </c>
      <c r="Y369" t="str">
        <f>""</f>
        <v/>
      </c>
      <c r="Z369" t="str">
        <f>""</f>
        <v/>
      </c>
      <c r="AA369" t="str">
        <f>""</f>
        <v/>
      </c>
      <c r="AB369" t="str">
        <f>""</f>
        <v/>
      </c>
      <c r="AC369" t="str">
        <f>""</f>
        <v/>
      </c>
      <c r="AD369" t="str">
        <f>""</f>
        <v/>
      </c>
      <c r="AE369" t="str">
        <f>""</f>
        <v/>
      </c>
      <c r="AF369" t="str">
        <f>""</f>
        <v/>
      </c>
      <c r="AG369" t="str">
        <f>""</f>
        <v/>
      </c>
      <c r="AH369" t="str">
        <f>""</f>
        <v/>
      </c>
      <c r="AI369" t="str">
        <f>""</f>
        <v/>
      </c>
      <c r="AJ369" t="str">
        <f>""</f>
        <v/>
      </c>
      <c r="AK369" t="str">
        <f>""</f>
        <v/>
      </c>
      <c r="AL369" t="str">
        <f>""</f>
        <v/>
      </c>
      <c r="AM369" t="str">
        <f>""</f>
        <v/>
      </c>
      <c r="AN369" t="str">
        <f>""</f>
        <v/>
      </c>
      <c r="AO369" t="str">
        <f>""</f>
        <v/>
      </c>
      <c r="AP369" t="str">
        <f>""</f>
        <v/>
      </c>
      <c r="AQ369" t="str">
        <f>""</f>
        <v/>
      </c>
      <c r="AR369" t="str">
        <f>""</f>
        <v/>
      </c>
      <c r="AS369" t="str">
        <f>""</f>
        <v/>
      </c>
      <c r="AT369" t="str">
        <f>""</f>
        <v/>
      </c>
      <c r="AU369" t="str">
        <f>""</f>
        <v/>
      </c>
      <c r="AV369" t="str">
        <f>""</f>
        <v/>
      </c>
      <c r="AW369" t="str">
        <f>""</f>
        <v/>
      </c>
      <c r="AX369" t="str">
        <f>""</f>
        <v/>
      </c>
      <c r="AY369" t="str">
        <f>""</f>
        <v/>
      </c>
      <c r="AZ369" t="str">
        <f>""</f>
        <v/>
      </c>
      <c r="BA369" t="str">
        <f>""</f>
        <v/>
      </c>
      <c r="BB369" t="str">
        <f>""</f>
        <v/>
      </c>
      <c r="BC369" t="str">
        <f>""</f>
        <v/>
      </c>
      <c r="BD369" t="str">
        <f>""</f>
        <v/>
      </c>
      <c r="BE369" t="str">
        <f>""</f>
        <v/>
      </c>
      <c r="BF369" t="str">
        <f>""</f>
        <v/>
      </c>
      <c r="BG369" t="str">
        <f>""</f>
        <v/>
      </c>
      <c r="BH369" t="str">
        <f>""</f>
        <v/>
      </c>
      <c r="BI369" t="str">
        <f>""</f>
        <v/>
      </c>
      <c r="BJ369" t="str">
        <f>""</f>
        <v/>
      </c>
      <c r="BK369" t="str">
        <f>""</f>
        <v/>
      </c>
      <c r="BL369" t="str">
        <f>""</f>
        <v/>
      </c>
      <c r="BM369" t="str">
        <f>""</f>
        <v/>
      </c>
      <c r="BN369" t="str">
        <f>""</f>
        <v/>
      </c>
      <c r="BO369" t="str">
        <f>""</f>
        <v/>
      </c>
      <c r="BP369" t="str">
        <f>""</f>
        <v/>
      </c>
      <c r="BQ369" t="str">
        <f>""</f>
        <v/>
      </c>
      <c r="BR369" t="str">
        <f>""</f>
        <v/>
      </c>
      <c r="BS369" t="str">
        <f>""</f>
        <v/>
      </c>
      <c r="BT369" t="str">
        <f>""</f>
        <v/>
      </c>
      <c r="BU369" t="str">
        <f>""</f>
        <v/>
      </c>
      <c r="BV369" t="str">
        <f>""</f>
        <v/>
      </c>
      <c r="BW369" t="str">
        <f>""</f>
        <v/>
      </c>
      <c r="BX369" t="str">
        <f>""</f>
        <v/>
      </c>
      <c r="BY369" t="str">
        <f>""</f>
        <v/>
      </c>
      <c r="BZ369" t="str">
        <f>""</f>
        <v/>
      </c>
      <c r="CA369" t="str">
        <f>""</f>
        <v/>
      </c>
      <c r="CB369" t="str">
        <f>""</f>
        <v/>
      </c>
      <c r="CC369" t="str">
        <f>""</f>
        <v/>
      </c>
      <c r="CD369" t="str">
        <f>""</f>
        <v/>
      </c>
      <c r="CE369" t="str">
        <f>""</f>
        <v/>
      </c>
      <c r="CF369" t="str">
        <f>""</f>
        <v/>
      </c>
      <c r="CG369" t="str">
        <f>""</f>
        <v/>
      </c>
      <c r="CH369" t="str">
        <f>""</f>
        <v/>
      </c>
      <c r="CI369" t="str">
        <f>""</f>
        <v/>
      </c>
      <c r="CJ369" t="str">
        <f>""</f>
        <v/>
      </c>
      <c r="CK369" t="str">
        <f>""</f>
        <v/>
      </c>
      <c r="CL369" t="str">
        <f>""</f>
        <v/>
      </c>
      <c r="CM369" t="str">
        <f>""</f>
        <v/>
      </c>
      <c r="CN369" t="str">
        <f>""</f>
        <v/>
      </c>
      <c r="CO369" t="str">
        <f>""</f>
        <v/>
      </c>
      <c r="CP369" t="str">
        <f>""</f>
        <v/>
      </c>
      <c r="CQ369" t="str">
        <f>""</f>
        <v/>
      </c>
      <c r="CR369" t="str">
        <f>""</f>
        <v/>
      </c>
      <c r="CS369" t="str">
        <f>""</f>
        <v/>
      </c>
      <c r="CT369" t="str">
        <f>""</f>
        <v/>
      </c>
      <c r="CU369" t="str">
        <f>""</f>
        <v/>
      </c>
      <c r="CV369" t="str">
        <f>""</f>
        <v/>
      </c>
      <c r="CW369" t="str">
        <f>""</f>
        <v/>
      </c>
      <c r="CX369" t="str">
        <f>""</f>
        <v/>
      </c>
      <c r="CY369" t="str">
        <f>""</f>
        <v/>
      </c>
      <c r="CZ369" t="str">
        <f>""</f>
        <v/>
      </c>
      <c r="DA369" t="str">
        <f>""</f>
        <v/>
      </c>
      <c r="DB369" t="str">
        <f>""</f>
        <v/>
      </c>
      <c r="DC369" t="str">
        <f>""</f>
        <v/>
      </c>
      <c r="DD369" t="str">
        <f>""</f>
        <v/>
      </c>
      <c r="DE369" t="str">
        <f>""</f>
        <v/>
      </c>
      <c r="DF369" t="str">
        <f>""</f>
        <v/>
      </c>
      <c r="DG369" t="str">
        <f>""</f>
        <v/>
      </c>
      <c r="DH369" t="str">
        <f>""</f>
        <v/>
      </c>
      <c r="DI369" t="str">
        <f>""</f>
        <v/>
      </c>
      <c r="DJ369" t="str">
        <f>""</f>
        <v/>
      </c>
      <c r="DK369" t="str">
        <f>""</f>
        <v/>
      </c>
      <c r="DL369" t="str">
        <f>""</f>
        <v/>
      </c>
      <c r="DM369" t="str">
        <f>""</f>
        <v/>
      </c>
      <c r="DN369" t="str">
        <f>""</f>
        <v/>
      </c>
      <c r="DO369" t="str">
        <f>""</f>
        <v/>
      </c>
      <c r="DP369" t="str">
        <f>""</f>
        <v/>
      </c>
      <c r="DQ369" t="str">
        <f>""</f>
        <v/>
      </c>
      <c r="DR369" t="str">
        <f>""</f>
        <v/>
      </c>
      <c r="DS369" t="str">
        <f>""</f>
        <v/>
      </c>
      <c r="DT369" t="str">
        <f>""</f>
        <v/>
      </c>
      <c r="DU369" t="str">
        <f>""</f>
        <v/>
      </c>
      <c r="DV369" t="str">
        <f>""</f>
        <v/>
      </c>
      <c r="DW369" t="str">
        <f>""</f>
        <v/>
      </c>
      <c r="DX369" t="str">
        <f>""</f>
        <v/>
      </c>
      <c r="DY369" t="str">
        <f>""</f>
        <v/>
      </c>
      <c r="DZ369" t="str">
        <f>""</f>
        <v/>
      </c>
      <c r="EA369" t="str">
        <f>""</f>
        <v/>
      </c>
      <c r="EB369" t="str">
        <f>""</f>
        <v/>
      </c>
      <c r="EC369" t="str">
        <f>""</f>
        <v/>
      </c>
      <c r="ED369" t="str">
        <f>""</f>
        <v/>
      </c>
      <c r="EE369" t="str">
        <f>""</f>
        <v/>
      </c>
      <c r="EF369" t="str">
        <f>""</f>
        <v/>
      </c>
      <c r="EG369" t="str">
        <f>""</f>
        <v/>
      </c>
      <c r="EH369" t="str">
        <f>""</f>
        <v/>
      </c>
      <c r="EI369" t="str">
        <f>""</f>
        <v/>
      </c>
      <c r="EJ369" t="str">
        <f>""</f>
        <v/>
      </c>
      <c r="EK369" t="str">
        <f>""</f>
        <v/>
      </c>
      <c r="EL369" t="str">
        <f>""</f>
        <v/>
      </c>
      <c r="EM369" t="str">
        <f>""</f>
        <v/>
      </c>
      <c r="EN369" t="str">
        <f>""</f>
        <v/>
      </c>
      <c r="EO369" t="str">
        <f>""</f>
        <v/>
      </c>
      <c r="EP369" t="str">
        <f>""</f>
        <v/>
      </c>
      <c r="EQ369" t="str">
        <f>""</f>
        <v/>
      </c>
      <c r="ER369" t="str">
        <f>""</f>
        <v/>
      </c>
      <c r="ES369" t="str">
        <f>""</f>
        <v/>
      </c>
      <c r="ET369" t="str">
        <f>""</f>
        <v/>
      </c>
      <c r="EU369" t="str">
        <f>""</f>
        <v/>
      </c>
      <c r="EV369" t="str">
        <f>""</f>
        <v/>
      </c>
      <c r="EW369" t="str">
        <f>""</f>
        <v/>
      </c>
      <c r="EX369" t="str">
        <f>""</f>
        <v/>
      </c>
      <c r="EY369" t="str">
        <f>""</f>
        <v/>
      </c>
      <c r="EZ369" t="str">
        <f>""</f>
        <v/>
      </c>
      <c r="FA369" t="str">
        <f>""</f>
        <v/>
      </c>
      <c r="FB369" t="str">
        <f>""</f>
        <v/>
      </c>
      <c r="FC369" t="str">
        <f>""</f>
        <v/>
      </c>
      <c r="FD369" t="str">
        <f>""</f>
        <v/>
      </c>
      <c r="FE369" t="str">
        <f>""</f>
        <v/>
      </c>
      <c r="FF369" t="str">
        <f>""</f>
        <v/>
      </c>
      <c r="FG369" t="str">
        <f>""</f>
        <v/>
      </c>
      <c r="FH369" t="str">
        <f>""</f>
        <v/>
      </c>
      <c r="FI369" t="str">
        <f>""</f>
        <v/>
      </c>
      <c r="FJ369" t="str">
        <f>""</f>
        <v/>
      </c>
      <c r="FK369" t="str">
        <f>""</f>
        <v/>
      </c>
      <c r="FL369" t="str">
        <f>""</f>
        <v/>
      </c>
      <c r="FM369" t="str">
        <f>""</f>
        <v/>
      </c>
      <c r="FN369" t="str">
        <f>""</f>
        <v/>
      </c>
      <c r="FO369" t="str">
        <f>""</f>
        <v/>
      </c>
      <c r="FP369" t="str">
        <f>""</f>
        <v/>
      </c>
      <c r="FQ369" t="str">
        <f>""</f>
        <v/>
      </c>
      <c r="FR369" t="str">
        <f>""</f>
        <v/>
      </c>
      <c r="FS369" t="str">
        <f>""</f>
        <v/>
      </c>
      <c r="FT369" t="str">
        <f>""</f>
        <v/>
      </c>
      <c r="FU369" t="str">
        <f>""</f>
        <v/>
      </c>
      <c r="FV369" t="str">
        <f>""</f>
        <v/>
      </c>
      <c r="FW369" t="str">
        <f>""</f>
        <v/>
      </c>
      <c r="FX369" t="str">
        <f>""</f>
        <v/>
      </c>
      <c r="FY369" t="str">
        <f>""</f>
        <v/>
      </c>
      <c r="FZ369" t="str">
        <f>""</f>
        <v/>
      </c>
      <c r="GA369" t="str">
        <f>""</f>
        <v/>
      </c>
      <c r="GB369" t="str">
        <f>""</f>
        <v/>
      </c>
      <c r="GC369" t="str">
        <f>""</f>
        <v/>
      </c>
      <c r="GD369" t="str">
        <f>""</f>
        <v/>
      </c>
      <c r="GE369" t="str">
        <f>""</f>
        <v/>
      </c>
      <c r="GF369" t="str">
        <f>""</f>
        <v/>
      </c>
      <c r="GG369" t="str">
        <f>""</f>
        <v/>
      </c>
      <c r="GH369" t="str">
        <f>""</f>
        <v/>
      </c>
      <c r="GI369" t="str">
        <f>""</f>
        <v/>
      </c>
      <c r="GJ369" t="str">
        <f>""</f>
        <v/>
      </c>
      <c r="GK369" t="str">
        <f>""</f>
        <v/>
      </c>
      <c r="GL369" t="str">
        <f>""</f>
        <v/>
      </c>
      <c r="GM369" t="str">
        <f>""</f>
        <v/>
      </c>
      <c r="GN369" t="str">
        <f>""</f>
        <v/>
      </c>
      <c r="GO369" t="str">
        <f>""</f>
        <v/>
      </c>
      <c r="GP369" t="str">
        <f>""</f>
        <v/>
      </c>
      <c r="GQ369" t="str">
        <f>""</f>
        <v/>
      </c>
      <c r="GR369" t="str">
        <f>""</f>
        <v/>
      </c>
      <c r="GS369" t="str">
        <f>""</f>
        <v/>
      </c>
      <c r="GT369" t="str">
        <f>""</f>
        <v/>
      </c>
      <c r="GU369" t="str">
        <f>""</f>
        <v/>
      </c>
      <c r="GV369" t="str">
        <f>""</f>
        <v/>
      </c>
      <c r="GW369" t="str">
        <f>""</f>
        <v/>
      </c>
      <c r="GX369" t="str">
        <f>""</f>
        <v/>
      </c>
      <c r="GY369" t="str">
        <f>""</f>
        <v/>
      </c>
      <c r="GZ369" t="str">
        <f>""</f>
        <v/>
      </c>
      <c r="HA369" t="str">
        <f>""</f>
        <v/>
      </c>
      <c r="HB369" t="str">
        <f>""</f>
        <v/>
      </c>
      <c r="HC369" t="str">
        <f>""</f>
        <v/>
      </c>
      <c r="HD369" t="str">
        <f>""</f>
        <v/>
      </c>
      <c r="HE369" t="str">
        <f>""</f>
        <v/>
      </c>
      <c r="HF369" t="str">
        <f>""</f>
        <v/>
      </c>
      <c r="HG369" t="str">
        <f>""</f>
        <v/>
      </c>
      <c r="HH369" t="str">
        <f>""</f>
        <v/>
      </c>
      <c r="HI369" t="str">
        <f>""</f>
        <v/>
      </c>
      <c r="HJ369" t="str">
        <f>""</f>
        <v/>
      </c>
      <c r="HK369" t="str">
        <f>""</f>
        <v/>
      </c>
      <c r="HL369" t="str">
        <f>""</f>
        <v/>
      </c>
      <c r="HM369" t="str">
        <f>""</f>
        <v/>
      </c>
      <c r="HN369" t="str">
        <f>""</f>
        <v/>
      </c>
      <c r="HO369" t="str">
        <f>""</f>
        <v/>
      </c>
      <c r="HP369" t="str">
        <f>""</f>
        <v/>
      </c>
      <c r="HQ369" t="str">
        <f>""</f>
        <v/>
      </c>
      <c r="HR369" t="str">
        <f>""</f>
        <v/>
      </c>
      <c r="HS369" t="str">
        <f>""</f>
        <v/>
      </c>
      <c r="HT369" t="str">
        <f>""</f>
        <v/>
      </c>
      <c r="HU369" t="str">
        <f>""</f>
        <v/>
      </c>
      <c r="HV369" t="str">
        <f>""</f>
        <v/>
      </c>
      <c r="HW369" t="str">
        <f>""</f>
        <v/>
      </c>
      <c r="HX369" t="str">
        <f>""</f>
        <v/>
      </c>
      <c r="HY369" t="str">
        <f>""</f>
        <v/>
      </c>
      <c r="HZ369" t="str">
        <f>""</f>
        <v/>
      </c>
      <c r="IA369" t="str">
        <f>""</f>
        <v/>
      </c>
      <c r="IB369" t="str">
        <f>""</f>
        <v/>
      </c>
      <c r="IC369" t="str">
        <f>""</f>
        <v/>
      </c>
      <c r="ID369" t="str">
        <f>""</f>
        <v/>
      </c>
      <c r="IE369" t="str">
        <f>""</f>
        <v/>
      </c>
      <c r="IF369" t="str">
        <f>""</f>
        <v/>
      </c>
      <c r="IG369" t="str">
        <f>""</f>
        <v/>
      </c>
      <c r="IH369" t="str">
        <f>""</f>
        <v/>
      </c>
      <c r="II369" t="str">
        <f>""</f>
        <v/>
      </c>
      <c r="IJ369" t="str">
        <f>""</f>
        <v/>
      </c>
      <c r="IK369" t="str">
        <f>""</f>
        <v/>
      </c>
      <c r="IL369" t="str">
        <f>""</f>
        <v/>
      </c>
      <c r="IM369" t="str">
        <f>""</f>
        <v/>
      </c>
      <c r="IN369" t="str">
        <f>""</f>
        <v/>
      </c>
      <c r="IO369" t="str">
        <f>""</f>
        <v/>
      </c>
      <c r="IP369" t="str">
        <f>""</f>
        <v/>
      </c>
      <c r="IQ369" t="str">
        <f>""</f>
        <v/>
      </c>
      <c r="IR369" t="str">
        <f>""</f>
        <v/>
      </c>
      <c r="IS369" t="str">
        <f>""</f>
        <v/>
      </c>
      <c r="IT369" t="str">
        <f>""</f>
        <v/>
      </c>
      <c r="IU369" t="str">
        <f>""</f>
        <v/>
      </c>
      <c r="IV369" t="str">
        <f>""</f>
        <v/>
      </c>
      <c r="IW369" t="str">
        <f>""</f>
        <v/>
      </c>
      <c r="IX369" t="str">
        <f>""</f>
        <v/>
      </c>
      <c r="IY369" t="str">
        <f>""</f>
        <v/>
      </c>
      <c r="IZ369" t="str">
        <f>""</f>
        <v/>
      </c>
      <c r="JA369" t="str">
        <f>""</f>
        <v/>
      </c>
      <c r="JB369" t="str">
        <f>""</f>
        <v/>
      </c>
      <c r="JC369" t="str">
        <f>""</f>
        <v/>
      </c>
      <c r="JD369" t="str">
        <f>""</f>
        <v/>
      </c>
      <c r="JE369" t="str">
        <f>""</f>
        <v/>
      </c>
      <c r="JF369" t="str">
        <f>""</f>
        <v/>
      </c>
      <c r="JG369" t="str">
        <f>""</f>
        <v/>
      </c>
      <c r="JH369" t="str">
        <f>""</f>
        <v/>
      </c>
      <c r="JI369" t="str">
        <f>""</f>
        <v/>
      </c>
      <c r="JJ369" t="str">
        <f>""</f>
        <v/>
      </c>
      <c r="JK369" t="str">
        <f>""</f>
        <v/>
      </c>
    </row>
    <row r="370" spans="1:271" x14ac:dyDescent="0.3">
      <c r="A370" t="str">
        <f>"ln_p"</f>
        <v>ln_p</v>
      </c>
      <c r="B370" t="str">
        <f>"2.256***"</f>
        <v>2.256***</v>
      </c>
      <c r="C370" t="str">
        <f>"2.670***"</f>
        <v>2.670***</v>
      </c>
      <c r="D370" t="str">
        <f>"2.490***"</f>
        <v>2.490***</v>
      </c>
      <c r="E370" t="str">
        <f>"2.256***"</f>
        <v>2.256***</v>
      </c>
      <c r="F370" t="str">
        <f>"2.669***"</f>
        <v>2.669***</v>
      </c>
      <c r="G370" t="str">
        <f>"2.488***"</f>
        <v>2.488***</v>
      </c>
      <c r="H370" t="str">
        <f>"2.256***"</f>
        <v>2.256***</v>
      </c>
      <c r="I370" t="str">
        <f>"2.668***"</f>
        <v>2.668***</v>
      </c>
      <c r="J370" t="str">
        <f>"2.487***"</f>
        <v>2.487***</v>
      </c>
      <c r="K370" t="str">
        <f>"2.255***"</f>
        <v>2.255***</v>
      </c>
      <c r="L370" t="str">
        <f>"2.669***"</f>
        <v>2.669***</v>
      </c>
      <c r="M370" t="str">
        <f>"2.488***"</f>
        <v>2.488***</v>
      </c>
      <c r="N370" t="str">
        <f>"2.255***"</f>
        <v>2.255***</v>
      </c>
      <c r="O370" t="str">
        <f>"2.668***"</f>
        <v>2.668***</v>
      </c>
      <c r="P370" t="str">
        <f>"2.488***"</f>
        <v>2.488***</v>
      </c>
      <c r="Q370" t="str">
        <f>"2.256***"</f>
        <v>2.256***</v>
      </c>
      <c r="R370" t="str">
        <f>"2.668***"</f>
        <v>2.668***</v>
      </c>
      <c r="S370" t="str">
        <f>"2.487***"</f>
        <v>2.487***</v>
      </c>
      <c r="T370" t="str">
        <f>"2.255***"</f>
        <v>2.255***</v>
      </c>
      <c r="U370" t="str">
        <f>"2.670***"</f>
        <v>2.670***</v>
      </c>
      <c r="V370" t="str">
        <f>"2.489***"</f>
        <v>2.489***</v>
      </c>
      <c r="W370" t="str">
        <f>"2.256***"</f>
        <v>2.256***</v>
      </c>
      <c r="X370" t="str">
        <f>"2.669***"</f>
        <v>2.669***</v>
      </c>
      <c r="Y370" t="str">
        <f>"2.487***"</f>
        <v>2.487***</v>
      </c>
      <c r="Z370" t="str">
        <f>"2.256***"</f>
        <v>2.256***</v>
      </c>
      <c r="AA370" t="str">
        <f>"2.669***"</f>
        <v>2.669***</v>
      </c>
      <c r="AB370" t="str">
        <f>"2.488***"</f>
        <v>2.488***</v>
      </c>
      <c r="AC370" t="str">
        <f>"2.256***"</f>
        <v>2.256***</v>
      </c>
      <c r="AD370" t="str">
        <f>"2.668***"</f>
        <v>2.668***</v>
      </c>
      <c r="AE370" t="str">
        <f>"2.487***"</f>
        <v>2.487***</v>
      </c>
      <c r="AF370" t="str">
        <f>"2.255***"</f>
        <v>2.255***</v>
      </c>
      <c r="AG370" t="str">
        <f>"2.668***"</f>
        <v>2.668***</v>
      </c>
      <c r="AH370" t="str">
        <f>"2.487***"</f>
        <v>2.487***</v>
      </c>
      <c r="AI370" t="str">
        <f>"2.256***"</f>
        <v>2.256***</v>
      </c>
      <c r="AJ370" t="str">
        <f>"2.669***"</f>
        <v>2.669***</v>
      </c>
      <c r="AK370" t="str">
        <f>"2.488***"</f>
        <v>2.488***</v>
      </c>
      <c r="AL370" t="str">
        <f>"2.256***"</f>
        <v>2.256***</v>
      </c>
      <c r="AM370" t="str">
        <f>"2.669***"</f>
        <v>2.669***</v>
      </c>
      <c r="AN370" t="str">
        <f>"2.489***"</f>
        <v>2.489***</v>
      </c>
      <c r="AO370" t="str">
        <f>"2.255***"</f>
        <v>2.255***</v>
      </c>
      <c r="AP370" t="str">
        <f>"2.668***"</f>
        <v>2.668***</v>
      </c>
      <c r="AQ370" t="str">
        <f>"2.487***"</f>
        <v>2.487***</v>
      </c>
      <c r="AR370" t="str">
        <f>"2.254***"</f>
        <v>2.254***</v>
      </c>
      <c r="AS370" t="str">
        <f>"2.668***"</f>
        <v>2.668***</v>
      </c>
      <c r="AT370" t="str">
        <f>"2.488***"</f>
        <v>2.488***</v>
      </c>
      <c r="AU370" t="str">
        <f>"2.256***"</f>
        <v>2.256***</v>
      </c>
      <c r="AV370" t="str">
        <f>"2.670***"</f>
        <v>2.670***</v>
      </c>
      <c r="AW370" t="str">
        <f>"2.490***"</f>
        <v>2.490***</v>
      </c>
      <c r="AX370" t="str">
        <f>"2.256***"</f>
        <v>2.256***</v>
      </c>
      <c r="AY370" t="str">
        <f>"2.669***"</f>
        <v>2.669***</v>
      </c>
      <c r="AZ370" t="str">
        <f>"2.488***"</f>
        <v>2.488***</v>
      </c>
      <c r="BA370" t="str">
        <f>"2.255***"</f>
        <v>2.255***</v>
      </c>
      <c r="BB370" t="str">
        <f>"2.668***"</f>
        <v>2.668***</v>
      </c>
      <c r="BC370" t="str">
        <f>"2.487***"</f>
        <v>2.487***</v>
      </c>
      <c r="BD370" t="str">
        <f>"2.255***"</f>
        <v>2.255***</v>
      </c>
      <c r="BE370" t="str">
        <f>"2.668***"</f>
        <v>2.668***</v>
      </c>
      <c r="BF370" t="str">
        <f>"2.488***"</f>
        <v>2.488***</v>
      </c>
      <c r="BG370" t="str">
        <f>"2.255***"</f>
        <v>2.255***</v>
      </c>
      <c r="BH370" t="str">
        <f>"2.668***"</f>
        <v>2.668***</v>
      </c>
      <c r="BI370" t="str">
        <f>"2.489***"</f>
        <v>2.489***</v>
      </c>
      <c r="BJ370" t="str">
        <f>"2.256***"</f>
        <v>2.256***</v>
      </c>
      <c r="BK370" t="str">
        <f>"2.669***"</f>
        <v>2.669***</v>
      </c>
      <c r="BL370" t="str">
        <f>"2.487***"</f>
        <v>2.487***</v>
      </c>
      <c r="BM370" t="str">
        <f>"2.255***"</f>
        <v>2.255***</v>
      </c>
      <c r="BN370" t="str">
        <f>"2.669***"</f>
        <v>2.669***</v>
      </c>
      <c r="BO370" t="str">
        <f>"2.489***"</f>
        <v>2.489***</v>
      </c>
      <c r="BP370" t="str">
        <f>"2.256***"</f>
        <v>2.256***</v>
      </c>
      <c r="BQ370" t="str">
        <f>"2.669***"</f>
        <v>2.669***</v>
      </c>
      <c r="BR370" t="str">
        <f>"2.487***"</f>
        <v>2.487***</v>
      </c>
      <c r="BS370" t="str">
        <f>"2.256***"</f>
        <v>2.256***</v>
      </c>
      <c r="BT370" t="str">
        <f>"2.669***"</f>
        <v>2.669***</v>
      </c>
      <c r="BU370" t="str">
        <f>"2.488***"</f>
        <v>2.488***</v>
      </c>
      <c r="BV370" t="str">
        <f>"2.256***"</f>
        <v>2.256***</v>
      </c>
      <c r="BW370" t="str">
        <f>"2.668***"</f>
        <v>2.668***</v>
      </c>
      <c r="BX370" t="str">
        <f>"2.488***"</f>
        <v>2.488***</v>
      </c>
      <c r="BY370" t="str">
        <f>"2.255***"</f>
        <v>2.255***</v>
      </c>
      <c r="BZ370" t="str">
        <f>"2.668***"</f>
        <v>2.668***</v>
      </c>
      <c r="CA370" t="str">
        <f>"2.487***"</f>
        <v>2.487***</v>
      </c>
      <c r="CB370" t="str">
        <f>"2.256***"</f>
        <v>2.256***</v>
      </c>
      <c r="CC370" t="str">
        <f>"2.669***"</f>
        <v>2.669***</v>
      </c>
      <c r="CD370" t="str">
        <f>"2.488***"</f>
        <v>2.488***</v>
      </c>
      <c r="CE370" t="str">
        <f>"2.256***"</f>
        <v>2.256***</v>
      </c>
      <c r="CF370" t="str">
        <f>"2.669***"</f>
        <v>2.669***</v>
      </c>
      <c r="CG370" t="str">
        <f>"2.489***"</f>
        <v>2.489***</v>
      </c>
      <c r="CH370" t="str">
        <f>"2.255***"</f>
        <v>2.255***</v>
      </c>
      <c r="CI370" t="str">
        <f>"2.668***"</f>
        <v>2.668***</v>
      </c>
      <c r="CJ370" t="str">
        <f>"2.487***"</f>
        <v>2.487***</v>
      </c>
      <c r="CK370" t="str">
        <f>"2.254***"</f>
        <v>2.254***</v>
      </c>
      <c r="CL370" t="str">
        <f>"2.667***"</f>
        <v>2.667***</v>
      </c>
      <c r="CM370" t="str">
        <f>"2.488***"</f>
        <v>2.488***</v>
      </c>
      <c r="CN370" t="str">
        <f>"2.256***"</f>
        <v>2.256***</v>
      </c>
      <c r="CO370" t="str">
        <f>"2.669***"</f>
        <v>2.669***</v>
      </c>
      <c r="CP370" t="str">
        <f>"2.490***"</f>
        <v>2.490***</v>
      </c>
      <c r="CQ370" t="str">
        <f>"2.256***"</f>
        <v>2.256***</v>
      </c>
      <c r="CR370" t="str">
        <f>"2.668***"</f>
        <v>2.668***</v>
      </c>
      <c r="CS370" t="str">
        <f>"2.488***"</f>
        <v>2.488***</v>
      </c>
      <c r="CT370" t="str">
        <f>"2.255***"</f>
        <v>2.255***</v>
      </c>
      <c r="CU370" t="str">
        <f>"2.668***"</f>
        <v>2.668***</v>
      </c>
      <c r="CV370" t="str">
        <f>"2.487***"</f>
        <v>2.487***</v>
      </c>
      <c r="CW370" t="str">
        <f>"2.255***"</f>
        <v>2.255***</v>
      </c>
      <c r="CX370" t="str">
        <f>"2.668***"</f>
        <v>2.668***</v>
      </c>
      <c r="CY370" t="str">
        <f>"2.488***"</f>
        <v>2.488***</v>
      </c>
      <c r="CZ370" t="str">
        <f>"2.255***"</f>
        <v>2.255***</v>
      </c>
      <c r="DA370" t="str">
        <f>"2.667***"</f>
        <v>2.667***</v>
      </c>
      <c r="DB370" t="str">
        <f>"2.489***"</f>
        <v>2.489***</v>
      </c>
      <c r="DC370" t="str">
        <f>"2.256***"</f>
        <v>2.256***</v>
      </c>
      <c r="DD370" t="str">
        <f>"2.668***"</f>
        <v>2.668***</v>
      </c>
      <c r="DE370" t="str">
        <f>"2.488***"</f>
        <v>2.488***</v>
      </c>
      <c r="DF370" t="str">
        <f>"2.255***"</f>
        <v>2.255***</v>
      </c>
      <c r="DG370" t="str">
        <f>"2.669***"</f>
        <v>2.669***</v>
      </c>
      <c r="DH370" t="str">
        <f>"2.489***"</f>
        <v>2.489***</v>
      </c>
      <c r="DI370" t="str">
        <f>"2.256***"</f>
        <v>2.256***</v>
      </c>
      <c r="DJ370" t="str">
        <f>"2.669***"</f>
        <v>2.669***</v>
      </c>
      <c r="DK370" t="str">
        <f>"2.488***"</f>
        <v>2.488***</v>
      </c>
      <c r="DL370" t="str">
        <f>"2.256***"</f>
        <v>2.256***</v>
      </c>
      <c r="DM370" t="str">
        <f>"2.668***"</f>
        <v>2.668***</v>
      </c>
      <c r="DN370" t="str">
        <f>"2.488***"</f>
        <v>2.488***</v>
      </c>
      <c r="DO370" t="str">
        <f>"2.256***"</f>
        <v>2.256***</v>
      </c>
      <c r="DP370" t="str">
        <f>"2.668***"</f>
        <v>2.668***</v>
      </c>
      <c r="DQ370" t="str">
        <f>"2.488***"</f>
        <v>2.488***</v>
      </c>
      <c r="DR370" t="str">
        <f>"2.255***"</f>
        <v>2.255***</v>
      </c>
      <c r="DS370" t="str">
        <f>"2.668***"</f>
        <v>2.668***</v>
      </c>
      <c r="DT370" t="str">
        <f>"2.487***"</f>
        <v>2.487***</v>
      </c>
      <c r="DU370" t="str">
        <f>"2.256***"</f>
        <v>2.256***</v>
      </c>
      <c r="DV370" t="str">
        <f>"2.668***"</f>
        <v>2.668***</v>
      </c>
      <c r="DW370" t="str">
        <f>"2.488***"</f>
        <v>2.488***</v>
      </c>
      <c r="DX370" t="str">
        <f>"2.256***"</f>
        <v>2.256***</v>
      </c>
      <c r="DY370" t="str">
        <f>"2.668***"</f>
        <v>2.668***</v>
      </c>
      <c r="DZ370" t="str">
        <f>"2.489***"</f>
        <v>2.489***</v>
      </c>
      <c r="EA370" t="str">
        <f>"2.255***"</f>
        <v>2.255***</v>
      </c>
      <c r="EB370" t="str">
        <f>"2.668***"</f>
        <v>2.668***</v>
      </c>
      <c r="EC370" t="str">
        <f>"2.487***"</f>
        <v>2.487***</v>
      </c>
      <c r="ED370" t="str">
        <f>"2.254***"</f>
        <v>2.254***</v>
      </c>
      <c r="EE370" t="str">
        <f>"2.667***"</f>
        <v>2.667***</v>
      </c>
      <c r="EF370" t="str">
        <f>"2.489***"</f>
        <v>2.489***</v>
      </c>
      <c r="EG370" t="str">
        <f>"2.257***"</f>
        <v>2.257***</v>
      </c>
      <c r="EH370" t="str">
        <f>"2.669***"</f>
        <v>2.669***</v>
      </c>
      <c r="EI370" t="str">
        <f>"2.490***"</f>
        <v>2.490***</v>
      </c>
      <c r="EJ370" t="str">
        <f>"2.257***"</f>
        <v>2.257***</v>
      </c>
      <c r="EK370" t="str">
        <f>"2.669***"</f>
        <v>2.669***</v>
      </c>
      <c r="EL370" t="str">
        <f>"2.488***"</f>
        <v>2.488***</v>
      </c>
      <c r="EM370" t="str">
        <f>"2.256***"</f>
        <v>2.256***</v>
      </c>
      <c r="EN370" t="str">
        <f>"2.668***"</f>
        <v>2.668***</v>
      </c>
      <c r="EO370" t="str">
        <f>"2.487***"</f>
        <v>2.487***</v>
      </c>
      <c r="EP370" t="str">
        <f>"2.256***"</f>
        <v>2.256***</v>
      </c>
      <c r="EQ370" t="str">
        <f>"2.668***"</f>
        <v>2.668***</v>
      </c>
      <c r="ER370" t="str">
        <f>"2.488***"</f>
        <v>2.488***</v>
      </c>
      <c r="ES370" t="str">
        <f>"2.255***"</f>
        <v>2.255***</v>
      </c>
      <c r="ET370" t="str">
        <f>"2.668***"</f>
        <v>2.668***</v>
      </c>
      <c r="EU370" t="str">
        <f>"2.488***"</f>
        <v>2.488***</v>
      </c>
      <c r="EV370" t="str">
        <f>"2.256***"</f>
        <v>2.256***</v>
      </c>
      <c r="EW370" t="str">
        <f>"2.668***"</f>
        <v>2.668***</v>
      </c>
      <c r="EX370" t="str">
        <f>"2.487***"</f>
        <v>2.487***</v>
      </c>
      <c r="EY370" t="str">
        <f>"2.255***"</f>
        <v>2.255***</v>
      </c>
      <c r="EZ370" t="str">
        <f>"2.669***"</f>
        <v>2.669***</v>
      </c>
      <c r="FA370" t="str">
        <f>"2.489***"</f>
        <v>2.489***</v>
      </c>
      <c r="FB370" t="str">
        <f>"2.256***"</f>
        <v>2.256***</v>
      </c>
      <c r="FC370" t="str">
        <f>"2.669***"</f>
        <v>2.669***</v>
      </c>
      <c r="FD370" t="str">
        <f>"2.487***"</f>
        <v>2.487***</v>
      </c>
      <c r="FE370" t="str">
        <f>"2.256***"</f>
        <v>2.256***</v>
      </c>
      <c r="FF370" t="str">
        <f>"2.668***"</f>
        <v>2.668***</v>
      </c>
      <c r="FG370" t="str">
        <f>"2.488***"</f>
        <v>2.488***</v>
      </c>
      <c r="FH370" t="str">
        <f>"2.256***"</f>
        <v>2.256***</v>
      </c>
      <c r="FI370" t="str">
        <f>"2.668***"</f>
        <v>2.668***</v>
      </c>
      <c r="FJ370" t="str">
        <f>"2.488***"</f>
        <v>2.488***</v>
      </c>
      <c r="FK370" t="str">
        <f>"2.255***"</f>
        <v>2.255***</v>
      </c>
      <c r="FL370" t="str">
        <f>"2.668***"</f>
        <v>2.668***</v>
      </c>
      <c r="FM370" t="str">
        <f>"2.487***"</f>
        <v>2.487***</v>
      </c>
      <c r="FN370" t="str">
        <f>"2.256***"</f>
        <v>2.256***</v>
      </c>
      <c r="FO370" t="str">
        <f>"2.668***"</f>
        <v>2.668***</v>
      </c>
      <c r="FP370" t="str">
        <f>"2.488***"</f>
        <v>2.488***</v>
      </c>
      <c r="FQ370" t="str">
        <f>"2.257***"</f>
        <v>2.257***</v>
      </c>
      <c r="FR370" t="str">
        <f>"2.668***"</f>
        <v>2.668***</v>
      </c>
      <c r="FS370" t="str">
        <f>"2.489***"</f>
        <v>2.489***</v>
      </c>
      <c r="FT370" t="str">
        <f>"2.256***"</f>
        <v>2.256***</v>
      </c>
      <c r="FU370" t="str">
        <f>"2.668***"</f>
        <v>2.668***</v>
      </c>
      <c r="FV370" t="str">
        <f>"2.487***"</f>
        <v>2.487***</v>
      </c>
      <c r="FW370" t="str">
        <f>"2.255***"</f>
        <v>2.255***</v>
      </c>
      <c r="FX370" t="str">
        <f>"2.667***"</f>
        <v>2.667***</v>
      </c>
      <c r="FY370" t="str">
        <f>"2.488***"</f>
        <v>2.488***</v>
      </c>
      <c r="FZ370" t="str">
        <f>"2.256***"</f>
        <v>2.256***</v>
      </c>
      <c r="GA370" t="str">
        <f>"2.669***"</f>
        <v>2.669***</v>
      </c>
      <c r="GB370" t="str">
        <f>"2.490***"</f>
        <v>2.490***</v>
      </c>
      <c r="GC370" t="str">
        <f>"2.257***"</f>
        <v>2.257***</v>
      </c>
      <c r="GD370" t="str">
        <f>"2.669***"</f>
        <v>2.669***</v>
      </c>
      <c r="GE370" t="str">
        <f>"2.488***"</f>
        <v>2.488***</v>
      </c>
      <c r="GF370" t="str">
        <f>"2.256***"</f>
        <v>2.256***</v>
      </c>
      <c r="GG370" t="str">
        <f>"2.668***"</f>
        <v>2.668***</v>
      </c>
      <c r="GH370" t="str">
        <f>"2.487***"</f>
        <v>2.487***</v>
      </c>
      <c r="GI370" t="str">
        <f>"2.255***"</f>
        <v>2.255***</v>
      </c>
      <c r="GJ370" t="str">
        <f>"2.668***"</f>
        <v>2.668***</v>
      </c>
      <c r="GK370" t="str">
        <f>"2.488***"</f>
        <v>2.488***</v>
      </c>
      <c r="GL370" t="str">
        <f>"2.255***"</f>
        <v>2.255***</v>
      </c>
      <c r="GM370" t="str">
        <f>"2.668***"</f>
        <v>2.668***</v>
      </c>
      <c r="GN370" t="str">
        <f>"2.489***"</f>
        <v>2.489***</v>
      </c>
      <c r="GO370" t="str">
        <f>"2.256***"</f>
        <v>2.256***</v>
      </c>
      <c r="GP370" t="str">
        <f>"2.668***"</f>
        <v>2.668***</v>
      </c>
      <c r="GQ370" t="str">
        <f>"2.487***"</f>
        <v>2.487***</v>
      </c>
      <c r="GR370" t="str">
        <f>"2.255***"</f>
        <v>2.255***</v>
      </c>
      <c r="GS370" t="str">
        <f>"2.669***"</f>
        <v>2.669***</v>
      </c>
      <c r="GT370" t="str">
        <f>"2.490***"</f>
        <v>2.490***</v>
      </c>
      <c r="GU370" t="str">
        <f>"2.256***"</f>
        <v>2.256***</v>
      </c>
      <c r="GV370" t="str">
        <f>"2.669***"</f>
        <v>2.669***</v>
      </c>
      <c r="GW370" t="str">
        <f>"2.487***"</f>
        <v>2.487***</v>
      </c>
      <c r="GX370" t="str">
        <f>"2.256***"</f>
        <v>2.256***</v>
      </c>
      <c r="GY370" t="str">
        <f>"2.668***"</f>
        <v>2.668***</v>
      </c>
      <c r="GZ370" t="str">
        <f>"2.488***"</f>
        <v>2.488***</v>
      </c>
      <c r="HA370" t="str">
        <f>"2.256***"</f>
        <v>2.256***</v>
      </c>
      <c r="HB370" t="str">
        <f>"2.668***"</f>
        <v>2.668***</v>
      </c>
      <c r="HC370" t="str">
        <f>"2.488***"</f>
        <v>2.488***</v>
      </c>
      <c r="HD370" t="str">
        <f>"2.255***"</f>
        <v>2.255***</v>
      </c>
      <c r="HE370" t="str">
        <f>"2.668***"</f>
        <v>2.668***</v>
      </c>
      <c r="HF370" t="str">
        <f>"2.487***"</f>
        <v>2.487***</v>
      </c>
      <c r="HG370" t="str">
        <f>"2.256***"</f>
        <v>2.256***</v>
      </c>
      <c r="HH370" t="str">
        <f>"2.668***"</f>
        <v>2.668***</v>
      </c>
      <c r="HI370" t="str">
        <f>"2.488***"</f>
        <v>2.488***</v>
      </c>
      <c r="HJ370" t="str">
        <f>"2.257***"</f>
        <v>2.257***</v>
      </c>
      <c r="HK370" t="str">
        <f>"2.668***"</f>
        <v>2.668***</v>
      </c>
      <c r="HL370" t="str">
        <f>"2.489***"</f>
        <v>2.489***</v>
      </c>
      <c r="HM370" t="str">
        <f>"2.256***"</f>
        <v>2.256***</v>
      </c>
      <c r="HN370" t="str">
        <f>"2.668***"</f>
        <v>2.668***</v>
      </c>
      <c r="HO370" t="str">
        <f>"2.487***"</f>
        <v>2.487***</v>
      </c>
      <c r="HP370" t="str">
        <f>"2.255***"</f>
        <v>2.255***</v>
      </c>
      <c r="HQ370" t="str">
        <f>"2.667***"</f>
        <v>2.667***</v>
      </c>
      <c r="HR370" t="str">
        <f>"2.488***"</f>
        <v>2.488***</v>
      </c>
      <c r="HS370" t="str">
        <f>"2.256***"</f>
        <v>2.256***</v>
      </c>
      <c r="HT370" t="str">
        <f>"2.670***"</f>
        <v>2.670***</v>
      </c>
      <c r="HU370" t="str">
        <f>"2.490***"</f>
        <v>2.490***</v>
      </c>
      <c r="HV370" t="str">
        <f>"2.256***"</f>
        <v>2.256***</v>
      </c>
      <c r="HW370" t="str">
        <f>"2.668***"</f>
        <v>2.668***</v>
      </c>
      <c r="HX370" t="str">
        <f>"2.488***"</f>
        <v>2.488***</v>
      </c>
      <c r="HY370" t="str">
        <f>"2.256***"</f>
        <v>2.256***</v>
      </c>
      <c r="HZ370" t="str">
        <f>"2.668***"</f>
        <v>2.668***</v>
      </c>
      <c r="IA370" t="str">
        <f>"2.487***"</f>
        <v>2.487***</v>
      </c>
      <c r="IB370" t="str">
        <f>"2.255***"</f>
        <v>2.255***</v>
      </c>
      <c r="IC370" t="str">
        <f>"2.668***"</f>
        <v>2.668***</v>
      </c>
      <c r="ID370" t="str">
        <f>"2.488***"</f>
        <v>2.488***</v>
      </c>
      <c r="IE370" t="str">
        <f>"2.255***"</f>
        <v>2.255***</v>
      </c>
      <c r="IF370" t="str">
        <f>"2.668***"</f>
        <v>2.668***</v>
      </c>
      <c r="IG370" t="str">
        <f>"2.488***"</f>
        <v>2.488***</v>
      </c>
      <c r="IH370" t="str">
        <f>"2.256***"</f>
        <v>2.256***</v>
      </c>
      <c r="II370" t="str">
        <f>"2.668***"</f>
        <v>2.668***</v>
      </c>
      <c r="IJ370" t="str">
        <f>"2.487***"</f>
        <v>2.487***</v>
      </c>
      <c r="IK370" t="str">
        <f>"2.255***"</f>
        <v>2.255***</v>
      </c>
      <c r="IL370" t="str">
        <f>"2.669***"</f>
        <v>2.669***</v>
      </c>
      <c r="IM370" t="str">
        <f>"2.489***"</f>
        <v>2.489***</v>
      </c>
      <c r="IN370" t="str">
        <f>"2.256***"</f>
        <v>2.256***</v>
      </c>
      <c r="IO370" t="str">
        <f>"2.669***"</f>
        <v>2.669***</v>
      </c>
      <c r="IP370" t="str">
        <f>"2.487***"</f>
        <v>2.487***</v>
      </c>
      <c r="IQ370" t="str">
        <f>"2.256***"</f>
        <v>2.256***</v>
      </c>
      <c r="IR370" t="str">
        <f>"2.669***"</f>
        <v>2.669***</v>
      </c>
      <c r="IS370" t="str">
        <f>"2.488***"</f>
        <v>2.488***</v>
      </c>
      <c r="IT370" t="str">
        <f>"2.256***"</f>
        <v>2.256***</v>
      </c>
      <c r="IU370" t="str">
        <f>"2.668***"</f>
        <v>2.668***</v>
      </c>
      <c r="IV370" t="str">
        <f>"2.488***"</f>
        <v>2.488***</v>
      </c>
      <c r="IW370" t="str">
        <f>"2.255***"</f>
        <v>2.255***</v>
      </c>
      <c r="IX370" t="str">
        <f>"2.668***"</f>
        <v>2.668***</v>
      </c>
      <c r="IY370" t="str">
        <f>"2.487***"</f>
        <v>2.487***</v>
      </c>
      <c r="IZ370" t="str">
        <f>"2.256***"</f>
        <v>2.256***</v>
      </c>
      <c r="JA370" t="str">
        <f>"2.668***"</f>
        <v>2.668***</v>
      </c>
      <c r="JB370" t="str">
        <f>"2.488***"</f>
        <v>2.488***</v>
      </c>
      <c r="JC370" t="str">
        <f>"2.256***"</f>
        <v>2.256***</v>
      </c>
      <c r="JD370" t="str">
        <f>"2.668***"</f>
        <v>2.668***</v>
      </c>
      <c r="JE370" t="str">
        <f>"2.489***"</f>
        <v>2.489***</v>
      </c>
      <c r="JF370" t="str">
        <f>"2.255***"</f>
        <v>2.255***</v>
      </c>
      <c r="JG370" t="str">
        <f>"2.668***"</f>
        <v>2.668***</v>
      </c>
      <c r="JH370" t="str">
        <f>"2.487***"</f>
        <v>2.487***</v>
      </c>
      <c r="JI370" t="str">
        <f>"2.255***"</f>
        <v>2.255***</v>
      </c>
      <c r="JJ370" t="str">
        <f>"2.667***"</f>
        <v>2.667***</v>
      </c>
      <c r="JK370" t="str">
        <f>"2.488***"</f>
        <v>2.488***</v>
      </c>
    </row>
    <row r="371" spans="1:271" x14ac:dyDescent="0.3">
      <c r="A371" t="str">
        <f>""</f>
        <v/>
      </c>
      <c r="B371" t="str">
        <f>"(0.0500)"</f>
        <v>(0.0500)</v>
      </c>
      <c r="C371" t="str">
        <f>"(0.0384)"</f>
        <v>(0.0384)</v>
      </c>
      <c r="D371" t="str">
        <f>"(0.0210)"</f>
        <v>(0.0210)</v>
      </c>
      <c r="E371" t="str">
        <f>"(0.0500)"</f>
        <v>(0.0500)</v>
      </c>
      <c r="F371" t="str">
        <f>"(0.0384)"</f>
        <v>(0.0384)</v>
      </c>
      <c r="G371" t="str">
        <f>"(0.0210)"</f>
        <v>(0.0210)</v>
      </c>
      <c r="H371" t="str">
        <f>"(0.0500)"</f>
        <v>(0.0500)</v>
      </c>
      <c r="I371" t="str">
        <f>"(0.0384)"</f>
        <v>(0.0384)</v>
      </c>
      <c r="J371" t="str">
        <f>"(0.0210)"</f>
        <v>(0.0210)</v>
      </c>
      <c r="K371" t="str">
        <f>"(0.0500)"</f>
        <v>(0.0500)</v>
      </c>
      <c r="L371" t="str">
        <f>"(0.0384)"</f>
        <v>(0.0384)</v>
      </c>
      <c r="M371" t="str">
        <f>"(0.0210)"</f>
        <v>(0.0210)</v>
      </c>
      <c r="N371" t="str">
        <f>"(0.0500)"</f>
        <v>(0.0500)</v>
      </c>
      <c r="O371" t="str">
        <f>"(0.0384)"</f>
        <v>(0.0384)</v>
      </c>
      <c r="P371" t="str">
        <f>"(0.0210)"</f>
        <v>(0.0210)</v>
      </c>
      <c r="Q371" t="str">
        <f>"(0.0500)"</f>
        <v>(0.0500)</v>
      </c>
      <c r="R371" t="str">
        <f>"(0.0384)"</f>
        <v>(0.0384)</v>
      </c>
      <c r="S371" t="str">
        <f>"(0.0210)"</f>
        <v>(0.0210)</v>
      </c>
      <c r="T371" t="str">
        <f>"(0.0500)"</f>
        <v>(0.0500)</v>
      </c>
      <c r="U371" t="str">
        <f>"(0.0384)"</f>
        <v>(0.0384)</v>
      </c>
      <c r="V371" t="str">
        <f>"(0.0210)"</f>
        <v>(0.0210)</v>
      </c>
      <c r="W371" t="str">
        <f>"(0.0500)"</f>
        <v>(0.0500)</v>
      </c>
      <c r="X371" t="str">
        <f>"(0.0384)"</f>
        <v>(0.0384)</v>
      </c>
      <c r="Y371" t="str">
        <f>"(0.0210)"</f>
        <v>(0.0210)</v>
      </c>
      <c r="Z371" t="str">
        <f>"(0.0500)"</f>
        <v>(0.0500)</v>
      </c>
      <c r="AA371" t="str">
        <f>"(0.0384)"</f>
        <v>(0.0384)</v>
      </c>
      <c r="AB371" t="str">
        <f>"(0.0210)"</f>
        <v>(0.0210)</v>
      </c>
      <c r="AC371" t="str">
        <f>"(0.0500)"</f>
        <v>(0.0500)</v>
      </c>
      <c r="AD371" t="str">
        <f>"(0.0384)"</f>
        <v>(0.0384)</v>
      </c>
      <c r="AE371" t="str">
        <f>"(0.0210)"</f>
        <v>(0.0210)</v>
      </c>
      <c r="AF371" t="str">
        <f>"(0.0500)"</f>
        <v>(0.0500)</v>
      </c>
      <c r="AG371" t="str">
        <f>"(0.0384)"</f>
        <v>(0.0384)</v>
      </c>
      <c r="AH371" t="str">
        <f>"(0.0210)"</f>
        <v>(0.0210)</v>
      </c>
      <c r="AI371" t="str">
        <f>"(0.0500)"</f>
        <v>(0.0500)</v>
      </c>
      <c r="AJ371" t="str">
        <f>"(0.0384)"</f>
        <v>(0.0384)</v>
      </c>
      <c r="AK371" t="str">
        <f>"(0.0210)"</f>
        <v>(0.0210)</v>
      </c>
      <c r="AL371" t="str">
        <f>"(0.0500)"</f>
        <v>(0.0500)</v>
      </c>
      <c r="AM371" t="str">
        <f>"(0.0384)"</f>
        <v>(0.0384)</v>
      </c>
      <c r="AN371" t="str">
        <f>"(0.0210)"</f>
        <v>(0.0210)</v>
      </c>
      <c r="AO371" t="str">
        <f>"(0.0500)"</f>
        <v>(0.0500)</v>
      </c>
      <c r="AP371" t="str">
        <f>"(0.0384)"</f>
        <v>(0.0384)</v>
      </c>
      <c r="AQ371" t="str">
        <f>"(0.0210)"</f>
        <v>(0.0210)</v>
      </c>
      <c r="AR371" t="str">
        <f>"(0.0500)"</f>
        <v>(0.0500)</v>
      </c>
      <c r="AS371" t="str">
        <f>"(0.0384)"</f>
        <v>(0.0384)</v>
      </c>
      <c r="AT371" t="str">
        <f>"(0.0210)"</f>
        <v>(0.0210)</v>
      </c>
      <c r="AU371" t="str">
        <f>"(0.0500)"</f>
        <v>(0.0500)</v>
      </c>
      <c r="AV371" t="str">
        <f>"(0.0384)"</f>
        <v>(0.0384)</v>
      </c>
      <c r="AW371" t="str">
        <f>"(0.0210)"</f>
        <v>(0.0210)</v>
      </c>
      <c r="AX371" t="str">
        <f>"(0.0500)"</f>
        <v>(0.0500)</v>
      </c>
      <c r="AY371" t="str">
        <f>"(0.0384)"</f>
        <v>(0.0384)</v>
      </c>
      <c r="AZ371" t="str">
        <f>"(0.0210)"</f>
        <v>(0.0210)</v>
      </c>
      <c r="BA371" t="str">
        <f>"(0.0500)"</f>
        <v>(0.0500)</v>
      </c>
      <c r="BB371" t="str">
        <f>"(0.0384)"</f>
        <v>(0.0384)</v>
      </c>
      <c r="BC371" t="str">
        <f>"(0.0210)"</f>
        <v>(0.0210)</v>
      </c>
      <c r="BD371" t="str">
        <f>"(0.0500)"</f>
        <v>(0.0500)</v>
      </c>
      <c r="BE371" t="str">
        <f>"(0.0384)"</f>
        <v>(0.0384)</v>
      </c>
      <c r="BF371" t="str">
        <f>"(0.0210)"</f>
        <v>(0.0210)</v>
      </c>
      <c r="BG371" t="str">
        <f>"(0.0500)"</f>
        <v>(0.0500)</v>
      </c>
      <c r="BH371" t="str">
        <f>"(0.0384)"</f>
        <v>(0.0384)</v>
      </c>
      <c r="BI371" t="str">
        <f>"(0.0210)"</f>
        <v>(0.0210)</v>
      </c>
      <c r="BJ371" t="str">
        <f>"(0.0500)"</f>
        <v>(0.0500)</v>
      </c>
      <c r="BK371" t="str">
        <f>"(0.0384)"</f>
        <v>(0.0384)</v>
      </c>
      <c r="BL371" t="str">
        <f>"(0.0210)"</f>
        <v>(0.0210)</v>
      </c>
      <c r="BM371" t="str">
        <f>"(0.0500)"</f>
        <v>(0.0500)</v>
      </c>
      <c r="BN371" t="str">
        <f>"(0.0384)"</f>
        <v>(0.0384)</v>
      </c>
      <c r="BO371" t="str">
        <f>"(0.0210)"</f>
        <v>(0.0210)</v>
      </c>
      <c r="BP371" t="str">
        <f>"(0.0500)"</f>
        <v>(0.0500)</v>
      </c>
      <c r="BQ371" t="str">
        <f>"(0.0384)"</f>
        <v>(0.0384)</v>
      </c>
      <c r="BR371" t="str">
        <f>"(0.0210)"</f>
        <v>(0.0210)</v>
      </c>
      <c r="BS371" t="str">
        <f>"(0.0500)"</f>
        <v>(0.0500)</v>
      </c>
      <c r="BT371" t="str">
        <f>"(0.0384)"</f>
        <v>(0.0384)</v>
      </c>
      <c r="BU371" t="str">
        <f>"(0.0210)"</f>
        <v>(0.0210)</v>
      </c>
      <c r="BV371" t="str">
        <f>"(0.0500)"</f>
        <v>(0.0500)</v>
      </c>
      <c r="BW371" t="str">
        <f>"(0.0384)"</f>
        <v>(0.0384)</v>
      </c>
      <c r="BX371" t="str">
        <f>"(0.0210)"</f>
        <v>(0.0210)</v>
      </c>
      <c r="BY371" t="str">
        <f>"(0.0500)"</f>
        <v>(0.0500)</v>
      </c>
      <c r="BZ371" t="str">
        <f>"(0.0384)"</f>
        <v>(0.0384)</v>
      </c>
      <c r="CA371" t="str">
        <f>"(0.0210)"</f>
        <v>(0.0210)</v>
      </c>
      <c r="CB371" t="str">
        <f>"(0.0500)"</f>
        <v>(0.0500)</v>
      </c>
      <c r="CC371" t="str">
        <f>"(0.0384)"</f>
        <v>(0.0384)</v>
      </c>
      <c r="CD371" t="str">
        <f>"(0.0210)"</f>
        <v>(0.0210)</v>
      </c>
      <c r="CE371" t="str">
        <f>"(0.0500)"</f>
        <v>(0.0500)</v>
      </c>
      <c r="CF371" t="str">
        <f>"(0.0384)"</f>
        <v>(0.0384)</v>
      </c>
      <c r="CG371" t="str">
        <f>"(0.0210)"</f>
        <v>(0.0210)</v>
      </c>
      <c r="CH371" t="str">
        <f>"(0.0500)"</f>
        <v>(0.0500)</v>
      </c>
      <c r="CI371" t="str">
        <f>"(0.0384)"</f>
        <v>(0.0384)</v>
      </c>
      <c r="CJ371" t="str">
        <f>"(0.0210)"</f>
        <v>(0.0210)</v>
      </c>
      <c r="CK371" t="str">
        <f>"(0.0500)"</f>
        <v>(0.0500)</v>
      </c>
      <c r="CL371" t="str">
        <f>"(0.0384)"</f>
        <v>(0.0384)</v>
      </c>
      <c r="CM371" t="str">
        <f>"(0.0210)"</f>
        <v>(0.0210)</v>
      </c>
      <c r="CN371" t="str">
        <f>"(0.0500)"</f>
        <v>(0.0500)</v>
      </c>
      <c r="CO371" t="str">
        <f>"(0.0384)"</f>
        <v>(0.0384)</v>
      </c>
      <c r="CP371" t="str">
        <f>"(0.0210)"</f>
        <v>(0.0210)</v>
      </c>
      <c r="CQ371" t="str">
        <f>"(0.0500)"</f>
        <v>(0.0500)</v>
      </c>
      <c r="CR371" t="str">
        <f>"(0.0384)"</f>
        <v>(0.0384)</v>
      </c>
      <c r="CS371" t="str">
        <f>"(0.0210)"</f>
        <v>(0.0210)</v>
      </c>
      <c r="CT371" t="str">
        <f>"(0.0500)"</f>
        <v>(0.0500)</v>
      </c>
      <c r="CU371" t="str">
        <f>"(0.0384)"</f>
        <v>(0.0384)</v>
      </c>
      <c r="CV371" t="str">
        <f>"(0.0210)"</f>
        <v>(0.0210)</v>
      </c>
      <c r="CW371" t="str">
        <f>"(0.0500)"</f>
        <v>(0.0500)</v>
      </c>
      <c r="CX371" t="str">
        <f>"(0.0384)"</f>
        <v>(0.0384)</v>
      </c>
      <c r="CY371" t="str">
        <f>"(0.0210)"</f>
        <v>(0.0210)</v>
      </c>
      <c r="CZ371" t="str">
        <f>"(0.0500)"</f>
        <v>(0.0500)</v>
      </c>
      <c r="DA371" t="str">
        <f>"(0.0384)"</f>
        <v>(0.0384)</v>
      </c>
      <c r="DB371" t="str">
        <f>"(0.0210)"</f>
        <v>(0.0210)</v>
      </c>
      <c r="DC371" t="str">
        <f>"(0.0500)"</f>
        <v>(0.0500)</v>
      </c>
      <c r="DD371" t="str">
        <f>"(0.0384)"</f>
        <v>(0.0384)</v>
      </c>
      <c r="DE371" t="str">
        <f>"(0.0210)"</f>
        <v>(0.0210)</v>
      </c>
      <c r="DF371" t="str">
        <f>"(0.0500)"</f>
        <v>(0.0500)</v>
      </c>
      <c r="DG371" t="str">
        <f>"(0.0384)"</f>
        <v>(0.0384)</v>
      </c>
      <c r="DH371" t="str">
        <f>"(0.0210)"</f>
        <v>(0.0210)</v>
      </c>
      <c r="DI371" t="str">
        <f>"(0.0500)"</f>
        <v>(0.0500)</v>
      </c>
      <c r="DJ371" t="str">
        <f>"(0.0384)"</f>
        <v>(0.0384)</v>
      </c>
      <c r="DK371" t="str">
        <f>"(0.0210)"</f>
        <v>(0.0210)</v>
      </c>
      <c r="DL371" t="str">
        <f>"(0.0500)"</f>
        <v>(0.0500)</v>
      </c>
      <c r="DM371" t="str">
        <f>"(0.0384)"</f>
        <v>(0.0384)</v>
      </c>
      <c r="DN371" t="str">
        <f>"(0.0210)"</f>
        <v>(0.0210)</v>
      </c>
      <c r="DO371" t="str">
        <f>"(0.0500)"</f>
        <v>(0.0500)</v>
      </c>
      <c r="DP371" t="str">
        <f>"(0.0384)"</f>
        <v>(0.0384)</v>
      </c>
      <c r="DQ371" t="str">
        <f>"(0.0210)"</f>
        <v>(0.0210)</v>
      </c>
      <c r="DR371" t="str">
        <f>"(0.0500)"</f>
        <v>(0.0500)</v>
      </c>
      <c r="DS371" t="str">
        <f>"(0.0384)"</f>
        <v>(0.0384)</v>
      </c>
      <c r="DT371" t="str">
        <f>"(0.0210)"</f>
        <v>(0.0210)</v>
      </c>
      <c r="DU371" t="str">
        <f>"(0.0500)"</f>
        <v>(0.0500)</v>
      </c>
      <c r="DV371" t="str">
        <f>"(0.0384)"</f>
        <v>(0.0384)</v>
      </c>
      <c r="DW371" t="str">
        <f>"(0.0210)"</f>
        <v>(0.0210)</v>
      </c>
      <c r="DX371" t="str">
        <f>"(0.0500)"</f>
        <v>(0.0500)</v>
      </c>
      <c r="DY371" t="str">
        <f>"(0.0384)"</f>
        <v>(0.0384)</v>
      </c>
      <c r="DZ371" t="str">
        <f>"(0.0210)"</f>
        <v>(0.0210)</v>
      </c>
      <c r="EA371" t="str">
        <f>"(0.0500)"</f>
        <v>(0.0500)</v>
      </c>
      <c r="EB371" t="str">
        <f>"(0.0384)"</f>
        <v>(0.0384)</v>
      </c>
      <c r="EC371" t="str">
        <f>"(0.0210)"</f>
        <v>(0.0210)</v>
      </c>
      <c r="ED371" t="str">
        <f>"(0.0500)"</f>
        <v>(0.0500)</v>
      </c>
      <c r="EE371" t="str">
        <f>"(0.0384)"</f>
        <v>(0.0384)</v>
      </c>
      <c r="EF371" t="str">
        <f>"(0.0210)"</f>
        <v>(0.0210)</v>
      </c>
      <c r="EG371" t="str">
        <f>"(0.0500)"</f>
        <v>(0.0500)</v>
      </c>
      <c r="EH371" t="str">
        <f>"(0.0384)"</f>
        <v>(0.0384)</v>
      </c>
      <c r="EI371" t="str">
        <f>"(0.0210)"</f>
        <v>(0.0210)</v>
      </c>
      <c r="EJ371" t="str">
        <f>"(0.0500)"</f>
        <v>(0.0500)</v>
      </c>
      <c r="EK371" t="str">
        <f>"(0.0384)"</f>
        <v>(0.0384)</v>
      </c>
      <c r="EL371" t="str">
        <f>"(0.0210)"</f>
        <v>(0.0210)</v>
      </c>
      <c r="EM371" t="str">
        <f>"(0.0500)"</f>
        <v>(0.0500)</v>
      </c>
      <c r="EN371" t="str">
        <f>"(0.0384)"</f>
        <v>(0.0384)</v>
      </c>
      <c r="EO371" t="str">
        <f>"(0.0210)"</f>
        <v>(0.0210)</v>
      </c>
      <c r="EP371" t="str">
        <f>"(0.0500)"</f>
        <v>(0.0500)</v>
      </c>
      <c r="EQ371" t="str">
        <f>"(0.0384)"</f>
        <v>(0.0384)</v>
      </c>
      <c r="ER371" t="str">
        <f>"(0.0210)"</f>
        <v>(0.0210)</v>
      </c>
      <c r="ES371" t="str">
        <f>"(0.0500)"</f>
        <v>(0.0500)</v>
      </c>
      <c r="ET371" t="str">
        <f>"(0.0384)"</f>
        <v>(0.0384)</v>
      </c>
      <c r="EU371" t="str">
        <f>"(0.0210)"</f>
        <v>(0.0210)</v>
      </c>
      <c r="EV371" t="str">
        <f>"(0.0500)"</f>
        <v>(0.0500)</v>
      </c>
      <c r="EW371" t="str">
        <f>"(0.0384)"</f>
        <v>(0.0384)</v>
      </c>
      <c r="EX371" t="str">
        <f>"(0.0210)"</f>
        <v>(0.0210)</v>
      </c>
      <c r="EY371" t="str">
        <f>"(0.0500)"</f>
        <v>(0.0500)</v>
      </c>
      <c r="EZ371" t="str">
        <f>"(0.0384)"</f>
        <v>(0.0384)</v>
      </c>
      <c r="FA371" t="str">
        <f>"(0.0210)"</f>
        <v>(0.0210)</v>
      </c>
      <c r="FB371" t="str">
        <f>"(0.0500)"</f>
        <v>(0.0500)</v>
      </c>
      <c r="FC371" t="str">
        <f>"(0.0384)"</f>
        <v>(0.0384)</v>
      </c>
      <c r="FD371" t="str">
        <f>"(0.0210)"</f>
        <v>(0.0210)</v>
      </c>
      <c r="FE371" t="str">
        <f>"(0.0500)"</f>
        <v>(0.0500)</v>
      </c>
      <c r="FF371" t="str">
        <f>"(0.0384)"</f>
        <v>(0.0384)</v>
      </c>
      <c r="FG371" t="str">
        <f>"(0.0210)"</f>
        <v>(0.0210)</v>
      </c>
      <c r="FH371" t="str">
        <f>"(0.0500)"</f>
        <v>(0.0500)</v>
      </c>
      <c r="FI371" t="str">
        <f>"(0.0384)"</f>
        <v>(0.0384)</v>
      </c>
      <c r="FJ371" t="str">
        <f>"(0.0210)"</f>
        <v>(0.0210)</v>
      </c>
      <c r="FK371" t="str">
        <f>"(0.0500)"</f>
        <v>(0.0500)</v>
      </c>
      <c r="FL371" t="str">
        <f>"(0.0384)"</f>
        <v>(0.0384)</v>
      </c>
      <c r="FM371" t="str">
        <f>"(0.0210)"</f>
        <v>(0.0210)</v>
      </c>
      <c r="FN371" t="str">
        <f>"(0.0500)"</f>
        <v>(0.0500)</v>
      </c>
      <c r="FO371" t="str">
        <f>"(0.0384)"</f>
        <v>(0.0384)</v>
      </c>
      <c r="FP371" t="str">
        <f>"(0.0210)"</f>
        <v>(0.0210)</v>
      </c>
      <c r="FQ371" t="str">
        <f>"(0.0500)"</f>
        <v>(0.0500)</v>
      </c>
      <c r="FR371" t="str">
        <f>"(0.0384)"</f>
        <v>(0.0384)</v>
      </c>
      <c r="FS371" t="str">
        <f>"(0.0210)"</f>
        <v>(0.0210)</v>
      </c>
      <c r="FT371" t="str">
        <f>"(0.0500)"</f>
        <v>(0.0500)</v>
      </c>
      <c r="FU371" t="str">
        <f>"(0.0384)"</f>
        <v>(0.0384)</v>
      </c>
      <c r="FV371" t="str">
        <f>"(0.0210)"</f>
        <v>(0.0210)</v>
      </c>
      <c r="FW371" t="str">
        <f>"(0.0500)"</f>
        <v>(0.0500)</v>
      </c>
      <c r="FX371" t="str">
        <f>"(0.0384)"</f>
        <v>(0.0384)</v>
      </c>
      <c r="FY371" t="str">
        <f>"(0.0210)"</f>
        <v>(0.0210)</v>
      </c>
      <c r="FZ371" t="str">
        <f>"(0.0500)"</f>
        <v>(0.0500)</v>
      </c>
      <c r="GA371" t="str">
        <f>"(0.0384)"</f>
        <v>(0.0384)</v>
      </c>
      <c r="GB371" t="str">
        <f>"(0.0210)"</f>
        <v>(0.0210)</v>
      </c>
      <c r="GC371" t="str">
        <f>"(0.0500)"</f>
        <v>(0.0500)</v>
      </c>
      <c r="GD371" t="str">
        <f>"(0.0384)"</f>
        <v>(0.0384)</v>
      </c>
      <c r="GE371" t="str">
        <f>"(0.0210)"</f>
        <v>(0.0210)</v>
      </c>
      <c r="GF371" t="str">
        <f>"(0.0500)"</f>
        <v>(0.0500)</v>
      </c>
      <c r="GG371" t="str">
        <f>"(0.0384)"</f>
        <v>(0.0384)</v>
      </c>
      <c r="GH371" t="str">
        <f>"(0.0210)"</f>
        <v>(0.0210)</v>
      </c>
      <c r="GI371" t="str">
        <f>"(0.0500)"</f>
        <v>(0.0500)</v>
      </c>
      <c r="GJ371" t="str">
        <f>"(0.0384)"</f>
        <v>(0.0384)</v>
      </c>
      <c r="GK371" t="str">
        <f>"(0.0210)"</f>
        <v>(0.0210)</v>
      </c>
      <c r="GL371" t="str">
        <f>"(0.0500)"</f>
        <v>(0.0500)</v>
      </c>
      <c r="GM371" t="str">
        <f>"(0.0384)"</f>
        <v>(0.0384)</v>
      </c>
      <c r="GN371" t="str">
        <f>"(0.0210)"</f>
        <v>(0.0210)</v>
      </c>
      <c r="GO371" t="str">
        <f>"(0.0500)"</f>
        <v>(0.0500)</v>
      </c>
      <c r="GP371" t="str">
        <f>"(0.0384)"</f>
        <v>(0.0384)</v>
      </c>
      <c r="GQ371" t="str">
        <f>"(0.0210)"</f>
        <v>(0.0210)</v>
      </c>
      <c r="GR371" t="str">
        <f>"(0.0500)"</f>
        <v>(0.0500)</v>
      </c>
      <c r="GS371" t="str">
        <f>"(0.0384)"</f>
        <v>(0.0384)</v>
      </c>
      <c r="GT371" t="str">
        <f>"(0.0210)"</f>
        <v>(0.0210)</v>
      </c>
      <c r="GU371" t="str">
        <f>"(0.0500)"</f>
        <v>(0.0500)</v>
      </c>
      <c r="GV371" t="str">
        <f>"(0.0384)"</f>
        <v>(0.0384)</v>
      </c>
      <c r="GW371" t="str">
        <f>"(0.0210)"</f>
        <v>(0.0210)</v>
      </c>
      <c r="GX371" t="str">
        <f>"(0.0500)"</f>
        <v>(0.0500)</v>
      </c>
      <c r="GY371" t="str">
        <f>"(0.0384)"</f>
        <v>(0.0384)</v>
      </c>
      <c r="GZ371" t="str">
        <f>"(0.0210)"</f>
        <v>(0.0210)</v>
      </c>
      <c r="HA371" t="str">
        <f>"(0.0500)"</f>
        <v>(0.0500)</v>
      </c>
      <c r="HB371" t="str">
        <f>"(0.0384)"</f>
        <v>(0.0384)</v>
      </c>
      <c r="HC371" t="str">
        <f>"(0.0210)"</f>
        <v>(0.0210)</v>
      </c>
      <c r="HD371" t="str">
        <f>"(0.0500)"</f>
        <v>(0.0500)</v>
      </c>
      <c r="HE371" t="str">
        <f>"(0.0384)"</f>
        <v>(0.0384)</v>
      </c>
      <c r="HF371" t="str">
        <f>"(0.0210)"</f>
        <v>(0.0210)</v>
      </c>
      <c r="HG371" t="str">
        <f>"(0.0500)"</f>
        <v>(0.0500)</v>
      </c>
      <c r="HH371" t="str">
        <f>"(0.0384)"</f>
        <v>(0.0384)</v>
      </c>
      <c r="HI371" t="str">
        <f>"(0.0210)"</f>
        <v>(0.0210)</v>
      </c>
      <c r="HJ371" t="str">
        <f>"(0.0500)"</f>
        <v>(0.0500)</v>
      </c>
      <c r="HK371" t="str">
        <f>"(0.0384)"</f>
        <v>(0.0384)</v>
      </c>
      <c r="HL371" t="str">
        <f>"(0.0210)"</f>
        <v>(0.0210)</v>
      </c>
      <c r="HM371" t="str">
        <f>"(0.0500)"</f>
        <v>(0.0500)</v>
      </c>
      <c r="HN371" t="str">
        <f>"(0.0384)"</f>
        <v>(0.0384)</v>
      </c>
      <c r="HO371" t="str">
        <f>"(0.0210)"</f>
        <v>(0.0210)</v>
      </c>
      <c r="HP371" t="str">
        <f>"(0.0500)"</f>
        <v>(0.0500)</v>
      </c>
      <c r="HQ371" t="str">
        <f>"(0.0384)"</f>
        <v>(0.0384)</v>
      </c>
      <c r="HR371" t="str">
        <f>"(0.0210)"</f>
        <v>(0.0210)</v>
      </c>
      <c r="HS371" t="str">
        <f>"(0.0500)"</f>
        <v>(0.0500)</v>
      </c>
      <c r="HT371" t="str">
        <f>"(0.0384)"</f>
        <v>(0.0384)</v>
      </c>
      <c r="HU371" t="str">
        <f>"(0.0210)"</f>
        <v>(0.0210)</v>
      </c>
      <c r="HV371" t="str">
        <f>"(0.0500)"</f>
        <v>(0.0500)</v>
      </c>
      <c r="HW371" t="str">
        <f>"(0.0384)"</f>
        <v>(0.0384)</v>
      </c>
      <c r="HX371" t="str">
        <f>"(0.0210)"</f>
        <v>(0.0210)</v>
      </c>
      <c r="HY371" t="str">
        <f>"(0.0500)"</f>
        <v>(0.0500)</v>
      </c>
      <c r="HZ371" t="str">
        <f>"(0.0384)"</f>
        <v>(0.0384)</v>
      </c>
      <c r="IA371" t="str">
        <f>"(0.0210)"</f>
        <v>(0.0210)</v>
      </c>
      <c r="IB371" t="str">
        <f>"(0.0500)"</f>
        <v>(0.0500)</v>
      </c>
      <c r="IC371" t="str">
        <f>"(0.0384)"</f>
        <v>(0.0384)</v>
      </c>
      <c r="ID371" t="str">
        <f>"(0.0210)"</f>
        <v>(0.0210)</v>
      </c>
      <c r="IE371" t="str">
        <f>"(0.0500)"</f>
        <v>(0.0500)</v>
      </c>
      <c r="IF371" t="str">
        <f>"(0.0384)"</f>
        <v>(0.0384)</v>
      </c>
      <c r="IG371" t="str">
        <f>"(0.0210)"</f>
        <v>(0.0210)</v>
      </c>
      <c r="IH371" t="str">
        <f>"(0.0500)"</f>
        <v>(0.0500)</v>
      </c>
      <c r="II371" t="str">
        <f>"(0.0384)"</f>
        <v>(0.0384)</v>
      </c>
      <c r="IJ371" t="str">
        <f>"(0.0210)"</f>
        <v>(0.0210)</v>
      </c>
      <c r="IK371" t="str">
        <f>"(0.0500)"</f>
        <v>(0.0500)</v>
      </c>
      <c r="IL371" t="str">
        <f>"(0.0384)"</f>
        <v>(0.0384)</v>
      </c>
      <c r="IM371" t="str">
        <f>"(0.0210)"</f>
        <v>(0.0210)</v>
      </c>
      <c r="IN371" t="str">
        <f>"(0.0500)"</f>
        <v>(0.0500)</v>
      </c>
      <c r="IO371" t="str">
        <f>"(0.0384)"</f>
        <v>(0.0384)</v>
      </c>
      <c r="IP371" t="str">
        <f>"(0.0210)"</f>
        <v>(0.0210)</v>
      </c>
      <c r="IQ371" t="str">
        <f>"(0.0500)"</f>
        <v>(0.0500)</v>
      </c>
      <c r="IR371" t="str">
        <f>"(0.0384)"</f>
        <v>(0.0384)</v>
      </c>
      <c r="IS371" t="str">
        <f>"(0.0210)"</f>
        <v>(0.0210)</v>
      </c>
      <c r="IT371" t="str">
        <f>"(0.0500)"</f>
        <v>(0.0500)</v>
      </c>
      <c r="IU371" t="str">
        <f>"(0.0384)"</f>
        <v>(0.0384)</v>
      </c>
      <c r="IV371" t="str">
        <f>"(0.0210)"</f>
        <v>(0.0210)</v>
      </c>
      <c r="IW371" t="str">
        <f>"(0.0500)"</f>
        <v>(0.0500)</v>
      </c>
      <c r="IX371" t="str">
        <f>"(0.0384)"</f>
        <v>(0.0384)</v>
      </c>
      <c r="IY371" t="str">
        <f>"(0.0210)"</f>
        <v>(0.0210)</v>
      </c>
      <c r="IZ371" t="str">
        <f>"(0.0500)"</f>
        <v>(0.0500)</v>
      </c>
      <c r="JA371" t="str">
        <f>"(0.0384)"</f>
        <v>(0.0384)</v>
      </c>
      <c r="JB371" t="str">
        <f>"(0.0210)"</f>
        <v>(0.0210)</v>
      </c>
      <c r="JC371" t="str">
        <f>"(0.0500)"</f>
        <v>(0.0500)</v>
      </c>
      <c r="JD371" t="str">
        <f>"(0.0384)"</f>
        <v>(0.0384)</v>
      </c>
      <c r="JE371" t="str">
        <f>"(0.0210)"</f>
        <v>(0.0210)</v>
      </c>
      <c r="JF371" t="str">
        <f>"(0.0500)"</f>
        <v>(0.0500)</v>
      </c>
      <c r="JG371" t="str">
        <f>"(0.0384)"</f>
        <v>(0.0384)</v>
      </c>
      <c r="JH371" t="str">
        <f>"(0.0210)"</f>
        <v>(0.0210)</v>
      </c>
      <c r="JI371" t="str">
        <f>"(0.0500)"</f>
        <v>(0.0500)</v>
      </c>
      <c r="JJ371" t="str">
        <f>"(0.0384)"</f>
        <v>(0.0384)</v>
      </c>
      <c r="JK371" t="str">
        <f>"(0.0210)"</f>
        <v>(0.0210)</v>
      </c>
    </row>
    <row r="373" spans="1:271" x14ac:dyDescent="0.3">
      <c r="A373" t="str">
        <f>"N"</f>
        <v>N</v>
      </c>
      <c r="B373" t="str">
        <f t="shared" ref="B373:BM373" si="5">"19625"</f>
        <v>19625</v>
      </c>
      <c r="C373" t="str">
        <f t="shared" si="5"/>
        <v>19625</v>
      </c>
      <c r="D373" t="str">
        <f t="shared" si="5"/>
        <v>19625</v>
      </c>
      <c r="E373" t="str">
        <f t="shared" si="5"/>
        <v>19625</v>
      </c>
      <c r="F373" t="str">
        <f t="shared" si="5"/>
        <v>19625</v>
      </c>
      <c r="G373" t="str">
        <f t="shared" si="5"/>
        <v>19625</v>
      </c>
      <c r="H373" t="str">
        <f t="shared" si="5"/>
        <v>19625</v>
      </c>
      <c r="I373" t="str">
        <f t="shared" si="5"/>
        <v>19625</v>
      </c>
      <c r="J373" t="str">
        <f t="shared" si="5"/>
        <v>19625</v>
      </c>
      <c r="K373" t="str">
        <f t="shared" si="5"/>
        <v>19625</v>
      </c>
      <c r="L373" t="str">
        <f t="shared" si="5"/>
        <v>19625</v>
      </c>
      <c r="M373" t="str">
        <f t="shared" si="5"/>
        <v>19625</v>
      </c>
      <c r="N373" t="str">
        <f t="shared" si="5"/>
        <v>19625</v>
      </c>
      <c r="O373" t="str">
        <f t="shared" si="5"/>
        <v>19625</v>
      </c>
      <c r="P373" t="str">
        <f t="shared" si="5"/>
        <v>19625</v>
      </c>
      <c r="Q373" t="str">
        <f t="shared" si="5"/>
        <v>19625</v>
      </c>
      <c r="R373" t="str">
        <f t="shared" si="5"/>
        <v>19625</v>
      </c>
      <c r="S373" t="str">
        <f t="shared" si="5"/>
        <v>19625</v>
      </c>
      <c r="T373" t="str">
        <f t="shared" si="5"/>
        <v>19625</v>
      </c>
      <c r="U373" t="str">
        <f t="shared" si="5"/>
        <v>19625</v>
      </c>
      <c r="V373" t="str">
        <f t="shared" si="5"/>
        <v>19625</v>
      </c>
      <c r="W373" t="str">
        <f t="shared" si="5"/>
        <v>19625</v>
      </c>
      <c r="X373" t="str">
        <f t="shared" si="5"/>
        <v>19625</v>
      </c>
      <c r="Y373" t="str">
        <f t="shared" si="5"/>
        <v>19625</v>
      </c>
      <c r="Z373" t="str">
        <f t="shared" si="5"/>
        <v>19625</v>
      </c>
      <c r="AA373" t="str">
        <f t="shared" si="5"/>
        <v>19625</v>
      </c>
      <c r="AB373" t="str">
        <f t="shared" si="5"/>
        <v>19625</v>
      </c>
      <c r="AC373" t="str">
        <f t="shared" si="5"/>
        <v>19625</v>
      </c>
      <c r="AD373" t="str">
        <f t="shared" si="5"/>
        <v>19625</v>
      </c>
      <c r="AE373" t="str">
        <f t="shared" si="5"/>
        <v>19625</v>
      </c>
      <c r="AF373" t="str">
        <f t="shared" si="5"/>
        <v>19625</v>
      </c>
      <c r="AG373" t="str">
        <f t="shared" si="5"/>
        <v>19625</v>
      </c>
      <c r="AH373" t="str">
        <f t="shared" si="5"/>
        <v>19625</v>
      </c>
      <c r="AI373" t="str">
        <f t="shared" si="5"/>
        <v>19625</v>
      </c>
      <c r="AJ373" t="str">
        <f t="shared" si="5"/>
        <v>19625</v>
      </c>
      <c r="AK373" t="str">
        <f t="shared" si="5"/>
        <v>19625</v>
      </c>
      <c r="AL373" t="str">
        <f t="shared" si="5"/>
        <v>19625</v>
      </c>
      <c r="AM373" t="str">
        <f t="shared" si="5"/>
        <v>19625</v>
      </c>
      <c r="AN373" t="str">
        <f t="shared" si="5"/>
        <v>19625</v>
      </c>
      <c r="AO373" t="str">
        <f t="shared" si="5"/>
        <v>19625</v>
      </c>
      <c r="AP373" t="str">
        <f t="shared" si="5"/>
        <v>19625</v>
      </c>
      <c r="AQ373" t="str">
        <f t="shared" si="5"/>
        <v>19625</v>
      </c>
      <c r="AR373" t="str">
        <f t="shared" si="5"/>
        <v>19625</v>
      </c>
      <c r="AS373" t="str">
        <f t="shared" si="5"/>
        <v>19625</v>
      </c>
      <c r="AT373" t="str">
        <f t="shared" si="5"/>
        <v>19625</v>
      </c>
      <c r="AU373" t="str">
        <f t="shared" si="5"/>
        <v>19625</v>
      </c>
      <c r="AV373" t="str">
        <f t="shared" si="5"/>
        <v>19625</v>
      </c>
      <c r="AW373" t="str">
        <f t="shared" si="5"/>
        <v>19625</v>
      </c>
      <c r="AX373" t="str">
        <f t="shared" si="5"/>
        <v>19625</v>
      </c>
      <c r="AY373" t="str">
        <f t="shared" si="5"/>
        <v>19625</v>
      </c>
      <c r="AZ373" t="str">
        <f t="shared" si="5"/>
        <v>19625</v>
      </c>
      <c r="BA373" t="str">
        <f t="shared" si="5"/>
        <v>19625</v>
      </c>
      <c r="BB373" t="str">
        <f t="shared" si="5"/>
        <v>19625</v>
      </c>
      <c r="BC373" t="str">
        <f t="shared" si="5"/>
        <v>19625</v>
      </c>
      <c r="BD373" t="str">
        <f t="shared" si="5"/>
        <v>19625</v>
      </c>
      <c r="BE373" t="str">
        <f t="shared" si="5"/>
        <v>19625</v>
      </c>
      <c r="BF373" t="str">
        <f t="shared" si="5"/>
        <v>19625</v>
      </c>
      <c r="BG373" t="str">
        <f t="shared" si="5"/>
        <v>19625</v>
      </c>
      <c r="BH373" t="str">
        <f t="shared" si="5"/>
        <v>19625</v>
      </c>
      <c r="BI373" t="str">
        <f t="shared" si="5"/>
        <v>19625</v>
      </c>
      <c r="BJ373" t="str">
        <f t="shared" si="5"/>
        <v>19625</v>
      </c>
      <c r="BK373" t="str">
        <f t="shared" si="5"/>
        <v>19625</v>
      </c>
      <c r="BL373" t="str">
        <f t="shared" si="5"/>
        <v>19625</v>
      </c>
      <c r="BM373" t="str">
        <f t="shared" si="5"/>
        <v>19625</v>
      </c>
      <c r="BN373" t="str">
        <f t="shared" ref="BN373:DY373" si="6">"19625"</f>
        <v>19625</v>
      </c>
      <c r="BO373" t="str">
        <f t="shared" si="6"/>
        <v>19625</v>
      </c>
      <c r="BP373" t="str">
        <f t="shared" si="6"/>
        <v>19625</v>
      </c>
      <c r="BQ373" t="str">
        <f t="shared" si="6"/>
        <v>19625</v>
      </c>
      <c r="BR373" t="str">
        <f t="shared" si="6"/>
        <v>19625</v>
      </c>
      <c r="BS373" t="str">
        <f t="shared" si="6"/>
        <v>19625</v>
      </c>
      <c r="BT373" t="str">
        <f t="shared" si="6"/>
        <v>19625</v>
      </c>
      <c r="BU373" t="str">
        <f t="shared" si="6"/>
        <v>19625</v>
      </c>
      <c r="BV373" t="str">
        <f t="shared" si="6"/>
        <v>19625</v>
      </c>
      <c r="BW373" t="str">
        <f t="shared" si="6"/>
        <v>19625</v>
      </c>
      <c r="BX373" t="str">
        <f t="shared" si="6"/>
        <v>19625</v>
      </c>
      <c r="BY373" t="str">
        <f t="shared" si="6"/>
        <v>19625</v>
      </c>
      <c r="BZ373" t="str">
        <f t="shared" si="6"/>
        <v>19625</v>
      </c>
      <c r="CA373" t="str">
        <f t="shared" si="6"/>
        <v>19625</v>
      </c>
      <c r="CB373" t="str">
        <f t="shared" si="6"/>
        <v>19625</v>
      </c>
      <c r="CC373" t="str">
        <f t="shared" si="6"/>
        <v>19625</v>
      </c>
      <c r="CD373" t="str">
        <f t="shared" si="6"/>
        <v>19625</v>
      </c>
      <c r="CE373" t="str">
        <f t="shared" si="6"/>
        <v>19625</v>
      </c>
      <c r="CF373" t="str">
        <f t="shared" si="6"/>
        <v>19625</v>
      </c>
      <c r="CG373" t="str">
        <f t="shared" si="6"/>
        <v>19625</v>
      </c>
      <c r="CH373" t="str">
        <f t="shared" si="6"/>
        <v>19625</v>
      </c>
      <c r="CI373" t="str">
        <f t="shared" si="6"/>
        <v>19625</v>
      </c>
      <c r="CJ373" t="str">
        <f t="shared" si="6"/>
        <v>19625</v>
      </c>
      <c r="CK373" t="str">
        <f t="shared" si="6"/>
        <v>19625</v>
      </c>
      <c r="CL373" t="str">
        <f t="shared" si="6"/>
        <v>19625</v>
      </c>
      <c r="CM373" t="str">
        <f t="shared" si="6"/>
        <v>19625</v>
      </c>
      <c r="CN373" t="str">
        <f t="shared" si="6"/>
        <v>19625</v>
      </c>
      <c r="CO373" t="str">
        <f t="shared" si="6"/>
        <v>19625</v>
      </c>
      <c r="CP373" t="str">
        <f t="shared" si="6"/>
        <v>19625</v>
      </c>
      <c r="CQ373" t="str">
        <f t="shared" si="6"/>
        <v>19625</v>
      </c>
      <c r="CR373" t="str">
        <f t="shared" si="6"/>
        <v>19625</v>
      </c>
      <c r="CS373" t="str">
        <f t="shared" si="6"/>
        <v>19625</v>
      </c>
      <c r="CT373" t="str">
        <f t="shared" si="6"/>
        <v>19625</v>
      </c>
      <c r="CU373" t="str">
        <f t="shared" si="6"/>
        <v>19625</v>
      </c>
      <c r="CV373" t="str">
        <f t="shared" si="6"/>
        <v>19625</v>
      </c>
      <c r="CW373" t="str">
        <f t="shared" si="6"/>
        <v>19625</v>
      </c>
      <c r="CX373" t="str">
        <f t="shared" si="6"/>
        <v>19625</v>
      </c>
      <c r="CY373" t="str">
        <f t="shared" si="6"/>
        <v>19625</v>
      </c>
      <c r="CZ373" t="str">
        <f t="shared" si="6"/>
        <v>19625</v>
      </c>
      <c r="DA373" t="str">
        <f t="shared" si="6"/>
        <v>19625</v>
      </c>
      <c r="DB373" t="str">
        <f t="shared" si="6"/>
        <v>19625</v>
      </c>
      <c r="DC373" t="str">
        <f t="shared" si="6"/>
        <v>19625</v>
      </c>
      <c r="DD373" t="str">
        <f t="shared" si="6"/>
        <v>19625</v>
      </c>
      <c r="DE373" t="str">
        <f t="shared" si="6"/>
        <v>19625</v>
      </c>
      <c r="DF373" t="str">
        <f t="shared" si="6"/>
        <v>19625</v>
      </c>
      <c r="DG373" t="str">
        <f t="shared" si="6"/>
        <v>19625</v>
      </c>
      <c r="DH373" t="str">
        <f t="shared" si="6"/>
        <v>19625</v>
      </c>
      <c r="DI373" t="str">
        <f t="shared" si="6"/>
        <v>19625</v>
      </c>
      <c r="DJ373" t="str">
        <f t="shared" si="6"/>
        <v>19625</v>
      </c>
      <c r="DK373" t="str">
        <f t="shared" si="6"/>
        <v>19625</v>
      </c>
      <c r="DL373" t="str">
        <f t="shared" si="6"/>
        <v>19625</v>
      </c>
      <c r="DM373" t="str">
        <f t="shared" si="6"/>
        <v>19625</v>
      </c>
      <c r="DN373" t="str">
        <f t="shared" si="6"/>
        <v>19625</v>
      </c>
      <c r="DO373" t="str">
        <f t="shared" si="6"/>
        <v>19625</v>
      </c>
      <c r="DP373" t="str">
        <f t="shared" si="6"/>
        <v>19625</v>
      </c>
      <c r="DQ373" t="str">
        <f t="shared" si="6"/>
        <v>19625</v>
      </c>
      <c r="DR373" t="str">
        <f t="shared" si="6"/>
        <v>19625</v>
      </c>
      <c r="DS373" t="str">
        <f t="shared" si="6"/>
        <v>19625</v>
      </c>
      <c r="DT373" t="str">
        <f t="shared" si="6"/>
        <v>19625</v>
      </c>
      <c r="DU373" t="str">
        <f t="shared" si="6"/>
        <v>19625</v>
      </c>
      <c r="DV373" t="str">
        <f t="shared" si="6"/>
        <v>19625</v>
      </c>
      <c r="DW373" t="str">
        <f t="shared" si="6"/>
        <v>19625</v>
      </c>
      <c r="DX373" t="str">
        <f t="shared" si="6"/>
        <v>19625</v>
      </c>
      <c r="DY373" t="str">
        <f t="shared" si="6"/>
        <v>19625</v>
      </c>
      <c r="DZ373" t="str">
        <f t="shared" ref="DZ373:GK373" si="7">"19625"</f>
        <v>19625</v>
      </c>
      <c r="EA373" t="str">
        <f t="shared" si="7"/>
        <v>19625</v>
      </c>
      <c r="EB373" t="str">
        <f t="shared" si="7"/>
        <v>19625</v>
      </c>
      <c r="EC373" t="str">
        <f t="shared" si="7"/>
        <v>19625</v>
      </c>
      <c r="ED373" t="str">
        <f t="shared" si="7"/>
        <v>19625</v>
      </c>
      <c r="EE373" t="str">
        <f t="shared" si="7"/>
        <v>19625</v>
      </c>
      <c r="EF373" t="str">
        <f t="shared" si="7"/>
        <v>19625</v>
      </c>
      <c r="EG373" t="str">
        <f t="shared" si="7"/>
        <v>19625</v>
      </c>
      <c r="EH373" t="str">
        <f t="shared" si="7"/>
        <v>19625</v>
      </c>
      <c r="EI373" t="str">
        <f t="shared" si="7"/>
        <v>19625</v>
      </c>
      <c r="EJ373" t="str">
        <f t="shared" si="7"/>
        <v>19625</v>
      </c>
      <c r="EK373" t="str">
        <f t="shared" si="7"/>
        <v>19625</v>
      </c>
      <c r="EL373" t="str">
        <f t="shared" si="7"/>
        <v>19625</v>
      </c>
      <c r="EM373" t="str">
        <f t="shared" si="7"/>
        <v>19625</v>
      </c>
      <c r="EN373" t="str">
        <f t="shared" si="7"/>
        <v>19625</v>
      </c>
      <c r="EO373" t="str">
        <f t="shared" si="7"/>
        <v>19625</v>
      </c>
      <c r="EP373" t="str">
        <f t="shared" si="7"/>
        <v>19625</v>
      </c>
      <c r="EQ373" t="str">
        <f t="shared" si="7"/>
        <v>19625</v>
      </c>
      <c r="ER373" t="str">
        <f t="shared" si="7"/>
        <v>19625</v>
      </c>
      <c r="ES373" t="str">
        <f t="shared" si="7"/>
        <v>19625</v>
      </c>
      <c r="ET373" t="str">
        <f t="shared" si="7"/>
        <v>19625</v>
      </c>
      <c r="EU373" t="str">
        <f t="shared" si="7"/>
        <v>19625</v>
      </c>
      <c r="EV373" t="str">
        <f t="shared" si="7"/>
        <v>19625</v>
      </c>
      <c r="EW373" t="str">
        <f t="shared" si="7"/>
        <v>19625</v>
      </c>
      <c r="EX373" t="str">
        <f t="shared" si="7"/>
        <v>19625</v>
      </c>
      <c r="EY373" t="str">
        <f t="shared" si="7"/>
        <v>19625</v>
      </c>
      <c r="EZ373" t="str">
        <f t="shared" si="7"/>
        <v>19625</v>
      </c>
      <c r="FA373" t="str">
        <f t="shared" si="7"/>
        <v>19625</v>
      </c>
      <c r="FB373" t="str">
        <f t="shared" si="7"/>
        <v>19625</v>
      </c>
      <c r="FC373" t="str">
        <f t="shared" si="7"/>
        <v>19625</v>
      </c>
      <c r="FD373" t="str">
        <f t="shared" si="7"/>
        <v>19625</v>
      </c>
      <c r="FE373" t="str">
        <f t="shared" si="7"/>
        <v>19625</v>
      </c>
      <c r="FF373" t="str">
        <f t="shared" si="7"/>
        <v>19625</v>
      </c>
      <c r="FG373" t="str">
        <f t="shared" si="7"/>
        <v>19625</v>
      </c>
      <c r="FH373" t="str">
        <f t="shared" si="7"/>
        <v>19625</v>
      </c>
      <c r="FI373" t="str">
        <f t="shared" si="7"/>
        <v>19625</v>
      </c>
      <c r="FJ373" t="str">
        <f t="shared" si="7"/>
        <v>19625</v>
      </c>
      <c r="FK373" t="str">
        <f t="shared" si="7"/>
        <v>19625</v>
      </c>
      <c r="FL373" t="str">
        <f t="shared" si="7"/>
        <v>19625</v>
      </c>
      <c r="FM373" t="str">
        <f t="shared" si="7"/>
        <v>19625</v>
      </c>
      <c r="FN373" t="str">
        <f t="shared" si="7"/>
        <v>19625</v>
      </c>
      <c r="FO373" t="str">
        <f t="shared" si="7"/>
        <v>19625</v>
      </c>
      <c r="FP373" t="str">
        <f t="shared" si="7"/>
        <v>19625</v>
      </c>
      <c r="FQ373" t="str">
        <f t="shared" si="7"/>
        <v>19625</v>
      </c>
      <c r="FR373" t="str">
        <f t="shared" si="7"/>
        <v>19625</v>
      </c>
      <c r="FS373" t="str">
        <f t="shared" si="7"/>
        <v>19625</v>
      </c>
      <c r="FT373" t="str">
        <f t="shared" si="7"/>
        <v>19625</v>
      </c>
      <c r="FU373" t="str">
        <f t="shared" si="7"/>
        <v>19625</v>
      </c>
      <c r="FV373" t="str">
        <f t="shared" si="7"/>
        <v>19625</v>
      </c>
      <c r="FW373" t="str">
        <f t="shared" si="7"/>
        <v>19625</v>
      </c>
      <c r="FX373" t="str">
        <f t="shared" si="7"/>
        <v>19625</v>
      </c>
      <c r="FY373" t="str">
        <f t="shared" si="7"/>
        <v>19625</v>
      </c>
      <c r="FZ373" t="str">
        <f t="shared" si="7"/>
        <v>19625</v>
      </c>
      <c r="GA373" t="str">
        <f t="shared" si="7"/>
        <v>19625</v>
      </c>
      <c r="GB373" t="str">
        <f t="shared" si="7"/>
        <v>19625</v>
      </c>
      <c r="GC373" t="str">
        <f t="shared" si="7"/>
        <v>19625</v>
      </c>
      <c r="GD373" t="str">
        <f t="shared" si="7"/>
        <v>19625</v>
      </c>
      <c r="GE373" t="str">
        <f t="shared" si="7"/>
        <v>19625</v>
      </c>
      <c r="GF373" t="str">
        <f t="shared" si="7"/>
        <v>19625</v>
      </c>
      <c r="GG373" t="str">
        <f t="shared" si="7"/>
        <v>19625</v>
      </c>
      <c r="GH373" t="str">
        <f t="shared" si="7"/>
        <v>19625</v>
      </c>
      <c r="GI373" t="str">
        <f t="shared" si="7"/>
        <v>19625</v>
      </c>
      <c r="GJ373" t="str">
        <f t="shared" si="7"/>
        <v>19625</v>
      </c>
      <c r="GK373" t="str">
        <f t="shared" si="7"/>
        <v>19625</v>
      </c>
      <c r="GL373" t="str">
        <f t="shared" ref="GL373:IW373" si="8">"19625"</f>
        <v>19625</v>
      </c>
      <c r="GM373" t="str">
        <f t="shared" si="8"/>
        <v>19625</v>
      </c>
      <c r="GN373" t="str">
        <f t="shared" si="8"/>
        <v>19625</v>
      </c>
      <c r="GO373" t="str">
        <f t="shared" si="8"/>
        <v>19625</v>
      </c>
      <c r="GP373" t="str">
        <f t="shared" si="8"/>
        <v>19625</v>
      </c>
      <c r="GQ373" t="str">
        <f t="shared" si="8"/>
        <v>19625</v>
      </c>
      <c r="GR373" t="str">
        <f t="shared" si="8"/>
        <v>19625</v>
      </c>
      <c r="GS373" t="str">
        <f t="shared" si="8"/>
        <v>19625</v>
      </c>
      <c r="GT373" t="str">
        <f t="shared" si="8"/>
        <v>19625</v>
      </c>
      <c r="GU373" t="str">
        <f t="shared" si="8"/>
        <v>19625</v>
      </c>
      <c r="GV373" t="str">
        <f t="shared" si="8"/>
        <v>19625</v>
      </c>
      <c r="GW373" t="str">
        <f t="shared" si="8"/>
        <v>19625</v>
      </c>
      <c r="GX373" t="str">
        <f t="shared" si="8"/>
        <v>19625</v>
      </c>
      <c r="GY373" t="str">
        <f t="shared" si="8"/>
        <v>19625</v>
      </c>
      <c r="GZ373" t="str">
        <f t="shared" si="8"/>
        <v>19625</v>
      </c>
      <c r="HA373" t="str">
        <f t="shared" si="8"/>
        <v>19625</v>
      </c>
      <c r="HB373" t="str">
        <f t="shared" si="8"/>
        <v>19625</v>
      </c>
      <c r="HC373" t="str">
        <f t="shared" si="8"/>
        <v>19625</v>
      </c>
      <c r="HD373" t="str">
        <f t="shared" si="8"/>
        <v>19625</v>
      </c>
      <c r="HE373" t="str">
        <f t="shared" si="8"/>
        <v>19625</v>
      </c>
      <c r="HF373" t="str">
        <f t="shared" si="8"/>
        <v>19625</v>
      </c>
      <c r="HG373" t="str">
        <f t="shared" si="8"/>
        <v>19625</v>
      </c>
      <c r="HH373" t="str">
        <f t="shared" si="8"/>
        <v>19625</v>
      </c>
      <c r="HI373" t="str">
        <f t="shared" si="8"/>
        <v>19625</v>
      </c>
      <c r="HJ373" t="str">
        <f t="shared" si="8"/>
        <v>19625</v>
      </c>
      <c r="HK373" t="str">
        <f t="shared" si="8"/>
        <v>19625</v>
      </c>
      <c r="HL373" t="str">
        <f t="shared" si="8"/>
        <v>19625</v>
      </c>
      <c r="HM373" t="str">
        <f t="shared" si="8"/>
        <v>19625</v>
      </c>
      <c r="HN373" t="str">
        <f t="shared" si="8"/>
        <v>19625</v>
      </c>
      <c r="HO373" t="str">
        <f t="shared" si="8"/>
        <v>19625</v>
      </c>
      <c r="HP373" t="str">
        <f t="shared" si="8"/>
        <v>19625</v>
      </c>
      <c r="HQ373" t="str">
        <f t="shared" si="8"/>
        <v>19625</v>
      </c>
      <c r="HR373" t="str">
        <f t="shared" si="8"/>
        <v>19625</v>
      </c>
      <c r="HS373" t="str">
        <f t="shared" si="8"/>
        <v>19625</v>
      </c>
      <c r="HT373" t="str">
        <f t="shared" si="8"/>
        <v>19625</v>
      </c>
      <c r="HU373" t="str">
        <f t="shared" si="8"/>
        <v>19625</v>
      </c>
      <c r="HV373" t="str">
        <f t="shared" si="8"/>
        <v>19625</v>
      </c>
      <c r="HW373" t="str">
        <f t="shared" si="8"/>
        <v>19625</v>
      </c>
      <c r="HX373" t="str">
        <f t="shared" si="8"/>
        <v>19625</v>
      </c>
      <c r="HY373" t="str">
        <f t="shared" si="8"/>
        <v>19625</v>
      </c>
      <c r="HZ373" t="str">
        <f t="shared" si="8"/>
        <v>19625</v>
      </c>
      <c r="IA373" t="str">
        <f t="shared" si="8"/>
        <v>19625</v>
      </c>
      <c r="IB373" t="str">
        <f t="shared" si="8"/>
        <v>19625</v>
      </c>
      <c r="IC373" t="str">
        <f t="shared" si="8"/>
        <v>19625</v>
      </c>
      <c r="ID373" t="str">
        <f t="shared" si="8"/>
        <v>19625</v>
      </c>
      <c r="IE373" t="str">
        <f t="shared" si="8"/>
        <v>19625</v>
      </c>
      <c r="IF373" t="str">
        <f t="shared" si="8"/>
        <v>19625</v>
      </c>
      <c r="IG373" t="str">
        <f t="shared" si="8"/>
        <v>19625</v>
      </c>
      <c r="IH373" t="str">
        <f t="shared" si="8"/>
        <v>19625</v>
      </c>
      <c r="II373" t="str">
        <f t="shared" si="8"/>
        <v>19625</v>
      </c>
      <c r="IJ373" t="str">
        <f t="shared" si="8"/>
        <v>19625</v>
      </c>
      <c r="IK373" t="str">
        <f t="shared" si="8"/>
        <v>19625</v>
      </c>
      <c r="IL373" t="str">
        <f t="shared" si="8"/>
        <v>19625</v>
      </c>
      <c r="IM373" t="str">
        <f t="shared" si="8"/>
        <v>19625</v>
      </c>
      <c r="IN373" t="str">
        <f t="shared" si="8"/>
        <v>19625</v>
      </c>
      <c r="IO373" t="str">
        <f t="shared" si="8"/>
        <v>19625</v>
      </c>
      <c r="IP373" t="str">
        <f t="shared" si="8"/>
        <v>19625</v>
      </c>
      <c r="IQ373" t="str">
        <f t="shared" si="8"/>
        <v>19625</v>
      </c>
      <c r="IR373" t="str">
        <f t="shared" si="8"/>
        <v>19625</v>
      </c>
      <c r="IS373" t="str">
        <f t="shared" si="8"/>
        <v>19625</v>
      </c>
      <c r="IT373" t="str">
        <f t="shared" si="8"/>
        <v>19625</v>
      </c>
      <c r="IU373" t="str">
        <f t="shared" si="8"/>
        <v>19625</v>
      </c>
      <c r="IV373" t="str">
        <f t="shared" si="8"/>
        <v>19625</v>
      </c>
      <c r="IW373" t="str">
        <f t="shared" si="8"/>
        <v>19625</v>
      </c>
      <c r="IX373" t="str">
        <f t="shared" ref="IX373:JK373" si="9">"19625"</f>
        <v>19625</v>
      </c>
      <c r="IY373" t="str">
        <f t="shared" si="9"/>
        <v>19625</v>
      </c>
      <c r="IZ373" t="str">
        <f t="shared" si="9"/>
        <v>19625</v>
      </c>
      <c r="JA373" t="str">
        <f t="shared" si="9"/>
        <v>19625</v>
      </c>
      <c r="JB373" t="str">
        <f t="shared" si="9"/>
        <v>19625</v>
      </c>
      <c r="JC373" t="str">
        <f t="shared" si="9"/>
        <v>19625</v>
      </c>
      <c r="JD373" t="str">
        <f t="shared" si="9"/>
        <v>19625</v>
      </c>
      <c r="JE373" t="str">
        <f t="shared" si="9"/>
        <v>19625</v>
      </c>
      <c r="JF373" t="str">
        <f t="shared" si="9"/>
        <v>19625</v>
      </c>
      <c r="JG373" t="str">
        <f t="shared" si="9"/>
        <v>19625</v>
      </c>
      <c r="JH373" t="str">
        <f t="shared" si="9"/>
        <v>19625</v>
      </c>
      <c r="JI373" t="str">
        <f t="shared" si="9"/>
        <v>19625</v>
      </c>
      <c r="JJ373" t="str">
        <f t="shared" si="9"/>
        <v>19625</v>
      </c>
      <c r="JK373" t="str">
        <f t="shared" si="9"/>
        <v>19625</v>
      </c>
    </row>
    <row r="374" spans="1:271" x14ac:dyDescent="0.3">
      <c r="A374" t="str">
        <f>"adj. R-sq"</f>
        <v>adj. R-sq</v>
      </c>
      <c r="B374" t="str">
        <f>""</f>
        <v/>
      </c>
      <c r="C374" t="str">
        <f>""</f>
        <v/>
      </c>
      <c r="D374" t="str">
        <f>""</f>
        <v/>
      </c>
      <c r="E374" t="str">
        <f>""</f>
        <v/>
      </c>
      <c r="F374" t="str">
        <f>""</f>
        <v/>
      </c>
      <c r="G374" t="str">
        <f>""</f>
        <v/>
      </c>
      <c r="H374" t="str">
        <f>""</f>
        <v/>
      </c>
      <c r="I374" t="str">
        <f>""</f>
        <v/>
      </c>
      <c r="J374" t="str">
        <f>""</f>
        <v/>
      </c>
      <c r="K374" t="str">
        <f>""</f>
        <v/>
      </c>
      <c r="L374" t="str">
        <f>""</f>
        <v/>
      </c>
      <c r="M374" t="str">
        <f>""</f>
        <v/>
      </c>
      <c r="N374" t="str">
        <f>""</f>
        <v/>
      </c>
      <c r="O374" t="str">
        <f>""</f>
        <v/>
      </c>
      <c r="P374" t="str">
        <f>""</f>
        <v/>
      </c>
      <c r="Q374" t="str">
        <f>""</f>
        <v/>
      </c>
      <c r="R374" t="str">
        <f>""</f>
        <v/>
      </c>
      <c r="S374" t="str">
        <f>""</f>
        <v/>
      </c>
      <c r="T374" t="str">
        <f>""</f>
        <v/>
      </c>
      <c r="U374" t="str">
        <f>""</f>
        <v/>
      </c>
      <c r="V374" t="str">
        <f>""</f>
        <v/>
      </c>
      <c r="W374" t="str">
        <f>""</f>
        <v/>
      </c>
      <c r="X374" t="str">
        <f>""</f>
        <v/>
      </c>
      <c r="Y374" t="str">
        <f>""</f>
        <v/>
      </c>
      <c r="Z374" t="str">
        <f>""</f>
        <v/>
      </c>
      <c r="AA374" t="str">
        <f>""</f>
        <v/>
      </c>
      <c r="AB374" t="str">
        <f>""</f>
        <v/>
      </c>
      <c r="AC374" t="str">
        <f>""</f>
        <v/>
      </c>
      <c r="AD374" t="str">
        <f>""</f>
        <v/>
      </c>
      <c r="AE374" t="str">
        <f>""</f>
        <v/>
      </c>
      <c r="AF374" t="str">
        <f>""</f>
        <v/>
      </c>
      <c r="AG374" t="str">
        <f>""</f>
        <v/>
      </c>
      <c r="AH374" t="str">
        <f>""</f>
        <v/>
      </c>
      <c r="AI374" t="str">
        <f>""</f>
        <v/>
      </c>
      <c r="AJ374" t="str">
        <f>""</f>
        <v/>
      </c>
      <c r="AK374" t="str">
        <f>""</f>
        <v/>
      </c>
      <c r="AL374" t="str">
        <f>""</f>
        <v/>
      </c>
      <c r="AM374" t="str">
        <f>""</f>
        <v/>
      </c>
      <c r="AN374" t="str">
        <f>""</f>
        <v/>
      </c>
      <c r="AO374" t="str">
        <f>""</f>
        <v/>
      </c>
      <c r="AP374" t="str">
        <f>""</f>
        <v/>
      </c>
      <c r="AQ374" t="str">
        <f>""</f>
        <v/>
      </c>
      <c r="AR374" t="str">
        <f>""</f>
        <v/>
      </c>
      <c r="AS374" t="str">
        <f>""</f>
        <v/>
      </c>
      <c r="AT374" t="str">
        <f>""</f>
        <v/>
      </c>
      <c r="AU374" t="str">
        <f>""</f>
        <v/>
      </c>
      <c r="AV374" t="str">
        <f>""</f>
        <v/>
      </c>
      <c r="AW374" t="str">
        <f>""</f>
        <v/>
      </c>
      <c r="AX374" t="str">
        <f>""</f>
        <v/>
      </c>
      <c r="AY374" t="str">
        <f>""</f>
        <v/>
      </c>
      <c r="AZ374" t="str">
        <f>""</f>
        <v/>
      </c>
      <c r="BA374" t="str">
        <f>""</f>
        <v/>
      </c>
      <c r="BB374" t="str">
        <f>""</f>
        <v/>
      </c>
      <c r="BC374" t="str">
        <f>""</f>
        <v/>
      </c>
      <c r="BD374" t="str">
        <f>""</f>
        <v/>
      </c>
      <c r="BE374" t="str">
        <f>""</f>
        <v/>
      </c>
      <c r="BF374" t="str">
        <f>""</f>
        <v/>
      </c>
      <c r="BG374" t="str">
        <f>""</f>
        <v/>
      </c>
      <c r="BH374" t="str">
        <f>""</f>
        <v/>
      </c>
      <c r="BI374" t="str">
        <f>""</f>
        <v/>
      </c>
      <c r="BJ374" t="str">
        <f>""</f>
        <v/>
      </c>
      <c r="BK374" t="str">
        <f>""</f>
        <v/>
      </c>
      <c r="BL374" t="str">
        <f>""</f>
        <v/>
      </c>
      <c r="BM374" t="str">
        <f>""</f>
        <v/>
      </c>
      <c r="BN374" t="str">
        <f>""</f>
        <v/>
      </c>
      <c r="BO374" t="str">
        <f>""</f>
        <v/>
      </c>
      <c r="BP374" t="str">
        <f>""</f>
        <v/>
      </c>
      <c r="BQ374" t="str">
        <f>""</f>
        <v/>
      </c>
      <c r="BR374" t="str">
        <f>""</f>
        <v/>
      </c>
      <c r="BS374" t="str">
        <f>""</f>
        <v/>
      </c>
      <c r="BT374" t="str">
        <f>""</f>
        <v/>
      </c>
      <c r="BU374" t="str">
        <f>""</f>
        <v/>
      </c>
      <c r="BV374" t="str">
        <f>""</f>
        <v/>
      </c>
      <c r="BW374" t="str">
        <f>""</f>
        <v/>
      </c>
      <c r="BX374" t="str">
        <f>""</f>
        <v/>
      </c>
      <c r="BY374" t="str">
        <f>""</f>
        <v/>
      </c>
      <c r="BZ374" t="str">
        <f>""</f>
        <v/>
      </c>
      <c r="CA374" t="str">
        <f>""</f>
        <v/>
      </c>
      <c r="CB374" t="str">
        <f>""</f>
        <v/>
      </c>
      <c r="CC374" t="str">
        <f>""</f>
        <v/>
      </c>
      <c r="CD374" t="str">
        <f>""</f>
        <v/>
      </c>
      <c r="CE374" t="str">
        <f>""</f>
        <v/>
      </c>
      <c r="CF374" t="str">
        <f>""</f>
        <v/>
      </c>
      <c r="CG374" t="str">
        <f>""</f>
        <v/>
      </c>
      <c r="CH374" t="str">
        <f>""</f>
        <v/>
      </c>
      <c r="CI374" t="str">
        <f>""</f>
        <v/>
      </c>
      <c r="CJ374" t="str">
        <f>""</f>
        <v/>
      </c>
      <c r="CK374" t="str">
        <f>""</f>
        <v/>
      </c>
      <c r="CL374" t="str">
        <f>""</f>
        <v/>
      </c>
      <c r="CM374" t="str">
        <f>""</f>
        <v/>
      </c>
      <c r="CN374" t="str">
        <f>""</f>
        <v/>
      </c>
      <c r="CO374" t="str">
        <f>""</f>
        <v/>
      </c>
      <c r="CP374" t="str">
        <f>""</f>
        <v/>
      </c>
      <c r="CQ374" t="str">
        <f>""</f>
        <v/>
      </c>
      <c r="CR374" t="str">
        <f>""</f>
        <v/>
      </c>
      <c r="CS374" t="str">
        <f>""</f>
        <v/>
      </c>
      <c r="CT374" t="str">
        <f>""</f>
        <v/>
      </c>
      <c r="CU374" t="str">
        <f>""</f>
        <v/>
      </c>
      <c r="CV374" t="str">
        <f>""</f>
        <v/>
      </c>
      <c r="CW374" t="str">
        <f>""</f>
        <v/>
      </c>
      <c r="CX374" t="str">
        <f>""</f>
        <v/>
      </c>
      <c r="CY374" t="str">
        <f>""</f>
        <v/>
      </c>
      <c r="CZ374" t="str">
        <f>""</f>
        <v/>
      </c>
      <c r="DA374" t="str">
        <f>""</f>
        <v/>
      </c>
      <c r="DB374" t="str">
        <f>""</f>
        <v/>
      </c>
      <c r="DC374" t="str">
        <f>""</f>
        <v/>
      </c>
      <c r="DD374" t="str">
        <f>""</f>
        <v/>
      </c>
      <c r="DE374" t="str">
        <f>""</f>
        <v/>
      </c>
      <c r="DF374" t="str">
        <f>""</f>
        <v/>
      </c>
      <c r="DG374" t="str">
        <f>""</f>
        <v/>
      </c>
      <c r="DH374" t="str">
        <f>""</f>
        <v/>
      </c>
      <c r="DI374" t="str">
        <f>""</f>
        <v/>
      </c>
      <c r="DJ374" t="str">
        <f>""</f>
        <v/>
      </c>
      <c r="DK374" t="str">
        <f>""</f>
        <v/>
      </c>
      <c r="DL374" t="str">
        <f>""</f>
        <v/>
      </c>
      <c r="DM374" t="str">
        <f>""</f>
        <v/>
      </c>
      <c r="DN374" t="str">
        <f>""</f>
        <v/>
      </c>
      <c r="DO374" t="str">
        <f>""</f>
        <v/>
      </c>
      <c r="DP374" t="str">
        <f>""</f>
        <v/>
      </c>
      <c r="DQ374" t="str">
        <f>""</f>
        <v/>
      </c>
      <c r="DR374" t="str">
        <f>""</f>
        <v/>
      </c>
      <c r="DS374" t="str">
        <f>""</f>
        <v/>
      </c>
      <c r="DT374" t="str">
        <f>""</f>
        <v/>
      </c>
      <c r="DU374" t="str">
        <f>""</f>
        <v/>
      </c>
      <c r="DV374" t="str">
        <f>""</f>
        <v/>
      </c>
      <c r="DW374" t="str">
        <f>""</f>
        <v/>
      </c>
      <c r="DX374" t="str">
        <f>""</f>
        <v/>
      </c>
      <c r="DY374" t="str">
        <f>""</f>
        <v/>
      </c>
      <c r="DZ374" t="str">
        <f>""</f>
        <v/>
      </c>
      <c r="EA374" t="str">
        <f>""</f>
        <v/>
      </c>
      <c r="EB374" t="str">
        <f>""</f>
        <v/>
      </c>
      <c r="EC374" t="str">
        <f>""</f>
        <v/>
      </c>
      <c r="ED374" t="str">
        <f>""</f>
        <v/>
      </c>
      <c r="EE374" t="str">
        <f>""</f>
        <v/>
      </c>
      <c r="EF374" t="str">
        <f>""</f>
        <v/>
      </c>
      <c r="EG374" t="str">
        <f>""</f>
        <v/>
      </c>
      <c r="EH374" t="str">
        <f>""</f>
        <v/>
      </c>
      <c r="EI374" t="str">
        <f>""</f>
        <v/>
      </c>
      <c r="EJ374" t="str">
        <f>""</f>
        <v/>
      </c>
      <c r="EK374" t="str">
        <f>""</f>
        <v/>
      </c>
      <c r="EL374" t="str">
        <f>""</f>
        <v/>
      </c>
      <c r="EM374" t="str">
        <f>""</f>
        <v/>
      </c>
      <c r="EN374" t="str">
        <f>""</f>
        <v/>
      </c>
      <c r="EO374" t="str">
        <f>""</f>
        <v/>
      </c>
      <c r="EP374" t="str">
        <f>""</f>
        <v/>
      </c>
      <c r="EQ374" t="str">
        <f>""</f>
        <v/>
      </c>
      <c r="ER374" t="str">
        <f>""</f>
        <v/>
      </c>
      <c r="ES374" t="str">
        <f>""</f>
        <v/>
      </c>
      <c r="ET374" t="str">
        <f>""</f>
        <v/>
      </c>
      <c r="EU374" t="str">
        <f>""</f>
        <v/>
      </c>
      <c r="EV374" t="str">
        <f>""</f>
        <v/>
      </c>
      <c r="EW374" t="str">
        <f>""</f>
        <v/>
      </c>
      <c r="EX374" t="str">
        <f>""</f>
        <v/>
      </c>
      <c r="EY374" t="str">
        <f>""</f>
        <v/>
      </c>
      <c r="EZ374" t="str">
        <f>""</f>
        <v/>
      </c>
      <c r="FA374" t="str">
        <f>""</f>
        <v/>
      </c>
      <c r="FB374" t="str">
        <f>""</f>
        <v/>
      </c>
      <c r="FC374" t="str">
        <f>""</f>
        <v/>
      </c>
      <c r="FD374" t="str">
        <f>""</f>
        <v/>
      </c>
      <c r="FE374" t="str">
        <f>""</f>
        <v/>
      </c>
      <c r="FF374" t="str">
        <f>""</f>
        <v/>
      </c>
      <c r="FG374" t="str">
        <f>""</f>
        <v/>
      </c>
      <c r="FH374" t="str">
        <f>""</f>
        <v/>
      </c>
      <c r="FI374" t="str">
        <f>""</f>
        <v/>
      </c>
      <c r="FJ374" t="str">
        <f>""</f>
        <v/>
      </c>
      <c r="FK374" t="str">
        <f>""</f>
        <v/>
      </c>
      <c r="FL374" t="str">
        <f>""</f>
        <v/>
      </c>
      <c r="FM374" t="str">
        <f>""</f>
        <v/>
      </c>
      <c r="FN374" t="str">
        <f>""</f>
        <v/>
      </c>
      <c r="FO374" t="str">
        <f>""</f>
        <v/>
      </c>
      <c r="FP374" t="str">
        <f>""</f>
        <v/>
      </c>
      <c r="FQ374" t="str">
        <f>""</f>
        <v/>
      </c>
      <c r="FR374" t="str">
        <f>""</f>
        <v/>
      </c>
      <c r="FS374" t="str">
        <f>""</f>
        <v/>
      </c>
      <c r="FT374" t="str">
        <f>""</f>
        <v/>
      </c>
      <c r="FU374" t="str">
        <f>""</f>
        <v/>
      </c>
      <c r="FV374" t="str">
        <f>""</f>
        <v/>
      </c>
      <c r="FW374" t="str">
        <f>""</f>
        <v/>
      </c>
      <c r="FX374" t="str">
        <f>""</f>
        <v/>
      </c>
      <c r="FY374" t="str">
        <f>""</f>
        <v/>
      </c>
      <c r="FZ374" t="str">
        <f>""</f>
        <v/>
      </c>
      <c r="GA374" t="str">
        <f>""</f>
        <v/>
      </c>
      <c r="GB374" t="str">
        <f>""</f>
        <v/>
      </c>
      <c r="GC374" t="str">
        <f>""</f>
        <v/>
      </c>
      <c r="GD374" t="str">
        <f>""</f>
        <v/>
      </c>
      <c r="GE374" t="str">
        <f>""</f>
        <v/>
      </c>
      <c r="GF374" t="str">
        <f>""</f>
        <v/>
      </c>
      <c r="GG374" t="str">
        <f>""</f>
        <v/>
      </c>
      <c r="GH374" t="str">
        <f>""</f>
        <v/>
      </c>
      <c r="GI374" t="str">
        <f>""</f>
        <v/>
      </c>
      <c r="GJ374" t="str">
        <f>""</f>
        <v/>
      </c>
      <c r="GK374" t="str">
        <f>""</f>
        <v/>
      </c>
      <c r="GL374" t="str">
        <f>""</f>
        <v/>
      </c>
      <c r="GM374" t="str">
        <f>""</f>
        <v/>
      </c>
      <c r="GN374" t="str">
        <f>""</f>
        <v/>
      </c>
      <c r="GO374" t="str">
        <f>""</f>
        <v/>
      </c>
      <c r="GP374" t="str">
        <f>""</f>
        <v/>
      </c>
      <c r="GQ374" t="str">
        <f>""</f>
        <v/>
      </c>
      <c r="GR374" t="str">
        <f>""</f>
        <v/>
      </c>
      <c r="GS374" t="str">
        <f>""</f>
        <v/>
      </c>
      <c r="GT374" t="str">
        <f>""</f>
        <v/>
      </c>
      <c r="GU374" t="str">
        <f>""</f>
        <v/>
      </c>
      <c r="GV374" t="str">
        <f>""</f>
        <v/>
      </c>
      <c r="GW374" t="str">
        <f>""</f>
        <v/>
      </c>
      <c r="GX374" t="str">
        <f>""</f>
        <v/>
      </c>
      <c r="GY374" t="str">
        <f>""</f>
        <v/>
      </c>
      <c r="GZ374" t="str">
        <f>""</f>
        <v/>
      </c>
      <c r="HA374" t="str">
        <f>""</f>
        <v/>
      </c>
      <c r="HB374" t="str">
        <f>""</f>
        <v/>
      </c>
      <c r="HC374" t="str">
        <f>""</f>
        <v/>
      </c>
      <c r="HD374" t="str">
        <f>""</f>
        <v/>
      </c>
      <c r="HE374" t="str">
        <f>""</f>
        <v/>
      </c>
      <c r="HF374" t="str">
        <f>""</f>
        <v/>
      </c>
      <c r="HG374" t="str">
        <f>""</f>
        <v/>
      </c>
      <c r="HH374" t="str">
        <f>""</f>
        <v/>
      </c>
      <c r="HI374" t="str">
        <f>""</f>
        <v/>
      </c>
      <c r="HJ374" t="str">
        <f>""</f>
        <v/>
      </c>
      <c r="HK374" t="str">
        <f>""</f>
        <v/>
      </c>
      <c r="HL374" t="str">
        <f>""</f>
        <v/>
      </c>
      <c r="HM374" t="str">
        <f>""</f>
        <v/>
      </c>
      <c r="HN374" t="str">
        <f>""</f>
        <v/>
      </c>
      <c r="HO374" t="str">
        <f>""</f>
        <v/>
      </c>
      <c r="HP374" t="str">
        <f>""</f>
        <v/>
      </c>
      <c r="HQ374" t="str">
        <f>""</f>
        <v/>
      </c>
      <c r="HR374" t="str">
        <f>""</f>
        <v/>
      </c>
      <c r="HS374" t="str">
        <f>""</f>
        <v/>
      </c>
      <c r="HT374" t="str">
        <f>""</f>
        <v/>
      </c>
      <c r="HU374" t="str">
        <f>""</f>
        <v/>
      </c>
      <c r="HV374" t="str">
        <f>""</f>
        <v/>
      </c>
      <c r="HW374" t="str">
        <f>""</f>
        <v/>
      </c>
      <c r="HX374" t="str">
        <f>""</f>
        <v/>
      </c>
      <c r="HY374" t="str">
        <f>""</f>
        <v/>
      </c>
      <c r="HZ374" t="str">
        <f>""</f>
        <v/>
      </c>
      <c r="IA374" t="str">
        <f>""</f>
        <v/>
      </c>
      <c r="IB374" t="str">
        <f>""</f>
        <v/>
      </c>
      <c r="IC374" t="str">
        <f>""</f>
        <v/>
      </c>
      <c r="ID374" t="str">
        <f>""</f>
        <v/>
      </c>
      <c r="IE374" t="str">
        <f>""</f>
        <v/>
      </c>
      <c r="IF374" t="str">
        <f>""</f>
        <v/>
      </c>
      <c r="IG374" t="str">
        <f>""</f>
        <v/>
      </c>
      <c r="IH374" t="str">
        <f>""</f>
        <v/>
      </c>
      <c r="II374" t="str">
        <f>""</f>
        <v/>
      </c>
      <c r="IJ374" t="str">
        <f>""</f>
        <v/>
      </c>
      <c r="IK374" t="str">
        <f>""</f>
        <v/>
      </c>
      <c r="IL374" t="str">
        <f>""</f>
        <v/>
      </c>
      <c r="IM374" t="str">
        <f>""</f>
        <v/>
      </c>
      <c r="IN374" t="str">
        <f>""</f>
        <v/>
      </c>
      <c r="IO374" t="str">
        <f>""</f>
        <v/>
      </c>
      <c r="IP374" t="str">
        <f>""</f>
        <v/>
      </c>
      <c r="IQ374" t="str">
        <f>""</f>
        <v/>
      </c>
      <c r="IR374" t="str">
        <f>""</f>
        <v/>
      </c>
      <c r="IS374" t="str">
        <f>""</f>
        <v/>
      </c>
      <c r="IT374" t="str">
        <f>""</f>
        <v/>
      </c>
      <c r="IU374" t="str">
        <f>""</f>
        <v/>
      </c>
      <c r="IV374" t="str">
        <f>""</f>
        <v/>
      </c>
      <c r="IW374" t="str">
        <f>""</f>
        <v/>
      </c>
      <c r="IX374" t="str">
        <f>""</f>
        <v/>
      </c>
      <c r="IY374" t="str">
        <f>""</f>
        <v/>
      </c>
      <c r="IZ374" t="str">
        <f>""</f>
        <v/>
      </c>
      <c r="JA374" t="str">
        <f>""</f>
        <v/>
      </c>
      <c r="JB374" t="str">
        <f>""</f>
        <v/>
      </c>
      <c r="JC374" t="str">
        <f>""</f>
        <v/>
      </c>
      <c r="JD374" t="str">
        <f>""</f>
        <v/>
      </c>
      <c r="JE374" t="str">
        <f>""</f>
        <v/>
      </c>
      <c r="JF374" t="str">
        <f>""</f>
        <v/>
      </c>
      <c r="JG374" t="str">
        <f>""</f>
        <v/>
      </c>
      <c r="JH374" t="str">
        <f>""</f>
        <v/>
      </c>
      <c r="JI374" t="str">
        <f>""</f>
        <v/>
      </c>
      <c r="JJ374" t="str">
        <f>""</f>
        <v/>
      </c>
      <c r="JK374" t="str">
        <f>""</f>
        <v/>
      </c>
    </row>
    <row r="376" spans="1:271" x14ac:dyDescent="0.3">
      <c r="A376" t="str">
        <f>"Standard errors in parentheses"</f>
        <v>Standard errors in parentheses</v>
      </c>
    </row>
    <row r="377" spans="1:271" x14ac:dyDescent="0.3">
      <c r="A377" t="s">
        <v>0</v>
      </c>
      <c r="B377" t="s">
        <v>1</v>
      </c>
      <c r="C37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results_TABLE7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Baydoun, May Ahmad (NIH/NIA/IRP) [E]</cp:lastModifiedBy>
  <dcterms:created xsi:type="dcterms:W3CDTF">2024-09-20T23:55:45Z</dcterms:created>
  <dcterms:modified xsi:type="dcterms:W3CDTF">2024-09-20T23:55:46Z</dcterms:modified>
</cp:coreProperties>
</file>